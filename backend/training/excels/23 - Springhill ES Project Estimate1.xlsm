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00_IFS_CostCatalogue\Companies\Iron Fabrication Services\Projects\23 - Springhill ES\"/>
    </mc:Choice>
  </mc:AlternateContent>
  <xr:revisionPtr revIDLastSave="0" documentId="8_{71FDCF05-F463-4B4C-91F3-9D0AB6A362BF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ProjectHome" sheetId="1" r:id="rId1"/>
    <sheet name="Parameter" sheetId="2" r:id="rId2"/>
    <sheet name="StructuralColumnSchedule" sheetId="3" r:id="rId3"/>
    <sheet name="StructuralFramingSchedule" sheetId="4" r:id="rId4"/>
    <sheet name="StructuralBracingSchedule" sheetId="5" r:id="rId5"/>
    <sheet name="StructuralConnectionSchedule" sheetId="6" r:id="rId6"/>
    <sheet name="MiscellaneousDetails" sheetId="7" r:id="rId7"/>
    <sheet name="BasePlateSchedule" sheetId="8" r:id="rId8"/>
    <sheet name="StructuralPlateSchedule" sheetId="9" r:id="rId9"/>
    <sheet name="Summary" sheetId="10" r:id="rId10"/>
    <sheet name="Proposal" sheetId="11" r:id="rId11"/>
  </sheets>
  <functionGroups builtInGroupCount="19"/>
  <externalReferences>
    <externalReference r:id="rId12"/>
  </externalReferences>
  <definedNames>
    <definedName name="bimctmodels7">-7</definedName>
    <definedName name="cellbimuserAFAD05D9D0AFBE0456D09F21" comment="Jacob Sam">1773850383060</definedName>
    <definedName name="_xlnm.Print_Area" localSheetId="0">ProjectHome!$B$1:$H$150</definedName>
    <definedName name="_xlnm.Print_Area" localSheetId="10">Proposal!$A$1:$F$50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63" i="9" l="1"/>
  <c r="AC163" i="9"/>
  <c r="AB163" i="9"/>
  <c r="AA163" i="9"/>
  <c r="Z163" i="9"/>
  <c r="Y163" i="9"/>
  <c r="X163" i="9"/>
  <c r="W163" i="9"/>
  <c r="V163" i="9"/>
  <c r="U163" i="9"/>
  <c r="T163" i="9"/>
  <c r="S163" i="9"/>
  <c r="R163" i="9"/>
  <c r="Q163" i="9"/>
  <c r="H163" i="9"/>
  <c r="G163" i="9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H43" i="5"/>
  <c r="G43" i="5"/>
  <c r="AD135" i="8"/>
  <c r="AC135" i="8"/>
  <c r="AB135" i="8"/>
  <c r="AA135" i="8"/>
  <c r="Z135" i="8"/>
  <c r="Y135" i="8"/>
  <c r="X135" i="8"/>
  <c r="W135" i="8"/>
  <c r="V135" i="8"/>
  <c r="U135" i="8"/>
  <c r="T135" i="8"/>
  <c r="S135" i="8"/>
  <c r="R135" i="8"/>
  <c r="Q135" i="8"/>
  <c r="G135" i="8"/>
  <c r="AD1757" i="6"/>
  <c r="AC1757" i="6"/>
  <c r="AB1757" i="6"/>
  <c r="AA1757" i="6"/>
  <c r="Z1757" i="6"/>
  <c r="Y1757" i="6"/>
  <c r="X1757" i="6"/>
  <c r="W1757" i="6"/>
  <c r="V1757" i="6"/>
  <c r="U1757" i="6"/>
  <c r="T1757" i="6"/>
  <c r="S1757" i="6"/>
  <c r="R1757" i="6"/>
  <c r="Q1757" i="6"/>
  <c r="H1757" i="6"/>
  <c r="G1757" i="6"/>
  <c r="AD1065" i="4"/>
  <c r="AC1065" i="4"/>
  <c r="AB1065" i="4"/>
  <c r="AA1065" i="4"/>
  <c r="Z1065" i="4"/>
  <c r="Y1065" i="4"/>
  <c r="X1065" i="4"/>
  <c r="W1065" i="4"/>
  <c r="V1065" i="4"/>
  <c r="U1065" i="4"/>
  <c r="T1065" i="4"/>
  <c r="S1065" i="4"/>
  <c r="R1065" i="4"/>
  <c r="Q1065" i="4"/>
  <c r="H1065" i="4"/>
  <c r="G1065" i="4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H135" i="3"/>
  <c r="G135" i="3"/>
  <c r="C2" i="9"/>
  <c r="C2" i="8"/>
  <c r="C2" i="7"/>
  <c r="C2" i="6"/>
  <c r="C2" i="5"/>
  <c r="C2" i="4"/>
  <c r="C2" i="3"/>
  <c r="F15" i="2"/>
  <c r="E15" i="2"/>
  <c r="D15" i="2"/>
  <c r="C15" i="2"/>
  <c r="B15" i="2"/>
  <c r="A15" i="2"/>
  <c r="F14" i="2"/>
  <c r="E14" i="2"/>
  <c r="D14" i="2"/>
  <c r="C14" i="2"/>
  <c r="B14" i="2"/>
  <c r="A14" i="2"/>
  <c r="F13" i="2"/>
  <c r="E13" i="2"/>
  <c r="D13" i="2"/>
  <c r="C13" i="2"/>
  <c r="B13" i="2"/>
  <c r="A13" i="2"/>
  <c r="F12" i="2"/>
  <c r="E12" i="2"/>
  <c r="D12" i="2"/>
  <c r="C12" i="2"/>
  <c r="B12" i="2"/>
  <c r="A12" i="2"/>
  <c r="F11" i="2"/>
  <c r="E11" i="2"/>
  <c r="D11" i="2"/>
  <c r="C11" i="2"/>
  <c r="B11" i="2"/>
  <c r="A11" i="2"/>
  <c r="F10" i="2"/>
  <c r="E10" i="2"/>
  <c r="D10" i="2"/>
  <c r="C10" i="2"/>
  <c r="B10" i="2"/>
  <c r="A10" i="2"/>
  <c r="F9" i="2"/>
  <c r="E9" i="2"/>
  <c r="D9" i="2"/>
  <c r="C9" i="2"/>
  <c r="B9" i="2"/>
  <c r="A9" i="2"/>
  <c r="F8" i="2"/>
  <c r="E8" i="2"/>
  <c r="D8" i="2"/>
  <c r="C8" i="2"/>
  <c r="B8" i="2"/>
  <c r="A8" i="2"/>
  <c r="F7" i="2"/>
  <c r="E7" i="2"/>
  <c r="D7" i="2"/>
  <c r="C7" i="2"/>
  <c r="B7" i="2"/>
  <c r="A7" i="2"/>
  <c r="F6" i="2"/>
  <c r="E6" i="2"/>
  <c r="D6" i="2"/>
  <c r="C6" i="2"/>
  <c r="B6" i="2"/>
  <c r="A6" i="2"/>
  <c r="F5" i="2"/>
  <c r="E5" i="2"/>
  <c r="D5" i="2"/>
  <c r="C5" i="2"/>
  <c r="B5" i="2"/>
  <c r="A5" i="2"/>
  <c r="F4" i="2"/>
  <c r="E4" i="2"/>
  <c r="D4" i="2"/>
  <c r="C4" i="2"/>
  <c r="B4" i="2"/>
  <c r="A4" i="2"/>
  <c r="F3" i="2"/>
  <c r="E3" i="2"/>
  <c r="D3" i="2"/>
  <c r="C3" i="2"/>
  <c r="B3" i="2"/>
  <c r="A3" i="2"/>
  <c r="F2" i="2"/>
  <c r="E2" i="2"/>
  <c r="D2" i="2"/>
  <c r="C2" i="2"/>
  <c r="B2" i="2"/>
  <c r="A2" i="2"/>
  <c r="F1" i="2"/>
  <c r="E1" i="2"/>
  <c r="D1" i="2"/>
  <c r="C1" i="2"/>
  <c r="B1" i="2"/>
  <c r="A1" i="2"/>
  <c r="H20" i="10"/>
  <c r="H21" i="10" s="1"/>
  <c r="H14" i="10"/>
  <c r="H8" i="10"/>
  <c r="H7" i="10"/>
  <c r="H6" i="10"/>
  <c r="C2" i="10"/>
  <c r="H22" i="10" l="1"/>
  <c r="H23" i="10" s="1"/>
  <c r="H24" i="10" l="1"/>
  <c r="F31" i="10" s="1"/>
</calcChain>
</file>

<file path=xl/sharedStrings.xml><?xml version="1.0" encoding="utf-8"?>
<sst xmlns="http://schemas.openxmlformats.org/spreadsheetml/2006/main" count="13458" uniqueCount="879">
  <si>
    <t xml:space="preserve">Project </t>
  </si>
  <si>
    <t>TOTAL BREAKDOWN</t>
  </si>
  <si>
    <t>Labor (Days)</t>
  </si>
  <si>
    <t>Fabrication Time</t>
  </si>
  <si>
    <t>Installation Time (3 men)</t>
  </si>
  <si>
    <t>Installation Time (4 men)</t>
  </si>
  <si>
    <t>Taxes</t>
  </si>
  <si>
    <t>Labor</t>
  </si>
  <si>
    <t>Material</t>
  </si>
  <si>
    <t>Total after Taxes</t>
  </si>
  <si>
    <t>Post Tax Markup</t>
  </si>
  <si>
    <t>Safety</t>
  </si>
  <si>
    <t>Contigency</t>
  </si>
  <si>
    <t>Textura</t>
  </si>
  <si>
    <t>Overhead &amp; P</t>
  </si>
  <si>
    <t>Bonding</t>
  </si>
  <si>
    <t xml:space="preserve">TOTAL ESTIMATE </t>
  </si>
  <si>
    <t>GC Name</t>
  </si>
  <si>
    <t>MCN</t>
  </si>
  <si>
    <t>Project Name</t>
  </si>
  <si>
    <t>23 - Springhill ES</t>
  </si>
  <si>
    <t>Email</t>
  </si>
  <si>
    <t>kpatel@ironfs.com</t>
  </si>
  <si>
    <t>Phone Number</t>
  </si>
  <si>
    <t>Estimator</t>
  </si>
  <si>
    <t>KP</t>
  </si>
  <si>
    <t>Bid Start</t>
  </si>
  <si>
    <t>Bid End</t>
  </si>
  <si>
    <t>StructuralColumnSchedule</t>
  </si>
  <si>
    <t>Column 7</t>
  </si>
  <si>
    <t>Column 8</t>
  </si>
  <si>
    <t>Column 9</t>
  </si>
  <si>
    <t>Type</t>
  </si>
  <si>
    <t>Comments</t>
  </si>
  <si>
    <t>Length</t>
  </si>
  <si>
    <t>Cost</t>
  </si>
  <si>
    <t>Weight</t>
  </si>
  <si>
    <t>Overall Weight</t>
  </si>
  <si>
    <t>Overall Cost</t>
  </si>
  <si>
    <t>Mark</t>
  </si>
  <si>
    <t>ElementID</t>
  </si>
  <si>
    <t>MaterialFinish</t>
  </si>
  <si>
    <t>HSS8X4X5/16</t>
  </si>
  <si>
    <t>S-111A</t>
  </si>
  <si>
    <t>14'-0"</t>
  </si>
  <si>
    <t>Miscellaneous Column</t>
  </si>
  <si>
    <t>0</t>
  </si>
  <si>
    <t>HSS8X6X5/16</t>
  </si>
  <si>
    <t>HSS6X4X3/8</t>
  </si>
  <si>
    <t>W10X49</t>
  </si>
  <si>
    <t>S-501</t>
  </si>
  <si>
    <t>28'-9"</t>
  </si>
  <si>
    <t>Column</t>
  </si>
  <si>
    <t>W10X45</t>
  </si>
  <si>
    <t>HSS18.000X0.500</t>
  </si>
  <si>
    <t>27'-5"</t>
  </si>
  <si>
    <t>W10X33</t>
  </si>
  <si>
    <t>30'-0 1/4"</t>
  </si>
  <si>
    <t>14'-6 1/8"</t>
  </si>
  <si>
    <t>30'-4 1/4"</t>
  </si>
  <si>
    <t>W10X39</t>
  </si>
  <si>
    <t>W12X65</t>
  </si>
  <si>
    <t>29'-10 1/8"</t>
  </si>
  <si>
    <t>28'-10 1/8"</t>
  </si>
  <si>
    <t>29'-1"</t>
  </si>
  <si>
    <t>29'-2 1/8"</t>
  </si>
  <si>
    <t>29'-3"</t>
  </si>
  <si>
    <t>29'-9"</t>
  </si>
  <si>
    <t>15'-6 3/8"</t>
  </si>
  <si>
    <t>HSS12.750X0.375</t>
  </si>
  <si>
    <t>14'-6 3/4"</t>
  </si>
  <si>
    <t>14'-6 3/8"</t>
  </si>
  <si>
    <t>27'-6 7/8"</t>
  </si>
  <si>
    <t>14'-7 1/2"</t>
  </si>
  <si>
    <t>14'-7 7/8"</t>
  </si>
  <si>
    <t>29'-9 1/4"</t>
  </si>
  <si>
    <t>29'-9 3/4"</t>
  </si>
  <si>
    <t>W10X54</t>
  </si>
  <si>
    <t>HSS18.000X0.375</t>
  </si>
  <si>
    <t>27'-11"</t>
  </si>
  <si>
    <t>28'-5"</t>
  </si>
  <si>
    <t>26'-11"</t>
  </si>
  <si>
    <t>27'-7"</t>
  </si>
  <si>
    <t>HSS10.000X0.500</t>
  </si>
  <si>
    <t>S-502</t>
  </si>
  <si>
    <t>32'-9"</t>
  </si>
  <si>
    <t>33'-1"</t>
  </si>
  <si>
    <t>29'-2 7/8"</t>
  </si>
  <si>
    <t>32'-10 1/4"</t>
  </si>
  <si>
    <t>15'-6 1/2"</t>
  </si>
  <si>
    <t>14'-6 1/2"</t>
  </si>
  <si>
    <t>HSS10.000X0.625</t>
  </si>
  <si>
    <t>34'-7 5/8"</t>
  </si>
  <si>
    <t>33'-11 1/2"</t>
  </si>
  <si>
    <t>StructuralFramingSchedule</t>
  </si>
  <si>
    <t>Column 4</t>
  </si>
  <si>
    <t>Column 5</t>
  </si>
  <si>
    <t>Column 6</t>
  </si>
  <si>
    <t>Column 10</t>
  </si>
  <si>
    <t>Column 11</t>
  </si>
  <si>
    <t>Column 12</t>
  </si>
  <si>
    <t>MomentConnection</t>
  </si>
  <si>
    <t>Number of studs</t>
  </si>
  <si>
    <t>Camber Size</t>
  </si>
  <si>
    <t>W24X68</t>
  </si>
  <si>
    <t>S-112A</t>
  </si>
  <si>
    <t>38' - 5 3/32"</t>
  </si>
  <si>
    <t>Framing</t>
  </si>
  <si>
    <t>W12X16</t>
  </si>
  <si>
    <t>9' - 9 1/8"</t>
  </si>
  <si>
    <t>W14X22</t>
  </si>
  <si>
    <t>22' - 6 1/16"</t>
  </si>
  <si>
    <t>W18X60</t>
  </si>
  <si>
    <t>39' - 1 3/32"</t>
  </si>
  <si>
    <t>c=1"</t>
  </si>
  <si>
    <t>6' - 6 1/4"</t>
  </si>
  <si>
    <t>W21X50</t>
  </si>
  <si>
    <t>28' - 3 3/16"</t>
  </si>
  <si>
    <t>W18X76</t>
  </si>
  <si>
    <t>W12X19</t>
  </si>
  <si>
    <t>21' - 10 1/2"</t>
  </si>
  <si>
    <t>14' - 5 31/32"</t>
  </si>
  <si>
    <t>W18X71</t>
  </si>
  <si>
    <t>38' - 2 1/32"</t>
  </si>
  <si>
    <t>W18X35</t>
  </si>
  <si>
    <t>27' - 2 3/16"</t>
  </si>
  <si>
    <t>38' - 4 5/32"</t>
  </si>
  <si>
    <t>8' - 10 15/16"</t>
  </si>
  <si>
    <t>W18X65</t>
  </si>
  <si>
    <t>36' - 11 9/32"</t>
  </si>
  <si>
    <t>c=3/4"</t>
  </si>
  <si>
    <t>8' - 11 3/32"</t>
  </si>
  <si>
    <t>27' - 10 1/4"</t>
  </si>
  <si>
    <t>W18X50</t>
  </si>
  <si>
    <t>W18X86</t>
  </si>
  <si>
    <t>25' - 8 23/32"</t>
  </si>
  <si>
    <t>36' - 0 13/16"</t>
  </si>
  <si>
    <t>26' - 4 5/32"</t>
  </si>
  <si>
    <t>W21X44</t>
  </si>
  <si>
    <t>25' - 8 7/8"</t>
  </si>
  <si>
    <t>34' - 5 7/16"</t>
  </si>
  <si>
    <t>W18X46</t>
  </si>
  <si>
    <t>33' - 2 3/16"</t>
  </si>
  <si>
    <t>27' - 2 31/32"</t>
  </si>
  <si>
    <t>W18X40</t>
  </si>
  <si>
    <t>32' - 3 3/16"</t>
  </si>
  <si>
    <t>27' - 3 1/2"</t>
  </si>
  <si>
    <t>W18X97</t>
  </si>
  <si>
    <t>27' - 11 3/16"</t>
  </si>
  <si>
    <t>27' - 10 3/32"</t>
  </si>
  <si>
    <t>30' - 6 1/4"</t>
  </si>
  <si>
    <t>29' - 2 5/32"</t>
  </si>
  <si>
    <t>27' - 10 1/16"</t>
  </si>
  <si>
    <t>26' - 5 1/8"</t>
  </si>
  <si>
    <t>28' - 4 1/8"</t>
  </si>
  <si>
    <t>26' - 5 7/16"</t>
  </si>
  <si>
    <t>27' - 3 3/16"</t>
  </si>
  <si>
    <t>27' - 8 5/16"</t>
  </si>
  <si>
    <t>W8X18</t>
  </si>
  <si>
    <t>9' - 1 27/32"</t>
  </si>
  <si>
    <t>W16X31</t>
  </si>
  <si>
    <t>26' - 8 3/8"</t>
  </si>
  <si>
    <t>W8X24</t>
  </si>
  <si>
    <t>6' - 8 7/16"</t>
  </si>
  <si>
    <t>7' - 0 15/32"</t>
  </si>
  <si>
    <t>6' - 8 19/32"</t>
  </si>
  <si>
    <t>W16X26</t>
  </si>
  <si>
    <t>25' - 4 13/16"</t>
  </si>
  <si>
    <t>23' - 7 7/32"</t>
  </si>
  <si>
    <t>37' - 7 13/16"</t>
  </si>
  <si>
    <t>26' - 1 3/16"</t>
  </si>
  <si>
    <t>23' - 7 17/32"</t>
  </si>
  <si>
    <t>25' - 10 3/8"</t>
  </si>
  <si>
    <t>26' - 3 1/32"</t>
  </si>
  <si>
    <t>36' - 2 17/32"</t>
  </si>
  <si>
    <t>26' - 0"</t>
  </si>
  <si>
    <t>27' - 2 11/32"</t>
  </si>
  <si>
    <t>8' - 11 17/32"</t>
  </si>
  <si>
    <t>8' - 5 19/32"</t>
  </si>
  <si>
    <t>8' - 4 5/8"</t>
  </si>
  <si>
    <t>8' - 6 9/16"</t>
  </si>
  <si>
    <t>26' - 1 3/4"</t>
  </si>
  <si>
    <t>34' - 0 5/32"</t>
  </si>
  <si>
    <t>20' - 1 1/8"</t>
  </si>
  <si>
    <t>28' - 5 3/32"</t>
  </si>
  <si>
    <t>7' - 2 1/16"</t>
  </si>
  <si>
    <t>8' - 7 27/32"</t>
  </si>
  <si>
    <t>W18X55</t>
  </si>
  <si>
    <t>24' - 6 3/8"</t>
  </si>
  <si>
    <t>25' - 9 9/32"</t>
  </si>
  <si>
    <t>10' - 3 3/16"</t>
  </si>
  <si>
    <t>C6X8.2</t>
  </si>
  <si>
    <t>2' - 4 27/32"</t>
  </si>
  <si>
    <t>24' - 7 1/2"</t>
  </si>
  <si>
    <t>16' - 3 3/16"</t>
  </si>
  <si>
    <t>W14X30</t>
  </si>
  <si>
    <t>16' - 11 3/16"</t>
  </si>
  <si>
    <t>5' - 8 1/16"</t>
  </si>
  <si>
    <t>15' - 10 7/8"</t>
  </si>
  <si>
    <t>18' - 6 23/32"</t>
  </si>
  <si>
    <t>7' - 8 15/32"</t>
  </si>
  <si>
    <t>24' - 11 27/32"</t>
  </si>
  <si>
    <t>8' - 6 13/32"</t>
  </si>
  <si>
    <t>5' - 8 15/32"</t>
  </si>
  <si>
    <t>8' - 6 19/32"</t>
  </si>
  <si>
    <t>23' - 5 9/32"</t>
  </si>
  <si>
    <t>HSS14X10X3/8</t>
  </si>
  <si>
    <t>8' - 2 13/32"</t>
  </si>
  <si>
    <t>26' - 7 3/16"</t>
  </si>
  <si>
    <t>19' - 8 15/16"</t>
  </si>
  <si>
    <t>18' - 9 9/32"</t>
  </si>
  <si>
    <t>30' - 11 29/32"</t>
  </si>
  <si>
    <t>25' - 7 29/32"</t>
  </si>
  <si>
    <t>23' - 8 5/16"</t>
  </si>
  <si>
    <t>23' - 9 3/32"</t>
  </si>
  <si>
    <t>24' - 1 11/32"</t>
  </si>
  <si>
    <t>14' - 8 5/16"</t>
  </si>
  <si>
    <t>34' - 1 9/16"</t>
  </si>
  <si>
    <t>24' - 2 1/16"</t>
  </si>
  <si>
    <t>7' - 6 1/4"</t>
  </si>
  <si>
    <t>10' - 9 9/16"</t>
  </si>
  <si>
    <t>25' - 10 1/16"</t>
  </si>
  <si>
    <t>37' - 1 27/32"</t>
  </si>
  <si>
    <t>23' - 3 21/32"</t>
  </si>
  <si>
    <t>7' - 11 25/32"</t>
  </si>
  <si>
    <t>1' - 11 15/32"</t>
  </si>
  <si>
    <t>11' - 5 1/8"</t>
  </si>
  <si>
    <t>29' - 1 1/16"</t>
  </si>
  <si>
    <t>8' - 8 25/32"</t>
  </si>
  <si>
    <t>29' - 0 5/16"</t>
  </si>
  <si>
    <t>28' - 9 9/32"</t>
  </si>
  <si>
    <t>W16X50</t>
  </si>
  <si>
    <t>29' - 9 3/32"</t>
  </si>
  <si>
    <t>5' - 3 1/32"</t>
  </si>
  <si>
    <t>24' - 5 3/32"</t>
  </si>
  <si>
    <t>28' - 1 7/16"</t>
  </si>
  <si>
    <t>27' - 4 15/32"</t>
  </si>
  <si>
    <t>29' - 3 3/16"</t>
  </si>
  <si>
    <t>28' - 8 5/16"</t>
  </si>
  <si>
    <t>1' - 10 13/32"</t>
  </si>
  <si>
    <t>25' - 10 11/16"</t>
  </si>
  <si>
    <t>7' - 8 3/8"</t>
  </si>
  <si>
    <t>19' - 2 1/16"</t>
  </si>
  <si>
    <t>18' - 10 7/8"</t>
  </si>
  <si>
    <t>W16X36</t>
  </si>
  <si>
    <t>29' - 2 7/32"</t>
  </si>
  <si>
    <t>W14X26</t>
  </si>
  <si>
    <t>26' - 3 13/16"</t>
  </si>
  <si>
    <t>4' - 0 15/16"</t>
  </si>
  <si>
    <t>26' - 2 1/16"</t>
  </si>
  <si>
    <t>24' - 3 1/32"</t>
  </si>
  <si>
    <t>7' - 7 3/4"</t>
  </si>
  <si>
    <t>7' - 7 17/32"</t>
  </si>
  <si>
    <t>31' - 8 15/16"</t>
  </si>
  <si>
    <t>24' - 7 3/16"</t>
  </si>
  <si>
    <t>10' - 9 1/8"</t>
  </si>
  <si>
    <t>7' - 6 9/16"</t>
  </si>
  <si>
    <t>30' - 3 3/16"</t>
  </si>
  <si>
    <t>25' - 3 3/16"</t>
  </si>
  <si>
    <t>1' - 9 3/4"</t>
  </si>
  <si>
    <t>26' - 2 7/32"</t>
  </si>
  <si>
    <t>W16X40</t>
  </si>
  <si>
    <t>26' - 11 3/16"</t>
  </si>
  <si>
    <t>26' - 1 19/32"</t>
  </si>
  <si>
    <t>26' - 1 9/32"</t>
  </si>
  <si>
    <t>7' - 4 15/32"</t>
  </si>
  <si>
    <t>22' - 11 3/16"</t>
  </si>
  <si>
    <t>22' - 1 9/32"</t>
  </si>
  <si>
    <t>22' - 1 1/8"</t>
  </si>
  <si>
    <t>L4X4X1/4</t>
  </si>
  <si>
    <t>78' - 3 21/32"</t>
  </si>
  <si>
    <t>W16X45</t>
  </si>
  <si>
    <t>26' - 3 3/16"</t>
  </si>
  <si>
    <t>25' - 11 3/16"</t>
  </si>
  <si>
    <t>30' - 8 5/32"</t>
  </si>
  <si>
    <t>24' - 4 5/32"</t>
  </si>
  <si>
    <t>4' - 1 1/32"</t>
  </si>
  <si>
    <t>6' - 3 27/32"</t>
  </si>
  <si>
    <t>6' - 5 29/32"</t>
  </si>
  <si>
    <t>6' - 4 5/8"</t>
  </si>
  <si>
    <t>7' - 4 5/16"</t>
  </si>
  <si>
    <t>7' - 11 3/16"</t>
  </si>
  <si>
    <t>2' - 2 25/32"</t>
  </si>
  <si>
    <t>27' - 2 9/16"</t>
  </si>
  <si>
    <t>25' - 3 27/32"</t>
  </si>
  <si>
    <t>25' - 1 3/32"</t>
  </si>
  <si>
    <t>32' - 1 3/4"</t>
  </si>
  <si>
    <t>19' - 3 3/16"</t>
  </si>
  <si>
    <t>6' - 1 29/32"</t>
  </si>
  <si>
    <t>21' - 1 9/32"</t>
  </si>
  <si>
    <t>21' - 1 1/8"</t>
  </si>
  <si>
    <t>21' - 0 15/32"</t>
  </si>
  <si>
    <t>21' - 4 5/8"</t>
  </si>
  <si>
    <t>21' - 5 9/32"</t>
  </si>
  <si>
    <t>HSS8X6X3/8</t>
  </si>
  <si>
    <t>11' - 6 1/16"</t>
  </si>
  <si>
    <t>27' - 9 3/4"</t>
  </si>
  <si>
    <t>24' - 0 15/32"</t>
  </si>
  <si>
    <t>32' - 9 7/16"</t>
  </si>
  <si>
    <t>2' - 9 29/32"</t>
  </si>
  <si>
    <t>6' - 1 9/32"</t>
  </si>
  <si>
    <t>5' - 7 17/32"</t>
  </si>
  <si>
    <t>7' - 2 7/8"</t>
  </si>
  <si>
    <t>7' - 4 5/32"</t>
  </si>
  <si>
    <t>W16X57</t>
  </si>
  <si>
    <t>32' - 0 15/16"</t>
  </si>
  <si>
    <t>25' - 3 21/32"</t>
  </si>
  <si>
    <t>2' - 6 7/8"</t>
  </si>
  <si>
    <t>13' - 1 19/32"</t>
  </si>
  <si>
    <t>W21X55</t>
  </si>
  <si>
    <t>25' - 9 3/32"</t>
  </si>
  <si>
    <t>28' - 1 3/32"</t>
  </si>
  <si>
    <t>22' - 0 5/32"</t>
  </si>
  <si>
    <t>32' - 8 5/32"</t>
  </si>
  <si>
    <t>8' - 0 5/32"</t>
  </si>
  <si>
    <t>22' - 9 1/8"</t>
  </si>
  <si>
    <t>33' - 5 3/32"</t>
  </si>
  <si>
    <t>8' - 2 1/4"</t>
  </si>
  <si>
    <t>23' - 10 1/16"</t>
  </si>
  <si>
    <t>23' - 0 5/32"</t>
  </si>
  <si>
    <t>23' - 1 7/16"</t>
  </si>
  <si>
    <t>23' - 1 1/8"</t>
  </si>
  <si>
    <t>4' - 10 1/4"</t>
  </si>
  <si>
    <t>28' - 0 5/32"</t>
  </si>
  <si>
    <t>21' - 11 3/16"</t>
  </si>
  <si>
    <t>24' - 4 5/16"</t>
  </si>
  <si>
    <t>S-112B</t>
  </si>
  <si>
    <t>42' - 11 13/16"</t>
  </si>
  <si>
    <t>17' - 1 1/8"</t>
  </si>
  <si>
    <t>6' - 0"</t>
  </si>
  <si>
    <t>5' - 6 7/8"</t>
  </si>
  <si>
    <t>18' - 10 9/16"</t>
  </si>
  <si>
    <t>10' - 4"</t>
  </si>
  <si>
    <t>16' - 7 1/32"</t>
  </si>
  <si>
    <t>34' - 9 3/32"</t>
  </si>
  <si>
    <t>22' - 11 11/32"</t>
  </si>
  <si>
    <t>27' - 1 9/32"</t>
  </si>
  <si>
    <t>W12X26</t>
  </si>
  <si>
    <t>11' - 4 27/32"</t>
  </si>
  <si>
    <t>HSS16X4X1/2</t>
  </si>
  <si>
    <t>33' - 5 1/16"</t>
  </si>
  <si>
    <t>11' - 2 23/32"</t>
  </si>
  <si>
    <t>38' - 8 15/32"</t>
  </si>
  <si>
    <t>16' - 9 1/8"</t>
  </si>
  <si>
    <t>10' - 1 29/32"</t>
  </si>
  <si>
    <t>17' - 0 5/16"</t>
  </si>
  <si>
    <t>HSS16X8X3/8</t>
  </si>
  <si>
    <t>17' - 9 15/16"</t>
  </si>
  <si>
    <t>10' - 0"</t>
  </si>
  <si>
    <t>35' - 0 5/8"</t>
  </si>
  <si>
    <t>3' - 11 11/32"</t>
  </si>
  <si>
    <t>36' - 7 13/16"</t>
  </si>
  <si>
    <t>15' - 2 13/32"</t>
  </si>
  <si>
    <t>W21X62</t>
  </si>
  <si>
    <t>29' - 5 3/32"</t>
  </si>
  <si>
    <t>W24X62</t>
  </si>
  <si>
    <t>15' - 0 5/16"</t>
  </si>
  <si>
    <t>14' - 5 29/32"</t>
  </si>
  <si>
    <t>38' - 2 17/32"</t>
  </si>
  <si>
    <t>19' - 3 11/32"</t>
  </si>
  <si>
    <t>13' - 5 7/16"</t>
  </si>
  <si>
    <t>11' - 8 5/32"</t>
  </si>
  <si>
    <t>43' - 3 1/2"</t>
  </si>
  <si>
    <t>L4X3-1/2X3/8</t>
  </si>
  <si>
    <t>25' - 7 3/16"</t>
  </si>
  <si>
    <t>HSS6X6X3/8</t>
  </si>
  <si>
    <t>29' - 1 9/32"</t>
  </si>
  <si>
    <t>HSS12X6X1/2</t>
  </si>
  <si>
    <t>39' - 9 3/32"</t>
  </si>
  <si>
    <t>12' - 5 1/8"</t>
  </si>
  <si>
    <t>29' - 11 3/16"</t>
  </si>
  <si>
    <t>W24X55</t>
  </si>
  <si>
    <t>29' - 5 29/32"</t>
  </si>
  <si>
    <t>11' - 1 7/16"</t>
  </si>
  <si>
    <t>11' - 7 3/16"</t>
  </si>
  <si>
    <t>31' - 7 11/32"</t>
  </si>
  <si>
    <t>16' - 1 9/32"</t>
  </si>
  <si>
    <t>C8X11.5</t>
  </si>
  <si>
    <t>7' - 7 3/16"</t>
  </si>
  <si>
    <t>8' - 9 3/4"</t>
  </si>
  <si>
    <t>9' - 0"</t>
  </si>
  <si>
    <t>9' - 7 1/32"</t>
  </si>
  <si>
    <t>9' - 0 5/32"</t>
  </si>
  <si>
    <t>28' - 9 19/32"</t>
  </si>
  <si>
    <t>16' - 11 27/32"</t>
  </si>
  <si>
    <t>16' - 1 3/4"</t>
  </si>
  <si>
    <t>34' - 3 3/16"</t>
  </si>
  <si>
    <t>3' - 8 21/32"</t>
  </si>
  <si>
    <t>8' - 10 23/32"</t>
  </si>
  <si>
    <t>25' - 8 15/32"</t>
  </si>
  <si>
    <t>19' - 10 7/32"</t>
  </si>
  <si>
    <t>W27X84</t>
  </si>
  <si>
    <t>34' - 10 1/16"</t>
  </si>
  <si>
    <t>W27X94</t>
  </si>
  <si>
    <t>W24X94</t>
  </si>
  <si>
    <t>37' - 8 19/32"</t>
  </si>
  <si>
    <t>22' - 1 5/16"</t>
  </si>
  <si>
    <t>23' - 7 1/2"</t>
  </si>
  <si>
    <t>23' - 6 23/32"</t>
  </si>
  <si>
    <t>8' - 0 7/16"</t>
  </si>
  <si>
    <t>20' - 0 23/32"</t>
  </si>
  <si>
    <t>38' - 11 3/16"</t>
  </si>
  <si>
    <t>26' - 5 9/32"</t>
  </si>
  <si>
    <t>20' - 2 5/8"</t>
  </si>
  <si>
    <t>38' - 11 1/32"</t>
  </si>
  <si>
    <t>11' - 8"</t>
  </si>
  <si>
    <t>14' - 4 5/32"</t>
  </si>
  <si>
    <t>7' - 3 7/8"</t>
  </si>
  <si>
    <t>7' - 0 13/16"</t>
  </si>
  <si>
    <t>8' - 5 7/16"</t>
  </si>
  <si>
    <t>8' - 11 3/16"</t>
  </si>
  <si>
    <t>9' - 6 1/16"</t>
  </si>
  <si>
    <t>37' - 2 3/8"</t>
  </si>
  <si>
    <t>17' - 0 5/32"</t>
  </si>
  <si>
    <t>25' - 3 7/32"</t>
  </si>
  <si>
    <t>25' - 5 9/32"</t>
  </si>
  <si>
    <t>27' - 5 7/16"</t>
  </si>
  <si>
    <t>38' - 6 1/16"</t>
  </si>
  <si>
    <t>39' - 5 3/32"</t>
  </si>
  <si>
    <t>39' - 0 17/32"</t>
  </si>
  <si>
    <t>39' - 4 5/32"</t>
  </si>
  <si>
    <t>12' - 1 1/8"</t>
  </si>
  <si>
    <t>29' - 8 5/32"</t>
  </si>
  <si>
    <t>40' - 2 3/32"</t>
  </si>
  <si>
    <t>13' - 0 15/32"</t>
  </si>
  <si>
    <t>8' - 0 25/32"</t>
  </si>
  <si>
    <t>7' - 5 9/32"</t>
  </si>
  <si>
    <t>29' - 7 3/32"</t>
  </si>
  <si>
    <t>40' - 6 5/16"</t>
  </si>
  <si>
    <t>13' - 7 11/16"</t>
  </si>
  <si>
    <t>29' - 6 1/2"</t>
  </si>
  <si>
    <t>40' - 10 13/16"</t>
  </si>
  <si>
    <t>13' - 9 3/4"</t>
  </si>
  <si>
    <t>7' - 11 5/8"</t>
  </si>
  <si>
    <t>40' - 5 5/32"</t>
  </si>
  <si>
    <t>15' - 0 15/32"</t>
  </si>
  <si>
    <t>41' - 3 3/16"</t>
  </si>
  <si>
    <t>16' - 2 1/16"</t>
  </si>
  <si>
    <t>W21X73</t>
  </si>
  <si>
    <t>30' - 11 1/4"</t>
  </si>
  <si>
    <t>30' - 10 1/8"</t>
  </si>
  <si>
    <t>16' - 11 11/16"</t>
  </si>
  <si>
    <t>18' - 8 5/16"</t>
  </si>
  <si>
    <t>27' - 5 9/32"</t>
  </si>
  <si>
    <t>20' - 0 5/32"</t>
  </si>
  <si>
    <t>25' - 9 1/32"</t>
  </si>
  <si>
    <t>20' - 10 7/8"</t>
  </si>
  <si>
    <t>25' - 7 1/4"</t>
  </si>
  <si>
    <t>8' - 10 7/16"</t>
  </si>
  <si>
    <t>22' - 3 11/32"</t>
  </si>
  <si>
    <t>8' - 10 19/32"</t>
  </si>
  <si>
    <t>6' - 10 13/32"</t>
  </si>
  <si>
    <t>W21X68</t>
  </si>
  <si>
    <t>40' - 6 9/32"</t>
  </si>
  <si>
    <t>22' - 10 23/32"</t>
  </si>
  <si>
    <t>27' - 9 9/32"</t>
  </si>
  <si>
    <t>22' - 4 25/32"</t>
  </si>
  <si>
    <t>4' - 8 15/32"</t>
  </si>
  <si>
    <t>9' - 6 9/16"</t>
  </si>
  <si>
    <t>22' - 7 3/4"</t>
  </si>
  <si>
    <t>10' - 0 31/32"</t>
  </si>
  <si>
    <t>18' - 11 5/8"</t>
  </si>
  <si>
    <t>46' - 6 17/32"</t>
  </si>
  <si>
    <t>S-113A</t>
  </si>
  <si>
    <t>9' - 8"</t>
  </si>
  <si>
    <t>L4X3X5/16</t>
  </si>
  <si>
    <t>2' - 3 21/32"</t>
  </si>
  <si>
    <t>27' - 5 7/8"</t>
  </si>
  <si>
    <t>6' - 6 9/16"</t>
  </si>
  <si>
    <t>7' - 0 5/8"</t>
  </si>
  <si>
    <t>28' - 3 11/32"</t>
  </si>
  <si>
    <t>9' - 1 7/32"</t>
  </si>
  <si>
    <t>21' - 10 5/32"</t>
  </si>
  <si>
    <t>14' - 6"</t>
  </si>
  <si>
    <t>8' - 6 3/32"</t>
  </si>
  <si>
    <t>3' - 4 3/32"</t>
  </si>
  <si>
    <t>8' - 5 9/32"</t>
  </si>
  <si>
    <t>8' - 6 1/4"</t>
  </si>
  <si>
    <t>56' - 0 15/16"</t>
  </si>
  <si>
    <t>8' - 8 21/32"</t>
  </si>
  <si>
    <t>8' - 8 3/8"</t>
  </si>
  <si>
    <t>8' - 9 1/4"</t>
  </si>
  <si>
    <t>9' - 1 7/16"</t>
  </si>
  <si>
    <t>9' - 0 5/16"</t>
  </si>
  <si>
    <t>3' - 9 25/32"</t>
  </si>
  <si>
    <t>25' - 8 9/16"</t>
  </si>
  <si>
    <t>35' - 10 1/2"</t>
  </si>
  <si>
    <t>34' - 3 19/32"</t>
  </si>
  <si>
    <t>63' - 6 27/32"</t>
  </si>
  <si>
    <t>72' - 6 3/4"</t>
  </si>
  <si>
    <t>32' - 0 23/32"</t>
  </si>
  <si>
    <t>27' - 11 1/32"</t>
  </si>
  <si>
    <t>30' - 5 5/32"</t>
  </si>
  <si>
    <t>9' - 6 23/32"</t>
  </si>
  <si>
    <t>4' - 1 3/16"</t>
  </si>
  <si>
    <t>8' - 7 17/32"</t>
  </si>
  <si>
    <t>56' - 7 29/32"</t>
  </si>
  <si>
    <t>28' - 3 27/32"</t>
  </si>
  <si>
    <t>27' - 3 1/32"</t>
  </si>
  <si>
    <t>26' - 8 5/32"</t>
  </si>
  <si>
    <t>WT7X19</t>
  </si>
  <si>
    <t>19' - 6 1/16"</t>
  </si>
  <si>
    <t>38' - 11 31/32"</t>
  </si>
  <si>
    <t>25' - 4 7/8"</t>
  </si>
  <si>
    <t>8' - 10 21/32"</t>
  </si>
  <si>
    <t>26' - 1 7/32"</t>
  </si>
  <si>
    <t>23' - 7 3/8"</t>
  </si>
  <si>
    <t>26' - 2 7/8"</t>
  </si>
  <si>
    <t>17' - 8 25/32"</t>
  </si>
  <si>
    <t>49' - 7 3/8"</t>
  </si>
  <si>
    <t>3' - 8 11/16"</t>
  </si>
  <si>
    <t>8' - 10 13/32"</t>
  </si>
  <si>
    <t>24' - 6 3/16"</t>
  </si>
  <si>
    <t>25' - 5 7/16"</t>
  </si>
  <si>
    <t>14' - 3 3/16"</t>
  </si>
  <si>
    <t>33' - 7 1/2"</t>
  </si>
  <si>
    <t>7' - 3 5/32"</t>
  </si>
  <si>
    <t>L5X5X1/2</t>
  </si>
  <si>
    <t>9' - 9 21/32"</t>
  </si>
  <si>
    <t>6' - 6 1/2"</t>
  </si>
  <si>
    <t>9' - 10 1/4"</t>
  </si>
  <si>
    <t>27' - 4 5/32"</t>
  </si>
  <si>
    <t>18' - 9 1/8"</t>
  </si>
  <si>
    <t>16' - 10 7/32"</t>
  </si>
  <si>
    <t>30' - 11 7/8"</t>
  </si>
  <si>
    <t>25' - 7 3/4"</t>
  </si>
  <si>
    <t>23' - 9 9/32"</t>
  </si>
  <si>
    <t>15' - 3 11/32"</t>
  </si>
  <si>
    <t>34' - 1 17/32"</t>
  </si>
  <si>
    <t>8' - 2 23/32"</t>
  </si>
  <si>
    <t>9' - 10 3/4"</t>
  </si>
  <si>
    <t>10' - 9 5/8"</t>
  </si>
  <si>
    <t>36' - 6 25/32"</t>
  </si>
  <si>
    <t>38' - 8 5/32"</t>
  </si>
  <si>
    <t>28' - 9 3/32"</t>
  </si>
  <si>
    <t>24' - 5 9/32"</t>
  </si>
  <si>
    <t>28' - 0 11/32"</t>
  </si>
  <si>
    <t>38' - 8 13/32"</t>
  </si>
  <si>
    <t>37' - 4 7/16"</t>
  </si>
  <si>
    <t>38' - 9 1/4"</t>
  </si>
  <si>
    <t>26' - 1 3/32"</t>
  </si>
  <si>
    <t>37' - 3 3/16"</t>
  </si>
  <si>
    <t>8' - 1 1/8"</t>
  </si>
  <si>
    <t>6' - 7 27/32"</t>
  </si>
  <si>
    <t>6' - 10 23/32"</t>
  </si>
  <si>
    <t>7' - 1 7/16"</t>
  </si>
  <si>
    <t>25' - 3 3/8"</t>
  </si>
  <si>
    <t>38' - 6 21/32"</t>
  </si>
  <si>
    <t>32' - 1 3/32"</t>
  </si>
  <si>
    <t>18' - 5 9/32"</t>
  </si>
  <si>
    <t>L6X4X5/16</t>
  </si>
  <si>
    <t>39' - 2 3/16"</t>
  </si>
  <si>
    <t>25' - 3 7/8"</t>
  </si>
  <si>
    <t>32' - 9 3/32"</t>
  </si>
  <si>
    <t>6' - 7 11/16"</t>
  </si>
  <si>
    <t>6' - 9 7/16"</t>
  </si>
  <si>
    <t>6' - 10 1/4"</t>
  </si>
  <si>
    <t>7' - 3 23/32"</t>
  </si>
  <si>
    <t>24' - 6 9/16"</t>
  </si>
  <si>
    <t>31' - 0 31/32"</t>
  </si>
  <si>
    <t>23' - 0 5/16"</t>
  </si>
  <si>
    <t>23' - 8 15/16"</t>
  </si>
  <si>
    <t>23' - 0"</t>
  </si>
  <si>
    <t>23' - 1 9/32"</t>
  </si>
  <si>
    <t>31' - 0 23/32"</t>
  </si>
  <si>
    <t>8' - 8"</t>
  </si>
  <si>
    <t>8' - 2 7/8"</t>
  </si>
  <si>
    <t>7' - 11 1/32"</t>
  </si>
  <si>
    <t>7' - 3 11/32"</t>
  </si>
  <si>
    <t>30' - 7 21/32"</t>
  </si>
  <si>
    <t>S-113B</t>
  </si>
  <si>
    <t>25' - 8 1/2"</t>
  </si>
  <si>
    <t>3' - 1 23/32"</t>
  </si>
  <si>
    <t>28' - 8"</t>
  </si>
  <si>
    <t>23' - 2 13/32"</t>
  </si>
  <si>
    <t>8' - 11 7/8"</t>
  </si>
  <si>
    <t>12' - 2 1/16"</t>
  </si>
  <si>
    <t>12' - 6 9/32"</t>
  </si>
  <si>
    <t>4' - 3 3/16"</t>
  </si>
  <si>
    <t>9' - 0 3/32"</t>
  </si>
  <si>
    <t>11' - 11 3/16"</t>
  </si>
  <si>
    <t>21' - 11 21/32"</t>
  </si>
  <si>
    <t>16' - 7 11/16"</t>
  </si>
  <si>
    <t>8' - 8 5/8"</t>
  </si>
  <si>
    <t>21' - 5 3/4"</t>
  </si>
  <si>
    <t>28' - 5 3/4"</t>
  </si>
  <si>
    <t>29' - 2 3/8"</t>
  </si>
  <si>
    <t>12' - 9 1/8"</t>
  </si>
  <si>
    <t>23' - 7 11/32"</t>
  </si>
  <si>
    <t>7' - 9 1/32"</t>
  </si>
  <si>
    <t>29' - 4 7/8"</t>
  </si>
  <si>
    <t>7' - 10 1/2"</t>
  </si>
  <si>
    <t>7' - 11 15/16"</t>
  </si>
  <si>
    <t>9' - 2 7/8"</t>
  </si>
  <si>
    <t>9' - 2 23/32"</t>
  </si>
  <si>
    <t>3' - 1 11/16"</t>
  </si>
  <si>
    <t>19' - 4 25/32"</t>
  </si>
  <si>
    <t>31' - 5 7/8"</t>
  </si>
  <si>
    <t>24' - 3 13/16"</t>
  </si>
  <si>
    <t>HSS20X12X1/2</t>
  </si>
  <si>
    <t>39' - 7 5/8"</t>
  </si>
  <si>
    <t>38' - 6 3/8"</t>
  </si>
  <si>
    <t>20' - 6 9/32"</t>
  </si>
  <si>
    <t>8' - 2 3/8"</t>
  </si>
  <si>
    <t>7' - 2 9/16"</t>
  </si>
  <si>
    <t>8' - 4 25/32"</t>
  </si>
  <si>
    <t>7' - 5 5/8"</t>
  </si>
  <si>
    <t>14' - 2 13/32"</t>
  </si>
  <si>
    <t>2' - 6 11/16"</t>
  </si>
  <si>
    <t>8' - 7 3/8"</t>
  </si>
  <si>
    <t>2' - 3"</t>
  </si>
  <si>
    <t>4' - 5 9/32"</t>
  </si>
  <si>
    <t>39' - 9 1/4"</t>
  </si>
  <si>
    <t>34' - 3 7/16"</t>
  </si>
  <si>
    <t>1' - 7 23/32"</t>
  </si>
  <si>
    <t>12' - 1 9/32"</t>
  </si>
  <si>
    <t>13' - 3 3/16"</t>
  </si>
  <si>
    <t>3' - 2 13/32"</t>
  </si>
  <si>
    <t>28' - 10 3/8"</t>
  </si>
  <si>
    <t>29' - 10 7/32"</t>
  </si>
  <si>
    <t>29' - 10 23/32"</t>
  </si>
  <si>
    <t>31' - 9 1/4"</t>
  </si>
  <si>
    <t>14' - 9 9/32"</t>
  </si>
  <si>
    <t>15' - 1 9/32"</t>
  </si>
  <si>
    <t>15' - 6 7/32"</t>
  </si>
  <si>
    <t>45' - 0 15/16"</t>
  </si>
  <si>
    <t>21' - 10 7/32"</t>
  </si>
  <si>
    <t>16' - 0 5/32"</t>
  </si>
  <si>
    <t>13' - 2 7/32"</t>
  </si>
  <si>
    <t>43' - 7 1/2"</t>
  </si>
  <si>
    <t>22' - 9 9/32"</t>
  </si>
  <si>
    <t>3' - 3 1/32"</t>
  </si>
  <si>
    <t>5' - 10 1/16"</t>
  </si>
  <si>
    <t>28' - 7 3/16"</t>
  </si>
  <si>
    <t>30' - 1 3/32"</t>
  </si>
  <si>
    <t>28' - 0 25/32"</t>
  </si>
  <si>
    <t>28' - 6 3/8"</t>
  </si>
  <si>
    <t>8' - 8 5/32"</t>
  </si>
  <si>
    <t>6' - 11 3/16"</t>
  </si>
  <si>
    <t>43' - 11 31/32"</t>
  </si>
  <si>
    <t>33' - 10 3/8"</t>
  </si>
  <si>
    <t>5' - 4 5/16"</t>
  </si>
  <si>
    <t>23' - 6 7/32"</t>
  </si>
  <si>
    <t>30' - 9 3/32"</t>
  </si>
  <si>
    <t>7' - 5 1/8"</t>
  </si>
  <si>
    <t>22' - 11 21/32"</t>
  </si>
  <si>
    <t>3' - 6 5/16"</t>
  </si>
  <si>
    <t>5' - 4 5/32"</t>
  </si>
  <si>
    <t>29' - 4 15/32"</t>
  </si>
  <si>
    <t>16' - 10 13/32"</t>
  </si>
  <si>
    <t>50' - 6 1/16"</t>
  </si>
  <si>
    <t>22' - 3 3/16"</t>
  </si>
  <si>
    <t>2' - 10 1/16"</t>
  </si>
  <si>
    <t>27' - 0 11/32"</t>
  </si>
  <si>
    <t>36' - 7 3/16"</t>
  </si>
  <si>
    <t>16' - 5 19/32"</t>
  </si>
  <si>
    <t>40' - 9 19/32"</t>
  </si>
  <si>
    <t>17' - 3 3/16"</t>
  </si>
  <si>
    <t>34' - 11 3/16"</t>
  </si>
  <si>
    <t>33' - 9 29/32"</t>
  </si>
  <si>
    <t>14' - 10 3/16"</t>
  </si>
  <si>
    <t>23' - 8"</t>
  </si>
  <si>
    <t>8' - 2 11/16"</t>
  </si>
  <si>
    <t>10' - 5 29/32"</t>
  </si>
  <si>
    <t>5' - 11 27/32"</t>
  </si>
  <si>
    <t>W21X48</t>
  </si>
  <si>
    <t>25' - 11 1/2"</t>
  </si>
  <si>
    <t>9' - 3 21/32"</t>
  </si>
  <si>
    <t>W24X84</t>
  </si>
  <si>
    <t>47' - 11 31/32"</t>
  </si>
  <si>
    <t>38' - 0 17/32"</t>
  </si>
  <si>
    <t>3' - 2 13/16"</t>
  </si>
  <si>
    <t>7' - 10 7/16"</t>
  </si>
  <si>
    <t>8' - 3 1/32"</t>
  </si>
  <si>
    <t>8' - 0 19/32"</t>
  </si>
  <si>
    <t>W21X93</t>
  </si>
  <si>
    <t>8' - 3 17/32"</t>
  </si>
  <si>
    <t>9' - 5 9/32"</t>
  </si>
  <si>
    <t>18' - 8 15/32"</t>
  </si>
  <si>
    <t>42' - 1"</t>
  </si>
  <si>
    <t>46' - 11 31/32"</t>
  </si>
  <si>
    <t>8' - 9 9/32"</t>
  </si>
  <si>
    <t>6' - 2 5/8"</t>
  </si>
  <si>
    <t>6' - 7 3/16"</t>
  </si>
  <si>
    <t>9' - 8 1/8"</t>
  </si>
  <si>
    <t>26' - 1 7/8"</t>
  </si>
  <si>
    <t>7' - 7 7/16"</t>
  </si>
  <si>
    <t>4' - 4 1/2"</t>
  </si>
  <si>
    <t>5' - 9 3/8"</t>
  </si>
  <si>
    <t>8' - 4"</t>
  </si>
  <si>
    <t>8' - 0 15/16"</t>
  </si>
  <si>
    <t>22' - 8 3/8"</t>
  </si>
  <si>
    <t>26' - 1 23/32"</t>
  </si>
  <si>
    <t>38' - 10 17/32"</t>
  </si>
  <si>
    <t>3' - 6"</t>
  </si>
  <si>
    <t>S-601</t>
  </si>
  <si>
    <t>11' - 0 21/32"</t>
  </si>
  <si>
    <t>31' - 10 21/32"</t>
  </si>
  <si>
    <t>33' - 7 17/32"</t>
  </si>
  <si>
    <t>L4X4X3/8</t>
  </si>
  <si>
    <t>11' - 6 31/32"</t>
  </si>
  <si>
    <t>11' - 2 3/4"</t>
  </si>
  <si>
    <t>11' - 1 3/4"</t>
  </si>
  <si>
    <t>StructuralBracingSchedule</t>
  </si>
  <si>
    <t>S-402</t>
  </si>
  <si>
    <t>19' - 10 29/32"</t>
  </si>
  <si>
    <t>Bracing</t>
  </si>
  <si>
    <t>19' - 9 15/16"</t>
  </si>
  <si>
    <t>HSS6X6X5/8</t>
  </si>
  <si>
    <t>19' - 11 9/16"</t>
  </si>
  <si>
    <t>HSS6X6X1/2</t>
  </si>
  <si>
    <t>17' - 4 25/32"</t>
  </si>
  <si>
    <t>32' - 8 9/16"</t>
  </si>
  <si>
    <t>19' - 10 27/32"</t>
  </si>
  <si>
    <t>19' - 8 13/16"</t>
  </si>
  <si>
    <t>19' - 11 23/32"</t>
  </si>
  <si>
    <t>21' - 7 7/8"</t>
  </si>
  <si>
    <t>30' - 11 15/16"</t>
  </si>
  <si>
    <t>18' - 0 11/32"</t>
  </si>
  <si>
    <t>18' - 2 13/32"</t>
  </si>
  <si>
    <t>29' - 7 1/32"</t>
  </si>
  <si>
    <t>29' - 9 13/32"</t>
  </si>
  <si>
    <t>18' - 1 7/16"</t>
  </si>
  <si>
    <t>18' - 1 7/8"</t>
  </si>
  <si>
    <t>26' - 10 3/16"</t>
  </si>
  <si>
    <t>26' - 2 5/32"</t>
  </si>
  <si>
    <t>HSS8X8X3/8</t>
  </si>
  <si>
    <t>29' - 7 11/32"</t>
  </si>
  <si>
    <t>29' - 6 13/32"</t>
  </si>
  <si>
    <t>18' - 1"</t>
  </si>
  <si>
    <t>18' - 1 7/32"</t>
  </si>
  <si>
    <t>S-403</t>
  </si>
  <si>
    <t>23' - 10 11/16"</t>
  </si>
  <si>
    <t>26' - 9 17/32"</t>
  </si>
  <si>
    <t>31' - 1 17/32"</t>
  </si>
  <si>
    <t>31' - 1 19/32"</t>
  </si>
  <si>
    <t>23' - 10 27/32"</t>
  </si>
  <si>
    <t>18' - 11 3/32"</t>
  </si>
  <si>
    <t>22' - 2 23/32"</t>
  </si>
  <si>
    <t>22' - 3 1/4"</t>
  </si>
  <si>
    <t>18' - 10 9/32"</t>
  </si>
  <si>
    <t>23' - 11 3/8"</t>
  </si>
  <si>
    <t>23' - 9 15/16"</t>
  </si>
  <si>
    <t>23' - 7 29/32"</t>
  </si>
  <si>
    <t>StructuralConnectionSchedule</t>
  </si>
  <si>
    <t>7 7/8"</t>
  </si>
  <si>
    <t>Connections</t>
  </si>
  <si>
    <t>1'-6"</t>
  </si>
  <si>
    <t>1'-3"</t>
  </si>
  <si>
    <t>1'-1"</t>
  </si>
  <si>
    <t>11"</t>
  </si>
  <si>
    <t>10 1/8"</t>
  </si>
  <si>
    <t>9"</t>
  </si>
  <si>
    <t>1'-9"</t>
  </si>
  <si>
    <t>2'-0"</t>
  </si>
  <si>
    <t>1'-0 1/8"</t>
  </si>
  <si>
    <t>11 7/8"</t>
  </si>
  <si>
    <t>19'-3 5/8"</t>
  </si>
  <si>
    <t>1'-3 7/8"</t>
  </si>
  <si>
    <t>BasePlateSchedule</t>
  </si>
  <si>
    <t>area</t>
  </si>
  <si>
    <t>Overall Weigth</t>
  </si>
  <si>
    <t>Thickness</t>
  </si>
  <si>
    <t>StructuralConnection_BasePlates</t>
  </si>
  <si>
    <t>0' - 0 1/2"</t>
  </si>
  <si>
    <t>0' - 0 3/4"</t>
  </si>
  <si>
    <t>0' - 1 1/4"</t>
  </si>
  <si>
    <t>0' - 1 1/2"</t>
  </si>
  <si>
    <t>0' - 1"</t>
  </si>
  <si>
    <t>StructuralPlateSchedule</t>
  </si>
  <si>
    <t>StructuralConnection_Plates</t>
  </si>
  <si>
    <t>0' - 3"</t>
  </si>
  <si>
    <t>Bracing Connection</t>
  </si>
  <si>
    <t>Grand total: 156</t>
  </si>
  <si>
    <t>PROJECT QUOTATION / INVOICE</t>
  </si>
  <si>
    <t>Thank you for the opportunity to provide this quotation. Please review the details below. All pricing and terms are valid for 14 days from the quote date unless otherwise noted.</t>
  </si>
  <si>
    <t>Quote Date:</t>
  </si>
  <si>
    <t>Valid Until:</t>
  </si>
  <si>
    <t>TOTAL AMOUNT DUE:</t>
  </si>
  <si>
    <t>We appreciate your business and look forward to collaborating on your next project._x000D_
Please don't hesitate to contact us with any questions.</t>
  </si>
  <si>
    <t>Quotation created by Estima3D • Professional Estimating Solutions</t>
  </si>
  <si>
    <t>Grand total: 130</t>
  </si>
  <si>
    <t>GPR</t>
  </si>
  <si>
    <t>Consumables</t>
  </si>
  <si>
    <t>PE Stamp</t>
  </si>
  <si>
    <t>ENG - DWG</t>
  </si>
  <si>
    <t>ENG - Field</t>
  </si>
  <si>
    <t>Fabrication</t>
  </si>
  <si>
    <t>Installation (3men)</t>
  </si>
  <si>
    <t>Installation (4men)</t>
  </si>
  <si>
    <t>Composite Clean-up</t>
  </si>
  <si>
    <t>Delivery</t>
  </si>
  <si>
    <t>Rental</t>
  </si>
  <si>
    <t>Crane</t>
  </si>
  <si>
    <t>Mobilization</t>
  </si>
  <si>
    <t>Compliance</t>
  </si>
  <si>
    <t>Per Ton</t>
  </si>
  <si>
    <t>TOTAL</t>
  </si>
  <si>
    <t>Column1</t>
  </si>
  <si>
    <t>Column2</t>
  </si>
  <si>
    <t>Column3</t>
  </si>
  <si>
    <t>Column4</t>
  </si>
  <si>
    <t>Column5</t>
  </si>
  <si>
    <t>Column6</t>
  </si>
  <si>
    <t>Subtotal</t>
  </si>
  <si>
    <t>Count</t>
  </si>
  <si>
    <t>Total Length</t>
  </si>
  <si>
    <t>Total Weight (tons)</t>
  </si>
  <si>
    <t>84'-0 1/0"</t>
  </si>
  <si>
    <t>14'-0 1/0"</t>
  </si>
  <si>
    <t>496'-7 1/0"</t>
  </si>
  <si>
    <t>1063'-1 1/0"</t>
  </si>
  <si>
    <t>110'-1 1/0"</t>
  </si>
  <si>
    <t>681'-4 1/0"</t>
  </si>
  <si>
    <t>496'-9 1/0"</t>
  </si>
  <si>
    <t>257'-8 1/0"</t>
  </si>
  <si>
    <t>29'-1 1/0"</t>
  </si>
  <si>
    <t>28'-9 1/0"</t>
  </si>
  <si>
    <t>27'-11 1/0"</t>
  </si>
  <si>
    <t>75'-4 1/0"</t>
  </si>
  <si>
    <t>29'-9 1/0"</t>
  </si>
  <si>
    <t>270'-9 1/0"</t>
  </si>
  <si>
    <t>2069'-4 1/0"</t>
  </si>
  <si>
    <t>1820'-2 1/0"</t>
  </si>
  <si>
    <t>1159'-1 1/0"</t>
  </si>
  <si>
    <t>319'-6 1/0"</t>
  </si>
  <si>
    <t>115'-2 1/0"</t>
  </si>
  <si>
    <t>269'-9 1/0"</t>
  </si>
  <si>
    <t>173'-5 1/0"</t>
  </si>
  <si>
    <t>1992'-3 1/0"</t>
  </si>
  <si>
    <t>173'-1 1/0"</t>
  </si>
  <si>
    <t>2282'-1 1/0"</t>
  </si>
  <si>
    <t>79'-4 1/0"</t>
  </si>
  <si>
    <t>634'-1 1/0"</t>
  </si>
  <si>
    <t>1005'-0 1/0"</t>
  </si>
  <si>
    <t>1364'-7 1/0"</t>
  </si>
  <si>
    <t>58'-9 1/0"</t>
  </si>
  <si>
    <t>382'-7 1/0"</t>
  </si>
  <si>
    <t>574'-0 1/0"</t>
  </si>
  <si>
    <t>169'-0 1/0"</t>
  </si>
  <si>
    <t>2181'-6 1/0"</t>
  </si>
  <si>
    <t>521'-3 1/0"</t>
  </si>
  <si>
    <t>146'-10 1/0"</t>
  </si>
  <si>
    <t>121'-9 1/0"</t>
  </si>
  <si>
    <t>190'-0 1/0"</t>
  </si>
  <si>
    <t>61'-6 1/0"</t>
  </si>
  <si>
    <t>313'-0 1/0"</t>
  </si>
  <si>
    <t>72'-1 1/0"</t>
  </si>
  <si>
    <t>26'-11 1/0"</t>
  </si>
  <si>
    <t>1023'-1 1/0"</t>
  </si>
  <si>
    <t>60'-4 1/0"</t>
  </si>
  <si>
    <t>43'-6 1/0"</t>
  </si>
  <si>
    <t>32'-0 1/0"</t>
  </si>
  <si>
    <t>244'-3 1/0"</t>
  </si>
  <si>
    <t>150'-3 1/0"</t>
  </si>
  <si>
    <t>68'-5 1/0"</t>
  </si>
  <si>
    <t>17'-9 1/0"</t>
  </si>
  <si>
    <t>154'-9 1/0"</t>
  </si>
  <si>
    <t>126'-0 1/0"</t>
  </si>
  <si>
    <t>25'-7 1/0"</t>
  </si>
  <si>
    <t>626'-2 1/0"</t>
  </si>
  <si>
    <t>160'-6 1/0"</t>
  </si>
  <si>
    <t>7'-7 1/0"</t>
  </si>
  <si>
    <t>34'-10 1/0"</t>
  </si>
  <si>
    <t>76'-7 1/0"</t>
  </si>
  <si>
    <t>60'-6 1/0"</t>
  </si>
  <si>
    <t>78'-2 1/0"</t>
  </si>
  <si>
    <t>212'-8 1/0"</t>
  </si>
  <si>
    <t>19'-6 1/0"</t>
  </si>
  <si>
    <t>242'-3 1/0"</t>
  </si>
  <si>
    <t>7'-4 1/0"</t>
  </si>
  <si>
    <t>39'-7 1/0"</t>
  </si>
  <si>
    <t>25'-11 1/0"</t>
  </si>
  <si>
    <t>156'-2 1/0"</t>
  </si>
  <si>
    <t>30'-11 1/0"</t>
  </si>
  <si>
    <t>11'-6 1/0"</t>
  </si>
  <si>
    <t>39'-11 1/0"</t>
  </si>
  <si>
    <t>116'-5 1/0"</t>
  </si>
  <si>
    <t>90'-3 1/0"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</si>
</sst>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0\ &quot;ton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rgb="FF00B0F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464646"/>
      <name val="Aptos Narrow"/>
      <family val="2"/>
      <scheme val="minor"/>
    </font>
    <font>
      <b/>
      <sz val="12"/>
      <color rgb="FF0066CC"/>
      <name val="Calibri Light"/>
      <family val="2"/>
    </font>
    <font>
      <b/>
      <sz val="20"/>
      <color rgb="FF003366"/>
      <name val="Calibri"/>
      <family val="2"/>
    </font>
    <font>
      <b/>
      <sz val="11"/>
      <color rgb="FF003366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i/>
      <sz val="11"/>
      <color rgb="FF5A5A5A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5F7FA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9" fontId="0" fillId="0" borderId="1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9" fontId="0" fillId="0" borderId="0" xfId="0" applyNumberFormat="1" applyAlignment="1">
      <alignment horizontal="left" vertical="top"/>
    </xf>
    <xf numFmtId="10" fontId="0" fillId="0" borderId="1" xfId="0" applyNumberFormat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2" fontId="0" fillId="0" borderId="0" xfId="0" applyNumberFormat="1"/>
    <xf numFmtId="0" fontId="2" fillId="0" borderId="0" xfId="0" applyFont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15" fontId="1" fillId="0" borderId="0" xfId="0" applyNumberFormat="1" applyFont="1" applyAlignment="1">
      <alignment horizontal="left" vertical="top"/>
    </xf>
    <xf numFmtId="164" fontId="10" fillId="4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0" fontId="2" fillId="0" borderId="0" xfId="0" applyFont="1" applyAlignment="1">
      <alignment horizontal="left" vertical="top"/>
    </xf>
    <xf numFmtId="0" fontId="0" fillId="0" borderId="0" xfId="0"/>
    <xf numFmtId="0" fontId="2" fillId="0" borderId="2" xfId="0" applyFont="1" applyBorder="1" applyAlignment="1">
      <alignment horizontal="left" vertical="top"/>
    </xf>
    <xf numFmtId="0" fontId="0" fillId="0" borderId="2" xfId="0" applyBorder="1"/>
    <xf numFmtId="0" fontId="10" fillId="4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6" fillId="0" borderId="0" xfId="0" applyFont="1" applyAlignment="1">
      <alignment horizontal="left" vertical="top" wrapText="1"/>
    </xf>
    <xf numFmtId="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1" fillId="5" borderId="0" xfId="0" applyFont="1" applyFill="1"/>
    <xf numFmtId="165" fontId="1" fillId="5" borderId="0" xfId="0" applyNumberFormat="1" applyFont="1" applyFill="1"/>
    <xf numFmtId="164" fontId="1" fillId="5" borderId="0" xfId="0" applyNumberFormat="1" applyFont="1" applyFill="1"/>
    <xf numFmtId="2" fontId="1" fillId="5" borderId="0" xfId="0" applyNumberFormat="1" applyFont="1" applyFill="1"/>
    <xf numFmtId="49" fontId="1" fillId="5" borderId="0" xfId="0" applyNumberFormat="1" applyFont="1" applyFill="1"/>
    <xf numFmtId="165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2" fillId="6" borderId="1" xfId="0" applyFont="1" applyFill="1" applyBorder="1" applyAlignment="1">
      <alignment horizontal="left"/>
    </xf>
    <xf numFmtId="0" fontId="12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3" fillId="0" borderId="0" xfId="0" applyFont="1" applyAlignment="1">
      <alignment horizontal="left" vertical="top" wrapText="1"/>
    </xf>
    <xf numFmtId="0" fontId="0" fillId="3" borderId="3" xfId="0" applyFont="1" applyFill="1" applyBorder="1" applyAlignment="1">
      <alignment horizontal="left" vertical="top" wrapText="1"/>
    </xf>
    <xf numFmtId="7" fontId="0" fillId="3" borderId="3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156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164" formatCode="&quot;$&quot;#,##0.00"/>
    </dxf>
    <dxf>
      <numFmt numFmtId="165" formatCode="0.00\ &quot;ton&quot;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171450</xdr:rowOff>
        </xdr:from>
        <xdr:to>
          <xdr:col>13</xdr:col>
          <xdr:colOff>438150</xdr:colOff>
          <xdr:row>6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2A0D28C-3492-87C5-7783-A406378BC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</xdr:row>
          <xdr:rowOff>152400</xdr:rowOff>
        </xdr:from>
        <xdr:to>
          <xdr:col>13</xdr:col>
          <xdr:colOff>447675</xdr:colOff>
          <xdr:row>4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8970AF8-4E8F-529B-3E96-BDB34A81A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Transpose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0</xdr:rowOff>
        </xdr:from>
        <xdr:to>
          <xdr:col>13</xdr:col>
          <xdr:colOff>438150</xdr:colOff>
          <xdr:row>8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D85596F-F2EF-36EB-F6EE-B7E1C48DC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95250</xdr:rowOff>
        </xdr:from>
        <xdr:to>
          <xdr:col>12</xdr:col>
          <xdr:colOff>28575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4E2F7E7E-1DE0-7CD0-9D57-449AA62E4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28575</xdr:rowOff>
        </xdr:from>
        <xdr:to>
          <xdr:col>11</xdr:col>
          <xdr:colOff>9525</xdr:colOff>
          <xdr:row>3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279A438-D3EC-E5A0-2DDE-8B71B5119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Quote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 Catalog"/>
      <sheetName val="IFSU"/>
      <sheetName val="IFS1"/>
      <sheetName val="IFS"/>
      <sheetName val="IFS2"/>
    </sheetNames>
    <sheetDataSet>
      <sheetData sheetId="0" refreshError="1"/>
      <sheetData sheetId="1" refreshError="1"/>
      <sheetData sheetId="2" refreshError="1"/>
      <sheetData sheetId="3">
        <row r="2">
          <cell r="B2" t="str">
            <v>Per Ton</v>
          </cell>
          <cell r="C2" t="str">
            <v>Count</v>
          </cell>
          <cell r="D2" t="str">
            <v>Hours</v>
          </cell>
          <cell r="E2" t="str">
            <v>Rate</v>
          </cell>
          <cell r="F2" t="str">
            <v>Ratio</v>
          </cell>
        </row>
        <row r="3">
          <cell r="A3" t="str">
            <v>GPR</v>
          </cell>
          <cell r="B3">
            <v>11</v>
          </cell>
        </row>
        <row r="4">
          <cell r="A4" t="str">
            <v>Consumables</v>
          </cell>
          <cell r="B4">
            <v>7.4999999999999997E-2</v>
          </cell>
        </row>
        <row r="5">
          <cell r="A5" t="str">
            <v>PE Stamp</v>
          </cell>
          <cell r="B5">
            <v>21</v>
          </cell>
        </row>
        <row r="6">
          <cell r="A6" t="str">
            <v>ENG - DWG</v>
          </cell>
          <cell r="B6">
            <v>90</v>
          </cell>
          <cell r="C6">
            <v>1</v>
          </cell>
          <cell r="D6">
            <v>8</v>
          </cell>
          <cell r="E6">
            <v>75</v>
          </cell>
          <cell r="F6">
            <v>0.15</v>
          </cell>
        </row>
        <row r="7">
          <cell r="A7" t="str">
            <v>ENG - Field</v>
          </cell>
          <cell r="B7">
            <v>45</v>
          </cell>
          <cell r="C7">
            <v>1</v>
          </cell>
          <cell r="D7">
            <v>2</v>
          </cell>
          <cell r="E7">
            <v>75</v>
          </cell>
          <cell r="F7">
            <v>0.3</v>
          </cell>
        </row>
        <row r="8">
          <cell r="A8" t="str">
            <v>Fabrication</v>
          </cell>
          <cell r="B8">
            <v>576</v>
          </cell>
          <cell r="C8">
            <v>3</v>
          </cell>
          <cell r="D8">
            <v>8</v>
          </cell>
          <cell r="E8">
            <v>60</v>
          </cell>
          <cell r="F8">
            <v>0.4</v>
          </cell>
        </row>
        <row r="9">
          <cell r="A9" t="str">
            <v>Installation (3men)</v>
          </cell>
          <cell r="B9">
            <v>540</v>
          </cell>
          <cell r="C9">
            <v>3</v>
          </cell>
          <cell r="D9">
            <v>8</v>
          </cell>
          <cell r="E9">
            <v>75</v>
          </cell>
          <cell r="F9">
            <v>0.3</v>
          </cell>
        </row>
        <row r="10">
          <cell r="A10" t="str">
            <v>Installation (4men)</v>
          </cell>
          <cell r="B10">
            <v>360</v>
          </cell>
          <cell r="C10">
            <v>4</v>
          </cell>
          <cell r="D10">
            <v>8</v>
          </cell>
          <cell r="E10">
            <v>75</v>
          </cell>
          <cell r="F10">
            <v>0.15</v>
          </cell>
        </row>
        <row r="11">
          <cell r="A11" t="str">
            <v>Composite Clean-up</v>
          </cell>
          <cell r="B11">
            <v>16</v>
          </cell>
          <cell r="C11">
            <v>1</v>
          </cell>
          <cell r="D11">
            <v>8</v>
          </cell>
          <cell r="E11">
            <v>50</v>
          </cell>
          <cell r="F11">
            <v>0.04</v>
          </cell>
        </row>
        <row r="12">
          <cell r="A12" t="str">
            <v>Delivery</v>
          </cell>
          <cell r="B12">
            <v>71</v>
          </cell>
        </row>
        <row r="13">
          <cell r="A13" t="str">
            <v>Rental</v>
          </cell>
          <cell r="B13">
            <v>104</v>
          </cell>
        </row>
        <row r="14">
          <cell r="A14" t="str">
            <v>Crane</v>
          </cell>
          <cell r="B14">
            <v>185</v>
          </cell>
        </row>
        <row r="15">
          <cell r="A15" t="str">
            <v>Mobilization</v>
          </cell>
          <cell r="B15">
            <v>57</v>
          </cell>
        </row>
        <row r="16">
          <cell r="A16" t="str">
            <v>Compliance</v>
          </cell>
          <cell r="B16">
            <v>300</v>
          </cell>
          <cell r="C16">
            <v>1</v>
          </cell>
          <cell r="D16">
            <v>8</v>
          </cell>
          <cell r="E16">
            <v>75</v>
          </cell>
          <cell r="F16">
            <v>0.5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0088F-09CC-4D53-AEF4-7E5303212BB7}" name="tbl_StructuralColumnSchedule" displayName="tbl_StructuralColumnSchedule" ref="B5:AD135" totalsRowShown="0">
  <autoFilter ref="B5:AD135" xr:uid="{32B0088F-09CC-4D53-AEF4-7E5303212BB7}"/>
  <tableColumns count="29">
    <tableColumn id="1" xr3:uid="{09068567-2644-4548-8023-C8921C22E0F7}" name="Type"/>
    <tableColumn id="2" xr3:uid="{BB164177-3F50-4FA6-8A56-55452F9AAEE0}" name="Comments"/>
    <tableColumn id="3" xr3:uid="{87BFB169-0FBD-4B0D-8B2F-C51A7A9EF8DC}" name="Length"/>
    <tableColumn id="4" xr3:uid="{504FEBA0-749F-49A4-A3CC-BEE576EAF120}" name="Cost" dataDxfId="155"/>
    <tableColumn id="5" xr3:uid="{E74D778D-3EF4-4508-A914-B017231CC00A}" name="Weight" dataDxfId="154"/>
    <tableColumn id="6" xr3:uid="{3EB3E5AA-CB2C-4997-8D16-98C44CFD7A0E}" name="Overall Weight" dataDxfId="153"/>
    <tableColumn id="7" xr3:uid="{23153287-A254-4F58-9FEE-BE39A3DB4917}" name="Overall Cost" dataDxfId="152"/>
    <tableColumn id="8" xr3:uid="{5E5A7E48-4757-4B1E-8837-E54E43C6658E}" name="Mark" dataDxfId="151"/>
    <tableColumn id="9" xr3:uid="{DDCA1571-3A89-4125-A390-D1E013C1A356}" name="ElementID" dataDxfId="150"/>
    <tableColumn id="10" xr3:uid="{1955E632-FF12-4542-AE02-1C08B7DD2E85}" name="MaterialFinish" dataDxfId="149"/>
    <tableColumn id="11" xr3:uid="{41F17F64-65BD-44F0-A742-0980D71EE5A8}" name="Column1" dataDxfId="148"/>
    <tableColumn id="12" xr3:uid="{43B7690E-104F-4524-B66E-8C218A6A9D25}" name="Column2" dataDxfId="147"/>
    <tableColumn id="13" xr3:uid="{CB8A9D2D-2D3A-4E46-943F-54A7B07D88E4}" name="Column3" dataDxfId="146"/>
    <tableColumn id="14" xr3:uid="{67FB0C49-6D8A-4590-92D6-C50141EBD5D0}" name="Column4" dataDxfId="145"/>
    <tableColumn id="15" xr3:uid="{5A05DCF9-5596-4790-B212-A3621FAE5EF2}" name="0" dataDxfId="144"/>
    <tableColumn id="16" xr3:uid="{C4F70E41-2C74-473B-AF3A-726D9C675534}" name="GPR" dataDxfId="143"/>
    <tableColumn id="17" xr3:uid="{665EF6D0-6C5B-4C12-9AA3-DA5CB4ABD1CA}" name="Consumables" dataDxfId="142"/>
    <tableColumn id="18" xr3:uid="{93070056-35D0-4860-BE7C-701ABF30AFE6}" name="PE Stamp" dataDxfId="141"/>
    <tableColumn id="19" xr3:uid="{C9F5D334-91ED-4732-A984-5FDC603CF104}" name="ENG - DWG" dataDxfId="140"/>
    <tableColumn id="20" xr3:uid="{0039FDB3-0306-4784-8252-158DD9128C6A}" name="ENG - Field" dataDxfId="139"/>
    <tableColumn id="21" xr3:uid="{5D941D6F-2F8A-4BB2-99E6-66A7FD2DA9E6}" name="Fabrication" dataDxfId="138"/>
    <tableColumn id="22" xr3:uid="{986BB0F2-11C0-4315-8564-CCB9662A4A4B}" name="Installation (3men)" dataDxfId="137"/>
    <tableColumn id="23" xr3:uid="{4BBEF8A5-E244-4B5E-99EE-73BC6BFDD5EE}" name="Installation (4men)" dataDxfId="136"/>
    <tableColumn id="24" xr3:uid="{84FF7C7B-2FBC-41D7-9730-E4BA7DEDA2DA}" name="Composite Clean-up" dataDxfId="135"/>
    <tableColumn id="25" xr3:uid="{9B622205-F131-4366-BE5E-1555E80750FE}" name="Delivery" dataDxfId="134"/>
    <tableColumn id="26" xr3:uid="{679D2E08-DB96-4F1D-BF27-7B7498A6CA44}" name="Rental" dataDxfId="133"/>
    <tableColumn id="27" xr3:uid="{0AFFC373-0A17-4531-9B9B-BB808ABBF119}" name="Crane" dataDxfId="132"/>
    <tableColumn id="28" xr3:uid="{2D1D8587-4024-48B1-8386-E87616C8D195}" name="Mobilization" dataDxfId="131"/>
    <tableColumn id="29" xr3:uid="{90D1D75B-CE32-4C02-8F26-6D0477F3B97C}" name="Compliance" dataDxfId="1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A5BA2A-28CC-40C6-8C1E-C873E0647571}" name="tbl_StructuralFramingSchedule" displayName="tbl_StructuralFramingSchedule" ref="B5:AD1065" totalsRowShown="0">
  <autoFilter ref="B5:AD1065" xr:uid="{8CA5BA2A-28CC-40C6-8C1E-C873E0647571}"/>
  <tableColumns count="29">
    <tableColumn id="1" xr3:uid="{70E98356-A382-4DF5-9414-737ABE7DD59B}" name="Type"/>
    <tableColumn id="2" xr3:uid="{D8E204E1-BB06-4119-B4A2-F14E699B20FF}" name="Comments"/>
    <tableColumn id="3" xr3:uid="{69358749-BE69-47B8-A843-E1ED86A37DF7}" name="Length"/>
    <tableColumn id="4" xr3:uid="{CB85F760-C5D3-4A1B-803C-1EBDED5FCED8}" name="Cost" dataDxfId="129"/>
    <tableColumn id="5" xr3:uid="{829BA956-87D3-4B52-8BF2-D34D30007963}" name="Weight" dataDxfId="128"/>
    <tableColumn id="6" xr3:uid="{357E080A-44E2-4CE3-8D22-99918EB8B7F6}" name="Overall Weight" dataDxfId="127"/>
    <tableColumn id="7" xr3:uid="{471BB4A9-31F7-4EBD-92E3-7B5A7B1EDA89}" name="Overall Cost" dataDxfId="126"/>
    <tableColumn id="8" xr3:uid="{23AF8B6A-8B67-400C-92FC-2E99D3E26E48}" name="MomentConnection" dataDxfId="125"/>
    <tableColumn id="9" xr3:uid="{D922F7EE-7D94-4A61-A3CA-3FB61DC31F2E}" name="Number of studs" dataDxfId="124"/>
    <tableColumn id="10" xr3:uid="{33106017-2AFB-412C-97F5-DBDEB78A9AB3}" name="Camber Size" dataDxfId="123"/>
    <tableColumn id="11" xr3:uid="{5038F1AC-44DE-44A6-9458-F7FE5F58D91B}" name="Mark" dataDxfId="122"/>
    <tableColumn id="12" xr3:uid="{56ACB5E6-7037-4F48-AEE2-AA86E82F9E6E}" name="MaterialFinish" dataDxfId="121"/>
    <tableColumn id="13" xr3:uid="{A453BB9C-3F21-4D7F-B27F-F34B3F01754C}" name="ElementID" dataDxfId="120"/>
    <tableColumn id="14" xr3:uid="{ABD04037-BE88-4DF2-9359-6655393EA269}" name="Column1" dataDxfId="119"/>
    <tableColumn id="15" xr3:uid="{D1123027-E133-415A-9B7B-22FEEA3819B3}" name="0" dataDxfId="118"/>
    <tableColumn id="16" xr3:uid="{C6B5F29E-B7EA-443A-AF88-19AF5282B637}" name="GPR" dataDxfId="117"/>
    <tableColumn id="17" xr3:uid="{451C556F-F25C-44D3-BEDA-17FC713A26DD}" name="Consumables" dataDxfId="116"/>
    <tableColumn id="18" xr3:uid="{D11E718D-2730-4637-9096-B2B9D4089A8A}" name="PE Stamp" dataDxfId="115"/>
    <tableColumn id="19" xr3:uid="{A32D973E-7314-4F17-AFA8-43AF1493CEA1}" name="ENG - DWG" dataDxfId="114"/>
    <tableColumn id="20" xr3:uid="{F92B8DEB-FCCC-4FEE-80D8-5E55B5682BD4}" name="ENG - Field" dataDxfId="113"/>
    <tableColumn id="21" xr3:uid="{4B05FC73-AE31-4A42-BA9B-95656E696CC9}" name="Fabrication" dataDxfId="112"/>
    <tableColumn id="22" xr3:uid="{28DF44BE-A42E-4C96-A8DF-3065FBE64484}" name="Installation (3men)" dataDxfId="111"/>
    <tableColumn id="23" xr3:uid="{CA5C99C8-5B8D-4BA5-BA59-4CE18336A1C6}" name="Installation (4men)" dataDxfId="110"/>
    <tableColumn id="24" xr3:uid="{6A3BEF03-5AFE-484F-801E-9EE80C8BA9B4}" name="Composite Clean-up" dataDxfId="109"/>
    <tableColumn id="25" xr3:uid="{96CC7940-46F8-4BC9-BD3A-186EA8303685}" name="Delivery" dataDxfId="108"/>
    <tableColumn id="26" xr3:uid="{2CCFD9DD-F995-4739-9911-162B3FE7750B}" name="Rental" dataDxfId="107"/>
    <tableColumn id="27" xr3:uid="{07FA5824-B0EE-4851-B8C6-DAC539E02914}" name="Crane" dataDxfId="106"/>
    <tableColumn id="28" xr3:uid="{451E183C-82F7-4877-8586-EBDBC1D62DBA}" name="Mobilization" dataDxfId="105"/>
    <tableColumn id="29" xr3:uid="{784D0342-DBC3-4A38-AFDB-8F43AACB9F31}" name="Compliance" dataDxfId="10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DDBC92-5A8B-4F5C-AF29-5CBD4D074F0D}" name="tbl_StructuralBracingSchedule" displayName="tbl_StructuralBracingSchedule" ref="B5:AD43" totalsRowShown="0">
  <autoFilter ref="B5:AD43" xr:uid="{2CDDBC92-5A8B-4F5C-AF29-5CBD4D074F0D}"/>
  <tableColumns count="29">
    <tableColumn id="1" xr3:uid="{6F1A29F5-2A09-443D-BB8E-BF6B4B82A1E4}" name="Type"/>
    <tableColumn id="2" xr3:uid="{ABFC2E57-32C4-48DF-A6D6-4D2C63300C35}" name="Comments"/>
    <tableColumn id="3" xr3:uid="{B3C1FD76-5275-41D8-8D08-CE46C8BCDFB9}" name="Length"/>
    <tableColumn id="4" xr3:uid="{F16A682E-413A-4F53-BD4D-D330C12103A9}" name="Cost" dataDxfId="51"/>
    <tableColumn id="5" xr3:uid="{CD5DE3D2-8024-442A-81AE-00B95616EA4F}" name="Weight" dataDxfId="50"/>
    <tableColumn id="6" xr3:uid="{466C86CD-C9E7-4E12-B6F9-1D19262E3404}" name="Overall Weight" dataDxfId="49"/>
    <tableColumn id="7" xr3:uid="{D4E7387C-8FF3-4CA5-8886-ECD975B88B87}" name="Overall Cost" dataDxfId="48"/>
    <tableColumn id="8" xr3:uid="{154F890E-6021-4694-B5BF-F25FFCAE4F18}" name="MomentConnection" dataDxfId="47"/>
    <tableColumn id="9" xr3:uid="{9A36D3E5-F00C-4CAD-A16F-6DA1F577D484}" name="Number of studs" dataDxfId="46"/>
    <tableColumn id="10" xr3:uid="{63C1F86A-C545-4898-9AC3-90A198EBD557}" name="Camber Size" dataDxfId="45"/>
    <tableColumn id="11" xr3:uid="{A09FFC60-3EFA-4A02-9EFA-AEB0D075D2FC}" name="Mark" dataDxfId="44"/>
    <tableColumn id="12" xr3:uid="{CAFAB7BA-CB55-4C46-AB4D-153E927C3BEB}" name="ElementID" dataDxfId="43"/>
    <tableColumn id="13" xr3:uid="{BF46794F-260E-4562-996F-9EB10E5C9F0D}" name="MaterialFinish" dataDxfId="42"/>
    <tableColumn id="14" xr3:uid="{2A49B32C-AA0D-42A1-9C0E-A225502E1BCD}" name="Column1" dataDxfId="41"/>
    <tableColumn id="15" xr3:uid="{8D9D5C8D-F43D-46A0-A5CF-FACADCED05C8}" name="0" dataDxfId="40"/>
    <tableColumn id="16" xr3:uid="{3F67FA83-E02F-4F34-96A0-BC8F7A428901}" name="GPR" dataDxfId="39"/>
    <tableColumn id="17" xr3:uid="{238777F4-2CB5-4D5D-ABC0-486CADE2D384}" name="Consumables" dataDxfId="38"/>
    <tableColumn id="18" xr3:uid="{B2C33E9E-01BB-452E-957B-B4336E78A1C6}" name="PE Stamp" dataDxfId="37"/>
    <tableColumn id="19" xr3:uid="{0B7EF0BE-A7DC-4EFA-8309-3BD7A1BA3D3D}" name="ENG - DWG" dataDxfId="36"/>
    <tableColumn id="20" xr3:uid="{6752C543-F5A9-4AB9-A0CD-86FD813DB3D4}" name="ENG - Field" dataDxfId="35"/>
    <tableColumn id="21" xr3:uid="{A5AC5904-3624-4D20-A920-9E9C72B1CC0A}" name="Fabrication" dataDxfId="34"/>
    <tableColumn id="22" xr3:uid="{20D49D73-B91B-4439-AB9E-1067274C17D0}" name="Installation (3men)" dataDxfId="33"/>
    <tableColumn id="23" xr3:uid="{06A80D50-7785-4845-80E0-61D9B5853AA9}" name="Installation (4men)" dataDxfId="32"/>
    <tableColumn id="24" xr3:uid="{3D5FFE00-01B7-4748-B912-416A7E53E43B}" name="Composite Clean-up" dataDxfId="31"/>
    <tableColumn id="25" xr3:uid="{F743AAA8-C58D-4801-A205-1CDA9935DF26}" name="Delivery" dataDxfId="30"/>
    <tableColumn id="26" xr3:uid="{7A66E4BB-97DB-4FA7-BB9A-F2276F601268}" name="Rental" dataDxfId="29"/>
    <tableColumn id="27" xr3:uid="{31549339-9CEF-4604-9263-2DC24C5FC5A2}" name="Crane" dataDxfId="28"/>
    <tableColumn id="28" xr3:uid="{B32DF019-EADE-42F4-92F4-C65FC400D870}" name="Mobilization" dataDxfId="27"/>
    <tableColumn id="29" xr3:uid="{0C626906-A1CB-4AA2-AB21-91E899ADA40D}" name="Compliance" dataDxfId="2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840C80-6EF9-437C-9471-58CA06C90324}" name="tbl_StructuralConnectionSchedule" displayName="tbl_StructuralConnectionSchedule" ref="B5:AD1757" totalsRowShown="0">
  <autoFilter ref="B5:AD1757" xr:uid="{37840C80-6EF9-437C-9471-58CA06C90324}"/>
  <tableColumns count="29">
    <tableColumn id="1" xr3:uid="{89C71BB1-81A8-41A5-B01E-07FF215BC663}" name="Type"/>
    <tableColumn id="2" xr3:uid="{443259BF-CF09-49F1-AFAC-3FC6420BBE2D}" name="Comments"/>
    <tableColumn id="3" xr3:uid="{E064F0FE-FDD6-42FC-9AA6-F1C69A0953F1}" name="Length"/>
    <tableColumn id="4" xr3:uid="{DBA0980F-D6B5-44B6-8108-7F30DA1F06A2}" name="Cost" dataDxfId="103"/>
    <tableColumn id="5" xr3:uid="{CE0AB9F3-2128-45F5-B7BC-FB04CFA285AB}" name="Weight" dataDxfId="102"/>
    <tableColumn id="6" xr3:uid="{E8CE15F9-56B8-4FDA-BF8D-D66BBEC757FB}" name="Overall Weight" dataDxfId="101"/>
    <tableColumn id="7" xr3:uid="{9F01F594-3F9F-4C62-B4EB-6CEA67BB930F}" name="Overall Cost" dataDxfId="100"/>
    <tableColumn id="8" xr3:uid="{9D9C56B3-2D0C-408A-A707-AE86B2A6CA81}" name="Mark" dataDxfId="99"/>
    <tableColumn id="9" xr3:uid="{AD544251-3A62-497E-8C95-01B980E50DBD}" name="Column1" dataDxfId="98"/>
    <tableColumn id="10" xr3:uid="{FEA41AEC-9394-44BC-8FEB-46173C958329}" name="Column2" dataDxfId="97"/>
    <tableColumn id="11" xr3:uid="{E41CA63C-F5A1-4CB7-B9BA-D47FCA4D9E0A}" name="Column3" dataDxfId="96"/>
    <tableColumn id="12" xr3:uid="{69D3C3FA-A4BE-4FE2-9323-F44E32061D6F}" name="Column4" dataDxfId="95"/>
    <tableColumn id="13" xr3:uid="{53CAD29A-DD3D-4CA4-A7C7-86DCB2A40BC7}" name="Column5" dataDxfId="94"/>
    <tableColumn id="14" xr3:uid="{BB80A7B5-C96B-43F4-B1B2-B52F14A772CE}" name="Column6" dataDxfId="93"/>
    <tableColumn id="15" xr3:uid="{2F4E2CFE-E137-4895-8B87-CC8CF94F99C5}" name="0" dataDxfId="92"/>
    <tableColumn id="16" xr3:uid="{B94603EF-2027-4395-8220-B414AB8A7439}" name="GPR" dataDxfId="91"/>
    <tableColumn id="17" xr3:uid="{37D19E5E-65B4-4224-B709-834BABCA55CA}" name="Consumables" dataDxfId="90"/>
    <tableColumn id="18" xr3:uid="{734F0F8C-7B99-4EAB-926A-24AEB2699DEA}" name="PE Stamp" dataDxfId="89"/>
    <tableColumn id="19" xr3:uid="{27ECB873-D3E9-4060-89CA-F7E673B04FEC}" name="ENG - DWG" dataDxfId="88"/>
    <tableColumn id="20" xr3:uid="{7792C59C-F3C9-43D3-B99E-40C199765DD9}" name="ENG - Field" dataDxfId="87"/>
    <tableColumn id="21" xr3:uid="{803F8DC0-6186-4098-BCCC-63EF8812C4A3}" name="Fabrication" dataDxfId="86"/>
    <tableColumn id="22" xr3:uid="{4A30B0AE-EB85-4F49-9C11-A6AD77D5626B}" name="Installation (3men)" dataDxfId="85"/>
    <tableColumn id="23" xr3:uid="{43FE971B-C6F0-41E0-8C1F-349E153E56A0}" name="Installation (4men)" dataDxfId="84"/>
    <tableColumn id="24" xr3:uid="{1658E23A-8E9A-4679-9574-305ABD75D644}" name="Composite Clean-up" dataDxfId="83"/>
    <tableColumn id="25" xr3:uid="{BC913048-656D-4A9C-A4A2-BAAB2F3C6081}" name="Delivery" dataDxfId="82"/>
    <tableColumn id="26" xr3:uid="{07D9E2A6-F3BD-4E7E-B786-FDB65293D171}" name="Rental" dataDxfId="81"/>
    <tableColumn id="27" xr3:uid="{C3AEC1E2-98E1-4660-B8B4-07B49663C82C}" name="Crane" dataDxfId="80"/>
    <tableColumn id="28" xr3:uid="{FA380CB6-53FD-40FB-8A55-DEFC70191556}" name="Mobilization" dataDxfId="79"/>
    <tableColumn id="29" xr3:uid="{A1C1B572-D6EC-4289-A1D6-240C3E0511A2}" name="Compliance" dataDxfId="7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C702ED-3F22-442E-B417-7B5998D6848C}" name="tbl_BasePlateSchedule" displayName="tbl_BasePlateSchedule" ref="B5:AD135" totalsRowShown="0">
  <autoFilter ref="B5:AD135" xr:uid="{4CC702ED-3F22-442E-B417-7B5998D6848C}"/>
  <tableColumns count="29">
    <tableColumn id="1" xr3:uid="{1C4B611A-A584-47E0-896F-784846D6BC98}" name="Type"/>
    <tableColumn id="2" xr3:uid="{FFA43674-1A67-476E-A4A3-4919832A7923}" name="Comments"/>
    <tableColumn id="3" xr3:uid="{72C5364B-A1CC-47A7-B332-7EEF76C7EBE1}" name="Cost"/>
    <tableColumn id="4" xr3:uid="{19CE0BB4-1C10-45EC-8561-0FEFE001177F}" name="area" dataDxfId="77"/>
    <tableColumn id="5" xr3:uid="{4E3ADDD1-B735-4585-BAD2-D68AA6C572AB}" name="Weight" dataDxfId="76"/>
    <tableColumn id="6" xr3:uid="{76281163-A385-4243-AF4F-E0D8673D6BE0}" name="Overall Weigth" dataDxfId="75"/>
    <tableColumn id="7" xr3:uid="{CBB5F1D1-E8D1-431C-94AC-CBD006375BAC}" name="Overall Cost" dataDxfId="74"/>
    <tableColumn id="8" xr3:uid="{9B33172C-34D3-4970-A8FD-6EA60E0E460F}" name="Thickness" dataDxfId="73"/>
    <tableColumn id="9" xr3:uid="{8F15B0D3-E1B7-495F-AA35-CBC185956CDC}" name="Mark" dataDxfId="72"/>
    <tableColumn id="10" xr3:uid="{1628FD23-DD6A-4207-AC49-9EFC9F42F426}" name="MaterialFinish" dataDxfId="71"/>
    <tableColumn id="11" xr3:uid="{BA7C065C-3419-47FB-9EE1-2B86E71DDA35}" name="Column1" dataDxfId="70"/>
    <tableColumn id="12" xr3:uid="{E63DC89D-610C-4457-A061-D728288DAF87}" name="Column2" dataDxfId="69"/>
    <tableColumn id="13" xr3:uid="{F24E1814-81B5-47EB-825F-1DFEAE25606A}" name="Column3" dataDxfId="68"/>
    <tableColumn id="14" xr3:uid="{87EF6443-F0A5-4376-804A-9CA2C566A6D6}" name="Column4" dataDxfId="67"/>
    <tableColumn id="15" xr3:uid="{4A773572-81A6-47E4-A160-822DB1557EE4}" name="0" dataDxfId="66"/>
    <tableColumn id="16" xr3:uid="{1B65A9B9-29DE-43B6-93CA-E2E16FF8C8A0}" name="GPR" dataDxfId="65"/>
    <tableColumn id="17" xr3:uid="{FFCF1082-7062-458D-8DB9-441FC04E7F48}" name="Consumables" dataDxfId="64"/>
    <tableColumn id="18" xr3:uid="{E5A890AE-2B79-4B56-9269-02EE3735749B}" name="PE Stamp" dataDxfId="63"/>
    <tableColumn id="19" xr3:uid="{F7600BBE-32DE-4B96-9455-E986237DA469}" name="ENG - DWG" dataDxfId="62"/>
    <tableColumn id="20" xr3:uid="{B6703F31-B491-4852-86D2-1724A332EDAA}" name="ENG - Field" dataDxfId="61"/>
    <tableColumn id="21" xr3:uid="{8E739B06-BFE8-45AF-83E9-879E9A62979E}" name="Fabrication" dataDxfId="60"/>
    <tableColumn id="22" xr3:uid="{DD90E63F-423E-419B-B6B6-A385CD2D16C4}" name="Installation (3men)" dataDxfId="59"/>
    <tableColumn id="23" xr3:uid="{66393DEE-E913-48E7-B280-E940E0315AE4}" name="Installation (4men)" dataDxfId="58"/>
    <tableColumn id="24" xr3:uid="{63EBF067-0C60-4659-940D-1B42E5D79004}" name="Composite Clean-up" dataDxfId="57"/>
    <tableColumn id="25" xr3:uid="{93988DF7-1939-4591-97FA-1E1BE3B6271C}" name="Delivery" dataDxfId="56"/>
    <tableColumn id="26" xr3:uid="{F628C010-ED90-44B4-AC99-D98A434A3E5E}" name="Rental" dataDxfId="55"/>
    <tableColumn id="27" xr3:uid="{661E3ACE-E102-47DF-AEB8-6E6F5D77511F}" name="Crane" dataDxfId="54"/>
    <tableColumn id="28" xr3:uid="{AFE2A75A-4F91-4595-AA6E-B81AE6D9221F}" name="Mobilization" dataDxfId="53"/>
    <tableColumn id="29" xr3:uid="{13B21E25-CE61-4A43-9A4A-080C6018053D}" name="Compliance" dataDxfId="5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EC6360-F185-4F2D-BB5F-D1861C316B92}" name="tbl_StructuralPlateSchedule" displayName="tbl_StructuralPlateSchedule" ref="B5:AD163" totalsRowShown="0">
  <autoFilter ref="B5:AD163" xr:uid="{68EC6360-F185-4F2D-BB5F-D1861C316B92}"/>
  <tableColumns count="29">
    <tableColumn id="1" xr3:uid="{F650B74E-0ECE-43CA-A750-976920EE1C46}" name="Type"/>
    <tableColumn id="2" xr3:uid="{449E7023-01F1-42A7-A471-6E8338EB5784}" name="Comments"/>
    <tableColumn id="3" xr3:uid="{6A096EB7-FCD4-4249-828C-D2A4FFE8B80F}" name="Cost"/>
    <tableColumn id="4" xr3:uid="{CEA12BE2-3B73-4122-BA23-D83282A039AA}" name="area" dataDxfId="25"/>
    <tableColumn id="5" xr3:uid="{9AC85C3D-17AD-4534-BC16-3086F4274EEF}" name="Weight" dataDxfId="24"/>
    <tableColumn id="6" xr3:uid="{BC19803C-C980-4BA3-BEFF-C38044D83DF0}" name="Overall Weigth" dataDxfId="23"/>
    <tableColumn id="7" xr3:uid="{C8175B44-BEE6-447E-9020-43976450F5DE}" name="Overall Cost" dataDxfId="22"/>
    <tableColumn id="8" xr3:uid="{7EED7A7F-7376-447C-B839-7A182297A0A4}" name="Thickness" dataDxfId="21"/>
    <tableColumn id="9" xr3:uid="{BDE968D2-ADC3-4C53-A876-C39A38B1CF4D}" name="MaterialFinish" dataDxfId="20"/>
    <tableColumn id="10" xr3:uid="{F52797B0-14AC-4908-9021-2C470FA45B5E}" name="Mark" dataDxfId="19"/>
    <tableColumn id="11" xr3:uid="{21279442-1EFA-4D5F-B64E-D7AC4EB2131D}" name="Column1" dataDxfId="18"/>
    <tableColumn id="12" xr3:uid="{1659F4A1-14D5-474D-BACF-6EADFDDC8873}" name="Column2" dataDxfId="17"/>
    <tableColumn id="13" xr3:uid="{C27BCD67-858C-4BC6-99EC-B322086C40B3}" name="Column3" dataDxfId="16"/>
    <tableColumn id="14" xr3:uid="{97C19981-24C2-4B45-957A-477A5EFBE071}" name="Column4" dataDxfId="15"/>
    <tableColumn id="15" xr3:uid="{88A3AF52-E7E7-47DA-9987-FDAC4A6CBEEB}" name="0" dataDxfId="14"/>
    <tableColumn id="16" xr3:uid="{24DF2F4C-DC2E-4649-BBC0-C66732B61B7D}" name="GPR" dataDxfId="13"/>
    <tableColumn id="17" xr3:uid="{887C563E-2964-4FF4-A4D2-D91C169CA7CC}" name="Consumables" dataDxfId="12"/>
    <tableColumn id="18" xr3:uid="{59B59008-8A8F-40FD-BB70-E0E5BDB7AAF7}" name="PE Stamp" dataDxfId="11"/>
    <tableColumn id="19" xr3:uid="{53C2AAF4-E84B-43DC-AFC6-9E819056A21D}" name="ENG - DWG" dataDxfId="10"/>
    <tableColumn id="20" xr3:uid="{BB4F8D75-57D9-4546-8024-66AD256490F2}" name="ENG - Field" dataDxfId="9"/>
    <tableColumn id="21" xr3:uid="{D8D053E8-5916-44B2-8D48-C620A24DAA55}" name="Fabrication" dataDxfId="8"/>
    <tableColumn id="22" xr3:uid="{E48029B5-605C-4CDD-B7DC-277685ECFEA0}" name="Installation (3men)" dataDxfId="7"/>
    <tableColumn id="23" xr3:uid="{DD74953F-8D9A-4B44-A4E5-087424B3D6D9}" name="Installation (4men)" dataDxfId="6"/>
    <tableColumn id="24" xr3:uid="{D600BE87-8365-4D56-A855-CCAD04E0988B}" name="Composite Clean-up" dataDxfId="5"/>
    <tableColumn id="25" xr3:uid="{A90F69C7-C88A-49CE-919F-5BA21FC685F8}" name="Delivery" dataDxfId="4"/>
    <tableColumn id="26" xr3:uid="{177B085A-3DA9-497F-A9C6-8B1AD6BAF217}" name="Rental" dataDxfId="3"/>
    <tableColumn id="27" xr3:uid="{7274BA32-9A4C-4DB8-A83E-8C41E26BFC12}" name="Crane" dataDxfId="2"/>
    <tableColumn id="28" xr3:uid="{872E4495-1DE3-4B32-8775-4AA66BEF99E1}" name="Mobilization" dataDxfId="1"/>
    <tableColumn id="29" xr3:uid="{CBBA327A-E4C8-4041-A31C-EB4F0311000A}" name="Complianc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H76"/>
  <sheetViews>
    <sheetView showGridLines="0" tabSelected="1" zoomScale="85" zoomScaleNormal="85" workbookViewId="0">
      <selection activeCell="F5" sqref="F5"/>
    </sheetView>
  </sheetViews>
  <sheetFormatPr defaultRowHeight="15" x14ac:dyDescent="0.25"/>
  <cols>
    <col min="1" max="1" width="19" bestFit="1" customWidth="1"/>
    <col min="2" max="2" width="14.5703125" style="26" bestFit="1" customWidth="1"/>
    <col min="3" max="3" width="18" style="26" bestFit="1" customWidth="1"/>
    <col min="4" max="4" width="12.42578125" bestFit="1" customWidth="1"/>
    <col min="5" max="5" width="15.7109375" style="47" bestFit="1" customWidth="1"/>
    <col min="6" max="6" width="6.5703125" style="48" bestFit="1" customWidth="1"/>
    <col min="7" max="7" width="12" style="48" bestFit="1" customWidth="1"/>
    <col min="8" max="8" width="18.42578125" style="48" bestFit="1" customWidth="1"/>
  </cols>
  <sheetData>
    <row r="2" spans="1:8" x14ac:dyDescent="0.25">
      <c r="B2" s="25" t="s">
        <v>17</v>
      </c>
      <c r="C2" s="26" t="s">
        <v>18</v>
      </c>
      <c r="E2" s="49" t="s">
        <v>32</v>
      </c>
      <c r="F2" s="50" t="s">
        <v>805</v>
      </c>
      <c r="G2" s="50" t="s">
        <v>806</v>
      </c>
      <c r="H2" s="50" t="s">
        <v>807</v>
      </c>
    </row>
    <row r="3" spans="1:8" x14ac:dyDescent="0.25">
      <c r="B3" s="25" t="s">
        <v>19</v>
      </c>
      <c r="C3" s="26" t="s">
        <v>20</v>
      </c>
      <c r="E3" s="51" t="s">
        <v>42</v>
      </c>
      <c r="F3" s="52">
        <v>6</v>
      </c>
      <c r="G3" s="52" t="s">
        <v>808</v>
      </c>
      <c r="H3" s="52">
        <v>0.98027999999999993</v>
      </c>
    </row>
    <row r="4" spans="1:8" x14ac:dyDescent="0.25">
      <c r="B4" s="25" t="s">
        <v>21</v>
      </c>
      <c r="C4" s="26" t="s">
        <v>22</v>
      </c>
      <c r="E4" s="51" t="s">
        <v>47</v>
      </c>
      <c r="F4" s="52">
        <v>1</v>
      </c>
      <c r="G4" s="52" t="s">
        <v>809</v>
      </c>
      <c r="H4" s="52">
        <v>0.19313</v>
      </c>
    </row>
    <row r="5" spans="1:8" x14ac:dyDescent="0.25">
      <c r="B5" s="25" t="s">
        <v>23</v>
      </c>
      <c r="C5" s="26">
        <v>8486683665</v>
      </c>
      <c r="E5" s="51" t="s">
        <v>48</v>
      </c>
      <c r="F5" s="52">
        <v>1</v>
      </c>
      <c r="G5" s="52" t="s">
        <v>809</v>
      </c>
      <c r="H5" s="52">
        <v>0.15659000000000001</v>
      </c>
    </row>
    <row r="6" spans="1:8" x14ac:dyDescent="0.25">
      <c r="B6" s="25" t="s">
        <v>24</v>
      </c>
      <c r="C6" s="26" t="s">
        <v>25</v>
      </c>
      <c r="E6" s="51" t="s">
        <v>49</v>
      </c>
      <c r="F6" s="52">
        <v>16</v>
      </c>
      <c r="G6" s="52" t="s">
        <v>810</v>
      </c>
      <c r="H6" s="52">
        <v>12.166205999999999</v>
      </c>
    </row>
    <row r="7" spans="1:8" x14ac:dyDescent="0.25">
      <c r="B7" s="25" t="s">
        <v>26</v>
      </c>
      <c r="C7" s="27">
        <v>46125</v>
      </c>
      <c r="E7" s="51" t="s">
        <v>53</v>
      </c>
      <c r="F7" s="52">
        <v>37</v>
      </c>
      <c r="G7" s="52" t="s">
        <v>811</v>
      </c>
      <c r="H7" s="52">
        <v>23.917727000000006</v>
      </c>
    </row>
    <row r="8" spans="1:8" x14ac:dyDescent="0.25">
      <c r="B8" s="25" t="s">
        <v>27</v>
      </c>
      <c r="C8" s="27">
        <v>46129</v>
      </c>
      <c r="E8" s="51" t="s">
        <v>54</v>
      </c>
      <c r="F8" s="52">
        <v>4</v>
      </c>
      <c r="G8" s="52" t="s">
        <v>812</v>
      </c>
      <c r="H8" s="52">
        <v>5.1507249999999996</v>
      </c>
    </row>
    <row r="9" spans="1:8" x14ac:dyDescent="0.25">
      <c r="E9" s="51" t="s">
        <v>56</v>
      </c>
      <c r="F9" s="52">
        <v>28</v>
      </c>
      <c r="G9" s="52" t="s">
        <v>813</v>
      </c>
      <c r="H9" s="52">
        <v>11.241985000000001</v>
      </c>
    </row>
    <row r="10" spans="1:8" x14ac:dyDescent="0.25">
      <c r="E10" s="51" t="s">
        <v>60</v>
      </c>
      <c r="F10" s="52">
        <v>17</v>
      </c>
      <c r="G10" s="52" t="s">
        <v>814</v>
      </c>
      <c r="H10" s="52">
        <v>9.6859029999999997</v>
      </c>
    </row>
    <row r="11" spans="1:8" x14ac:dyDescent="0.25">
      <c r="E11" s="51" t="s">
        <v>61</v>
      </c>
      <c r="F11" s="52">
        <v>9</v>
      </c>
      <c r="G11" s="52" t="s">
        <v>815</v>
      </c>
      <c r="H11" s="52">
        <v>8.3751269999999991</v>
      </c>
    </row>
    <row r="12" spans="1:8" x14ac:dyDescent="0.25">
      <c r="A12" s="4"/>
      <c r="B12" s="25"/>
      <c r="E12" s="51" t="s">
        <v>69</v>
      </c>
      <c r="F12" s="52">
        <v>2</v>
      </c>
      <c r="G12" s="52" t="s">
        <v>816</v>
      </c>
      <c r="H12" s="52">
        <v>0.72229200000000005</v>
      </c>
    </row>
    <row r="13" spans="1:8" x14ac:dyDescent="0.25">
      <c r="A13" s="4"/>
      <c r="E13" s="51" t="s">
        <v>77</v>
      </c>
      <c r="F13" s="52">
        <v>1</v>
      </c>
      <c r="G13" s="52" t="s">
        <v>817</v>
      </c>
      <c r="H13" s="52">
        <v>0.77612800000000004</v>
      </c>
    </row>
    <row r="14" spans="1:8" x14ac:dyDescent="0.25">
      <c r="E14" s="51" t="s">
        <v>78</v>
      </c>
      <c r="F14" s="52">
        <v>1</v>
      </c>
      <c r="G14" s="52" t="s">
        <v>818</v>
      </c>
      <c r="H14" s="52">
        <v>0.98637300000000006</v>
      </c>
    </row>
    <row r="15" spans="1:8" x14ac:dyDescent="0.25">
      <c r="E15" s="51" t="s">
        <v>83</v>
      </c>
      <c r="F15" s="52">
        <v>4</v>
      </c>
      <c r="G15" s="52" t="s">
        <v>819</v>
      </c>
      <c r="H15" s="52">
        <v>1.9139900000000001</v>
      </c>
    </row>
    <row r="16" spans="1:8" x14ac:dyDescent="0.25">
      <c r="E16" s="51" t="s">
        <v>91</v>
      </c>
      <c r="F16" s="52">
        <v>1</v>
      </c>
      <c r="G16" s="52" t="s">
        <v>820</v>
      </c>
      <c r="H16" s="52">
        <v>0.93162800000000001</v>
      </c>
    </row>
    <row r="17" spans="5:8" x14ac:dyDescent="0.25">
      <c r="E17" s="51" t="s">
        <v>104</v>
      </c>
      <c r="F17" s="52">
        <v>7</v>
      </c>
      <c r="G17" s="52" t="s">
        <v>821</v>
      </c>
      <c r="H17" s="52">
        <v>9.208202</v>
      </c>
    </row>
    <row r="18" spans="5:8" x14ac:dyDescent="0.25">
      <c r="E18" s="51" t="s">
        <v>108</v>
      </c>
      <c r="F18" s="52">
        <v>253</v>
      </c>
      <c r="G18" s="52" t="s">
        <v>822</v>
      </c>
      <c r="H18" s="52">
        <v>16.555002000000002</v>
      </c>
    </row>
    <row r="19" spans="5:8" x14ac:dyDescent="0.25">
      <c r="E19" s="51" t="s">
        <v>110</v>
      </c>
      <c r="F19" s="52">
        <v>83</v>
      </c>
      <c r="G19" s="52" t="s">
        <v>823</v>
      </c>
      <c r="H19" s="52">
        <v>20.022461999999994</v>
      </c>
    </row>
    <row r="20" spans="5:8" x14ac:dyDescent="0.25">
      <c r="E20" s="51" t="s">
        <v>112</v>
      </c>
      <c r="F20" s="52">
        <v>33</v>
      </c>
      <c r="G20" s="52" t="s">
        <v>824</v>
      </c>
      <c r="H20" s="52">
        <v>34.77319</v>
      </c>
    </row>
    <row r="21" spans="5:8" x14ac:dyDescent="0.25">
      <c r="E21" s="51" t="s">
        <v>116</v>
      </c>
      <c r="F21" s="52">
        <v>11</v>
      </c>
      <c r="G21" s="52" t="s">
        <v>825</v>
      </c>
      <c r="H21" s="52">
        <v>7.9883649999999999</v>
      </c>
    </row>
    <row r="22" spans="5:8" x14ac:dyDescent="0.25">
      <c r="E22" s="51" t="s">
        <v>118</v>
      </c>
      <c r="F22" s="52">
        <v>4</v>
      </c>
      <c r="G22" s="52" t="s">
        <v>826</v>
      </c>
      <c r="H22" s="52">
        <v>4.3767839999999998</v>
      </c>
    </row>
    <row r="23" spans="5:8" x14ac:dyDescent="0.25">
      <c r="E23" s="51" t="s">
        <v>119</v>
      </c>
      <c r="F23" s="52">
        <v>15</v>
      </c>
      <c r="G23" s="52" t="s">
        <v>827</v>
      </c>
      <c r="H23" s="52">
        <v>2.563161</v>
      </c>
    </row>
    <row r="24" spans="5:8" x14ac:dyDescent="0.25">
      <c r="E24" s="51" t="s">
        <v>122</v>
      </c>
      <c r="F24" s="52">
        <v>6</v>
      </c>
      <c r="G24" s="52" t="s">
        <v>828</v>
      </c>
      <c r="H24" s="52">
        <v>6.157</v>
      </c>
    </row>
    <row r="25" spans="5:8" x14ac:dyDescent="0.25">
      <c r="E25" s="51" t="s">
        <v>124</v>
      </c>
      <c r="F25" s="52">
        <v>71</v>
      </c>
      <c r="G25" s="52" t="s">
        <v>829</v>
      </c>
      <c r="H25" s="52">
        <v>34.86477</v>
      </c>
    </row>
    <row r="26" spans="5:8" x14ac:dyDescent="0.25">
      <c r="E26" s="51" t="s">
        <v>128</v>
      </c>
      <c r="F26" s="52">
        <v>6</v>
      </c>
      <c r="G26" s="52" t="s">
        <v>830</v>
      </c>
      <c r="H26" s="52">
        <v>5.6264039999999991</v>
      </c>
    </row>
    <row r="27" spans="5:8" x14ac:dyDescent="0.25">
      <c r="E27" s="51" t="s">
        <v>133</v>
      </c>
      <c r="F27" s="52">
        <v>62</v>
      </c>
      <c r="G27" s="52" t="s">
        <v>831</v>
      </c>
      <c r="H27" s="52">
        <v>57.052983999999995</v>
      </c>
    </row>
    <row r="28" spans="5:8" x14ac:dyDescent="0.25">
      <c r="E28" s="51" t="s">
        <v>134</v>
      </c>
      <c r="F28" s="52">
        <v>3</v>
      </c>
      <c r="G28" s="52" t="s">
        <v>832</v>
      </c>
      <c r="H28" s="52">
        <v>3.411565</v>
      </c>
    </row>
    <row r="29" spans="5:8" x14ac:dyDescent="0.25">
      <c r="E29" s="51" t="s">
        <v>138</v>
      </c>
      <c r="F29" s="52">
        <v>22</v>
      </c>
      <c r="G29" s="52" t="s">
        <v>833</v>
      </c>
      <c r="H29" s="52">
        <v>13.951013999999999</v>
      </c>
    </row>
    <row r="30" spans="5:8" x14ac:dyDescent="0.25">
      <c r="E30" s="51" t="s">
        <v>141</v>
      </c>
      <c r="F30" s="52">
        <v>32</v>
      </c>
      <c r="G30" s="52" t="s">
        <v>834</v>
      </c>
      <c r="H30" s="52">
        <v>23.115235000000002</v>
      </c>
    </row>
    <row r="31" spans="5:8" x14ac:dyDescent="0.25">
      <c r="E31" s="51" t="s">
        <v>144</v>
      </c>
      <c r="F31" s="52">
        <v>46</v>
      </c>
      <c r="G31" s="52" t="s">
        <v>835</v>
      </c>
      <c r="H31" s="52">
        <v>27.292297999999995</v>
      </c>
    </row>
    <row r="32" spans="5:8" x14ac:dyDescent="0.25">
      <c r="E32" s="51" t="s">
        <v>147</v>
      </c>
      <c r="F32" s="52">
        <v>2</v>
      </c>
      <c r="G32" s="52" t="s">
        <v>836</v>
      </c>
      <c r="H32" s="52">
        <v>2.8506879999999999</v>
      </c>
    </row>
    <row r="33" spans="5:8" x14ac:dyDescent="0.25">
      <c r="E33" s="51" t="s">
        <v>158</v>
      </c>
      <c r="F33" s="52">
        <v>40</v>
      </c>
      <c r="G33" s="52" t="s">
        <v>837</v>
      </c>
      <c r="H33" s="52">
        <v>3.4433530000000014</v>
      </c>
    </row>
    <row r="34" spans="5:8" x14ac:dyDescent="0.25">
      <c r="E34" s="51" t="s">
        <v>160</v>
      </c>
      <c r="F34" s="52">
        <v>21</v>
      </c>
      <c r="G34" s="52" t="s">
        <v>838</v>
      </c>
      <c r="H34" s="52">
        <v>8.8978670000000033</v>
      </c>
    </row>
    <row r="35" spans="5:8" x14ac:dyDescent="0.25">
      <c r="E35" s="51" t="s">
        <v>162</v>
      </c>
      <c r="F35" s="52">
        <v>22</v>
      </c>
      <c r="G35" s="52" t="s">
        <v>839</v>
      </c>
      <c r="H35" s="52">
        <v>2.0284220000000004</v>
      </c>
    </row>
    <row r="36" spans="5:8" x14ac:dyDescent="0.25">
      <c r="E36" s="51" t="s">
        <v>166</v>
      </c>
      <c r="F36" s="52">
        <v>94</v>
      </c>
      <c r="G36" s="52" t="s">
        <v>840</v>
      </c>
      <c r="H36" s="52">
        <v>28.360384999999997</v>
      </c>
    </row>
    <row r="37" spans="5:8" x14ac:dyDescent="0.25">
      <c r="E37" s="51" t="s">
        <v>187</v>
      </c>
      <c r="F37" s="52">
        <v>16</v>
      </c>
      <c r="G37" s="52" t="s">
        <v>841</v>
      </c>
      <c r="H37" s="52">
        <v>14.334405</v>
      </c>
    </row>
    <row r="38" spans="5:8" x14ac:dyDescent="0.25">
      <c r="E38" s="51" t="s">
        <v>191</v>
      </c>
      <c r="F38" s="52">
        <v>27</v>
      </c>
      <c r="G38" s="52" t="s">
        <v>842</v>
      </c>
      <c r="H38" s="52">
        <v>0.602163</v>
      </c>
    </row>
    <row r="39" spans="5:8" x14ac:dyDescent="0.25">
      <c r="E39" s="51" t="s">
        <v>195</v>
      </c>
      <c r="F39" s="52">
        <v>6</v>
      </c>
      <c r="G39" s="52" t="s">
        <v>843</v>
      </c>
      <c r="H39" s="52">
        <v>1.8269520000000001</v>
      </c>
    </row>
    <row r="40" spans="5:8" x14ac:dyDescent="0.25">
      <c r="E40" s="51" t="s">
        <v>206</v>
      </c>
      <c r="F40" s="52">
        <v>8</v>
      </c>
      <c r="G40" s="52" t="s">
        <v>844</v>
      </c>
      <c r="H40" s="52">
        <v>5.5196780000000008</v>
      </c>
    </row>
    <row r="41" spans="5:8" x14ac:dyDescent="0.25">
      <c r="E41" s="51" t="s">
        <v>231</v>
      </c>
      <c r="F41" s="52">
        <v>2</v>
      </c>
      <c r="G41" s="52" t="s">
        <v>845</v>
      </c>
      <c r="H41" s="52">
        <v>1.537606</v>
      </c>
    </row>
    <row r="42" spans="5:8" x14ac:dyDescent="0.25">
      <c r="E42" s="51" t="s">
        <v>244</v>
      </c>
      <c r="F42" s="52">
        <v>10</v>
      </c>
      <c r="G42" s="52" t="s">
        <v>846</v>
      </c>
      <c r="H42" s="52">
        <v>5.6344980000000007</v>
      </c>
    </row>
    <row r="43" spans="5:8" x14ac:dyDescent="0.25">
      <c r="E43" s="51" t="s">
        <v>246</v>
      </c>
      <c r="F43" s="52">
        <v>3</v>
      </c>
      <c r="G43" s="52" t="s">
        <v>847</v>
      </c>
      <c r="H43" s="52">
        <v>0.93735099999999982</v>
      </c>
    </row>
    <row r="44" spans="5:8" x14ac:dyDescent="0.25">
      <c r="E44" s="51" t="s">
        <v>261</v>
      </c>
      <c r="F44" s="52">
        <v>1</v>
      </c>
      <c r="G44" s="52" t="s">
        <v>848</v>
      </c>
      <c r="H44" s="52">
        <v>0.53864599999999996</v>
      </c>
    </row>
    <row r="45" spans="5:8" x14ac:dyDescent="0.25">
      <c r="E45" s="51" t="s">
        <v>269</v>
      </c>
      <c r="F45" s="52">
        <v>42</v>
      </c>
      <c r="G45" s="52" t="s">
        <v>849</v>
      </c>
      <c r="H45" s="52">
        <v>3.3763149999999995</v>
      </c>
    </row>
    <row r="46" spans="5:8" x14ac:dyDescent="0.25">
      <c r="E46" s="51" t="s">
        <v>271</v>
      </c>
      <c r="F46" s="52">
        <v>2</v>
      </c>
      <c r="G46" s="52" t="s">
        <v>850</v>
      </c>
      <c r="H46" s="52">
        <v>1.357747</v>
      </c>
    </row>
    <row r="47" spans="5:8" x14ac:dyDescent="0.25">
      <c r="E47" s="51" t="s">
        <v>294</v>
      </c>
      <c r="F47" s="52">
        <v>3</v>
      </c>
      <c r="G47" s="52" t="s">
        <v>851</v>
      </c>
      <c r="H47" s="52">
        <v>0.70891400000000004</v>
      </c>
    </row>
    <row r="48" spans="5:8" x14ac:dyDescent="0.25">
      <c r="E48" s="51" t="s">
        <v>304</v>
      </c>
      <c r="F48" s="52">
        <v>1</v>
      </c>
      <c r="G48" s="52" t="s">
        <v>852</v>
      </c>
      <c r="H48" s="52">
        <v>0.91424399999999995</v>
      </c>
    </row>
    <row r="49" spans="5:8" x14ac:dyDescent="0.25">
      <c r="E49" s="51" t="s">
        <v>309</v>
      </c>
      <c r="F49" s="52">
        <v>8</v>
      </c>
      <c r="G49" s="52" t="s">
        <v>853</v>
      </c>
      <c r="H49" s="52">
        <v>6.7178069999999996</v>
      </c>
    </row>
    <row r="50" spans="5:8" x14ac:dyDescent="0.25">
      <c r="E50" s="51" t="s">
        <v>337</v>
      </c>
      <c r="F50" s="52">
        <v>12</v>
      </c>
      <c r="G50" s="52" t="s">
        <v>854</v>
      </c>
      <c r="H50" s="52">
        <v>1.9539580000000005</v>
      </c>
    </row>
    <row r="51" spans="5:8" x14ac:dyDescent="0.25">
      <c r="E51" s="51" t="s">
        <v>339</v>
      </c>
      <c r="F51" s="52">
        <v>2</v>
      </c>
      <c r="G51" s="52" t="s">
        <v>855</v>
      </c>
      <c r="H51" s="52">
        <v>2.1383989999999997</v>
      </c>
    </row>
    <row r="52" spans="5:8" x14ac:dyDescent="0.25">
      <c r="E52" s="51" t="s">
        <v>346</v>
      </c>
      <c r="F52" s="52">
        <v>1</v>
      </c>
      <c r="G52" s="52" t="s">
        <v>856</v>
      </c>
      <c r="H52" s="52">
        <v>0.51790800000000004</v>
      </c>
    </row>
    <row r="53" spans="5:8" x14ac:dyDescent="0.25">
      <c r="E53" s="51" t="s">
        <v>353</v>
      </c>
      <c r="F53" s="52">
        <v>5</v>
      </c>
      <c r="G53" s="52" t="s">
        <v>857</v>
      </c>
      <c r="H53" s="52">
        <v>4.7991960000000002</v>
      </c>
    </row>
    <row r="54" spans="5:8" x14ac:dyDescent="0.25">
      <c r="E54" s="51" t="s">
        <v>355</v>
      </c>
      <c r="F54" s="52">
        <v>4</v>
      </c>
      <c r="G54" s="52" t="s">
        <v>858</v>
      </c>
      <c r="H54" s="52">
        <v>3.9074390000000001</v>
      </c>
    </row>
    <row r="55" spans="5:8" x14ac:dyDescent="0.25">
      <c r="E55" s="51" t="s">
        <v>363</v>
      </c>
      <c r="F55" s="52">
        <v>1</v>
      </c>
      <c r="G55" s="52" t="s">
        <v>859</v>
      </c>
      <c r="H55" s="52">
        <v>0.116476</v>
      </c>
    </row>
    <row r="56" spans="5:8" x14ac:dyDescent="0.25">
      <c r="E56" s="51" t="s">
        <v>365</v>
      </c>
      <c r="F56" s="52">
        <v>27</v>
      </c>
      <c r="G56" s="52" t="s">
        <v>860</v>
      </c>
      <c r="H56" s="52">
        <v>8.6041349999999994</v>
      </c>
    </row>
    <row r="57" spans="5:8" x14ac:dyDescent="0.25">
      <c r="E57" s="51" t="s">
        <v>367</v>
      </c>
      <c r="F57" s="52">
        <v>1</v>
      </c>
      <c r="G57" s="52" t="s">
        <v>816</v>
      </c>
      <c r="H57" s="52">
        <v>0.81000700000000003</v>
      </c>
    </row>
    <row r="58" spans="5:8" x14ac:dyDescent="0.25">
      <c r="E58" s="51" t="s">
        <v>371</v>
      </c>
      <c r="F58" s="52">
        <v>6</v>
      </c>
      <c r="G58" s="52" t="s">
        <v>861</v>
      </c>
      <c r="H58" s="52">
        <v>4.413748</v>
      </c>
    </row>
    <row r="59" spans="5:8" x14ac:dyDescent="0.25">
      <c r="E59" s="51" t="s">
        <v>377</v>
      </c>
      <c r="F59" s="52">
        <v>1</v>
      </c>
      <c r="G59" s="52" t="s">
        <v>862</v>
      </c>
      <c r="H59" s="52">
        <v>4.3699000000000002E-2</v>
      </c>
    </row>
    <row r="60" spans="5:8" x14ac:dyDescent="0.25">
      <c r="E60" s="51" t="s">
        <v>391</v>
      </c>
      <c r="F60" s="52">
        <v>1</v>
      </c>
      <c r="G60" s="52" t="s">
        <v>863</v>
      </c>
      <c r="H60" s="52">
        <v>1.4632229999999999</v>
      </c>
    </row>
    <row r="61" spans="5:8" x14ac:dyDescent="0.25">
      <c r="E61" s="51" t="s">
        <v>393</v>
      </c>
      <c r="F61" s="52">
        <v>1</v>
      </c>
      <c r="G61" s="52" t="s">
        <v>863</v>
      </c>
      <c r="H61" s="52">
        <v>1.637416</v>
      </c>
    </row>
    <row r="62" spans="5:8" x14ac:dyDescent="0.25">
      <c r="E62" s="51" t="s">
        <v>394</v>
      </c>
      <c r="F62" s="52">
        <v>2</v>
      </c>
      <c r="G62" s="52" t="s">
        <v>864</v>
      </c>
      <c r="H62" s="52">
        <v>3.6024700000000003</v>
      </c>
    </row>
    <row r="63" spans="5:8" x14ac:dyDescent="0.25">
      <c r="E63" s="51" t="s">
        <v>438</v>
      </c>
      <c r="F63" s="52">
        <v>2</v>
      </c>
      <c r="G63" s="52" t="s">
        <v>865</v>
      </c>
      <c r="H63" s="52">
        <v>2.2092779999999999</v>
      </c>
    </row>
    <row r="64" spans="5:8" x14ac:dyDescent="0.25">
      <c r="E64" s="51" t="s">
        <v>452</v>
      </c>
      <c r="F64" s="52">
        <v>2</v>
      </c>
      <c r="G64" s="52" t="s">
        <v>866</v>
      </c>
      <c r="H64" s="52">
        <v>2.6601539999999999</v>
      </c>
    </row>
    <row r="65" spans="5:8" x14ac:dyDescent="0.25">
      <c r="E65" s="51" t="s">
        <v>465</v>
      </c>
      <c r="F65" s="52">
        <v>15</v>
      </c>
      <c r="G65" s="52" t="s">
        <v>867</v>
      </c>
      <c r="H65" s="52">
        <v>0.76579200000000003</v>
      </c>
    </row>
    <row r="66" spans="5:8" x14ac:dyDescent="0.25">
      <c r="E66" s="51" t="s">
        <v>500</v>
      </c>
      <c r="F66" s="52">
        <v>1</v>
      </c>
      <c r="G66" s="52" t="s">
        <v>868</v>
      </c>
      <c r="H66" s="52">
        <v>0.185306</v>
      </c>
    </row>
    <row r="67" spans="5:8" x14ac:dyDescent="0.25">
      <c r="E67" s="51" t="s">
        <v>517</v>
      </c>
      <c r="F67" s="52">
        <v>29</v>
      </c>
      <c r="G67" s="52" t="s">
        <v>869</v>
      </c>
      <c r="H67" s="52">
        <v>1.9627740000000009</v>
      </c>
    </row>
    <row r="68" spans="5:8" x14ac:dyDescent="0.25">
      <c r="E68" s="51" t="s">
        <v>550</v>
      </c>
      <c r="F68" s="52">
        <v>1</v>
      </c>
      <c r="G68" s="52" t="s">
        <v>870</v>
      </c>
      <c r="H68" s="52">
        <v>3.7834E-2</v>
      </c>
    </row>
    <row r="69" spans="5:8" x14ac:dyDescent="0.25">
      <c r="E69" s="51" t="s">
        <v>599</v>
      </c>
      <c r="F69" s="52">
        <v>1</v>
      </c>
      <c r="G69" s="52" t="s">
        <v>871</v>
      </c>
      <c r="H69" s="52">
        <v>2.0471879999999998</v>
      </c>
    </row>
    <row r="70" spans="5:8" x14ac:dyDescent="0.25">
      <c r="E70" s="51" t="s">
        <v>665</v>
      </c>
      <c r="F70" s="52">
        <v>1</v>
      </c>
      <c r="G70" s="52" t="s">
        <v>872</v>
      </c>
      <c r="H70" s="52">
        <v>0.623</v>
      </c>
    </row>
    <row r="71" spans="5:8" x14ac:dyDescent="0.25">
      <c r="E71" s="51" t="s">
        <v>668</v>
      </c>
      <c r="F71" s="52">
        <v>4</v>
      </c>
      <c r="G71" s="52" t="s">
        <v>873</v>
      </c>
      <c r="H71" s="52">
        <v>6.5619690000000004</v>
      </c>
    </row>
    <row r="72" spans="5:8" x14ac:dyDescent="0.25">
      <c r="E72" s="51" t="s">
        <v>675</v>
      </c>
      <c r="F72" s="52">
        <v>1</v>
      </c>
      <c r="G72" s="52" t="s">
        <v>874</v>
      </c>
      <c r="H72" s="52">
        <v>1.4385810000000001</v>
      </c>
    </row>
    <row r="73" spans="5:8" x14ac:dyDescent="0.25">
      <c r="E73" s="51" t="s">
        <v>699</v>
      </c>
      <c r="F73" s="52">
        <v>1</v>
      </c>
      <c r="G73" s="52" t="s">
        <v>875</v>
      </c>
      <c r="H73" s="52">
        <v>5.6749000000000001E-2</v>
      </c>
    </row>
    <row r="74" spans="5:8" x14ac:dyDescent="0.25">
      <c r="E74" s="51" t="s">
        <v>708</v>
      </c>
      <c r="F74" s="52">
        <v>2</v>
      </c>
      <c r="G74" s="52" t="s">
        <v>876</v>
      </c>
      <c r="H74" s="52">
        <v>0.84470699999999999</v>
      </c>
    </row>
    <row r="75" spans="5:8" x14ac:dyDescent="0.25">
      <c r="E75" s="51" t="s">
        <v>710</v>
      </c>
      <c r="F75" s="52">
        <v>5</v>
      </c>
      <c r="G75" s="52" t="s">
        <v>877</v>
      </c>
      <c r="H75" s="52">
        <v>2.0515680000000001</v>
      </c>
    </row>
    <row r="76" spans="5:8" x14ac:dyDescent="0.25">
      <c r="E76" s="51" t="s">
        <v>726</v>
      </c>
      <c r="F76" s="52">
        <v>3</v>
      </c>
      <c r="G76" s="52" t="s">
        <v>878</v>
      </c>
      <c r="H76" s="52">
        <v>1.7012529999999999</v>
      </c>
    </row>
  </sheetData>
  <printOptions horizontalCentered="1"/>
  <pageMargins left="0.4" right="0.4" top="0.6" bottom="0.6" header="0.3" footer="0.3"/>
  <pageSetup paperSize="9" scale="97" fitToHeight="0" orientation="portrait" horizontalDpi="0" verticalDpi="0" r:id="rId1"/>
  <headerFooter>
    <oddHeader>&amp;C&amp;G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MultiplyValues_AllSheets_And_Summary">
                <anchor moveWithCells="1" sizeWithCells="1">
                  <from>
                    <xdr:col>12</xdr:col>
                    <xdr:colOff>38100</xdr:colOff>
                    <xdr:row>4</xdr:row>
                    <xdr:rowOff>171450</xdr:rowOff>
                  </from>
                  <to>
                    <xdr:col>13</xdr:col>
                    <xdr:colOff>438150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7.Run_Transpose_And_Clean">
                <anchor moveWithCells="1" sizeWithCells="1">
                  <from>
                    <xdr:col>12</xdr:col>
                    <xdr:colOff>47625</xdr:colOff>
                    <xdr:row>2</xdr:row>
                    <xdr:rowOff>152400</xdr:rowOff>
                  </from>
                  <to>
                    <xdr:col>13</xdr:col>
                    <xdr:colOff>447675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eet1.CombineTypeCountsWeightLength_Styled">
                <anchor moveWithCells="1" sizeWithCells="1">
                  <from>
                    <xdr:col>12</xdr:col>
                    <xdr:colOff>38100</xdr:colOff>
                    <xdr:row>7</xdr:row>
                    <xdr:rowOff>0</xdr:rowOff>
                  </from>
                  <to>
                    <xdr:col>13</xdr:col>
                    <xdr:colOff>438150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15"/>
  <sheetViews>
    <sheetView showGridLines="0" topLeftCell="A2" workbookViewId="0">
      <selection activeCell="C37" sqref="C37"/>
    </sheetView>
  </sheetViews>
  <sheetFormatPr defaultRowHeight="15" x14ac:dyDescent="0.25"/>
  <cols>
    <col min="1" max="1" width="19.140625" bestFit="1" customWidth="1"/>
    <col min="2" max="2" width="7.5703125" bestFit="1" customWidth="1"/>
    <col min="3" max="3" width="6.140625" bestFit="1" customWidth="1"/>
    <col min="4" max="4" width="6.28515625" bestFit="1" customWidth="1"/>
    <col min="5" max="5" width="4.85546875" bestFit="1" customWidth="1"/>
    <col min="6" max="6" width="5.5703125" bestFit="1" customWidth="1"/>
  </cols>
  <sheetData>
    <row r="1" spans="1:6" x14ac:dyDescent="0.25">
      <c r="A1">
        <f>[1]IFS!A2</f>
        <v>0</v>
      </c>
      <c r="B1" t="str">
        <f>[1]IFS!B2</f>
        <v>Per Ton</v>
      </c>
      <c r="C1" t="str">
        <f>[1]IFS!C2</f>
        <v>Count</v>
      </c>
      <c r="D1" t="str">
        <f>[1]IFS!D2</f>
        <v>Hours</v>
      </c>
      <c r="E1" t="str">
        <f>[1]IFS!E2</f>
        <v>Rate</v>
      </c>
      <c r="F1" t="str">
        <f>[1]IFS!F2</f>
        <v>Ratio</v>
      </c>
    </row>
    <row r="2" spans="1:6" x14ac:dyDescent="0.25">
      <c r="A2" t="str">
        <f>[1]IFS!A3</f>
        <v>GPR</v>
      </c>
      <c r="B2">
        <f>[1]IFS!B3</f>
        <v>11</v>
      </c>
      <c r="C2">
        <f>[1]IFS!C3</f>
        <v>0</v>
      </c>
      <c r="D2">
        <f>[1]IFS!D3</f>
        <v>0</v>
      </c>
      <c r="E2">
        <f>[1]IFS!E3</f>
        <v>0</v>
      </c>
      <c r="F2">
        <f>[1]IFS!F3</f>
        <v>0</v>
      </c>
    </row>
    <row r="3" spans="1:6" x14ac:dyDescent="0.25">
      <c r="A3" t="str">
        <f>[1]IFS!A4</f>
        <v>Consumables</v>
      </c>
      <c r="B3">
        <f>[1]IFS!B4</f>
        <v>7.4999999999999997E-2</v>
      </c>
      <c r="C3">
        <f>[1]IFS!C4</f>
        <v>0</v>
      </c>
      <c r="D3">
        <f>[1]IFS!D4</f>
        <v>0</v>
      </c>
      <c r="E3">
        <f>[1]IFS!E4</f>
        <v>0</v>
      </c>
      <c r="F3">
        <f>[1]IFS!F4</f>
        <v>0</v>
      </c>
    </row>
    <row r="4" spans="1:6" x14ac:dyDescent="0.25">
      <c r="A4" t="str">
        <f>[1]IFS!A5</f>
        <v>PE Stamp</v>
      </c>
      <c r="B4">
        <f>[1]IFS!B5</f>
        <v>21</v>
      </c>
      <c r="C4">
        <f>[1]IFS!C5</f>
        <v>0</v>
      </c>
      <c r="D4">
        <f>[1]IFS!D5</f>
        <v>0</v>
      </c>
      <c r="E4">
        <f>[1]IFS!E5</f>
        <v>0</v>
      </c>
      <c r="F4">
        <f>[1]IFS!F5</f>
        <v>0</v>
      </c>
    </row>
    <row r="5" spans="1:6" x14ac:dyDescent="0.25">
      <c r="A5" t="str">
        <f>[1]IFS!A6</f>
        <v>ENG - DWG</v>
      </c>
      <c r="B5">
        <f>[1]IFS!B6</f>
        <v>90</v>
      </c>
      <c r="C5">
        <f>[1]IFS!C6</f>
        <v>1</v>
      </c>
      <c r="D5">
        <f>[1]IFS!D6</f>
        <v>8</v>
      </c>
      <c r="E5">
        <f>[1]IFS!E6</f>
        <v>75</v>
      </c>
      <c r="F5">
        <f>[1]IFS!F6</f>
        <v>0.15</v>
      </c>
    </row>
    <row r="6" spans="1:6" x14ac:dyDescent="0.25">
      <c r="A6" t="str">
        <f>[1]IFS!A7</f>
        <v>ENG - Field</v>
      </c>
      <c r="B6">
        <f>[1]IFS!B7</f>
        <v>45</v>
      </c>
      <c r="C6">
        <f>[1]IFS!C7</f>
        <v>1</v>
      </c>
      <c r="D6">
        <f>[1]IFS!D7</f>
        <v>2</v>
      </c>
      <c r="E6">
        <f>[1]IFS!E7</f>
        <v>75</v>
      </c>
      <c r="F6">
        <f>[1]IFS!F7</f>
        <v>0.3</v>
      </c>
    </row>
    <row r="7" spans="1:6" x14ac:dyDescent="0.25">
      <c r="A7" t="str">
        <f>[1]IFS!A8</f>
        <v>Fabrication</v>
      </c>
      <c r="B7">
        <f>[1]IFS!B8</f>
        <v>576</v>
      </c>
      <c r="C7">
        <f>[1]IFS!C8</f>
        <v>3</v>
      </c>
      <c r="D7">
        <f>[1]IFS!D8</f>
        <v>8</v>
      </c>
      <c r="E7">
        <f>[1]IFS!E8</f>
        <v>60</v>
      </c>
      <c r="F7">
        <f>[1]IFS!F8</f>
        <v>0.4</v>
      </c>
    </row>
    <row r="8" spans="1:6" x14ac:dyDescent="0.25">
      <c r="A8" t="str">
        <f>[1]IFS!A9</f>
        <v>Installation (3men)</v>
      </c>
      <c r="B8">
        <f>[1]IFS!B9</f>
        <v>540</v>
      </c>
      <c r="C8">
        <f>[1]IFS!C9</f>
        <v>3</v>
      </c>
      <c r="D8">
        <f>[1]IFS!D9</f>
        <v>8</v>
      </c>
      <c r="E8">
        <f>[1]IFS!E9</f>
        <v>75</v>
      </c>
      <c r="F8">
        <f>[1]IFS!F9</f>
        <v>0.3</v>
      </c>
    </row>
    <row r="9" spans="1:6" x14ac:dyDescent="0.25">
      <c r="A9" t="str">
        <f>[1]IFS!A10</f>
        <v>Installation (4men)</v>
      </c>
      <c r="B9">
        <f>[1]IFS!B10</f>
        <v>360</v>
      </c>
      <c r="C9">
        <f>[1]IFS!C10</f>
        <v>4</v>
      </c>
      <c r="D9">
        <f>[1]IFS!D10</f>
        <v>8</v>
      </c>
      <c r="E9">
        <f>[1]IFS!E10</f>
        <v>75</v>
      </c>
      <c r="F9">
        <f>[1]IFS!F10</f>
        <v>0.15</v>
      </c>
    </row>
    <row r="10" spans="1:6" x14ac:dyDescent="0.25">
      <c r="A10" t="str">
        <f>[1]IFS!A11</f>
        <v>Composite Clean-up</v>
      </c>
      <c r="B10">
        <f>[1]IFS!B11</f>
        <v>16</v>
      </c>
      <c r="C10">
        <f>[1]IFS!C11</f>
        <v>1</v>
      </c>
      <c r="D10">
        <f>[1]IFS!D11</f>
        <v>8</v>
      </c>
      <c r="E10">
        <f>[1]IFS!E11</f>
        <v>50</v>
      </c>
      <c r="F10">
        <f>[1]IFS!F11</f>
        <v>0.04</v>
      </c>
    </row>
    <row r="11" spans="1:6" x14ac:dyDescent="0.25">
      <c r="A11" t="str">
        <f>[1]IFS!A12</f>
        <v>Delivery</v>
      </c>
      <c r="B11">
        <f>[1]IFS!B12</f>
        <v>71</v>
      </c>
      <c r="C11">
        <f>[1]IFS!C12</f>
        <v>0</v>
      </c>
      <c r="D11">
        <f>[1]IFS!D12</f>
        <v>0</v>
      </c>
      <c r="E11">
        <f>[1]IFS!E12</f>
        <v>0</v>
      </c>
      <c r="F11">
        <f>[1]IFS!F12</f>
        <v>0</v>
      </c>
    </row>
    <row r="12" spans="1:6" x14ac:dyDescent="0.25">
      <c r="A12" t="str">
        <f>[1]IFS!A13</f>
        <v>Rental</v>
      </c>
      <c r="B12">
        <f>[1]IFS!B13</f>
        <v>104</v>
      </c>
      <c r="C12">
        <f>[1]IFS!C13</f>
        <v>0</v>
      </c>
      <c r="D12">
        <f>[1]IFS!D13</f>
        <v>0</v>
      </c>
      <c r="E12">
        <f>[1]IFS!E13</f>
        <v>0</v>
      </c>
      <c r="F12">
        <f>[1]IFS!F13</f>
        <v>0</v>
      </c>
    </row>
    <row r="13" spans="1:6" x14ac:dyDescent="0.25">
      <c r="A13" t="str">
        <f>[1]IFS!A14</f>
        <v>Crane</v>
      </c>
      <c r="B13">
        <f>[1]IFS!B14</f>
        <v>185</v>
      </c>
      <c r="C13">
        <f>[1]IFS!C14</f>
        <v>0</v>
      </c>
      <c r="D13">
        <f>[1]IFS!D14</f>
        <v>0</v>
      </c>
      <c r="E13">
        <f>[1]IFS!E14</f>
        <v>0</v>
      </c>
      <c r="F13">
        <f>[1]IFS!F14</f>
        <v>0</v>
      </c>
    </row>
    <row r="14" spans="1:6" x14ac:dyDescent="0.25">
      <c r="A14" t="str">
        <f>[1]IFS!A15</f>
        <v>Mobilization</v>
      </c>
      <c r="B14">
        <f>[1]IFS!B15</f>
        <v>57</v>
      </c>
      <c r="C14">
        <f>[1]IFS!C15</f>
        <v>0</v>
      </c>
      <c r="D14">
        <f>[1]IFS!D15</f>
        <v>0</v>
      </c>
      <c r="E14">
        <f>[1]IFS!E15</f>
        <v>0</v>
      </c>
      <c r="F14">
        <f>[1]IFS!F15</f>
        <v>0</v>
      </c>
    </row>
    <row r="15" spans="1:6" x14ac:dyDescent="0.25">
      <c r="A15" t="str">
        <f>[1]IFS!A16</f>
        <v>Compliance</v>
      </c>
      <c r="B15">
        <f>[1]IFS!B16</f>
        <v>300</v>
      </c>
      <c r="C15">
        <f>[1]IFS!C16</f>
        <v>1</v>
      </c>
      <c r="D15">
        <f>[1]IFS!D16</f>
        <v>8</v>
      </c>
      <c r="E15">
        <f>[1]IFS!E16</f>
        <v>75</v>
      </c>
      <c r="F15">
        <f>[1]IFS!F16</f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D135"/>
  <sheetViews>
    <sheetView showGridLines="0" workbookViewId="0">
      <selection activeCell="L86" sqref="L86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14.42578125" bestFit="1" customWidth="1"/>
    <col min="7" max="7" width="16.42578125" style="16" customWidth="1"/>
    <col min="8" max="8" width="14.28515625" style="16" customWidth="1"/>
    <col min="10" max="10" width="12.7109375" customWidth="1"/>
    <col min="11" max="11" width="15.85546875" customWidth="1"/>
    <col min="12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8" max="28" width="10.140625" bestFit="1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28</v>
      </c>
    </row>
    <row r="5" spans="2:30" x14ac:dyDescent="0.25">
      <c r="B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 t="s">
        <v>39</v>
      </c>
      <c r="J5" t="s">
        <v>40</v>
      </c>
      <c r="K5" t="s">
        <v>41</v>
      </c>
      <c r="L5" t="s">
        <v>798</v>
      </c>
      <c r="M5" t="s">
        <v>799</v>
      </c>
      <c r="N5" t="s">
        <v>800</v>
      </c>
      <c r="O5" t="s">
        <v>801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G6"/>
      <c r="H6"/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42</v>
      </c>
      <c r="C7" t="s">
        <v>43</v>
      </c>
      <c r="D7" t="s">
        <v>44</v>
      </c>
      <c r="E7" s="35">
        <v>1.8</v>
      </c>
      <c r="F7" s="35">
        <v>23.34</v>
      </c>
      <c r="G7" s="36">
        <v>0.16338</v>
      </c>
      <c r="H7" s="18">
        <v>588.16800000000001</v>
      </c>
      <c r="I7" s="16" t="s">
        <v>45</v>
      </c>
      <c r="J7" s="16">
        <v>0</v>
      </c>
      <c r="K7" s="16"/>
      <c r="L7" s="37"/>
      <c r="M7" s="37"/>
      <c r="N7" s="37"/>
      <c r="O7" s="37"/>
      <c r="P7" s="37"/>
      <c r="Q7" s="18">
        <v>1.79718</v>
      </c>
      <c r="R7" s="18">
        <v>1.2253499999999999E-2</v>
      </c>
      <c r="S7" s="18">
        <v>3.4309799999999999</v>
      </c>
      <c r="T7" s="18">
        <v>14.7042</v>
      </c>
      <c r="U7" s="18">
        <v>7.3521000000000001</v>
      </c>
      <c r="V7" s="18">
        <v>94.106880000000004</v>
      </c>
      <c r="W7" s="18">
        <v>88.225200000000001</v>
      </c>
      <c r="X7" s="18">
        <v>58.816800000000001</v>
      </c>
      <c r="Y7" s="18">
        <v>2.61408</v>
      </c>
      <c r="Z7" s="18">
        <v>11.59998</v>
      </c>
      <c r="AA7" s="18">
        <v>16.991520000000001</v>
      </c>
      <c r="AB7" s="18">
        <v>30.225300000000001</v>
      </c>
      <c r="AC7" s="18">
        <v>9.3126599999999993</v>
      </c>
      <c r="AD7" s="18">
        <v>49.013999999999996</v>
      </c>
    </row>
    <row r="8" spans="2:30" x14ac:dyDescent="0.25">
      <c r="B8" t="s">
        <v>42</v>
      </c>
      <c r="C8" t="s">
        <v>43</v>
      </c>
      <c r="D8" t="s">
        <v>44</v>
      </c>
      <c r="E8" s="35">
        <v>1.8</v>
      </c>
      <c r="F8" s="35">
        <v>23.34</v>
      </c>
      <c r="G8" s="36">
        <v>0.16338</v>
      </c>
      <c r="H8" s="18">
        <v>588.16800000000001</v>
      </c>
      <c r="I8" s="16" t="s">
        <v>45</v>
      </c>
      <c r="J8" s="16">
        <v>1</v>
      </c>
      <c r="K8" s="16"/>
      <c r="L8" s="37"/>
      <c r="M8" s="37"/>
      <c r="N8" s="37"/>
      <c r="O8" s="37"/>
      <c r="P8" s="37"/>
      <c r="Q8" s="18">
        <v>1.79718</v>
      </c>
      <c r="R8" s="18">
        <v>1.2253499999999999E-2</v>
      </c>
      <c r="S8" s="18">
        <v>3.4309799999999999</v>
      </c>
      <c r="T8" s="18">
        <v>14.7042</v>
      </c>
      <c r="U8" s="18">
        <v>7.3521000000000001</v>
      </c>
      <c r="V8" s="18">
        <v>94.106880000000004</v>
      </c>
      <c r="W8" s="18">
        <v>88.225200000000001</v>
      </c>
      <c r="X8" s="18">
        <v>58.816800000000001</v>
      </c>
      <c r="Y8" s="18">
        <v>2.61408</v>
      </c>
      <c r="Z8" s="18">
        <v>11.59998</v>
      </c>
      <c r="AA8" s="18">
        <v>16.991520000000001</v>
      </c>
      <c r="AB8" s="18">
        <v>30.225300000000001</v>
      </c>
      <c r="AC8" s="18">
        <v>9.3126599999999993</v>
      </c>
      <c r="AD8" s="18">
        <v>49.013999999999996</v>
      </c>
    </row>
    <row r="9" spans="2:30" x14ac:dyDescent="0.25">
      <c r="B9" t="s">
        <v>42</v>
      </c>
      <c r="C9" t="s">
        <v>43</v>
      </c>
      <c r="D9" t="s">
        <v>44</v>
      </c>
      <c r="E9" s="35">
        <v>1.8</v>
      </c>
      <c r="F9" s="35">
        <v>23.34</v>
      </c>
      <c r="G9" s="36">
        <v>0.16338</v>
      </c>
      <c r="H9" s="18">
        <v>588.16800000000001</v>
      </c>
      <c r="I9" s="16" t="s">
        <v>45</v>
      </c>
      <c r="J9" s="16">
        <v>2</v>
      </c>
      <c r="K9" s="16"/>
      <c r="L9" s="37"/>
      <c r="M9" s="37"/>
      <c r="N9" s="37"/>
      <c r="O9" s="37"/>
      <c r="P9" s="37"/>
      <c r="Q9" s="18">
        <v>1.79718</v>
      </c>
      <c r="R9" s="18">
        <v>1.2253499999999999E-2</v>
      </c>
      <c r="S9" s="18">
        <v>3.4309799999999999</v>
      </c>
      <c r="T9" s="18">
        <v>14.7042</v>
      </c>
      <c r="U9" s="18">
        <v>7.3521000000000001</v>
      </c>
      <c r="V9" s="18">
        <v>94.106880000000004</v>
      </c>
      <c r="W9" s="18">
        <v>88.225200000000001</v>
      </c>
      <c r="X9" s="18">
        <v>58.816800000000001</v>
      </c>
      <c r="Y9" s="18">
        <v>2.61408</v>
      </c>
      <c r="Z9" s="18">
        <v>11.59998</v>
      </c>
      <c r="AA9" s="18">
        <v>16.991520000000001</v>
      </c>
      <c r="AB9" s="18">
        <v>30.225300000000001</v>
      </c>
      <c r="AC9" s="18">
        <v>9.3126599999999993</v>
      </c>
      <c r="AD9" s="18">
        <v>49.013999999999996</v>
      </c>
    </row>
    <row r="10" spans="2:30" x14ac:dyDescent="0.25">
      <c r="B10" t="s">
        <v>42</v>
      </c>
      <c r="C10" t="s">
        <v>43</v>
      </c>
      <c r="D10" t="s">
        <v>44</v>
      </c>
      <c r="E10" s="35">
        <v>1.8</v>
      </c>
      <c r="F10" s="35">
        <v>23.34</v>
      </c>
      <c r="G10" s="36">
        <v>0.16338</v>
      </c>
      <c r="H10" s="18">
        <v>588.16800000000001</v>
      </c>
      <c r="I10" s="16" t="s">
        <v>45</v>
      </c>
      <c r="J10" s="16">
        <v>3</v>
      </c>
      <c r="K10" s="16"/>
      <c r="L10" s="37"/>
      <c r="M10" s="37"/>
      <c r="N10" s="37"/>
      <c r="O10" s="37"/>
      <c r="P10" s="37"/>
      <c r="Q10" s="18">
        <v>1.79718</v>
      </c>
      <c r="R10" s="18">
        <v>1.2253499999999999E-2</v>
      </c>
      <c r="S10" s="18">
        <v>3.4309799999999999</v>
      </c>
      <c r="T10" s="18">
        <v>14.7042</v>
      </c>
      <c r="U10" s="18">
        <v>7.3521000000000001</v>
      </c>
      <c r="V10" s="18">
        <v>94.106880000000004</v>
      </c>
      <c r="W10" s="18">
        <v>88.225200000000001</v>
      </c>
      <c r="X10" s="18">
        <v>58.816800000000001</v>
      </c>
      <c r="Y10" s="18">
        <v>2.61408</v>
      </c>
      <c r="Z10" s="18">
        <v>11.59998</v>
      </c>
      <c r="AA10" s="18">
        <v>16.991520000000001</v>
      </c>
      <c r="AB10" s="18">
        <v>30.225300000000001</v>
      </c>
      <c r="AC10" s="18">
        <v>9.3126599999999993</v>
      </c>
      <c r="AD10" s="18">
        <v>49.013999999999996</v>
      </c>
    </row>
    <row r="11" spans="2:30" x14ac:dyDescent="0.25">
      <c r="B11" t="s">
        <v>42</v>
      </c>
      <c r="C11" t="s">
        <v>43</v>
      </c>
      <c r="D11" t="s">
        <v>44</v>
      </c>
      <c r="E11" s="35">
        <v>1.8</v>
      </c>
      <c r="F11" s="35">
        <v>23.34</v>
      </c>
      <c r="G11" s="36">
        <v>0.16338</v>
      </c>
      <c r="H11" s="18">
        <v>588.16800000000001</v>
      </c>
      <c r="I11" s="16" t="s">
        <v>45</v>
      </c>
      <c r="J11" s="16">
        <v>4</v>
      </c>
      <c r="K11" s="16"/>
      <c r="L11" s="37"/>
      <c r="M11" s="37"/>
      <c r="N11" s="37"/>
      <c r="O11" s="37"/>
      <c r="P11" s="37"/>
      <c r="Q11" s="18">
        <v>1.79718</v>
      </c>
      <c r="R11" s="18">
        <v>1.2253499999999999E-2</v>
      </c>
      <c r="S11" s="18">
        <v>3.4309799999999999</v>
      </c>
      <c r="T11" s="18">
        <v>14.7042</v>
      </c>
      <c r="U11" s="18">
        <v>7.3521000000000001</v>
      </c>
      <c r="V11" s="18">
        <v>94.106880000000004</v>
      </c>
      <c r="W11" s="18">
        <v>88.225200000000001</v>
      </c>
      <c r="X11" s="18">
        <v>58.816800000000001</v>
      </c>
      <c r="Y11" s="18">
        <v>2.61408</v>
      </c>
      <c r="Z11" s="18">
        <v>11.59998</v>
      </c>
      <c r="AA11" s="18">
        <v>16.991520000000001</v>
      </c>
      <c r="AB11" s="18">
        <v>30.225300000000001</v>
      </c>
      <c r="AC11" s="18">
        <v>9.3126599999999993</v>
      </c>
      <c r="AD11" s="18">
        <v>49.013999999999996</v>
      </c>
    </row>
    <row r="12" spans="2:30" x14ac:dyDescent="0.25">
      <c r="B12" t="s">
        <v>42</v>
      </c>
      <c r="C12" t="s">
        <v>43</v>
      </c>
      <c r="D12" t="s">
        <v>44</v>
      </c>
      <c r="E12" s="35">
        <v>1.8</v>
      </c>
      <c r="F12" s="35">
        <v>23.34</v>
      </c>
      <c r="G12" s="36">
        <v>0.16338</v>
      </c>
      <c r="H12" s="18">
        <v>588.16800000000001</v>
      </c>
      <c r="I12" s="16" t="s">
        <v>45</v>
      </c>
      <c r="J12" s="16">
        <v>5</v>
      </c>
      <c r="K12" s="16"/>
      <c r="L12" s="37"/>
      <c r="M12" s="37"/>
      <c r="N12" s="37"/>
      <c r="O12" s="37"/>
      <c r="P12" s="37"/>
      <c r="Q12" s="18">
        <v>1.79718</v>
      </c>
      <c r="R12" s="18">
        <v>1.2253499999999999E-2</v>
      </c>
      <c r="S12" s="18">
        <v>3.4309799999999999</v>
      </c>
      <c r="T12" s="18">
        <v>14.7042</v>
      </c>
      <c r="U12" s="18">
        <v>7.3521000000000001</v>
      </c>
      <c r="V12" s="18">
        <v>94.106880000000004</v>
      </c>
      <c r="W12" s="18">
        <v>88.225200000000001</v>
      </c>
      <c r="X12" s="18">
        <v>58.816800000000001</v>
      </c>
      <c r="Y12" s="18">
        <v>2.61408</v>
      </c>
      <c r="Z12" s="18">
        <v>11.59998</v>
      </c>
      <c r="AA12" s="18">
        <v>16.991520000000001</v>
      </c>
      <c r="AB12" s="18">
        <v>30.225300000000001</v>
      </c>
      <c r="AC12" s="18">
        <v>9.3126599999999993</v>
      </c>
      <c r="AD12" s="18">
        <v>49.013999999999996</v>
      </c>
    </row>
    <row r="13" spans="2:30" x14ac:dyDescent="0.25">
      <c r="B13" t="s">
        <v>47</v>
      </c>
      <c r="C13" t="s">
        <v>43</v>
      </c>
      <c r="D13" t="s">
        <v>44</v>
      </c>
      <c r="E13" s="35">
        <v>1.8</v>
      </c>
      <c r="F13" s="35">
        <v>27.59</v>
      </c>
      <c r="G13" s="36">
        <v>0.19313</v>
      </c>
      <c r="H13" s="18">
        <v>695.26800000000003</v>
      </c>
      <c r="I13" s="16" t="s">
        <v>45</v>
      </c>
      <c r="J13" s="16">
        <v>6</v>
      </c>
      <c r="K13" s="16"/>
      <c r="L13" s="37"/>
      <c r="M13" s="37"/>
      <c r="N13" s="37"/>
      <c r="O13" s="37"/>
      <c r="P13" s="37"/>
      <c r="Q13" s="18">
        <v>2.1244299999999998</v>
      </c>
      <c r="R13" s="18">
        <v>1.4484749999999999E-2</v>
      </c>
      <c r="S13" s="18">
        <v>4.0557299999999996</v>
      </c>
      <c r="T13" s="18">
        <v>17.381699999999999</v>
      </c>
      <c r="U13" s="18">
        <v>8.6908499999999993</v>
      </c>
      <c r="V13" s="18">
        <v>111.24288</v>
      </c>
      <c r="W13" s="18">
        <v>104.2902</v>
      </c>
      <c r="X13" s="18">
        <v>69.526799999999994</v>
      </c>
      <c r="Y13" s="18">
        <v>3.0900799999999999</v>
      </c>
      <c r="Z13" s="18">
        <v>13.71223</v>
      </c>
      <c r="AA13" s="18">
        <v>20.085519999999999</v>
      </c>
      <c r="AB13" s="18">
        <v>35.729050000000001</v>
      </c>
      <c r="AC13" s="18">
        <v>11.00841</v>
      </c>
      <c r="AD13" s="18">
        <v>57.939</v>
      </c>
    </row>
    <row r="14" spans="2:30" x14ac:dyDescent="0.25">
      <c r="B14" t="s">
        <v>48</v>
      </c>
      <c r="C14" t="s">
        <v>43</v>
      </c>
      <c r="D14" t="s">
        <v>44</v>
      </c>
      <c r="E14" s="35">
        <v>1.8</v>
      </c>
      <c r="F14" s="35">
        <v>22.37</v>
      </c>
      <c r="G14" s="36">
        <v>0.15659000000000001</v>
      </c>
      <c r="H14" s="18">
        <v>563.72400000000005</v>
      </c>
      <c r="I14" s="16" t="s">
        <v>45</v>
      </c>
      <c r="J14" s="16">
        <v>7</v>
      </c>
      <c r="K14" s="16"/>
      <c r="L14" s="37"/>
      <c r="M14" s="37"/>
      <c r="N14" s="37"/>
      <c r="O14" s="37"/>
      <c r="P14" s="37"/>
      <c r="Q14" s="18">
        <v>1.7224900000000001</v>
      </c>
      <c r="R14" s="18">
        <v>1.1744249999999999E-2</v>
      </c>
      <c r="S14" s="18">
        <v>3.2883900000000001</v>
      </c>
      <c r="T14" s="18">
        <v>14.0931</v>
      </c>
      <c r="U14" s="18">
        <v>7.0465499999999999</v>
      </c>
      <c r="V14" s="18">
        <v>90.195840000000004</v>
      </c>
      <c r="W14" s="18">
        <v>84.558599999999998</v>
      </c>
      <c r="X14" s="18">
        <v>56.372399999999999</v>
      </c>
      <c r="Y14" s="18">
        <v>2.5054400000000001</v>
      </c>
      <c r="Z14" s="18">
        <v>11.117890000000001</v>
      </c>
      <c r="AA14" s="18">
        <v>16.285360000000001</v>
      </c>
      <c r="AB14" s="18">
        <v>28.969150000000003</v>
      </c>
      <c r="AC14" s="18">
        <v>8.92563</v>
      </c>
      <c r="AD14" s="18">
        <v>46.977000000000004</v>
      </c>
    </row>
    <row r="15" spans="2:30" x14ac:dyDescent="0.25">
      <c r="B15" t="s">
        <v>49</v>
      </c>
      <c r="C15" t="s">
        <v>50</v>
      </c>
      <c r="D15" t="s">
        <v>51</v>
      </c>
      <c r="E15" s="35">
        <v>0.9</v>
      </c>
      <c r="F15" s="35">
        <v>49</v>
      </c>
      <c r="G15" s="36">
        <v>0.70426500000000003</v>
      </c>
      <c r="H15" s="18">
        <v>1267.676416</v>
      </c>
      <c r="I15" s="16" t="s">
        <v>52</v>
      </c>
      <c r="J15" s="16">
        <v>595</v>
      </c>
      <c r="K15" s="16"/>
      <c r="L15" s="37"/>
      <c r="M15" s="37"/>
      <c r="N15" s="37"/>
      <c r="O15" s="37"/>
      <c r="P15" s="37"/>
      <c r="Q15" s="18">
        <v>7.7469150000000004</v>
      </c>
      <c r="R15" s="18">
        <v>5.2819875000000002E-2</v>
      </c>
      <c r="S15" s="18">
        <v>14.789565000000001</v>
      </c>
      <c r="T15" s="18">
        <v>63.383850000000002</v>
      </c>
      <c r="U15" s="18">
        <v>31.691925000000001</v>
      </c>
      <c r="V15" s="18">
        <v>405.65664000000004</v>
      </c>
      <c r="W15" s="18">
        <v>380.30310000000003</v>
      </c>
      <c r="X15" s="18">
        <v>253.53540000000001</v>
      </c>
      <c r="Y15" s="18">
        <v>11.26824</v>
      </c>
      <c r="Z15" s="18">
        <v>50.002815000000005</v>
      </c>
      <c r="AA15" s="18">
        <v>73.243560000000002</v>
      </c>
      <c r="AB15" s="18">
        <v>130.28902500000001</v>
      </c>
      <c r="AC15" s="18">
        <v>40.143104999999998</v>
      </c>
      <c r="AD15" s="18">
        <v>211.27950000000001</v>
      </c>
    </row>
    <row r="16" spans="2:30" x14ac:dyDescent="0.25">
      <c r="B16" t="s">
        <v>53</v>
      </c>
      <c r="C16" t="s">
        <v>50</v>
      </c>
      <c r="D16" t="s">
        <v>44</v>
      </c>
      <c r="E16" s="35">
        <v>0.9</v>
      </c>
      <c r="F16" s="35">
        <v>45</v>
      </c>
      <c r="G16" s="36">
        <v>0.31498700000000002</v>
      </c>
      <c r="H16" s="18">
        <v>566.97692900000004</v>
      </c>
      <c r="I16" s="16" t="s">
        <v>52</v>
      </c>
      <c r="J16" s="16">
        <v>596</v>
      </c>
      <c r="K16" s="16"/>
      <c r="L16" s="37"/>
      <c r="M16" s="37"/>
      <c r="N16" s="37"/>
      <c r="O16" s="37"/>
      <c r="P16" s="37"/>
      <c r="Q16" s="18">
        <v>3.4648570000000003</v>
      </c>
      <c r="R16" s="18">
        <v>2.3624025E-2</v>
      </c>
      <c r="S16" s="18">
        <v>6.6147270000000002</v>
      </c>
      <c r="T16" s="18">
        <v>28.348830000000003</v>
      </c>
      <c r="U16" s="18">
        <v>14.174415000000002</v>
      </c>
      <c r="V16" s="18">
        <v>181.432512</v>
      </c>
      <c r="W16" s="18">
        <v>170.09298000000001</v>
      </c>
      <c r="X16" s="18">
        <v>113.39532000000001</v>
      </c>
      <c r="Y16" s="18">
        <v>5.0397920000000003</v>
      </c>
      <c r="Z16" s="18">
        <v>22.364077000000002</v>
      </c>
      <c r="AA16" s="18">
        <v>32.758648000000001</v>
      </c>
      <c r="AB16" s="18">
        <v>58.272595000000003</v>
      </c>
      <c r="AC16" s="18">
        <v>17.954259</v>
      </c>
      <c r="AD16" s="18">
        <v>94.496099999999998</v>
      </c>
    </row>
    <row r="17" spans="2:30" x14ac:dyDescent="0.25">
      <c r="B17" t="s">
        <v>54</v>
      </c>
      <c r="C17" t="s">
        <v>50</v>
      </c>
      <c r="D17" t="s">
        <v>55</v>
      </c>
      <c r="E17" s="35">
        <v>2.34</v>
      </c>
      <c r="F17" s="35">
        <v>93.54</v>
      </c>
      <c r="G17" s="36">
        <v>1.2820689999999999</v>
      </c>
      <c r="H17" s="18">
        <v>6000.0849340000004</v>
      </c>
      <c r="I17" s="16" t="s">
        <v>52</v>
      </c>
      <c r="J17" s="16">
        <v>597</v>
      </c>
      <c r="K17" s="16"/>
      <c r="L17" s="37"/>
      <c r="M17" s="37"/>
      <c r="N17" s="37"/>
      <c r="O17" s="37"/>
      <c r="P17" s="37"/>
      <c r="Q17" s="18">
        <v>14.102758999999999</v>
      </c>
      <c r="R17" s="18">
        <v>9.6155174999999996E-2</v>
      </c>
      <c r="S17" s="18">
        <v>26.923448999999998</v>
      </c>
      <c r="T17" s="18">
        <v>115.38620999999999</v>
      </c>
      <c r="U17" s="18">
        <v>57.693104999999996</v>
      </c>
      <c r="V17" s="18">
        <v>738.47174399999994</v>
      </c>
      <c r="W17" s="18">
        <v>692.31725999999992</v>
      </c>
      <c r="X17" s="18">
        <v>461.54483999999997</v>
      </c>
      <c r="Y17" s="18">
        <v>20.513103999999998</v>
      </c>
      <c r="Z17" s="18">
        <v>91.026898999999986</v>
      </c>
      <c r="AA17" s="18">
        <v>133.33517599999999</v>
      </c>
      <c r="AB17" s="18">
        <v>237.18276499999999</v>
      </c>
      <c r="AC17" s="18">
        <v>73.077933000000002</v>
      </c>
      <c r="AD17" s="18">
        <v>384.62069999999994</v>
      </c>
    </row>
    <row r="18" spans="2:30" x14ac:dyDescent="0.25">
      <c r="B18" t="s">
        <v>56</v>
      </c>
      <c r="C18" t="s">
        <v>50</v>
      </c>
      <c r="D18" t="s">
        <v>44</v>
      </c>
      <c r="E18" s="35">
        <v>0.9</v>
      </c>
      <c r="F18" s="35">
        <v>33</v>
      </c>
      <c r="G18" s="36">
        <v>0.230991</v>
      </c>
      <c r="H18" s="18">
        <v>415.78308099999998</v>
      </c>
      <c r="I18" s="16" t="s">
        <v>52</v>
      </c>
      <c r="J18" s="16">
        <v>598</v>
      </c>
      <c r="K18" s="16"/>
      <c r="L18" s="37"/>
      <c r="M18" s="37"/>
      <c r="N18" s="37"/>
      <c r="O18" s="37"/>
      <c r="P18" s="37"/>
      <c r="Q18" s="18">
        <v>2.5409009999999999</v>
      </c>
      <c r="R18" s="18">
        <v>1.7324324999999998E-2</v>
      </c>
      <c r="S18" s="18">
        <v>4.8508110000000002</v>
      </c>
      <c r="T18" s="18">
        <v>20.789190000000001</v>
      </c>
      <c r="U18" s="18">
        <v>10.394595000000001</v>
      </c>
      <c r="V18" s="18">
        <v>133.050816</v>
      </c>
      <c r="W18" s="18">
        <v>124.73514</v>
      </c>
      <c r="X18" s="18">
        <v>83.156760000000006</v>
      </c>
      <c r="Y18" s="18">
        <v>3.695856</v>
      </c>
      <c r="Z18" s="18">
        <v>16.400361</v>
      </c>
      <c r="AA18" s="18">
        <v>24.023064000000002</v>
      </c>
      <c r="AB18" s="18">
        <v>42.733335000000004</v>
      </c>
      <c r="AC18" s="18">
        <v>13.166487</v>
      </c>
      <c r="AD18" s="18">
        <v>69.297300000000007</v>
      </c>
    </row>
    <row r="19" spans="2:30" x14ac:dyDescent="0.25">
      <c r="B19" t="s">
        <v>56</v>
      </c>
      <c r="C19" t="s">
        <v>50</v>
      </c>
      <c r="D19" t="s">
        <v>57</v>
      </c>
      <c r="E19" s="35">
        <v>0.9</v>
      </c>
      <c r="F19" s="35">
        <v>33</v>
      </c>
      <c r="G19" s="36">
        <v>0.49542000000000003</v>
      </c>
      <c r="H19" s="18">
        <v>891.75571300000001</v>
      </c>
      <c r="I19" s="16" t="s">
        <v>52</v>
      </c>
      <c r="J19" s="16">
        <v>599</v>
      </c>
      <c r="K19" s="16"/>
      <c r="L19" s="37"/>
      <c r="M19" s="37"/>
      <c r="N19" s="37"/>
      <c r="O19" s="37"/>
      <c r="P19" s="37"/>
      <c r="Q19" s="18">
        <v>5.4496200000000004</v>
      </c>
      <c r="R19" s="18">
        <v>3.7156500000000002E-2</v>
      </c>
      <c r="S19" s="18">
        <v>10.403820000000001</v>
      </c>
      <c r="T19" s="18">
        <v>44.587800000000001</v>
      </c>
      <c r="U19" s="18">
        <v>22.293900000000001</v>
      </c>
      <c r="V19" s="18">
        <v>285.36192</v>
      </c>
      <c r="W19" s="18">
        <v>267.52680000000004</v>
      </c>
      <c r="X19" s="18">
        <v>178.35120000000001</v>
      </c>
      <c r="Y19" s="18">
        <v>7.9267200000000004</v>
      </c>
      <c r="Z19" s="18">
        <v>35.174820000000004</v>
      </c>
      <c r="AA19" s="18">
        <v>51.523680000000006</v>
      </c>
      <c r="AB19" s="18">
        <v>91.65270000000001</v>
      </c>
      <c r="AC19" s="18">
        <v>28.238940000000003</v>
      </c>
      <c r="AD19" s="18">
        <v>148.626</v>
      </c>
    </row>
    <row r="20" spans="2:30" x14ac:dyDescent="0.25">
      <c r="B20" t="s">
        <v>56</v>
      </c>
      <c r="C20" t="s">
        <v>50</v>
      </c>
      <c r="D20" t="s">
        <v>58</v>
      </c>
      <c r="E20" s="35">
        <v>0.9</v>
      </c>
      <c r="F20" s="35">
        <v>33</v>
      </c>
      <c r="G20" s="36">
        <v>0.23935000000000001</v>
      </c>
      <c r="H20" s="18">
        <v>430.83046899999999</v>
      </c>
      <c r="I20" s="16" t="s">
        <v>52</v>
      </c>
      <c r="J20" s="16">
        <v>600</v>
      </c>
      <c r="K20" s="16"/>
      <c r="L20" s="37"/>
      <c r="M20" s="37"/>
      <c r="N20" s="37"/>
      <c r="O20" s="37"/>
      <c r="P20" s="37"/>
      <c r="Q20" s="18">
        <v>2.6328499999999999</v>
      </c>
      <c r="R20" s="18">
        <v>1.7951249999999998E-2</v>
      </c>
      <c r="S20" s="18">
        <v>5.0263499999999999</v>
      </c>
      <c r="T20" s="18">
        <v>21.541499999999999</v>
      </c>
      <c r="U20" s="18">
        <v>10.77075</v>
      </c>
      <c r="V20" s="18">
        <v>137.8656</v>
      </c>
      <c r="W20" s="18">
        <v>129.249</v>
      </c>
      <c r="X20" s="18">
        <v>86.165999999999997</v>
      </c>
      <c r="Y20" s="18">
        <v>3.8296000000000001</v>
      </c>
      <c r="Z20" s="18">
        <v>16.993850000000002</v>
      </c>
      <c r="AA20" s="18">
        <v>24.892400000000002</v>
      </c>
      <c r="AB20" s="18">
        <v>44.27975</v>
      </c>
      <c r="AC20" s="18">
        <v>13.642950000000001</v>
      </c>
      <c r="AD20" s="18">
        <v>71.805000000000007</v>
      </c>
    </row>
    <row r="21" spans="2:30" x14ac:dyDescent="0.25">
      <c r="B21" t="s">
        <v>53</v>
      </c>
      <c r="C21" t="s">
        <v>50</v>
      </c>
      <c r="D21" t="s">
        <v>59</v>
      </c>
      <c r="E21" s="35">
        <v>0.9</v>
      </c>
      <c r="F21" s="35">
        <v>45</v>
      </c>
      <c r="G21" s="36">
        <v>0.68307200000000001</v>
      </c>
      <c r="H21" s="18">
        <v>1229.5299680000001</v>
      </c>
      <c r="I21" s="16" t="s">
        <v>52</v>
      </c>
      <c r="J21" s="16">
        <v>601</v>
      </c>
      <c r="K21" s="16"/>
      <c r="L21" s="37"/>
      <c r="M21" s="37"/>
      <c r="N21" s="37"/>
      <c r="O21" s="37"/>
      <c r="P21" s="37"/>
      <c r="Q21" s="18">
        <v>7.5137920000000005</v>
      </c>
      <c r="R21" s="18">
        <v>5.1230400000000002E-2</v>
      </c>
      <c r="S21" s="18">
        <v>14.344512</v>
      </c>
      <c r="T21" s="18">
        <v>61.476480000000002</v>
      </c>
      <c r="U21" s="18">
        <v>30.738240000000001</v>
      </c>
      <c r="V21" s="18">
        <v>393.44947200000001</v>
      </c>
      <c r="W21" s="18">
        <v>368.85888</v>
      </c>
      <c r="X21" s="18">
        <v>245.90592000000001</v>
      </c>
      <c r="Y21" s="18">
        <v>10.929152</v>
      </c>
      <c r="Z21" s="18">
        <v>48.498111999999999</v>
      </c>
      <c r="AA21" s="18">
        <v>71.039488000000006</v>
      </c>
      <c r="AB21" s="18">
        <v>126.36832</v>
      </c>
      <c r="AC21" s="18">
        <v>38.935104000000003</v>
      </c>
      <c r="AD21" s="18">
        <v>204.92160000000001</v>
      </c>
    </row>
    <row r="22" spans="2:30" x14ac:dyDescent="0.25">
      <c r="B22" t="s">
        <v>56</v>
      </c>
      <c r="C22" t="s">
        <v>50</v>
      </c>
      <c r="D22" t="s">
        <v>44</v>
      </c>
      <c r="E22" s="35">
        <v>0.9</v>
      </c>
      <c r="F22" s="35">
        <v>33</v>
      </c>
      <c r="G22" s="36">
        <v>0.230991</v>
      </c>
      <c r="H22" s="18">
        <v>415.78308099999998</v>
      </c>
      <c r="I22" s="16" t="s">
        <v>52</v>
      </c>
      <c r="J22" s="16">
        <v>602</v>
      </c>
      <c r="K22" s="16"/>
      <c r="L22" s="37"/>
      <c r="M22" s="37"/>
      <c r="N22" s="37"/>
      <c r="O22" s="37"/>
      <c r="P22" s="37"/>
      <c r="Q22" s="18">
        <v>2.5409009999999999</v>
      </c>
      <c r="R22" s="18">
        <v>1.7324324999999998E-2</v>
      </c>
      <c r="S22" s="18">
        <v>4.8508110000000002</v>
      </c>
      <c r="T22" s="18">
        <v>20.789190000000001</v>
      </c>
      <c r="U22" s="18">
        <v>10.394595000000001</v>
      </c>
      <c r="V22" s="18">
        <v>133.050816</v>
      </c>
      <c r="W22" s="18">
        <v>124.73514</v>
      </c>
      <c r="X22" s="18">
        <v>83.156760000000006</v>
      </c>
      <c r="Y22" s="18">
        <v>3.695856</v>
      </c>
      <c r="Z22" s="18">
        <v>16.400361</v>
      </c>
      <c r="AA22" s="18">
        <v>24.023064000000002</v>
      </c>
      <c r="AB22" s="18">
        <v>42.733335000000004</v>
      </c>
      <c r="AC22" s="18">
        <v>13.166487</v>
      </c>
      <c r="AD22" s="18">
        <v>69.297300000000007</v>
      </c>
    </row>
    <row r="23" spans="2:30" x14ac:dyDescent="0.25">
      <c r="B23" t="s">
        <v>53</v>
      </c>
      <c r="C23" t="s">
        <v>50</v>
      </c>
      <c r="D23" t="s">
        <v>59</v>
      </c>
      <c r="E23" s="35">
        <v>0.9</v>
      </c>
      <c r="F23" s="35">
        <v>45</v>
      </c>
      <c r="G23" s="36">
        <v>0.68307200000000001</v>
      </c>
      <c r="H23" s="18">
        <v>1229.5299680000001</v>
      </c>
      <c r="I23" s="16" t="s">
        <v>52</v>
      </c>
      <c r="J23" s="16">
        <v>603</v>
      </c>
      <c r="K23" s="16"/>
      <c r="L23" s="37"/>
      <c r="M23" s="37"/>
      <c r="N23" s="37"/>
      <c r="O23" s="37"/>
      <c r="P23" s="37"/>
      <c r="Q23" s="18">
        <v>7.5137920000000005</v>
      </c>
      <c r="R23" s="18">
        <v>5.1230400000000002E-2</v>
      </c>
      <c r="S23" s="18">
        <v>14.344512</v>
      </c>
      <c r="T23" s="18">
        <v>61.476480000000002</v>
      </c>
      <c r="U23" s="18">
        <v>30.738240000000001</v>
      </c>
      <c r="V23" s="18">
        <v>393.44947200000001</v>
      </c>
      <c r="W23" s="18">
        <v>368.85888</v>
      </c>
      <c r="X23" s="18">
        <v>245.90592000000001</v>
      </c>
      <c r="Y23" s="18">
        <v>10.929152</v>
      </c>
      <c r="Z23" s="18">
        <v>48.498111999999999</v>
      </c>
      <c r="AA23" s="18">
        <v>71.039488000000006</v>
      </c>
      <c r="AB23" s="18">
        <v>126.36832</v>
      </c>
      <c r="AC23" s="18">
        <v>38.935104000000003</v>
      </c>
      <c r="AD23" s="18">
        <v>204.92160000000001</v>
      </c>
    </row>
    <row r="24" spans="2:30" x14ac:dyDescent="0.25">
      <c r="B24" t="s">
        <v>56</v>
      </c>
      <c r="C24" t="s">
        <v>50</v>
      </c>
      <c r="D24" t="s">
        <v>44</v>
      </c>
      <c r="E24" s="35">
        <v>0.9</v>
      </c>
      <c r="F24" s="35">
        <v>33</v>
      </c>
      <c r="G24" s="36">
        <v>0.230991</v>
      </c>
      <c r="H24" s="18">
        <v>415.78308099999998</v>
      </c>
      <c r="I24" s="16" t="s">
        <v>52</v>
      </c>
      <c r="J24" s="16">
        <v>604</v>
      </c>
      <c r="K24" s="16"/>
      <c r="L24" s="37"/>
      <c r="M24" s="37"/>
      <c r="N24" s="37"/>
      <c r="O24" s="37"/>
      <c r="P24" s="37"/>
      <c r="Q24" s="18">
        <v>2.5409009999999999</v>
      </c>
      <c r="R24" s="18">
        <v>1.7324324999999998E-2</v>
      </c>
      <c r="S24" s="18">
        <v>4.8508110000000002</v>
      </c>
      <c r="T24" s="18">
        <v>20.789190000000001</v>
      </c>
      <c r="U24" s="18">
        <v>10.394595000000001</v>
      </c>
      <c r="V24" s="18">
        <v>133.050816</v>
      </c>
      <c r="W24" s="18">
        <v>124.73514</v>
      </c>
      <c r="X24" s="18">
        <v>83.156760000000006</v>
      </c>
      <c r="Y24" s="18">
        <v>3.695856</v>
      </c>
      <c r="Z24" s="18">
        <v>16.400361</v>
      </c>
      <c r="AA24" s="18">
        <v>24.023064000000002</v>
      </c>
      <c r="AB24" s="18">
        <v>42.733335000000004</v>
      </c>
      <c r="AC24" s="18">
        <v>13.166487</v>
      </c>
      <c r="AD24" s="18">
        <v>69.297300000000007</v>
      </c>
    </row>
    <row r="25" spans="2:30" x14ac:dyDescent="0.25">
      <c r="B25" t="s">
        <v>60</v>
      </c>
      <c r="C25" t="s">
        <v>50</v>
      </c>
      <c r="D25" t="s">
        <v>59</v>
      </c>
      <c r="E25" s="35">
        <v>0.9</v>
      </c>
      <c r="F25" s="35">
        <v>39</v>
      </c>
      <c r="G25" s="36">
        <v>0.59199599999999997</v>
      </c>
      <c r="H25" s="18">
        <v>1065.592639</v>
      </c>
      <c r="I25" s="16" t="s">
        <v>52</v>
      </c>
      <c r="J25" s="16">
        <v>605</v>
      </c>
      <c r="K25" s="16"/>
      <c r="L25" s="37"/>
      <c r="M25" s="37"/>
      <c r="N25" s="37"/>
      <c r="O25" s="37"/>
      <c r="P25" s="37"/>
      <c r="Q25" s="18">
        <v>6.5119559999999996</v>
      </c>
      <c r="R25" s="18">
        <v>4.4399699999999993E-2</v>
      </c>
      <c r="S25" s="18">
        <v>12.431915999999999</v>
      </c>
      <c r="T25" s="18">
        <v>53.279640000000001</v>
      </c>
      <c r="U25" s="18">
        <v>26.63982</v>
      </c>
      <c r="V25" s="18">
        <v>340.98969599999998</v>
      </c>
      <c r="W25" s="18">
        <v>319.67784</v>
      </c>
      <c r="X25" s="18">
        <v>213.11856</v>
      </c>
      <c r="Y25" s="18">
        <v>9.4719359999999995</v>
      </c>
      <c r="Z25" s="18">
        <v>42.031715999999996</v>
      </c>
      <c r="AA25" s="18">
        <v>61.567583999999997</v>
      </c>
      <c r="AB25" s="18">
        <v>109.51925999999999</v>
      </c>
      <c r="AC25" s="18">
        <v>33.743772</v>
      </c>
      <c r="AD25" s="18">
        <v>177.59879999999998</v>
      </c>
    </row>
    <row r="26" spans="2:30" x14ac:dyDescent="0.25">
      <c r="B26" t="s">
        <v>61</v>
      </c>
      <c r="C26" t="s">
        <v>50</v>
      </c>
      <c r="D26" t="s">
        <v>62</v>
      </c>
      <c r="E26" s="35">
        <v>0.9</v>
      </c>
      <c r="F26" s="35">
        <v>65</v>
      </c>
      <c r="G26" s="36">
        <v>0.96976099999999998</v>
      </c>
      <c r="H26" s="18">
        <v>1745.56897</v>
      </c>
      <c r="I26" s="16" t="s">
        <v>52</v>
      </c>
      <c r="J26" s="16">
        <v>606</v>
      </c>
      <c r="K26" s="16"/>
      <c r="L26" s="37"/>
      <c r="M26" s="37"/>
      <c r="N26" s="37"/>
      <c r="O26" s="37"/>
      <c r="P26" s="37"/>
      <c r="Q26" s="18">
        <v>10.667370999999999</v>
      </c>
      <c r="R26" s="18">
        <v>7.2732074999999993E-2</v>
      </c>
      <c r="S26" s="18">
        <v>20.364981</v>
      </c>
      <c r="T26" s="18">
        <v>87.278490000000005</v>
      </c>
      <c r="U26" s="18">
        <v>43.639245000000003</v>
      </c>
      <c r="V26" s="18">
        <v>558.58233599999994</v>
      </c>
      <c r="W26" s="18">
        <v>523.67093999999997</v>
      </c>
      <c r="X26" s="18">
        <v>349.11396000000002</v>
      </c>
      <c r="Y26" s="18">
        <v>15.516176</v>
      </c>
      <c r="Z26" s="18">
        <v>68.853031000000001</v>
      </c>
      <c r="AA26" s="18">
        <v>100.855144</v>
      </c>
      <c r="AB26" s="18">
        <v>179.40578500000001</v>
      </c>
      <c r="AC26" s="18">
        <v>55.276376999999997</v>
      </c>
      <c r="AD26" s="18">
        <v>290.92829999999998</v>
      </c>
    </row>
    <row r="27" spans="2:30" x14ac:dyDescent="0.25">
      <c r="B27" t="s">
        <v>61</v>
      </c>
      <c r="C27" t="s">
        <v>50</v>
      </c>
      <c r="D27" t="s">
        <v>51</v>
      </c>
      <c r="E27" s="35">
        <v>0.9</v>
      </c>
      <c r="F27" s="35">
        <v>65</v>
      </c>
      <c r="G27" s="36">
        <v>0.93422899999999998</v>
      </c>
      <c r="H27" s="18">
        <v>1681.611572</v>
      </c>
      <c r="I27" s="16" t="s">
        <v>52</v>
      </c>
      <c r="J27" s="16">
        <v>607</v>
      </c>
      <c r="K27" s="16"/>
      <c r="L27" s="37"/>
      <c r="M27" s="37"/>
      <c r="N27" s="37"/>
      <c r="O27" s="37"/>
      <c r="P27" s="37"/>
      <c r="Q27" s="18">
        <v>10.276519</v>
      </c>
      <c r="R27" s="18">
        <v>7.0067174999999995E-2</v>
      </c>
      <c r="S27" s="18">
        <v>19.618808999999999</v>
      </c>
      <c r="T27" s="18">
        <v>84.080609999999993</v>
      </c>
      <c r="U27" s="18">
        <v>42.040304999999996</v>
      </c>
      <c r="V27" s="18">
        <v>538.115904</v>
      </c>
      <c r="W27" s="18">
        <v>504.48365999999999</v>
      </c>
      <c r="X27" s="18">
        <v>336.32243999999997</v>
      </c>
      <c r="Y27" s="18">
        <v>14.947664</v>
      </c>
      <c r="Z27" s="18">
        <v>66.330258999999998</v>
      </c>
      <c r="AA27" s="18">
        <v>97.159815999999992</v>
      </c>
      <c r="AB27" s="18">
        <v>172.83236499999998</v>
      </c>
      <c r="AC27" s="18">
        <v>53.251052999999999</v>
      </c>
      <c r="AD27" s="18">
        <v>280.26869999999997</v>
      </c>
    </row>
    <row r="28" spans="2:30" x14ac:dyDescent="0.25">
      <c r="B28" t="s">
        <v>61</v>
      </c>
      <c r="C28" t="s">
        <v>50</v>
      </c>
      <c r="D28" t="s">
        <v>63</v>
      </c>
      <c r="E28" s="35">
        <v>0.9</v>
      </c>
      <c r="F28" s="35">
        <v>65</v>
      </c>
      <c r="G28" s="36">
        <v>0.93726200000000004</v>
      </c>
      <c r="H28" s="18">
        <v>1687.0713499999999</v>
      </c>
      <c r="I28" s="16" t="s">
        <v>52</v>
      </c>
      <c r="J28" s="16">
        <v>608</v>
      </c>
      <c r="K28" s="16"/>
      <c r="L28" s="37"/>
      <c r="M28" s="37"/>
      <c r="N28" s="37"/>
      <c r="O28" s="37"/>
      <c r="P28" s="37"/>
      <c r="Q28" s="18">
        <v>10.309882</v>
      </c>
      <c r="R28" s="18">
        <v>7.029465E-2</v>
      </c>
      <c r="S28" s="18">
        <v>19.682501999999999</v>
      </c>
      <c r="T28" s="18">
        <v>84.353580000000008</v>
      </c>
      <c r="U28" s="18">
        <v>42.176790000000004</v>
      </c>
      <c r="V28" s="18">
        <v>539.86291200000005</v>
      </c>
      <c r="W28" s="18">
        <v>506.12148000000002</v>
      </c>
      <c r="X28" s="18">
        <v>337.41432000000003</v>
      </c>
      <c r="Y28" s="18">
        <v>14.996192000000001</v>
      </c>
      <c r="Z28" s="18">
        <v>66.545602000000002</v>
      </c>
      <c r="AA28" s="18">
        <v>97.475248000000008</v>
      </c>
      <c r="AB28" s="18">
        <v>173.39347000000001</v>
      </c>
      <c r="AC28" s="18">
        <v>53.423934000000003</v>
      </c>
      <c r="AD28" s="18">
        <v>281.17860000000002</v>
      </c>
    </row>
    <row r="29" spans="2:30" x14ac:dyDescent="0.25">
      <c r="B29" t="s">
        <v>61</v>
      </c>
      <c r="C29" t="s">
        <v>50</v>
      </c>
      <c r="D29" t="s">
        <v>51</v>
      </c>
      <c r="E29" s="35">
        <v>0.9</v>
      </c>
      <c r="F29" s="35">
        <v>65</v>
      </c>
      <c r="G29" s="36">
        <v>0.93422899999999998</v>
      </c>
      <c r="H29" s="18">
        <v>1681.611572</v>
      </c>
      <c r="I29" s="16" t="s">
        <v>52</v>
      </c>
      <c r="J29" s="16">
        <v>609</v>
      </c>
      <c r="K29" s="16"/>
      <c r="L29" s="37"/>
      <c r="M29" s="37"/>
      <c r="N29" s="37"/>
      <c r="O29" s="37"/>
      <c r="P29" s="37"/>
      <c r="Q29" s="18">
        <v>10.276519</v>
      </c>
      <c r="R29" s="18">
        <v>7.0067174999999995E-2</v>
      </c>
      <c r="S29" s="18">
        <v>19.618808999999999</v>
      </c>
      <c r="T29" s="18">
        <v>84.080609999999993</v>
      </c>
      <c r="U29" s="18">
        <v>42.040304999999996</v>
      </c>
      <c r="V29" s="18">
        <v>538.115904</v>
      </c>
      <c r="W29" s="18">
        <v>504.48365999999999</v>
      </c>
      <c r="X29" s="18">
        <v>336.32243999999997</v>
      </c>
      <c r="Y29" s="18">
        <v>14.947664</v>
      </c>
      <c r="Z29" s="18">
        <v>66.330258999999998</v>
      </c>
      <c r="AA29" s="18">
        <v>97.159815999999992</v>
      </c>
      <c r="AB29" s="18">
        <v>172.83236499999998</v>
      </c>
      <c r="AC29" s="18">
        <v>53.251052999999999</v>
      </c>
      <c r="AD29" s="18">
        <v>280.26869999999997</v>
      </c>
    </row>
    <row r="30" spans="2:30" x14ac:dyDescent="0.25">
      <c r="B30" t="s">
        <v>61</v>
      </c>
      <c r="C30" t="s">
        <v>50</v>
      </c>
      <c r="D30" t="s">
        <v>63</v>
      </c>
      <c r="E30" s="35">
        <v>0.9</v>
      </c>
      <c r="F30" s="35">
        <v>65</v>
      </c>
      <c r="G30" s="36">
        <v>0.93726200000000004</v>
      </c>
      <c r="H30" s="18">
        <v>1687.0713499999999</v>
      </c>
      <c r="I30" s="16" t="s">
        <v>52</v>
      </c>
      <c r="J30" s="16">
        <v>610</v>
      </c>
      <c r="K30" s="16"/>
      <c r="L30" s="37"/>
      <c r="M30" s="37"/>
      <c r="N30" s="37"/>
      <c r="O30" s="37"/>
      <c r="P30" s="37"/>
      <c r="Q30" s="18">
        <v>10.309882</v>
      </c>
      <c r="R30" s="18">
        <v>7.029465E-2</v>
      </c>
      <c r="S30" s="18">
        <v>19.682501999999999</v>
      </c>
      <c r="T30" s="18">
        <v>84.353580000000008</v>
      </c>
      <c r="U30" s="18">
        <v>42.176790000000004</v>
      </c>
      <c r="V30" s="18">
        <v>539.86291200000005</v>
      </c>
      <c r="W30" s="18">
        <v>506.12148000000002</v>
      </c>
      <c r="X30" s="18">
        <v>337.41432000000003</v>
      </c>
      <c r="Y30" s="18">
        <v>14.996192000000001</v>
      </c>
      <c r="Z30" s="18">
        <v>66.545602000000002</v>
      </c>
      <c r="AA30" s="18">
        <v>97.475248000000008</v>
      </c>
      <c r="AB30" s="18">
        <v>173.39347000000001</v>
      </c>
      <c r="AC30" s="18">
        <v>53.423934000000003</v>
      </c>
      <c r="AD30" s="18">
        <v>281.17860000000002</v>
      </c>
    </row>
    <row r="31" spans="2:30" x14ac:dyDescent="0.25">
      <c r="B31" t="s">
        <v>60</v>
      </c>
      <c r="C31" t="s">
        <v>50</v>
      </c>
      <c r="D31" t="s">
        <v>64</v>
      </c>
      <c r="E31" s="35">
        <v>0.9</v>
      </c>
      <c r="F31" s="35">
        <v>39</v>
      </c>
      <c r="G31" s="36">
        <v>0.56703700000000001</v>
      </c>
      <c r="H31" s="18">
        <v>1020.666467</v>
      </c>
      <c r="I31" s="16" t="s">
        <v>52</v>
      </c>
      <c r="J31" s="16">
        <v>611</v>
      </c>
      <c r="K31" s="16"/>
      <c r="L31" s="37"/>
      <c r="M31" s="37"/>
      <c r="N31" s="37"/>
      <c r="O31" s="37"/>
      <c r="P31" s="37"/>
      <c r="Q31" s="18">
        <v>6.2374070000000001</v>
      </c>
      <c r="R31" s="18">
        <v>4.2527774999999997E-2</v>
      </c>
      <c r="S31" s="18">
        <v>11.907776999999999</v>
      </c>
      <c r="T31" s="18">
        <v>51.033329999999999</v>
      </c>
      <c r="U31" s="18">
        <v>25.516665</v>
      </c>
      <c r="V31" s="18">
        <v>326.61331200000001</v>
      </c>
      <c r="W31" s="18">
        <v>306.19997999999998</v>
      </c>
      <c r="X31" s="18">
        <v>204.13332</v>
      </c>
      <c r="Y31" s="18">
        <v>9.0725920000000002</v>
      </c>
      <c r="Z31" s="18">
        <v>40.259627000000002</v>
      </c>
      <c r="AA31" s="18">
        <v>58.971848000000001</v>
      </c>
      <c r="AB31" s="18">
        <v>104.90184500000001</v>
      </c>
      <c r="AC31" s="18">
        <v>32.321109</v>
      </c>
      <c r="AD31" s="18">
        <v>170.11109999999999</v>
      </c>
    </row>
    <row r="32" spans="2:30" x14ac:dyDescent="0.25">
      <c r="B32" t="s">
        <v>53</v>
      </c>
      <c r="C32" t="s">
        <v>50</v>
      </c>
      <c r="D32" t="s">
        <v>65</v>
      </c>
      <c r="E32" s="35">
        <v>0.9</v>
      </c>
      <c r="F32" s="35">
        <v>45</v>
      </c>
      <c r="G32" s="36">
        <v>0.65637299999999998</v>
      </c>
      <c r="H32" s="18">
        <v>1181.4719239999999</v>
      </c>
      <c r="I32" s="16" t="s">
        <v>52</v>
      </c>
      <c r="J32" s="16">
        <v>612</v>
      </c>
      <c r="K32" s="16"/>
      <c r="L32" s="37"/>
      <c r="M32" s="37"/>
      <c r="N32" s="37"/>
      <c r="O32" s="37"/>
      <c r="P32" s="37"/>
      <c r="Q32" s="18">
        <v>7.2201029999999999</v>
      </c>
      <c r="R32" s="18">
        <v>4.9227975E-2</v>
      </c>
      <c r="S32" s="18">
        <v>13.783833</v>
      </c>
      <c r="T32" s="18">
        <v>59.073569999999997</v>
      </c>
      <c r="U32" s="18">
        <v>29.536784999999998</v>
      </c>
      <c r="V32" s="18">
        <v>378.07084800000001</v>
      </c>
      <c r="W32" s="18">
        <v>354.44141999999999</v>
      </c>
      <c r="X32" s="18">
        <v>236.29427999999999</v>
      </c>
      <c r="Y32" s="18">
        <v>10.501968</v>
      </c>
      <c r="Z32" s="18">
        <v>46.602482999999999</v>
      </c>
      <c r="AA32" s="18">
        <v>68.262792000000005</v>
      </c>
      <c r="AB32" s="18">
        <v>121.429005</v>
      </c>
      <c r="AC32" s="18">
        <v>37.413260999999999</v>
      </c>
      <c r="AD32" s="18">
        <v>196.9119</v>
      </c>
    </row>
    <row r="33" spans="2:30" x14ac:dyDescent="0.25">
      <c r="B33" t="s">
        <v>60</v>
      </c>
      <c r="C33" t="s">
        <v>50</v>
      </c>
      <c r="D33" t="s">
        <v>64</v>
      </c>
      <c r="E33" s="35">
        <v>0.9</v>
      </c>
      <c r="F33" s="35">
        <v>39</v>
      </c>
      <c r="G33" s="36">
        <v>0.56703700000000001</v>
      </c>
      <c r="H33" s="18">
        <v>1020.666467</v>
      </c>
      <c r="I33" s="16" t="s">
        <v>52</v>
      </c>
      <c r="J33" s="16">
        <v>613</v>
      </c>
      <c r="K33" s="16"/>
      <c r="L33" s="37"/>
      <c r="M33" s="37"/>
      <c r="N33" s="37"/>
      <c r="O33" s="37"/>
      <c r="P33" s="37"/>
      <c r="Q33" s="18">
        <v>6.2374070000000001</v>
      </c>
      <c r="R33" s="18">
        <v>4.2527774999999997E-2</v>
      </c>
      <c r="S33" s="18">
        <v>11.907776999999999</v>
      </c>
      <c r="T33" s="18">
        <v>51.033329999999999</v>
      </c>
      <c r="U33" s="18">
        <v>25.516665</v>
      </c>
      <c r="V33" s="18">
        <v>326.61331200000001</v>
      </c>
      <c r="W33" s="18">
        <v>306.19997999999998</v>
      </c>
      <c r="X33" s="18">
        <v>204.13332</v>
      </c>
      <c r="Y33" s="18">
        <v>9.0725920000000002</v>
      </c>
      <c r="Z33" s="18">
        <v>40.259627000000002</v>
      </c>
      <c r="AA33" s="18">
        <v>58.971848000000001</v>
      </c>
      <c r="AB33" s="18">
        <v>104.90184500000001</v>
      </c>
      <c r="AC33" s="18">
        <v>32.321109</v>
      </c>
      <c r="AD33" s="18">
        <v>170.11109999999999</v>
      </c>
    </row>
    <row r="34" spans="2:30" x14ac:dyDescent="0.25">
      <c r="B34" t="s">
        <v>53</v>
      </c>
      <c r="C34" t="s">
        <v>50</v>
      </c>
      <c r="D34" t="s">
        <v>66</v>
      </c>
      <c r="E34" s="35">
        <v>0.9</v>
      </c>
      <c r="F34" s="35">
        <v>45</v>
      </c>
      <c r="G34" s="36">
        <v>0.65817300000000001</v>
      </c>
      <c r="H34" s="18">
        <v>1184.7117920000001</v>
      </c>
      <c r="I34" s="16" t="s">
        <v>52</v>
      </c>
      <c r="J34" s="16">
        <v>614</v>
      </c>
      <c r="K34" s="16"/>
      <c r="L34" s="37"/>
      <c r="M34" s="37"/>
      <c r="N34" s="37"/>
      <c r="O34" s="37"/>
      <c r="P34" s="37"/>
      <c r="Q34" s="18">
        <v>7.239903</v>
      </c>
      <c r="R34" s="18">
        <v>4.9362974999999996E-2</v>
      </c>
      <c r="S34" s="18">
        <v>13.821633</v>
      </c>
      <c r="T34" s="18">
        <v>59.235570000000003</v>
      </c>
      <c r="U34" s="18">
        <v>29.617785000000001</v>
      </c>
      <c r="V34" s="18">
        <v>379.10764799999998</v>
      </c>
      <c r="W34" s="18">
        <v>355.41342000000003</v>
      </c>
      <c r="X34" s="18">
        <v>236.94228000000001</v>
      </c>
      <c r="Y34" s="18">
        <v>10.530768</v>
      </c>
      <c r="Z34" s="18">
        <v>46.730283</v>
      </c>
      <c r="AA34" s="18">
        <v>68.449991999999995</v>
      </c>
      <c r="AB34" s="18">
        <v>121.762005</v>
      </c>
      <c r="AC34" s="18">
        <v>37.515861000000001</v>
      </c>
      <c r="AD34" s="18">
        <v>197.45189999999999</v>
      </c>
    </row>
    <row r="35" spans="2:30" x14ac:dyDescent="0.25">
      <c r="B35" t="s">
        <v>56</v>
      </c>
      <c r="C35" t="s">
        <v>50</v>
      </c>
      <c r="D35" t="s">
        <v>67</v>
      </c>
      <c r="E35" s="35">
        <v>0.9</v>
      </c>
      <c r="F35" s="35">
        <v>33</v>
      </c>
      <c r="G35" s="36">
        <v>0.49080000000000001</v>
      </c>
      <c r="H35" s="18">
        <v>883.44005100000004</v>
      </c>
      <c r="I35" s="16" t="s">
        <v>52</v>
      </c>
      <c r="J35" s="16">
        <v>615</v>
      </c>
      <c r="K35" s="16"/>
      <c r="L35" s="37"/>
      <c r="M35" s="37"/>
      <c r="N35" s="37"/>
      <c r="O35" s="37"/>
      <c r="P35" s="37"/>
      <c r="Q35" s="18">
        <v>5.3988000000000005</v>
      </c>
      <c r="R35" s="18">
        <v>3.6810000000000002E-2</v>
      </c>
      <c r="S35" s="18">
        <v>10.306800000000001</v>
      </c>
      <c r="T35" s="18">
        <v>44.172000000000004</v>
      </c>
      <c r="U35" s="18">
        <v>22.086000000000002</v>
      </c>
      <c r="V35" s="18">
        <v>282.70080000000002</v>
      </c>
      <c r="W35" s="18">
        <v>265.03199999999998</v>
      </c>
      <c r="X35" s="18">
        <v>176.68800000000002</v>
      </c>
      <c r="Y35" s="18">
        <v>7.8528000000000002</v>
      </c>
      <c r="Z35" s="18">
        <v>34.846800000000002</v>
      </c>
      <c r="AA35" s="18">
        <v>51.043199999999999</v>
      </c>
      <c r="AB35" s="18">
        <v>90.798000000000002</v>
      </c>
      <c r="AC35" s="18">
        <v>27.9756</v>
      </c>
      <c r="AD35" s="18">
        <v>147.24</v>
      </c>
    </row>
    <row r="36" spans="2:30" x14ac:dyDescent="0.25">
      <c r="B36" t="s">
        <v>53</v>
      </c>
      <c r="C36" t="s">
        <v>50</v>
      </c>
      <c r="D36" t="s">
        <v>66</v>
      </c>
      <c r="E36" s="35">
        <v>0.9</v>
      </c>
      <c r="F36" s="35">
        <v>45</v>
      </c>
      <c r="G36" s="36">
        <v>0.65817300000000001</v>
      </c>
      <c r="H36" s="18">
        <v>1184.7117920000001</v>
      </c>
      <c r="I36" s="16" t="s">
        <v>52</v>
      </c>
      <c r="J36" s="16">
        <v>616</v>
      </c>
      <c r="K36" s="16"/>
      <c r="L36" s="37"/>
      <c r="M36" s="37"/>
      <c r="N36" s="37"/>
      <c r="O36" s="37"/>
      <c r="P36" s="37"/>
      <c r="Q36" s="18">
        <v>7.239903</v>
      </c>
      <c r="R36" s="18">
        <v>4.9362974999999996E-2</v>
      </c>
      <c r="S36" s="18">
        <v>13.821633</v>
      </c>
      <c r="T36" s="18">
        <v>59.235570000000003</v>
      </c>
      <c r="U36" s="18">
        <v>29.617785000000001</v>
      </c>
      <c r="V36" s="18">
        <v>379.10764799999998</v>
      </c>
      <c r="W36" s="18">
        <v>355.41342000000003</v>
      </c>
      <c r="X36" s="18">
        <v>236.94228000000001</v>
      </c>
      <c r="Y36" s="18">
        <v>10.530768</v>
      </c>
      <c r="Z36" s="18">
        <v>46.730283</v>
      </c>
      <c r="AA36" s="18">
        <v>68.449991999999995</v>
      </c>
      <c r="AB36" s="18">
        <v>121.762005</v>
      </c>
      <c r="AC36" s="18">
        <v>37.515861000000001</v>
      </c>
      <c r="AD36" s="18">
        <v>197.45189999999999</v>
      </c>
    </row>
    <row r="37" spans="2:30" x14ac:dyDescent="0.25">
      <c r="B37" t="s">
        <v>56</v>
      </c>
      <c r="C37" t="s">
        <v>50</v>
      </c>
      <c r="D37" t="s">
        <v>68</v>
      </c>
      <c r="E37" s="35">
        <v>0.9</v>
      </c>
      <c r="F37" s="35">
        <v>33</v>
      </c>
      <c r="G37" s="36">
        <v>0.25629000000000002</v>
      </c>
      <c r="H37" s="18">
        <v>461.32122800000002</v>
      </c>
      <c r="I37" s="16" t="s">
        <v>52</v>
      </c>
      <c r="J37" s="16">
        <v>617</v>
      </c>
      <c r="K37" s="16"/>
      <c r="L37" s="37"/>
      <c r="M37" s="37"/>
      <c r="N37" s="37"/>
      <c r="O37" s="37"/>
      <c r="P37" s="37"/>
      <c r="Q37" s="18">
        <v>2.8191900000000003</v>
      </c>
      <c r="R37" s="18">
        <v>1.9221749999999999E-2</v>
      </c>
      <c r="S37" s="18">
        <v>5.3820900000000007</v>
      </c>
      <c r="T37" s="18">
        <v>23.066100000000002</v>
      </c>
      <c r="U37" s="18">
        <v>11.533050000000001</v>
      </c>
      <c r="V37" s="18">
        <v>147.62304</v>
      </c>
      <c r="W37" s="18">
        <v>138.39660000000001</v>
      </c>
      <c r="X37" s="18">
        <v>92.264400000000009</v>
      </c>
      <c r="Y37" s="18">
        <v>4.1006400000000003</v>
      </c>
      <c r="Z37" s="18">
        <v>18.19659</v>
      </c>
      <c r="AA37" s="18">
        <v>26.654160000000001</v>
      </c>
      <c r="AB37" s="18">
        <v>47.413650000000004</v>
      </c>
      <c r="AC37" s="18">
        <v>14.608530000000002</v>
      </c>
      <c r="AD37" s="18">
        <v>76.887</v>
      </c>
    </row>
    <row r="38" spans="2:30" x14ac:dyDescent="0.25">
      <c r="B38" t="s">
        <v>69</v>
      </c>
      <c r="C38" t="s">
        <v>50</v>
      </c>
      <c r="D38" t="s">
        <v>70</v>
      </c>
      <c r="E38" s="35">
        <v>2.34</v>
      </c>
      <c r="F38" s="35">
        <v>49.61</v>
      </c>
      <c r="G38" s="36">
        <v>0.36114600000000002</v>
      </c>
      <c r="H38" s="18">
        <v>1690.1637679999999</v>
      </c>
      <c r="I38" s="16" t="s">
        <v>52</v>
      </c>
      <c r="J38" s="16">
        <v>618</v>
      </c>
      <c r="K38" s="16"/>
      <c r="L38" s="37"/>
      <c r="M38" s="37"/>
      <c r="N38" s="37"/>
      <c r="O38" s="37"/>
      <c r="P38" s="37"/>
      <c r="Q38" s="18">
        <v>3.9726060000000003</v>
      </c>
      <c r="R38" s="18">
        <v>2.7085950000000001E-2</v>
      </c>
      <c r="S38" s="18">
        <v>7.5840660000000009</v>
      </c>
      <c r="T38" s="18">
        <v>32.503140000000002</v>
      </c>
      <c r="U38" s="18">
        <v>16.251570000000001</v>
      </c>
      <c r="V38" s="18">
        <v>208.02009600000002</v>
      </c>
      <c r="W38" s="18">
        <v>195.01884000000001</v>
      </c>
      <c r="X38" s="18">
        <v>130.01256000000001</v>
      </c>
      <c r="Y38" s="18">
        <v>5.7783360000000004</v>
      </c>
      <c r="Z38" s="18">
        <v>25.641366000000001</v>
      </c>
      <c r="AA38" s="18">
        <v>37.559184000000002</v>
      </c>
      <c r="AB38" s="18">
        <v>66.812010000000001</v>
      </c>
      <c r="AC38" s="18">
        <v>20.585322000000001</v>
      </c>
      <c r="AD38" s="18">
        <v>108.3438</v>
      </c>
    </row>
    <row r="39" spans="2:30" x14ac:dyDescent="0.25">
      <c r="B39" t="s">
        <v>56</v>
      </c>
      <c r="C39" t="s">
        <v>50</v>
      </c>
      <c r="D39" t="s">
        <v>71</v>
      </c>
      <c r="E39" s="35">
        <v>0.9</v>
      </c>
      <c r="F39" s="35">
        <v>33</v>
      </c>
      <c r="G39" s="36">
        <v>0.23979</v>
      </c>
      <c r="H39" s="18">
        <v>431.62243699999999</v>
      </c>
      <c r="I39" s="16" t="s">
        <v>52</v>
      </c>
      <c r="J39" s="16">
        <v>619</v>
      </c>
      <c r="K39" s="16"/>
      <c r="L39" s="37"/>
      <c r="M39" s="37"/>
      <c r="N39" s="37"/>
      <c r="O39" s="37"/>
      <c r="P39" s="37"/>
      <c r="Q39" s="18">
        <v>2.6376900000000001</v>
      </c>
      <c r="R39" s="18">
        <v>1.798425E-2</v>
      </c>
      <c r="S39" s="18">
        <v>5.03559</v>
      </c>
      <c r="T39" s="18">
        <v>21.581099999999999</v>
      </c>
      <c r="U39" s="18">
        <v>10.79055</v>
      </c>
      <c r="V39" s="18">
        <v>138.11904000000001</v>
      </c>
      <c r="W39" s="18">
        <v>129.48660000000001</v>
      </c>
      <c r="X39" s="18">
        <v>86.324399999999997</v>
      </c>
      <c r="Y39" s="18">
        <v>3.8366400000000001</v>
      </c>
      <c r="Z39" s="18">
        <v>17.025089999999999</v>
      </c>
      <c r="AA39" s="18">
        <v>24.93816</v>
      </c>
      <c r="AB39" s="18">
        <v>44.361150000000002</v>
      </c>
      <c r="AC39" s="18">
        <v>13.66803</v>
      </c>
      <c r="AD39" s="18">
        <v>71.936999999999998</v>
      </c>
    </row>
    <row r="40" spans="2:30" x14ac:dyDescent="0.25">
      <c r="B40" t="s">
        <v>54</v>
      </c>
      <c r="C40" t="s">
        <v>50</v>
      </c>
      <c r="D40" t="s">
        <v>72</v>
      </c>
      <c r="E40" s="35">
        <v>2.34</v>
      </c>
      <c r="F40" s="35">
        <v>93.54</v>
      </c>
      <c r="G40" s="36">
        <v>1.289552</v>
      </c>
      <c r="H40" s="18">
        <v>6035.1048849999997</v>
      </c>
      <c r="I40" s="16" t="s">
        <v>52</v>
      </c>
      <c r="J40" s="16">
        <v>620</v>
      </c>
      <c r="K40" s="16"/>
      <c r="L40" s="37"/>
      <c r="M40" s="37"/>
      <c r="N40" s="37"/>
      <c r="O40" s="37"/>
      <c r="P40" s="37"/>
      <c r="Q40" s="18">
        <v>14.185072</v>
      </c>
      <c r="R40" s="18">
        <v>9.6716399999999994E-2</v>
      </c>
      <c r="S40" s="18">
        <v>27.080591999999999</v>
      </c>
      <c r="T40" s="18">
        <v>116.05968</v>
      </c>
      <c r="U40" s="18">
        <v>58.02984</v>
      </c>
      <c r="V40" s="18">
        <v>742.78195200000005</v>
      </c>
      <c r="W40" s="18">
        <v>696.35807999999997</v>
      </c>
      <c r="X40" s="18">
        <v>464.23872</v>
      </c>
      <c r="Y40" s="18">
        <v>20.632832000000001</v>
      </c>
      <c r="Z40" s="18">
        <v>91.558192000000005</v>
      </c>
      <c r="AA40" s="18">
        <v>134.11340799999999</v>
      </c>
      <c r="AB40" s="18">
        <v>238.56712000000002</v>
      </c>
      <c r="AC40" s="18">
        <v>73.504463999999999</v>
      </c>
      <c r="AD40" s="18">
        <v>386.86560000000003</v>
      </c>
    </row>
    <row r="41" spans="2:30" x14ac:dyDescent="0.25">
      <c r="B41" t="s">
        <v>56</v>
      </c>
      <c r="C41" t="s">
        <v>50</v>
      </c>
      <c r="D41" t="s">
        <v>73</v>
      </c>
      <c r="E41" s="35">
        <v>0.9</v>
      </c>
      <c r="F41" s="35">
        <v>33</v>
      </c>
      <c r="G41" s="36">
        <v>0.24132999999999999</v>
      </c>
      <c r="H41" s="18">
        <v>434.39432399999998</v>
      </c>
      <c r="I41" s="16" t="s">
        <v>52</v>
      </c>
      <c r="J41" s="16">
        <v>621</v>
      </c>
      <c r="K41" s="16"/>
      <c r="L41" s="37"/>
      <c r="M41" s="37"/>
      <c r="N41" s="37"/>
      <c r="O41" s="37"/>
      <c r="P41" s="37"/>
      <c r="Q41" s="18">
        <v>2.65463</v>
      </c>
      <c r="R41" s="18">
        <v>1.8099749999999998E-2</v>
      </c>
      <c r="S41" s="18">
        <v>5.0679299999999996</v>
      </c>
      <c r="T41" s="18">
        <v>21.7197</v>
      </c>
      <c r="U41" s="18">
        <v>10.85985</v>
      </c>
      <c r="V41" s="18">
        <v>139.00608</v>
      </c>
      <c r="W41" s="18">
        <v>130.31819999999999</v>
      </c>
      <c r="X41" s="18">
        <v>86.878799999999998</v>
      </c>
      <c r="Y41" s="18">
        <v>3.8612799999999998</v>
      </c>
      <c r="Z41" s="18">
        <v>17.134429999999998</v>
      </c>
      <c r="AA41" s="18">
        <v>25.098319999999998</v>
      </c>
      <c r="AB41" s="18">
        <v>44.646049999999995</v>
      </c>
      <c r="AC41" s="18">
        <v>13.755809999999999</v>
      </c>
      <c r="AD41" s="18">
        <v>72.399000000000001</v>
      </c>
    </row>
    <row r="42" spans="2:30" x14ac:dyDescent="0.25">
      <c r="B42" t="s">
        <v>54</v>
      </c>
      <c r="C42" t="s">
        <v>50</v>
      </c>
      <c r="D42" t="s">
        <v>72</v>
      </c>
      <c r="E42" s="35">
        <v>2.34</v>
      </c>
      <c r="F42" s="35">
        <v>93.54</v>
      </c>
      <c r="G42" s="36">
        <v>1.289552</v>
      </c>
      <c r="H42" s="18">
        <v>6035.1048849999997</v>
      </c>
      <c r="I42" s="16" t="s">
        <v>52</v>
      </c>
      <c r="J42" s="16">
        <v>622</v>
      </c>
      <c r="K42" s="16"/>
      <c r="L42" s="37"/>
      <c r="M42" s="37"/>
      <c r="N42" s="37"/>
      <c r="O42" s="37"/>
      <c r="P42" s="37"/>
      <c r="Q42" s="18">
        <v>14.185072</v>
      </c>
      <c r="R42" s="18">
        <v>9.6716399999999994E-2</v>
      </c>
      <c r="S42" s="18">
        <v>27.080591999999999</v>
      </c>
      <c r="T42" s="18">
        <v>116.05968</v>
      </c>
      <c r="U42" s="18">
        <v>58.02984</v>
      </c>
      <c r="V42" s="18">
        <v>742.78195200000005</v>
      </c>
      <c r="W42" s="18">
        <v>696.35807999999997</v>
      </c>
      <c r="X42" s="18">
        <v>464.23872</v>
      </c>
      <c r="Y42" s="18">
        <v>20.632832000000001</v>
      </c>
      <c r="Z42" s="18">
        <v>91.558192000000005</v>
      </c>
      <c r="AA42" s="18">
        <v>134.11340799999999</v>
      </c>
      <c r="AB42" s="18">
        <v>238.56712000000002</v>
      </c>
      <c r="AC42" s="18">
        <v>73.504463999999999</v>
      </c>
      <c r="AD42" s="18">
        <v>386.86560000000003</v>
      </c>
    </row>
    <row r="43" spans="2:30" x14ac:dyDescent="0.25">
      <c r="B43" t="s">
        <v>56</v>
      </c>
      <c r="C43" t="s">
        <v>50</v>
      </c>
      <c r="D43" t="s">
        <v>74</v>
      </c>
      <c r="E43" s="35">
        <v>0.9</v>
      </c>
      <c r="F43" s="35">
        <v>33</v>
      </c>
      <c r="G43" s="36">
        <v>0.24177000000000001</v>
      </c>
      <c r="H43" s="18">
        <v>435.18629199999998</v>
      </c>
      <c r="I43" s="16" t="s">
        <v>52</v>
      </c>
      <c r="J43" s="16">
        <v>623</v>
      </c>
      <c r="K43" s="16"/>
      <c r="L43" s="37"/>
      <c r="M43" s="37"/>
      <c r="N43" s="37"/>
      <c r="O43" s="37"/>
      <c r="P43" s="37"/>
      <c r="Q43" s="18">
        <v>2.6594700000000002</v>
      </c>
      <c r="R43" s="18">
        <v>1.813275E-2</v>
      </c>
      <c r="S43" s="18">
        <v>5.0771700000000006</v>
      </c>
      <c r="T43" s="18">
        <v>21.7593</v>
      </c>
      <c r="U43" s="18">
        <v>10.87965</v>
      </c>
      <c r="V43" s="18">
        <v>139.25952000000001</v>
      </c>
      <c r="W43" s="18">
        <v>130.5558</v>
      </c>
      <c r="X43" s="18">
        <v>87.037199999999999</v>
      </c>
      <c r="Y43" s="18">
        <v>3.8683200000000002</v>
      </c>
      <c r="Z43" s="18">
        <v>17.165670000000002</v>
      </c>
      <c r="AA43" s="18">
        <v>25.144080000000002</v>
      </c>
      <c r="AB43" s="18">
        <v>44.727450000000005</v>
      </c>
      <c r="AC43" s="18">
        <v>13.780890000000001</v>
      </c>
      <c r="AD43" s="18">
        <v>72.531000000000006</v>
      </c>
    </row>
    <row r="44" spans="2:30" x14ac:dyDescent="0.25">
      <c r="B44" t="s">
        <v>54</v>
      </c>
      <c r="C44" t="s">
        <v>50</v>
      </c>
      <c r="D44" t="s">
        <v>72</v>
      </c>
      <c r="E44" s="35">
        <v>2.34</v>
      </c>
      <c r="F44" s="35">
        <v>93.54</v>
      </c>
      <c r="G44" s="36">
        <v>1.289552</v>
      </c>
      <c r="H44" s="18">
        <v>6035.1048849999997</v>
      </c>
      <c r="I44" s="16" t="s">
        <v>52</v>
      </c>
      <c r="J44" s="16">
        <v>624</v>
      </c>
      <c r="K44" s="16"/>
      <c r="L44" s="37"/>
      <c r="M44" s="37"/>
      <c r="N44" s="37"/>
      <c r="O44" s="37"/>
      <c r="P44" s="37"/>
      <c r="Q44" s="18">
        <v>14.185072</v>
      </c>
      <c r="R44" s="18">
        <v>9.6716399999999994E-2</v>
      </c>
      <c r="S44" s="18">
        <v>27.080591999999999</v>
      </c>
      <c r="T44" s="18">
        <v>116.05968</v>
      </c>
      <c r="U44" s="18">
        <v>58.02984</v>
      </c>
      <c r="V44" s="18">
        <v>742.78195200000005</v>
      </c>
      <c r="W44" s="18">
        <v>696.35807999999997</v>
      </c>
      <c r="X44" s="18">
        <v>464.23872</v>
      </c>
      <c r="Y44" s="18">
        <v>20.632832000000001</v>
      </c>
      <c r="Z44" s="18">
        <v>91.558192000000005</v>
      </c>
      <c r="AA44" s="18">
        <v>134.11340799999999</v>
      </c>
      <c r="AB44" s="18">
        <v>238.56712000000002</v>
      </c>
      <c r="AC44" s="18">
        <v>73.504463999999999</v>
      </c>
      <c r="AD44" s="18">
        <v>386.86560000000003</v>
      </c>
    </row>
    <row r="45" spans="2:30" x14ac:dyDescent="0.25">
      <c r="B45" t="s">
        <v>53</v>
      </c>
      <c r="C45" t="s">
        <v>50</v>
      </c>
      <c r="D45" t="s">
        <v>51</v>
      </c>
      <c r="E45" s="35">
        <v>0.9</v>
      </c>
      <c r="F45" s="35">
        <v>45</v>
      </c>
      <c r="G45" s="36">
        <v>0.64677399999999996</v>
      </c>
      <c r="H45" s="18">
        <v>1164.1926269999999</v>
      </c>
      <c r="I45" s="16" t="s">
        <v>52</v>
      </c>
      <c r="J45" s="16">
        <v>625</v>
      </c>
      <c r="K45" s="16"/>
      <c r="L45" s="37"/>
      <c r="M45" s="37"/>
      <c r="N45" s="37"/>
      <c r="O45" s="37"/>
      <c r="P45" s="37"/>
      <c r="Q45" s="18">
        <v>7.1145139999999998</v>
      </c>
      <c r="R45" s="18">
        <v>4.8508049999999997E-2</v>
      </c>
      <c r="S45" s="18">
        <v>13.582253999999999</v>
      </c>
      <c r="T45" s="18">
        <v>58.20966</v>
      </c>
      <c r="U45" s="18">
        <v>29.10483</v>
      </c>
      <c r="V45" s="18">
        <v>372.54182399999996</v>
      </c>
      <c r="W45" s="18">
        <v>349.25795999999997</v>
      </c>
      <c r="X45" s="18">
        <v>232.83864</v>
      </c>
      <c r="Y45" s="18">
        <v>10.348383999999999</v>
      </c>
      <c r="Z45" s="18">
        <v>45.920953999999995</v>
      </c>
      <c r="AA45" s="18">
        <v>67.264495999999994</v>
      </c>
      <c r="AB45" s="18">
        <v>119.65319</v>
      </c>
      <c r="AC45" s="18">
        <v>36.866118</v>
      </c>
      <c r="AD45" s="18">
        <v>194.03219999999999</v>
      </c>
    </row>
    <row r="46" spans="2:30" x14ac:dyDescent="0.25">
      <c r="B46" t="s">
        <v>69</v>
      </c>
      <c r="C46" t="s">
        <v>50</v>
      </c>
      <c r="D46" t="s">
        <v>70</v>
      </c>
      <c r="E46" s="35">
        <v>2.34</v>
      </c>
      <c r="F46" s="35">
        <v>49.61</v>
      </c>
      <c r="G46" s="36">
        <v>0.36114600000000002</v>
      </c>
      <c r="H46" s="18">
        <v>1690.1637679999999</v>
      </c>
      <c r="I46" s="16" t="s">
        <v>52</v>
      </c>
      <c r="J46" s="16">
        <v>626</v>
      </c>
      <c r="K46" s="16"/>
      <c r="L46" s="37"/>
      <c r="M46" s="37"/>
      <c r="N46" s="37"/>
      <c r="O46" s="37"/>
      <c r="P46" s="37"/>
      <c r="Q46" s="18">
        <v>3.9726060000000003</v>
      </c>
      <c r="R46" s="18">
        <v>2.7085950000000001E-2</v>
      </c>
      <c r="S46" s="18">
        <v>7.5840660000000009</v>
      </c>
      <c r="T46" s="18">
        <v>32.503140000000002</v>
      </c>
      <c r="U46" s="18">
        <v>16.251570000000001</v>
      </c>
      <c r="V46" s="18">
        <v>208.02009600000002</v>
      </c>
      <c r="W46" s="18">
        <v>195.01884000000001</v>
      </c>
      <c r="X46" s="18">
        <v>130.01256000000001</v>
      </c>
      <c r="Y46" s="18">
        <v>5.7783360000000004</v>
      </c>
      <c r="Z46" s="18">
        <v>25.641366000000001</v>
      </c>
      <c r="AA46" s="18">
        <v>37.559184000000002</v>
      </c>
      <c r="AB46" s="18">
        <v>66.812010000000001</v>
      </c>
      <c r="AC46" s="18">
        <v>20.585322000000001</v>
      </c>
      <c r="AD46" s="18">
        <v>108.3438</v>
      </c>
    </row>
    <row r="47" spans="2:30" x14ac:dyDescent="0.25">
      <c r="B47" t="s">
        <v>49</v>
      </c>
      <c r="C47" t="s">
        <v>50</v>
      </c>
      <c r="D47" t="s">
        <v>51</v>
      </c>
      <c r="E47" s="35">
        <v>0.9</v>
      </c>
      <c r="F47" s="35">
        <v>49</v>
      </c>
      <c r="G47" s="36">
        <v>0.70426500000000003</v>
      </c>
      <c r="H47" s="18">
        <v>1267.676416</v>
      </c>
      <c r="I47" s="16" t="s">
        <v>52</v>
      </c>
      <c r="J47" s="16">
        <v>627</v>
      </c>
      <c r="K47" s="16"/>
      <c r="L47" s="37"/>
      <c r="M47" s="37"/>
      <c r="N47" s="37"/>
      <c r="O47" s="37"/>
      <c r="P47" s="37"/>
      <c r="Q47" s="18">
        <v>7.7469150000000004</v>
      </c>
      <c r="R47" s="18">
        <v>5.2819875000000002E-2</v>
      </c>
      <c r="S47" s="18">
        <v>14.789565000000001</v>
      </c>
      <c r="T47" s="18">
        <v>63.383850000000002</v>
      </c>
      <c r="U47" s="18">
        <v>31.691925000000001</v>
      </c>
      <c r="V47" s="18">
        <v>405.65664000000004</v>
      </c>
      <c r="W47" s="18">
        <v>380.30310000000003</v>
      </c>
      <c r="X47" s="18">
        <v>253.53540000000001</v>
      </c>
      <c r="Y47" s="18">
        <v>11.26824</v>
      </c>
      <c r="Z47" s="18">
        <v>50.002815000000005</v>
      </c>
      <c r="AA47" s="18">
        <v>73.243560000000002</v>
      </c>
      <c r="AB47" s="18">
        <v>130.28902500000001</v>
      </c>
      <c r="AC47" s="18">
        <v>40.143104999999998</v>
      </c>
      <c r="AD47" s="18">
        <v>211.27950000000001</v>
      </c>
    </row>
    <row r="48" spans="2:30" x14ac:dyDescent="0.25">
      <c r="B48" t="s">
        <v>61</v>
      </c>
      <c r="C48" t="s">
        <v>50</v>
      </c>
      <c r="D48" t="s">
        <v>75</v>
      </c>
      <c r="E48" s="35">
        <v>0.9</v>
      </c>
      <c r="F48" s="35">
        <v>65</v>
      </c>
      <c r="G48" s="36">
        <v>0.96759399999999995</v>
      </c>
      <c r="H48" s="18">
        <v>1741.669128</v>
      </c>
      <c r="I48" s="16" t="s">
        <v>52</v>
      </c>
      <c r="J48" s="16">
        <v>628</v>
      </c>
      <c r="K48" s="16"/>
      <c r="L48" s="37"/>
      <c r="M48" s="37"/>
      <c r="N48" s="37"/>
      <c r="O48" s="37"/>
      <c r="P48" s="37"/>
      <c r="Q48" s="18">
        <v>10.643533999999999</v>
      </c>
      <c r="R48" s="18">
        <v>7.2569549999999997E-2</v>
      </c>
      <c r="S48" s="18">
        <v>20.319474</v>
      </c>
      <c r="T48" s="18">
        <v>87.083460000000002</v>
      </c>
      <c r="U48" s="18">
        <v>43.541730000000001</v>
      </c>
      <c r="V48" s="18">
        <v>557.33414399999992</v>
      </c>
      <c r="W48" s="18">
        <v>522.50076000000001</v>
      </c>
      <c r="X48" s="18">
        <v>348.33384000000001</v>
      </c>
      <c r="Y48" s="18">
        <v>15.481503999999999</v>
      </c>
      <c r="Z48" s="18">
        <v>68.699173999999999</v>
      </c>
      <c r="AA48" s="18">
        <v>100.62977599999999</v>
      </c>
      <c r="AB48" s="18">
        <v>179.00488999999999</v>
      </c>
      <c r="AC48" s="18">
        <v>55.152857999999995</v>
      </c>
      <c r="AD48" s="18">
        <v>290.27819999999997</v>
      </c>
    </row>
    <row r="49" spans="2:30" x14ac:dyDescent="0.25">
      <c r="B49" t="s">
        <v>49</v>
      </c>
      <c r="C49" t="s">
        <v>50</v>
      </c>
      <c r="D49" t="s">
        <v>51</v>
      </c>
      <c r="E49" s="35">
        <v>0.9</v>
      </c>
      <c r="F49" s="35">
        <v>49</v>
      </c>
      <c r="G49" s="36">
        <v>0.70426500000000003</v>
      </c>
      <c r="H49" s="18">
        <v>1267.676416</v>
      </c>
      <c r="I49" s="16" t="s">
        <v>52</v>
      </c>
      <c r="J49" s="16">
        <v>629</v>
      </c>
      <c r="K49" s="16"/>
      <c r="L49" s="37"/>
      <c r="M49" s="37"/>
      <c r="N49" s="37"/>
      <c r="O49" s="37"/>
      <c r="P49" s="37"/>
      <c r="Q49" s="18">
        <v>7.7469150000000004</v>
      </c>
      <c r="R49" s="18">
        <v>5.2819875000000002E-2</v>
      </c>
      <c r="S49" s="18">
        <v>14.789565000000001</v>
      </c>
      <c r="T49" s="18">
        <v>63.383850000000002</v>
      </c>
      <c r="U49" s="18">
        <v>31.691925000000001</v>
      </c>
      <c r="V49" s="18">
        <v>405.65664000000004</v>
      </c>
      <c r="W49" s="18">
        <v>380.30310000000003</v>
      </c>
      <c r="X49" s="18">
        <v>253.53540000000001</v>
      </c>
      <c r="Y49" s="18">
        <v>11.26824</v>
      </c>
      <c r="Z49" s="18">
        <v>50.002815000000005</v>
      </c>
      <c r="AA49" s="18">
        <v>73.243560000000002</v>
      </c>
      <c r="AB49" s="18">
        <v>130.28902500000001</v>
      </c>
      <c r="AC49" s="18">
        <v>40.143104999999998</v>
      </c>
      <c r="AD49" s="18">
        <v>211.27950000000001</v>
      </c>
    </row>
    <row r="50" spans="2:30" x14ac:dyDescent="0.25">
      <c r="B50" t="s">
        <v>53</v>
      </c>
      <c r="C50" t="s">
        <v>50</v>
      </c>
      <c r="D50" t="s">
        <v>76</v>
      </c>
      <c r="E50" s="35">
        <v>0.9</v>
      </c>
      <c r="F50" s="35">
        <v>45</v>
      </c>
      <c r="G50" s="36">
        <v>0.67077299999999995</v>
      </c>
      <c r="H50" s="18">
        <v>1207.3908690000001</v>
      </c>
      <c r="I50" s="16" t="s">
        <v>52</v>
      </c>
      <c r="J50" s="16">
        <v>630</v>
      </c>
      <c r="K50" s="16"/>
      <c r="L50" s="37"/>
      <c r="M50" s="37"/>
      <c r="N50" s="37"/>
      <c r="O50" s="37"/>
      <c r="P50" s="37"/>
      <c r="Q50" s="18">
        <v>7.3785029999999994</v>
      </c>
      <c r="R50" s="18">
        <v>5.0307974999999998E-2</v>
      </c>
      <c r="S50" s="18">
        <v>14.086232999999998</v>
      </c>
      <c r="T50" s="18">
        <v>60.369569999999996</v>
      </c>
      <c r="U50" s="18">
        <v>30.184784999999998</v>
      </c>
      <c r="V50" s="18">
        <v>386.36524799999995</v>
      </c>
      <c r="W50" s="18">
        <v>362.21741999999995</v>
      </c>
      <c r="X50" s="18">
        <v>241.47827999999998</v>
      </c>
      <c r="Y50" s="18">
        <v>10.732367999999999</v>
      </c>
      <c r="Z50" s="18">
        <v>47.624882999999997</v>
      </c>
      <c r="AA50" s="18">
        <v>69.760391999999996</v>
      </c>
      <c r="AB50" s="18">
        <v>124.09300499999999</v>
      </c>
      <c r="AC50" s="18">
        <v>38.234060999999997</v>
      </c>
      <c r="AD50" s="18">
        <v>201.2319</v>
      </c>
    </row>
    <row r="51" spans="2:30" x14ac:dyDescent="0.25">
      <c r="B51" t="s">
        <v>77</v>
      </c>
      <c r="C51" t="s">
        <v>50</v>
      </c>
      <c r="D51" t="s">
        <v>51</v>
      </c>
      <c r="E51" s="35">
        <v>0.9</v>
      </c>
      <c r="F51" s="35">
        <v>54</v>
      </c>
      <c r="G51" s="36">
        <v>0.77612800000000004</v>
      </c>
      <c r="H51" s="18">
        <v>1397.031152</v>
      </c>
      <c r="I51" s="16" t="s">
        <v>52</v>
      </c>
      <c r="J51" s="16">
        <v>631</v>
      </c>
      <c r="K51" s="16"/>
      <c r="L51" s="37"/>
      <c r="M51" s="37"/>
      <c r="N51" s="37"/>
      <c r="O51" s="37"/>
      <c r="P51" s="37"/>
      <c r="Q51" s="18">
        <v>8.537408000000001</v>
      </c>
      <c r="R51" s="18">
        <v>5.82096E-2</v>
      </c>
      <c r="S51" s="18">
        <v>16.298688000000002</v>
      </c>
      <c r="T51" s="18">
        <v>69.851520000000008</v>
      </c>
      <c r="U51" s="18">
        <v>34.925760000000004</v>
      </c>
      <c r="V51" s="18">
        <v>447.04972800000002</v>
      </c>
      <c r="W51" s="18">
        <v>419.10912000000002</v>
      </c>
      <c r="X51" s="18">
        <v>279.40608000000003</v>
      </c>
      <c r="Y51" s="18">
        <v>12.418048000000001</v>
      </c>
      <c r="Z51" s="18">
        <v>55.105088000000002</v>
      </c>
      <c r="AA51" s="18">
        <v>80.717312000000007</v>
      </c>
      <c r="AB51" s="18">
        <v>143.58368000000002</v>
      </c>
      <c r="AC51" s="18">
        <v>44.239296000000003</v>
      </c>
      <c r="AD51" s="18">
        <v>232.83840000000001</v>
      </c>
    </row>
    <row r="52" spans="2:30" x14ac:dyDescent="0.25">
      <c r="B52" t="s">
        <v>49</v>
      </c>
      <c r="C52" t="s">
        <v>50</v>
      </c>
      <c r="D52" t="s">
        <v>63</v>
      </c>
      <c r="E52" s="35">
        <v>0.9</v>
      </c>
      <c r="F52" s="35">
        <v>49</v>
      </c>
      <c r="G52" s="36">
        <v>0.70655100000000004</v>
      </c>
      <c r="H52" s="18">
        <v>1271.7922490000001</v>
      </c>
      <c r="I52" s="16" t="s">
        <v>52</v>
      </c>
      <c r="J52" s="16">
        <v>632</v>
      </c>
      <c r="K52" s="16"/>
      <c r="L52" s="37"/>
      <c r="M52" s="37"/>
      <c r="N52" s="37"/>
      <c r="O52" s="37"/>
      <c r="P52" s="37"/>
      <c r="Q52" s="18">
        <v>7.7720610000000008</v>
      </c>
      <c r="R52" s="18">
        <v>5.2991324999999999E-2</v>
      </c>
      <c r="S52" s="18">
        <v>14.837571000000001</v>
      </c>
      <c r="T52" s="18">
        <v>63.589590000000001</v>
      </c>
      <c r="U52" s="18">
        <v>31.794795000000001</v>
      </c>
      <c r="V52" s="18">
        <v>406.97337600000003</v>
      </c>
      <c r="W52" s="18">
        <v>381.53754000000004</v>
      </c>
      <c r="X52" s="18">
        <v>254.35836</v>
      </c>
      <c r="Y52" s="18">
        <v>11.304816000000001</v>
      </c>
      <c r="Z52" s="18">
        <v>50.165121000000006</v>
      </c>
      <c r="AA52" s="18">
        <v>73.481304000000009</v>
      </c>
      <c r="AB52" s="18">
        <v>130.71193500000001</v>
      </c>
      <c r="AC52" s="18">
        <v>40.273406999999999</v>
      </c>
      <c r="AD52" s="18">
        <v>211.96530000000001</v>
      </c>
    </row>
    <row r="53" spans="2:30" x14ac:dyDescent="0.25">
      <c r="B53" t="s">
        <v>53</v>
      </c>
      <c r="C53" t="s">
        <v>50</v>
      </c>
      <c r="D53" t="s">
        <v>51</v>
      </c>
      <c r="E53" s="35">
        <v>0.9</v>
      </c>
      <c r="F53" s="35">
        <v>45</v>
      </c>
      <c r="G53" s="36">
        <v>0.64677399999999996</v>
      </c>
      <c r="H53" s="18">
        <v>1164.1926269999999</v>
      </c>
      <c r="I53" s="16" t="s">
        <v>52</v>
      </c>
      <c r="J53" s="16">
        <v>633</v>
      </c>
      <c r="K53" s="16"/>
      <c r="L53" s="37"/>
      <c r="M53" s="37"/>
      <c r="N53" s="37"/>
      <c r="O53" s="37"/>
      <c r="P53" s="37"/>
      <c r="Q53" s="18">
        <v>7.1145139999999998</v>
      </c>
      <c r="R53" s="18">
        <v>4.8508049999999997E-2</v>
      </c>
      <c r="S53" s="18">
        <v>13.582253999999999</v>
      </c>
      <c r="T53" s="18">
        <v>58.20966</v>
      </c>
      <c r="U53" s="18">
        <v>29.10483</v>
      </c>
      <c r="V53" s="18">
        <v>372.54182399999996</v>
      </c>
      <c r="W53" s="18">
        <v>349.25795999999997</v>
      </c>
      <c r="X53" s="18">
        <v>232.83864</v>
      </c>
      <c r="Y53" s="18">
        <v>10.348383999999999</v>
      </c>
      <c r="Z53" s="18">
        <v>45.920953999999995</v>
      </c>
      <c r="AA53" s="18">
        <v>67.264495999999994</v>
      </c>
      <c r="AB53" s="18">
        <v>119.65319</v>
      </c>
      <c r="AC53" s="18">
        <v>36.866118</v>
      </c>
      <c r="AD53" s="18">
        <v>194.03219999999999</v>
      </c>
    </row>
    <row r="54" spans="2:30" x14ac:dyDescent="0.25">
      <c r="B54" t="s">
        <v>49</v>
      </c>
      <c r="C54" t="s">
        <v>50</v>
      </c>
      <c r="D54" t="s">
        <v>66</v>
      </c>
      <c r="E54" s="35">
        <v>0.9</v>
      </c>
      <c r="F54" s="35">
        <v>49</v>
      </c>
      <c r="G54" s="36">
        <v>0.71667800000000004</v>
      </c>
      <c r="H54" s="18">
        <v>1290.019507</v>
      </c>
      <c r="I54" s="16" t="s">
        <v>52</v>
      </c>
      <c r="J54" s="16">
        <v>634</v>
      </c>
      <c r="K54" s="16"/>
      <c r="L54" s="37"/>
      <c r="M54" s="37"/>
      <c r="N54" s="37"/>
      <c r="O54" s="37"/>
      <c r="P54" s="37"/>
      <c r="Q54" s="18">
        <v>7.8834580000000001</v>
      </c>
      <c r="R54" s="18">
        <v>5.3750850000000003E-2</v>
      </c>
      <c r="S54" s="18">
        <v>15.050238</v>
      </c>
      <c r="T54" s="18">
        <v>64.501019999999997</v>
      </c>
      <c r="U54" s="18">
        <v>32.250509999999998</v>
      </c>
      <c r="V54" s="18">
        <v>412.80652800000001</v>
      </c>
      <c r="W54" s="18">
        <v>387.00612000000001</v>
      </c>
      <c r="X54" s="18">
        <v>258.00407999999999</v>
      </c>
      <c r="Y54" s="18">
        <v>11.466848000000001</v>
      </c>
      <c r="Z54" s="18">
        <v>50.884138</v>
      </c>
      <c r="AA54" s="18">
        <v>74.534512000000007</v>
      </c>
      <c r="AB54" s="18">
        <v>132.58543</v>
      </c>
      <c r="AC54" s="18">
        <v>40.850646000000005</v>
      </c>
      <c r="AD54" s="18">
        <v>215.0034</v>
      </c>
    </row>
    <row r="55" spans="2:30" x14ac:dyDescent="0.25">
      <c r="B55" t="s">
        <v>78</v>
      </c>
      <c r="C55" t="s">
        <v>50</v>
      </c>
      <c r="D55" t="s">
        <v>79</v>
      </c>
      <c r="E55" s="35">
        <v>2.34</v>
      </c>
      <c r="F55" s="35">
        <v>70.66</v>
      </c>
      <c r="G55" s="36">
        <v>0.98637300000000006</v>
      </c>
      <c r="H55" s="18">
        <v>4616.2278059999999</v>
      </c>
      <c r="I55" s="16" t="s">
        <v>52</v>
      </c>
      <c r="J55" s="16">
        <v>635</v>
      </c>
      <c r="K55" s="16"/>
      <c r="L55" s="37"/>
      <c r="M55" s="37"/>
      <c r="N55" s="37"/>
      <c r="O55" s="37"/>
      <c r="P55" s="37"/>
      <c r="Q55" s="18">
        <v>10.850103000000001</v>
      </c>
      <c r="R55" s="18">
        <v>7.3977975000000001E-2</v>
      </c>
      <c r="S55" s="18">
        <v>20.713833000000001</v>
      </c>
      <c r="T55" s="18">
        <v>88.773570000000007</v>
      </c>
      <c r="U55" s="18">
        <v>44.386785000000003</v>
      </c>
      <c r="V55" s="18">
        <v>568.150848</v>
      </c>
      <c r="W55" s="18">
        <v>532.64142000000004</v>
      </c>
      <c r="X55" s="18">
        <v>355.09428000000003</v>
      </c>
      <c r="Y55" s="18">
        <v>15.781968000000001</v>
      </c>
      <c r="Z55" s="18">
        <v>70.032482999999999</v>
      </c>
      <c r="AA55" s="18">
        <v>102.58279200000001</v>
      </c>
      <c r="AB55" s="18">
        <v>182.479005</v>
      </c>
      <c r="AC55" s="18">
        <v>56.223261000000001</v>
      </c>
      <c r="AD55" s="18">
        <v>295.9119</v>
      </c>
    </row>
    <row r="56" spans="2:30" x14ac:dyDescent="0.25">
      <c r="B56" t="s">
        <v>61</v>
      </c>
      <c r="C56" t="s">
        <v>50</v>
      </c>
      <c r="D56" t="s">
        <v>80</v>
      </c>
      <c r="E56" s="35">
        <v>0.9</v>
      </c>
      <c r="F56" s="35">
        <v>65</v>
      </c>
      <c r="G56" s="36">
        <v>0.92339599999999999</v>
      </c>
      <c r="H56" s="18">
        <v>1662.1123660000001</v>
      </c>
      <c r="I56" s="16" t="s">
        <v>52</v>
      </c>
      <c r="J56" s="16">
        <v>636</v>
      </c>
      <c r="K56" s="16"/>
      <c r="L56" s="37"/>
      <c r="M56" s="37"/>
      <c r="N56" s="37"/>
      <c r="O56" s="37"/>
      <c r="P56" s="37"/>
      <c r="Q56" s="18">
        <v>10.157356</v>
      </c>
      <c r="R56" s="18">
        <v>6.9254700000000002E-2</v>
      </c>
      <c r="S56" s="18">
        <v>19.391316</v>
      </c>
      <c r="T56" s="18">
        <v>83.105639999999994</v>
      </c>
      <c r="U56" s="18">
        <v>41.552819999999997</v>
      </c>
      <c r="V56" s="18">
        <v>531.87609599999996</v>
      </c>
      <c r="W56" s="18">
        <v>498.63384000000002</v>
      </c>
      <c r="X56" s="18">
        <v>332.42255999999998</v>
      </c>
      <c r="Y56" s="18">
        <v>14.774336</v>
      </c>
      <c r="Z56" s="18">
        <v>65.561115999999998</v>
      </c>
      <c r="AA56" s="18">
        <v>96.033184000000006</v>
      </c>
      <c r="AB56" s="18">
        <v>170.82826</v>
      </c>
      <c r="AC56" s="18">
        <v>52.633572000000001</v>
      </c>
      <c r="AD56" s="18">
        <v>277.0188</v>
      </c>
    </row>
    <row r="57" spans="2:30" x14ac:dyDescent="0.25">
      <c r="B57" t="s">
        <v>53</v>
      </c>
      <c r="C57" t="s">
        <v>50</v>
      </c>
      <c r="D57" t="s">
        <v>51</v>
      </c>
      <c r="E57" s="35">
        <v>0.9</v>
      </c>
      <c r="F57" s="35">
        <v>45</v>
      </c>
      <c r="G57" s="36">
        <v>0.64677399999999996</v>
      </c>
      <c r="H57" s="18">
        <v>1164.1926269999999</v>
      </c>
      <c r="I57" s="16" t="s">
        <v>52</v>
      </c>
      <c r="J57" s="16">
        <v>637</v>
      </c>
      <c r="K57" s="16"/>
      <c r="L57" s="37"/>
      <c r="M57" s="37"/>
      <c r="N57" s="37"/>
      <c r="O57" s="37"/>
      <c r="P57" s="37"/>
      <c r="Q57" s="18">
        <v>7.1145139999999998</v>
      </c>
      <c r="R57" s="18">
        <v>4.8508049999999997E-2</v>
      </c>
      <c r="S57" s="18">
        <v>13.582253999999999</v>
      </c>
      <c r="T57" s="18">
        <v>58.20966</v>
      </c>
      <c r="U57" s="18">
        <v>29.10483</v>
      </c>
      <c r="V57" s="18">
        <v>372.54182399999996</v>
      </c>
      <c r="W57" s="18">
        <v>349.25795999999997</v>
      </c>
      <c r="X57" s="18">
        <v>232.83864</v>
      </c>
      <c r="Y57" s="18">
        <v>10.348383999999999</v>
      </c>
      <c r="Z57" s="18">
        <v>45.920953999999995</v>
      </c>
      <c r="AA57" s="18">
        <v>67.264495999999994</v>
      </c>
      <c r="AB57" s="18">
        <v>119.65319</v>
      </c>
      <c r="AC57" s="18">
        <v>36.866118</v>
      </c>
      <c r="AD57" s="18">
        <v>194.03219999999999</v>
      </c>
    </row>
    <row r="58" spans="2:30" x14ac:dyDescent="0.25">
      <c r="B58" t="s">
        <v>61</v>
      </c>
      <c r="C58" t="s">
        <v>50</v>
      </c>
      <c r="D58" t="s">
        <v>81</v>
      </c>
      <c r="E58" s="35">
        <v>0.9</v>
      </c>
      <c r="F58" s="35">
        <v>65</v>
      </c>
      <c r="G58" s="36">
        <v>0.87486399999999998</v>
      </c>
      <c r="H58" s="18">
        <v>1574.7559200000001</v>
      </c>
      <c r="I58" s="16" t="s">
        <v>52</v>
      </c>
      <c r="J58" s="16">
        <v>638</v>
      </c>
      <c r="K58" s="16"/>
      <c r="L58" s="37"/>
      <c r="M58" s="37"/>
      <c r="N58" s="37"/>
      <c r="O58" s="37"/>
      <c r="P58" s="37"/>
      <c r="Q58" s="18">
        <v>9.6235040000000005</v>
      </c>
      <c r="R58" s="18">
        <v>6.5614800000000001E-2</v>
      </c>
      <c r="S58" s="18">
        <v>18.372143999999999</v>
      </c>
      <c r="T58" s="18">
        <v>78.737759999999994</v>
      </c>
      <c r="U58" s="18">
        <v>39.368879999999997</v>
      </c>
      <c r="V58" s="18">
        <v>503.92166399999996</v>
      </c>
      <c r="W58" s="18">
        <v>472.42655999999999</v>
      </c>
      <c r="X58" s="18">
        <v>314.95103999999998</v>
      </c>
      <c r="Y58" s="18">
        <v>13.997824</v>
      </c>
      <c r="Z58" s="18">
        <v>62.115344</v>
      </c>
      <c r="AA58" s="18">
        <v>90.985855999999998</v>
      </c>
      <c r="AB58" s="18">
        <v>161.84984</v>
      </c>
      <c r="AC58" s="18">
        <v>49.867247999999996</v>
      </c>
      <c r="AD58" s="18">
        <v>262.45920000000001</v>
      </c>
    </row>
    <row r="59" spans="2:30" x14ac:dyDescent="0.25">
      <c r="B59" t="s">
        <v>53</v>
      </c>
      <c r="C59" t="s">
        <v>50</v>
      </c>
      <c r="D59" t="s">
        <v>51</v>
      </c>
      <c r="E59" s="35">
        <v>0.9</v>
      </c>
      <c r="F59" s="35">
        <v>45</v>
      </c>
      <c r="G59" s="36">
        <v>0.64677399999999996</v>
      </c>
      <c r="H59" s="18">
        <v>1164.1926269999999</v>
      </c>
      <c r="I59" s="16" t="s">
        <v>52</v>
      </c>
      <c r="J59" s="16">
        <v>639</v>
      </c>
      <c r="K59" s="16"/>
      <c r="L59" s="37"/>
      <c r="M59" s="37"/>
      <c r="N59" s="37"/>
      <c r="O59" s="37"/>
      <c r="P59" s="37"/>
      <c r="Q59" s="18">
        <v>7.1145139999999998</v>
      </c>
      <c r="R59" s="18">
        <v>4.8508049999999997E-2</v>
      </c>
      <c r="S59" s="18">
        <v>13.582253999999999</v>
      </c>
      <c r="T59" s="18">
        <v>58.20966</v>
      </c>
      <c r="U59" s="18">
        <v>29.10483</v>
      </c>
      <c r="V59" s="18">
        <v>372.54182399999996</v>
      </c>
      <c r="W59" s="18">
        <v>349.25795999999997</v>
      </c>
      <c r="X59" s="18">
        <v>232.83864</v>
      </c>
      <c r="Y59" s="18">
        <v>10.348383999999999</v>
      </c>
      <c r="Z59" s="18">
        <v>45.920953999999995</v>
      </c>
      <c r="AA59" s="18">
        <v>67.264495999999994</v>
      </c>
      <c r="AB59" s="18">
        <v>119.65319</v>
      </c>
      <c r="AC59" s="18">
        <v>36.866118</v>
      </c>
      <c r="AD59" s="18">
        <v>194.03219999999999</v>
      </c>
    </row>
    <row r="60" spans="2:30" x14ac:dyDescent="0.25">
      <c r="B60" t="s">
        <v>61</v>
      </c>
      <c r="C60" t="s">
        <v>50</v>
      </c>
      <c r="D60" t="s">
        <v>82</v>
      </c>
      <c r="E60" s="35">
        <v>0.9</v>
      </c>
      <c r="F60" s="35">
        <v>65</v>
      </c>
      <c r="G60" s="36">
        <v>0.89653000000000005</v>
      </c>
      <c r="H60" s="18">
        <v>1613.7543330000001</v>
      </c>
      <c r="I60" s="16" t="s">
        <v>52</v>
      </c>
      <c r="J60" s="16">
        <v>640</v>
      </c>
      <c r="K60" s="16"/>
      <c r="L60" s="37"/>
      <c r="M60" s="37"/>
      <c r="N60" s="37"/>
      <c r="O60" s="37"/>
      <c r="P60" s="37"/>
      <c r="Q60" s="18">
        <v>9.8618300000000012</v>
      </c>
      <c r="R60" s="18">
        <v>6.7239750000000001E-2</v>
      </c>
      <c r="S60" s="18">
        <v>18.82713</v>
      </c>
      <c r="T60" s="18">
        <v>80.687700000000007</v>
      </c>
      <c r="U60" s="18">
        <v>40.343850000000003</v>
      </c>
      <c r="V60" s="18">
        <v>516.40128000000004</v>
      </c>
      <c r="W60" s="18">
        <v>484.12620000000004</v>
      </c>
      <c r="X60" s="18">
        <v>322.75080000000003</v>
      </c>
      <c r="Y60" s="18">
        <v>14.344480000000001</v>
      </c>
      <c r="Z60" s="18">
        <v>63.653630000000007</v>
      </c>
      <c r="AA60" s="18">
        <v>93.23912</v>
      </c>
      <c r="AB60" s="18">
        <v>165.85805000000002</v>
      </c>
      <c r="AC60" s="18">
        <v>51.102209999999999</v>
      </c>
      <c r="AD60" s="18">
        <v>268.959</v>
      </c>
    </row>
    <row r="61" spans="2:30" x14ac:dyDescent="0.25">
      <c r="B61" t="s">
        <v>60</v>
      </c>
      <c r="C61" t="s">
        <v>50</v>
      </c>
      <c r="D61" t="s">
        <v>51</v>
      </c>
      <c r="E61" s="35">
        <v>0.9</v>
      </c>
      <c r="F61" s="35">
        <v>39</v>
      </c>
      <c r="G61" s="36">
        <v>0.56053699999999995</v>
      </c>
      <c r="H61" s="18">
        <v>1008.966943</v>
      </c>
      <c r="I61" s="16" t="s">
        <v>52</v>
      </c>
      <c r="J61" s="16">
        <v>641</v>
      </c>
      <c r="K61" s="16"/>
      <c r="L61" s="37"/>
      <c r="M61" s="37"/>
      <c r="N61" s="37"/>
      <c r="O61" s="37"/>
      <c r="P61" s="37"/>
      <c r="Q61" s="18">
        <v>6.1659069999999998</v>
      </c>
      <c r="R61" s="18">
        <v>4.2040274999999995E-2</v>
      </c>
      <c r="S61" s="18">
        <v>11.771277</v>
      </c>
      <c r="T61" s="18">
        <v>50.448329999999999</v>
      </c>
      <c r="U61" s="18">
        <v>25.224164999999999</v>
      </c>
      <c r="V61" s="18">
        <v>322.86931199999998</v>
      </c>
      <c r="W61" s="18">
        <v>302.68997999999999</v>
      </c>
      <c r="X61" s="18">
        <v>201.79331999999999</v>
      </c>
      <c r="Y61" s="18">
        <v>8.9685919999999992</v>
      </c>
      <c r="Z61" s="18">
        <v>39.798126999999994</v>
      </c>
      <c r="AA61" s="18">
        <v>58.295847999999992</v>
      </c>
      <c r="AB61" s="18">
        <v>103.69934499999999</v>
      </c>
      <c r="AC61" s="18">
        <v>31.950608999999996</v>
      </c>
      <c r="AD61" s="18">
        <v>168.16109999999998</v>
      </c>
    </row>
    <row r="62" spans="2:30" x14ac:dyDescent="0.25">
      <c r="B62" t="s">
        <v>56</v>
      </c>
      <c r="C62" t="s">
        <v>50</v>
      </c>
      <c r="D62" t="s">
        <v>51</v>
      </c>
      <c r="E62" s="35">
        <v>0.9</v>
      </c>
      <c r="F62" s="35">
        <v>33</v>
      </c>
      <c r="G62" s="36">
        <v>0.47430099999999997</v>
      </c>
      <c r="H62" s="18">
        <v>853.74126000000001</v>
      </c>
      <c r="I62" s="16" t="s">
        <v>52</v>
      </c>
      <c r="J62" s="16">
        <v>642</v>
      </c>
      <c r="K62" s="16"/>
      <c r="L62" s="37"/>
      <c r="M62" s="37"/>
      <c r="N62" s="37"/>
      <c r="O62" s="37"/>
      <c r="P62" s="37"/>
      <c r="Q62" s="18">
        <v>5.2173109999999996</v>
      </c>
      <c r="R62" s="18">
        <v>3.5572574999999995E-2</v>
      </c>
      <c r="S62" s="18">
        <v>9.9603209999999986</v>
      </c>
      <c r="T62" s="18">
        <v>42.687089999999998</v>
      </c>
      <c r="U62" s="18">
        <v>21.343544999999999</v>
      </c>
      <c r="V62" s="18">
        <v>273.19737599999996</v>
      </c>
      <c r="W62" s="18">
        <v>256.12253999999996</v>
      </c>
      <c r="X62" s="18">
        <v>170.74835999999999</v>
      </c>
      <c r="Y62" s="18">
        <v>7.5888159999999996</v>
      </c>
      <c r="Z62" s="18">
        <v>33.675370999999998</v>
      </c>
      <c r="AA62" s="18">
        <v>49.327303999999998</v>
      </c>
      <c r="AB62" s="18">
        <v>87.745684999999995</v>
      </c>
      <c r="AC62" s="18">
        <v>27.035156999999998</v>
      </c>
      <c r="AD62" s="18">
        <v>142.2903</v>
      </c>
    </row>
    <row r="63" spans="2:30" x14ac:dyDescent="0.25">
      <c r="B63" t="s">
        <v>83</v>
      </c>
      <c r="C63" t="s">
        <v>50</v>
      </c>
      <c r="D63" t="s">
        <v>51</v>
      </c>
      <c r="E63" s="35">
        <v>2.34</v>
      </c>
      <c r="F63" s="35">
        <v>50.78</v>
      </c>
      <c r="G63" s="36">
        <v>0.72984800000000005</v>
      </c>
      <c r="H63" s="18">
        <v>3415.6894259999999</v>
      </c>
      <c r="I63" s="16" t="s">
        <v>52</v>
      </c>
      <c r="J63" s="16">
        <v>643</v>
      </c>
      <c r="K63" s="16"/>
      <c r="L63" s="37"/>
      <c r="M63" s="37"/>
      <c r="N63" s="37"/>
      <c r="O63" s="37"/>
      <c r="P63" s="37"/>
      <c r="Q63" s="18">
        <v>8.0283280000000001</v>
      </c>
      <c r="R63" s="18">
        <v>5.4738600000000005E-2</v>
      </c>
      <c r="S63" s="18">
        <v>15.326808000000002</v>
      </c>
      <c r="T63" s="18">
        <v>65.686320000000009</v>
      </c>
      <c r="U63" s="18">
        <v>32.843160000000005</v>
      </c>
      <c r="V63" s="18">
        <v>420.39244800000006</v>
      </c>
      <c r="W63" s="18">
        <v>394.11792000000003</v>
      </c>
      <c r="X63" s="18">
        <v>262.74528000000004</v>
      </c>
      <c r="Y63" s="18">
        <v>11.677568000000001</v>
      </c>
      <c r="Z63" s="18">
        <v>51.819208000000003</v>
      </c>
      <c r="AA63" s="18">
        <v>75.904192000000009</v>
      </c>
      <c r="AB63" s="18">
        <v>135.02188000000001</v>
      </c>
      <c r="AC63" s="18">
        <v>41.601336000000003</v>
      </c>
      <c r="AD63" s="18">
        <v>218.95440000000002</v>
      </c>
    </row>
    <row r="64" spans="2:30" x14ac:dyDescent="0.25">
      <c r="B64" t="s">
        <v>53</v>
      </c>
      <c r="C64" t="s">
        <v>50</v>
      </c>
      <c r="D64" t="s">
        <v>51</v>
      </c>
      <c r="E64" s="35">
        <v>0.9</v>
      </c>
      <c r="F64" s="35">
        <v>45</v>
      </c>
      <c r="G64" s="36">
        <v>0.64677399999999996</v>
      </c>
      <c r="H64" s="18">
        <v>1164.1926269999999</v>
      </c>
      <c r="I64" s="16" t="s">
        <v>52</v>
      </c>
      <c r="J64" s="16">
        <v>644</v>
      </c>
      <c r="K64" s="16"/>
      <c r="L64" s="37"/>
      <c r="M64" s="37"/>
      <c r="N64" s="37"/>
      <c r="O64" s="37"/>
      <c r="P64" s="37"/>
      <c r="Q64" s="18">
        <v>7.1145139999999998</v>
      </c>
      <c r="R64" s="18">
        <v>4.8508049999999997E-2</v>
      </c>
      <c r="S64" s="18">
        <v>13.582253999999999</v>
      </c>
      <c r="T64" s="18">
        <v>58.20966</v>
      </c>
      <c r="U64" s="18">
        <v>29.10483</v>
      </c>
      <c r="V64" s="18">
        <v>372.54182399999996</v>
      </c>
      <c r="W64" s="18">
        <v>349.25795999999997</v>
      </c>
      <c r="X64" s="18">
        <v>232.83864</v>
      </c>
      <c r="Y64" s="18">
        <v>10.348383999999999</v>
      </c>
      <c r="Z64" s="18">
        <v>45.920953999999995</v>
      </c>
      <c r="AA64" s="18">
        <v>67.264495999999994</v>
      </c>
      <c r="AB64" s="18">
        <v>119.65319</v>
      </c>
      <c r="AC64" s="18">
        <v>36.866118</v>
      </c>
      <c r="AD64" s="18">
        <v>194.03219999999999</v>
      </c>
    </row>
    <row r="65" spans="2:30" x14ac:dyDescent="0.25">
      <c r="B65" t="s">
        <v>56</v>
      </c>
      <c r="C65" t="s">
        <v>50</v>
      </c>
      <c r="D65" t="s">
        <v>51</v>
      </c>
      <c r="E65" s="35">
        <v>0.9</v>
      </c>
      <c r="F65" s="35">
        <v>33</v>
      </c>
      <c r="G65" s="36">
        <v>0.47430099999999997</v>
      </c>
      <c r="H65" s="18">
        <v>853.74126000000001</v>
      </c>
      <c r="I65" s="16" t="s">
        <v>52</v>
      </c>
      <c r="J65" s="16">
        <v>645</v>
      </c>
      <c r="K65" s="16"/>
      <c r="L65" s="37"/>
      <c r="M65" s="37"/>
      <c r="N65" s="37"/>
      <c r="O65" s="37"/>
      <c r="P65" s="37"/>
      <c r="Q65" s="18">
        <v>5.2173109999999996</v>
      </c>
      <c r="R65" s="18">
        <v>3.5572574999999995E-2</v>
      </c>
      <c r="S65" s="18">
        <v>9.9603209999999986</v>
      </c>
      <c r="T65" s="18">
        <v>42.687089999999998</v>
      </c>
      <c r="U65" s="18">
        <v>21.343544999999999</v>
      </c>
      <c r="V65" s="18">
        <v>273.19737599999996</v>
      </c>
      <c r="W65" s="18">
        <v>256.12253999999996</v>
      </c>
      <c r="X65" s="18">
        <v>170.74835999999999</v>
      </c>
      <c r="Y65" s="18">
        <v>7.5888159999999996</v>
      </c>
      <c r="Z65" s="18">
        <v>33.675370999999998</v>
      </c>
      <c r="AA65" s="18">
        <v>49.327303999999998</v>
      </c>
      <c r="AB65" s="18">
        <v>87.745684999999995</v>
      </c>
      <c r="AC65" s="18">
        <v>27.035156999999998</v>
      </c>
      <c r="AD65" s="18">
        <v>142.2903</v>
      </c>
    </row>
    <row r="66" spans="2:30" x14ac:dyDescent="0.25">
      <c r="B66" t="s">
        <v>53</v>
      </c>
      <c r="C66" t="s">
        <v>50</v>
      </c>
      <c r="D66" t="s">
        <v>51</v>
      </c>
      <c r="E66" s="35">
        <v>0.9</v>
      </c>
      <c r="F66" s="35">
        <v>45</v>
      </c>
      <c r="G66" s="36">
        <v>0.64677399999999996</v>
      </c>
      <c r="H66" s="18">
        <v>1164.1926269999999</v>
      </c>
      <c r="I66" s="16" t="s">
        <v>52</v>
      </c>
      <c r="J66" s="16">
        <v>646</v>
      </c>
      <c r="K66" s="16"/>
      <c r="L66" s="37"/>
      <c r="M66" s="37"/>
      <c r="N66" s="37"/>
      <c r="O66" s="37"/>
      <c r="P66" s="37"/>
      <c r="Q66" s="18">
        <v>7.1145139999999998</v>
      </c>
      <c r="R66" s="18">
        <v>4.8508049999999997E-2</v>
      </c>
      <c r="S66" s="18">
        <v>13.582253999999999</v>
      </c>
      <c r="T66" s="18">
        <v>58.20966</v>
      </c>
      <c r="U66" s="18">
        <v>29.10483</v>
      </c>
      <c r="V66" s="18">
        <v>372.54182399999996</v>
      </c>
      <c r="W66" s="18">
        <v>349.25795999999997</v>
      </c>
      <c r="X66" s="18">
        <v>232.83864</v>
      </c>
      <c r="Y66" s="18">
        <v>10.348383999999999</v>
      </c>
      <c r="Z66" s="18">
        <v>45.920953999999995</v>
      </c>
      <c r="AA66" s="18">
        <v>67.264495999999994</v>
      </c>
      <c r="AB66" s="18">
        <v>119.65319</v>
      </c>
      <c r="AC66" s="18">
        <v>36.866118</v>
      </c>
      <c r="AD66" s="18">
        <v>194.03219999999999</v>
      </c>
    </row>
    <row r="67" spans="2:30" x14ac:dyDescent="0.25">
      <c r="B67" t="s">
        <v>56</v>
      </c>
      <c r="C67" t="s">
        <v>50</v>
      </c>
      <c r="D67" t="s">
        <v>51</v>
      </c>
      <c r="E67" s="35">
        <v>0.9</v>
      </c>
      <c r="F67" s="35">
        <v>33</v>
      </c>
      <c r="G67" s="36">
        <v>0.47430099999999997</v>
      </c>
      <c r="H67" s="18">
        <v>853.74126000000001</v>
      </c>
      <c r="I67" s="16" t="s">
        <v>52</v>
      </c>
      <c r="J67" s="16">
        <v>647</v>
      </c>
      <c r="K67" s="16"/>
      <c r="L67" s="37"/>
      <c r="M67" s="37"/>
      <c r="N67" s="37"/>
      <c r="O67" s="37"/>
      <c r="P67" s="37"/>
      <c r="Q67" s="18">
        <v>5.2173109999999996</v>
      </c>
      <c r="R67" s="18">
        <v>3.5572574999999995E-2</v>
      </c>
      <c r="S67" s="18">
        <v>9.9603209999999986</v>
      </c>
      <c r="T67" s="18">
        <v>42.687089999999998</v>
      </c>
      <c r="U67" s="18">
        <v>21.343544999999999</v>
      </c>
      <c r="V67" s="18">
        <v>273.19737599999996</v>
      </c>
      <c r="W67" s="18">
        <v>256.12253999999996</v>
      </c>
      <c r="X67" s="18">
        <v>170.74835999999999</v>
      </c>
      <c r="Y67" s="18">
        <v>7.5888159999999996</v>
      </c>
      <c r="Z67" s="18">
        <v>33.675370999999998</v>
      </c>
      <c r="AA67" s="18">
        <v>49.327303999999998</v>
      </c>
      <c r="AB67" s="18">
        <v>87.745684999999995</v>
      </c>
      <c r="AC67" s="18">
        <v>27.035156999999998</v>
      </c>
      <c r="AD67" s="18">
        <v>142.2903</v>
      </c>
    </row>
    <row r="68" spans="2:30" x14ac:dyDescent="0.25">
      <c r="B68" t="s">
        <v>53</v>
      </c>
      <c r="C68" t="s">
        <v>50</v>
      </c>
      <c r="D68" t="s">
        <v>51</v>
      </c>
      <c r="E68" s="35">
        <v>0.9</v>
      </c>
      <c r="F68" s="35">
        <v>45</v>
      </c>
      <c r="G68" s="36">
        <v>0.64677399999999996</v>
      </c>
      <c r="H68" s="18">
        <v>1164.1926269999999</v>
      </c>
      <c r="I68" s="16" t="s">
        <v>52</v>
      </c>
      <c r="J68" s="16">
        <v>648</v>
      </c>
      <c r="K68" s="16"/>
      <c r="L68" s="37"/>
      <c r="M68" s="37"/>
      <c r="N68" s="37"/>
      <c r="O68" s="37"/>
      <c r="P68" s="37"/>
      <c r="Q68" s="18">
        <v>7.1145139999999998</v>
      </c>
      <c r="R68" s="18">
        <v>4.8508049999999997E-2</v>
      </c>
      <c r="S68" s="18">
        <v>13.582253999999999</v>
      </c>
      <c r="T68" s="18">
        <v>58.20966</v>
      </c>
      <c r="U68" s="18">
        <v>29.10483</v>
      </c>
      <c r="V68" s="18">
        <v>372.54182399999996</v>
      </c>
      <c r="W68" s="18">
        <v>349.25795999999997</v>
      </c>
      <c r="X68" s="18">
        <v>232.83864</v>
      </c>
      <c r="Y68" s="18">
        <v>10.348383999999999</v>
      </c>
      <c r="Z68" s="18">
        <v>45.920953999999995</v>
      </c>
      <c r="AA68" s="18">
        <v>67.264495999999994</v>
      </c>
      <c r="AB68" s="18">
        <v>119.65319</v>
      </c>
      <c r="AC68" s="18">
        <v>36.866118</v>
      </c>
      <c r="AD68" s="18">
        <v>194.03219999999999</v>
      </c>
    </row>
    <row r="69" spans="2:30" x14ac:dyDescent="0.25">
      <c r="B69" t="s">
        <v>56</v>
      </c>
      <c r="C69" t="s">
        <v>50</v>
      </c>
      <c r="D69" t="s">
        <v>51</v>
      </c>
      <c r="E69" s="35">
        <v>0.9</v>
      </c>
      <c r="F69" s="35">
        <v>33</v>
      </c>
      <c r="G69" s="36">
        <v>0.47430099999999997</v>
      </c>
      <c r="H69" s="18">
        <v>853.74126000000001</v>
      </c>
      <c r="I69" s="16" t="s">
        <v>52</v>
      </c>
      <c r="J69" s="16">
        <v>649</v>
      </c>
      <c r="K69" s="16"/>
      <c r="L69" s="37"/>
      <c r="M69" s="37"/>
      <c r="N69" s="37"/>
      <c r="O69" s="37"/>
      <c r="P69" s="37"/>
      <c r="Q69" s="18">
        <v>5.2173109999999996</v>
      </c>
      <c r="R69" s="18">
        <v>3.5572574999999995E-2</v>
      </c>
      <c r="S69" s="18">
        <v>9.9603209999999986</v>
      </c>
      <c r="T69" s="18">
        <v>42.687089999999998</v>
      </c>
      <c r="U69" s="18">
        <v>21.343544999999999</v>
      </c>
      <c r="V69" s="18">
        <v>273.19737599999996</v>
      </c>
      <c r="W69" s="18">
        <v>256.12253999999996</v>
      </c>
      <c r="X69" s="18">
        <v>170.74835999999999</v>
      </c>
      <c r="Y69" s="18">
        <v>7.5888159999999996</v>
      </c>
      <c r="Z69" s="18">
        <v>33.675370999999998</v>
      </c>
      <c r="AA69" s="18">
        <v>49.327303999999998</v>
      </c>
      <c r="AB69" s="18">
        <v>87.745684999999995</v>
      </c>
      <c r="AC69" s="18">
        <v>27.035156999999998</v>
      </c>
      <c r="AD69" s="18">
        <v>142.2903</v>
      </c>
    </row>
    <row r="70" spans="2:30" x14ac:dyDescent="0.25">
      <c r="B70" t="s">
        <v>60</v>
      </c>
      <c r="C70" t="s">
        <v>50</v>
      </c>
      <c r="D70" t="s">
        <v>51</v>
      </c>
      <c r="E70" s="35">
        <v>0.9</v>
      </c>
      <c r="F70" s="35">
        <v>39</v>
      </c>
      <c r="G70" s="36">
        <v>0.56053699999999995</v>
      </c>
      <c r="H70" s="18">
        <v>1008.966943</v>
      </c>
      <c r="I70" s="16" t="s">
        <v>52</v>
      </c>
      <c r="J70" s="16">
        <v>650</v>
      </c>
      <c r="K70" s="16"/>
      <c r="L70" s="37"/>
      <c r="M70" s="37"/>
      <c r="N70" s="37"/>
      <c r="O70" s="37"/>
      <c r="P70" s="37"/>
      <c r="Q70" s="18">
        <v>6.1659069999999998</v>
      </c>
      <c r="R70" s="18">
        <v>4.2040274999999995E-2</v>
      </c>
      <c r="S70" s="18">
        <v>11.771277</v>
      </c>
      <c r="T70" s="18">
        <v>50.448329999999999</v>
      </c>
      <c r="U70" s="18">
        <v>25.224164999999999</v>
      </c>
      <c r="V70" s="18">
        <v>322.86931199999998</v>
      </c>
      <c r="W70" s="18">
        <v>302.68997999999999</v>
      </c>
      <c r="X70" s="18">
        <v>201.79331999999999</v>
      </c>
      <c r="Y70" s="18">
        <v>8.9685919999999992</v>
      </c>
      <c r="Z70" s="18">
        <v>39.798126999999994</v>
      </c>
      <c r="AA70" s="18">
        <v>58.295847999999992</v>
      </c>
      <c r="AB70" s="18">
        <v>103.69934499999999</v>
      </c>
      <c r="AC70" s="18">
        <v>31.950608999999996</v>
      </c>
      <c r="AD70" s="18">
        <v>168.16109999999998</v>
      </c>
    </row>
    <row r="71" spans="2:30" x14ac:dyDescent="0.25">
      <c r="B71" t="s">
        <v>60</v>
      </c>
      <c r="C71" t="s">
        <v>50</v>
      </c>
      <c r="D71" t="s">
        <v>51</v>
      </c>
      <c r="E71" s="35">
        <v>0.9</v>
      </c>
      <c r="F71" s="35">
        <v>39</v>
      </c>
      <c r="G71" s="36">
        <v>0.56053699999999995</v>
      </c>
      <c r="H71" s="18">
        <v>1008.966943</v>
      </c>
      <c r="I71" s="16" t="s">
        <v>52</v>
      </c>
      <c r="J71" s="16">
        <v>651</v>
      </c>
      <c r="K71" s="16"/>
      <c r="L71" s="37"/>
      <c r="M71" s="37"/>
      <c r="N71" s="37"/>
      <c r="O71" s="37"/>
      <c r="P71" s="37"/>
      <c r="Q71" s="18">
        <v>6.1659069999999998</v>
      </c>
      <c r="R71" s="18">
        <v>4.2040274999999995E-2</v>
      </c>
      <c r="S71" s="18">
        <v>11.771277</v>
      </c>
      <c r="T71" s="18">
        <v>50.448329999999999</v>
      </c>
      <c r="U71" s="18">
        <v>25.224164999999999</v>
      </c>
      <c r="V71" s="18">
        <v>322.86931199999998</v>
      </c>
      <c r="W71" s="18">
        <v>302.68997999999999</v>
      </c>
      <c r="X71" s="18">
        <v>201.79331999999999</v>
      </c>
      <c r="Y71" s="18">
        <v>8.9685919999999992</v>
      </c>
      <c r="Z71" s="18">
        <v>39.798126999999994</v>
      </c>
      <c r="AA71" s="18">
        <v>58.295847999999992</v>
      </c>
      <c r="AB71" s="18">
        <v>103.69934499999999</v>
      </c>
      <c r="AC71" s="18">
        <v>31.950608999999996</v>
      </c>
      <c r="AD71" s="18">
        <v>168.16109999999998</v>
      </c>
    </row>
    <row r="72" spans="2:30" x14ac:dyDescent="0.25">
      <c r="B72" t="s">
        <v>56</v>
      </c>
      <c r="C72" t="s">
        <v>50</v>
      </c>
      <c r="D72" t="s">
        <v>51</v>
      </c>
      <c r="E72" s="35">
        <v>0.9</v>
      </c>
      <c r="F72" s="35">
        <v>33</v>
      </c>
      <c r="G72" s="36">
        <v>0.47430099999999997</v>
      </c>
      <c r="H72" s="18">
        <v>853.74126000000001</v>
      </c>
      <c r="I72" s="16" t="s">
        <v>52</v>
      </c>
      <c r="J72" s="16">
        <v>652</v>
      </c>
      <c r="K72" s="16"/>
      <c r="L72" s="37"/>
      <c r="M72" s="37"/>
      <c r="N72" s="37"/>
      <c r="O72" s="37"/>
      <c r="P72" s="37"/>
      <c r="Q72" s="18">
        <v>5.2173109999999996</v>
      </c>
      <c r="R72" s="18">
        <v>3.5572574999999995E-2</v>
      </c>
      <c r="S72" s="18">
        <v>9.9603209999999986</v>
      </c>
      <c r="T72" s="18">
        <v>42.687089999999998</v>
      </c>
      <c r="U72" s="18">
        <v>21.343544999999999</v>
      </c>
      <c r="V72" s="18">
        <v>273.19737599999996</v>
      </c>
      <c r="W72" s="18">
        <v>256.12253999999996</v>
      </c>
      <c r="X72" s="18">
        <v>170.74835999999999</v>
      </c>
      <c r="Y72" s="18">
        <v>7.5888159999999996</v>
      </c>
      <c r="Z72" s="18">
        <v>33.675370999999998</v>
      </c>
      <c r="AA72" s="18">
        <v>49.327303999999998</v>
      </c>
      <c r="AB72" s="18">
        <v>87.745684999999995</v>
      </c>
      <c r="AC72" s="18">
        <v>27.035156999999998</v>
      </c>
      <c r="AD72" s="18">
        <v>142.2903</v>
      </c>
    </row>
    <row r="73" spans="2:30" x14ac:dyDescent="0.25">
      <c r="B73" t="s">
        <v>60</v>
      </c>
      <c r="C73" t="s">
        <v>50</v>
      </c>
      <c r="D73" t="s">
        <v>51</v>
      </c>
      <c r="E73" s="35">
        <v>0.9</v>
      </c>
      <c r="F73" s="35">
        <v>39</v>
      </c>
      <c r="G73" s="36">
        <v>0.56053699999999995</v>
      </c>
      <c r="H73" s="18">
        <v>1008.966943</v>
      </c>
      <c r="I73" s="16" t="s">
        <v>52</v>
      </c>
      <c r="J73" s="16">
        <v>653</v>
      </c>
      <c r="K73" s="16"/>
      <c r="L73" s="37"/>
      <c r="M73" s="37"/>
      <c r="N73" s="37"/>
      <c r="O73" s="37"/>
      <c r="P73" s="37"/>
      <c r="Q73" s="18">
        <v>6.1659069999999998</v>
      </c>
      <c r="R73" s="18">
        <v>4.2040274999999995E-2</v>
      </c>
      <c r="S73" s="18">
        <v>11.771277</v>
      </c>
      <c r="T73" s="18">
        <v>50.448329999999999</v>
      </c>
      <c r="U73" s="18">
        <v>25.224164999999999</v>
      </c>
      <c r="V73" s="18">
        <v>322.86931199999998</v>
      </c>
      <c r="W73" s="18">
        <v>302.68997999999999</v>
      </c>
      <c r="X73" s="18">
        <v>201.79331999999999</v>
      </c>
      <c r="Y73" s="18">
        <v>8.9685919999999992</v>
      </c>
      <c r="Z73" s="18">
        <v>39.798126999999994</v>
      </c>
      <c r="AA73" s="18">
        <v>58.295847999999992</v>
      </c>
      <c r="AB73" s="18">
        <v>103.69934499999999</v>
      </c>
      <c r="AC73" s="18">
        <v>31.950608999999996</v>
      </c>
      <c r="AD73" s="18">
        <v>168.16109999999998</v>
      </c>
    </row>
    <row r="74" spans="2:30" x14ac:dyDescent="0.25">
      <c r="B74" t="s">
        <v>60</v>
      </c>
      <c r="C74" t="s">
        <v>50</v>
      </c>
      <c r="D74" t="s">
        <v>63</v>
      </c>
      <c r="E74" s="35">
        <v>0.9</v>
      </c>
      <c r="F74" s="35">
        <v>39</v>
      </c>
      <c r="G74" s="36">
        <v>0.562357</v>
      </c>
      <c r="H74" s="18">
        <v>1012.24281</v>
      </c>
      <c r="I74" s="16" t="s">
        <v>52</v>
      </c>
      <c r="J74" s="16">
        <v>654</v>
      </c>
      <c r="K74" s="16"/>
      <c r="L74" s="37"/>
      <c r="M74" s="37"/>
      <c r="N74" s="37"/>
      <c r="O74" s="37"/>
      <c r="P74" s="37"/>
      <c r="Q74" s="18">
        <v>6.1859269999999995</v>
      </c>
      <c r="R74" s="18">
        <v>4.2176775E-2</v>
      </c>
      <c r="S74" s="18">
        <v>11.809497</v>
      </c>
      <c r="T74" s="18">
        <v>50.612130000000001</v>
      </c>
      <c r="U74" s="18">
        <v>25.306065</v>
      </c>
      <c r="V74" s="18">
        <v>323.91763200000003</v>
      </c>
      <c r="W74" s="18">
        <v>303.67277999999999</v>
      </c>
      <c r="X74" s="18">
        <v>202.44852</v>
      </c>
      <c r="Y74" s="18">
        <v>8.9977119999999999</v>
      </c>
      <c r="Z74" s="18">
        <v>39.927346999999997</v>
      </c>
      <c r="AA74" s="18">
        <v>58.485128000000003</v>
      </c>
      <c r="AB74" s="18">
        <v>104.036045</v>
      </c>
      <c r="AC74" s="18">
        <v>32.054349000000002</v>
      </c>
      <c r="AD74" s="18">
        <v>168.7071</v>
      </c>
    </row>
    <row r="75" spans="2:30" x14ac:dyDescent="0.25">
      <c r="B75" t="s">
        <v>53</v>
      </c>
      <c r="C75" t="s">
        <v>50</v>
      </c>
      <c r="D75" t="s">
        <v>64</v>
      </c>
      <c r="E75" s="35">
        <v>0.9</v>
      </c>
      <c r="F75" s="35">
        <v>45</v>
      </c>
      <c r="G75" s="36">
        <v>0.65427299999999999</v>
      </c>
      <c r="H75" s="18">
        <v>1177.692078</v>
      </c>
      <c r="I75" s="16" t="s">
        <v>52</v>
      </c>
      <c r="J75" s="16">
        <v>655</v>
      </c>
      <c r="K75" s="16"/>
      <c r="L75" s="37"/>
      <c r="M75" s="37"/>
      <c r="N75" s="37"/>
      <c r="O75" s="37"/>
      <c r="P75" s="37"/>
      <c r="Q75" s="18">
        <v>7.1970029999999996</v>
      </c>
      <c r="R75" s="18">
        <v>4.9070474999999995E-2</v>
      </c>
      <c r="S75" s="18">
        <v>13.739732999999999</v>
      </c>
      <c r="T75" s="18">
        <v>58.884569999999997</v>
      </c>
      <c r="U75" s="18">
        <v>29.442284999999998</v>
      </c>
      <c r="V75" s="18">
        <v>376.86124799999999</v>
      </c>
      <c r="W75" s="18">
        <v>353.30741999999998</v>
      </c>
      <c r="X75" s="18">
        <v>235.53827999999999</v>
      </c>
      <c r="Y75" s="18">
        <v>10.468368</v>
      </c>
      <c r="Z75" s="18">
        <v>46.453383000000002</v>
      </c>
      <c r="AA75" s="18">
        <v>68.044392000000002</v>
      </c>
      <c r="AB75" s="18">
        <v>121.040505</v>
      </c>
      <c r="AC75" s="18">
        <v>37.293560999999997</v>
      </c>
      <c r="AD75" s="18">
        <v>196.28190000000001</v>
      </c>
    </row>
    <row r="76" spans="2:30" x14ac:dyDescent="0.25">
      <c r="B76" t="s">
        <v>53</v>
      </c>
      <c r="C76" t="s">
        <v>50</v>
      </c>
      <c r="D76" t="s">
        <v>66</v>
      </c>
      <c r="E76" s="35">
        <v>0.9</v>
      </c>
      <c r="F76" s="35">
        <v>45</v>
      </c>
      <c r="G76" s="36">
        <v>0.65817300000000001</v>
      </c>
      <c r="H76" s="18">
        <v>1184.7117920000001</v>
      </c>
      <c r="I76" s="16" t="s">
        <v>52</v>
      </c>
      <c r="J76" s="16">
        <v>656</v>
      </c>
      <c r="K76" s="16"/>
      <c r="L76" s="37"/>
      <c r="M76" s="37"/>
      <c r="N76" s="37"/>
      <c r="O76" s="37"/>
      <c r="P76" s="37"/>
      <c r="Q76" s="18">
        <v>7.239903</v>
      </c>
      <c r="R76" s="18">
        <v>4.9362974999999996E-2</v>
      </c>
      <c r="S76" s="18">
        <v>13.821633</v>
      </c>
      <c r="T76" s="18">
        <v>59.235570000000003</v>
      </c>
      <c r="U76" s="18">
        <v>29.617785000000001</v>
      </c>
      <c r="V76" s="18">
        <v>379.10764799999998</v>
      </c>
      <c r="W76" s="18">
        <v>355.41342000000003</v>
      </c>
      <c r="X76" s="18">
        <v>236.94228000000001</v>
      </c>
      <c r="Y76" s="18">
        <v>10.530768</v>
      </c>
      <c r="Z76" s="18">
        <v>46.730283</v>
      </c>
      <c r="AA76" s="18">
        <v>68.449991999999995</v>
      </c>
      <c r="AB76" s="18">
        <v>121.762005</v>
      </c>
      <c r="AC76" s="18">
        <v>37.515861000000001</v>
      </c>
      <c r="AD76" s="18">
        <v>197.45189999999999</v>
      </c>
    </row>
    <row r="77" spans="2:30" x14ac:dyDescent="0.25">
      <c r="B77" t="s">
        <v>53</v>
      </c>
      <c r="C77" t="s">
        <v>50</v>
      </c>
      <c r="D77" t="s">
        <v>64</v>
      </c>
      <c r="E77" s="35">
        <v>0.9</v>
      </c>
      <c r="F77" s="35">
        <v>45</v>
      </c>
      <c r="G77" s="36">
        <v>0.65427299999999999</v>
      </c>
      <c r="H77" s="18">
        <v>1177.692078</v>
      </c>
      <c r="I77" s="16" t="s">
        <v>52</v>
      </c>
      <c r="J77" s="16">
        <v>657</v>
      </c>
      <c r="K77" s="16"/>
      <c r="L77" s="37"/>
      <c r="M77" s="37"/>
      <c r="N77" s="37"/>
      <c r="O77" s="37"/>
      <c r="P77" s="37"/>
      <c r="Q77" s="18">
        <v>7.1970029999999996</v>
      </c>
      <c r="R77" s="18">
        <v>4.9070474999999995E-2</v>
      </c>
      <c r="S77" s="18">
        <v>13.739732999999999</v>
      </c>
      <c r="T77" s="18">
        <v>58.884569999999997</v>
      </c>
      <c r="U77" s="18">
        <v>29.442284999999998</v>
      </c>
      <c r="V77" s="18">
        <v>376.86124799999999</v>
      </c>
      <c r="W77" s="18">
        <v>353.30741999999998</v>
      </c>
      <c r="X77" s="18">
        <v>235.53827999999999</v>
      </c>
      <c r="Y77" s="18">
        <v>10.468368</v>
      </c>
      <c r="Z77" s="18">
        <v>46.453383000000002</v>
      </c>
      <c r="AA77" s="18">
        <v>68.044392000000002</v>
      </c>
      <c r="AB77" s="18">
        <v>121.040505</v>
      </c>
      <c r="AC77" s="18">
        <v>37.293560999999997</v>
      </c>
      <c r="AD77" s="18">
        <v>196.28190000000001</v>
      </c>
    </row>
    <row r="78" spans="2:30" x14ac:dyDescent="0.25">
      <c r="B78" t="s">
        <v>49</v>
      </c>
      <c r="C78" t="s">
        <v>50</v>
      </c>
      <c r="D78" t="s">
        <v>51</v>
      </c>
      <c r="E78" s="35">
        <v>0.9</v>
      </c>
      <c r="F78" s="35">
        <v>49</v>
      </c>
      <c r="G78" s="36">
        <v>0.70426500000000003</v>
      </c>
      <c r="H78" s="18">
        <v>1267.676416</v>
      </c>
      <c r="I78" s="16" t="s">
        <v>52</v>
      </c>
      <c r="J78" s="16">
        <v>658</v>
      </c>
      <c r="K78" s="16"/>
      <c r="L78" s="37"/>
      <c r="M78" s="37"/>
      <c r="N78" s="37"/>
      <c r="O78" s="37"/>
      <c r="P78" s="37"/>
      <c r="Q78" s="18">
        <v>7.7469150000000004</v>
      </c>
      <c r="R78" s="18">
        <v>5.2819875000000002E-2</v>
      </c>
      <c r="S78" s="18">
        <v>14.789565000000001</v>
      </c>
      <c r="T78" s="18">
        <v>63.383850000000002</v>
      </c>
      <c r="U78" s="18">
        <v>31.691925000000001</v>
      </c>
      <c r="V78" s="18">
        <v>405.65664000000004</v>
      </c>
      <c r="W78" s="18">
        <v>380.30310000000003</v>
      </c>
      <c r="X78" s="18">
        <v>253.53540000000001</v>
      </c>
      <c r="Y78" s="18">
        <v>11.26824</v>
      </c>
      <c r="Z78" s="18">
        <v>50.002815000000005</v>
      </c>
      <c r="AA78" s="18">
        <v>73.243560000000002</v>
      </c>
      <c r="AB78" s="18">
        <v>130.28902500000001</v>
      </c>
      <c r="AC78" s="18">
        <v>40.143104999999998</v>
      </c>
      <c r="AD78" s="18">
        <v>211.27950000000001</v>
      </c>
    </row>
    <row r="79" spans="2:30" x14ac:dyDescent="0.25">
      <c r="B79" t="s">
        <v>53</v>
      </c>
      <c r="C79" t="s">
        <v>84</v>
      </c>
      <c r="D79" t="s">
        <v>51</v>
      </c>
      <c r="E79" s="35">
        <v>0.9</v>
      </c>
      <c r="F79" s="35">
        <v>45</v>
      </c>
      <c r="G79" s="36">
        <v>0.64677399999999996</v>
      </c>
      <c r="H79" s="18">
        <v>1164.1926269999999</v>
      </c>
      <c r="I79" s="16" t="s">
        <v>52</v>
      </c>
      <c r="J79" s="16">
        <v>701</v>
      </c>
      <c r="K79" s="16"/>
      <c r="L79" s="37"/>
      <c r="M79" s="37"/>
      <c r="N79" s="37"/>
      <c r="O79" s="37"/>
      <c r="P79" s="37"/>
      <c r="Q79" s="18">
        <v>7.1145139999999998</v>
      </c>
      <c r="R79" s="18">
        <v>4.8508049999999997E-2</v>
      </c>
      <c r="S79" s="18">
        <v>13.582253999999999</v>
      </c>
      <c r="T79" s="18">
        <v>58.20966</v>
      </c>
      <c r="U79" s="18">
        <v>29.10483</v>
      </c>
      <c r="V79" s="18">
        <v>372.54182399999996</v>
      </c>
      <c r="W79" s="18">
        <v>349.25795999999997</v>
      </c>
      <c r="X79" s="18">
        <v>232.83864</v>
      </c>
      <c r="Y79" s="18">
        <v>10.348383999999999</v>
      </c>
      <c r="Z79" s="18">
        <v>45.920953999999995</v>
      </c>
      <c r="AA79" s="18">
        <v>67.264495999999994</v>
      </c>
      <c r="AB79" s="18">
        <v>119.65319</v>
      </c>
      <c r="AC79" s="18">
        <v>36.866118</v>
      </c>
      <c r="AD79" s="18">
        <v>194.03219999999999</v>
      </c>
    </row>
    <row r="80" spans="2:30" x14ac:dyDescent="0.25">
      <c r="B80" t="s">
        <v>53</v>
      </c>
      <c r="C80" t="s">
        <v>84</v>
      </c>
      <c r="D80" t="s">
        <v>51</v>
      </c>
      <c r="E80" s="35">
        <v>0.9</v>
      </c>
      <c r="F80" s="35">
        <v>45</v>
      </c>
      <c r="G80" s="36">
        <v>0.64677399999999996</v>
      </c>
      <c r="H80" s="18">
        <v>1164.1926269999999</v>
      </c>
      <c r="I80" s="16" t="s">
        <v>52</v>
      </c>
      <c r="J80" s="16">
        <v>702</v>
      </c>
      <c r="K80" s="16"/>
      <c r="L80" s="37"/>
      <c r="M80" s="37"/>
      <c r="N80" s="37"/>
      <c r="O80" s="37"/>
      <c r="P80" s="37"/>
      <c r="Q80" s="18">
        <v>7.1145139999999998</v>
      </c>
      <c r="R80" s="18">
        <v>4.8508049999999997E-2</v>
      </c>
      <c r="S80" s="18">
        <v>13.582253999999999</v>
      </c>
      <c r="T80" s="18">
        <v>58.20966</v>
      </c>
      <c r="U80" s="18">
        <v>29.10483</v>
      </c>
      <c r="V80" s="18">
        <v>372.54182399999996</v>
      </c>
      <c r="W80" s="18">
        <v>349.25795999999997</v>
      </c>
      <c r="X80" s="18">
        <v>232.83864</v>
      </c>
      <c r="Y80" s="18">
        <v>10.348383999999999</v>
      </c>
      <c r="Z80" s="18">
        <v>45.920953999999995</v>
      </c>
      <c r="AA80" s="18">
        <v>67.264495999999994</v>
      </c>
      <c r="AB80" s="18">
        <v>119.65319</v>
      </c>
      <c r="AC80" s="18">
        <v>36.866118</v>
      </c>
      <c r="AD80" s="18">
        <v>194.03219999999999</v>
      </c>
    </row>
    <row r="81" spans="2:30" x14ac:dyDescent="0.25">
      <c r="B81" t="s">
        <v>53</v>
      </c>
      <c r="C81" t="s">
        <v>84</v>
      </c>
      <c r="D81" t="s">
        <v>51</v>
      </c>
      <c r="E81" s="35">
        <v>0.9</v>
      </c>
      <c r="F81" s="35">
        <v>45</v>
      </c>
      <c r="G81" s="36">
        <v>0.64677399999999996</v>
      </c>
      <c r="H81" s="18">
        <v>1164.1926269999999</v>
      </c>
      <c r="I81" s="16" t="s">
        <v>52</v>
      </c>
      <c r="J81" s="16">
        <v>703</v>
      </c>
      <c r="K81" s="16"/>
      <c r="L81" s="37"/>
      <c r="M81" s="37"/>
      <c r="N81" s="37"/>
      <c r="O81" s="37"/>
      <c r="P81" s="37"/>
      <c r="Q81" s="18">
        <v>7.1145139999999998</v>
      </c>
      <c r="R81" s="18">
        <v>4.8508049999999997E-2</v>
      </c>
      <c r="S81" s="18">
        <v>13.582253999999999</v>
      </c>
      <c r="T81" s="18">
        <v>58.20966</v>
      </c>
      <c r="U81" s="18">
        <v>29.10483</v>
      </c>
      <c r="V81" s="18">
        <v>372.54182399999996</v>
      </c>
      <c r="W81" s="18">
        <v>349.25795999999997</v>
      </c>
      <c r="X81" s="18">
        <v>232.83864</v>
      </c>
      <c r="Y81" s="18">
        <v>10.348383999999999</v>
      </c>
      <c r="Z81" s="18">
        <v>45.920953999999995</v>
      </c>
      <c r="AA81" s="18">
        <v>67.264495999999994</v>
      </c>
      <c r="AB81" s="18">
        <v>119.65319</v>
      </c>
      <c r="AC81" s="18">
        <v>36.866118</v>
      </c>
      <c r="AD81" s="18">
        <v>194.03219999999999</v>
      </c>
    </row>
    <row r="82" spans="2:30" x14ac:dyDescent="0.25">
      <c r="B82" t="s">
        <v>53</v>
      </c>
      <c r="C82" t="s">
        <v>84</v>
      </c>
      <c r="D82" t="s">
        <v>51</v>
      </c>
      <c r="E82" s="35">
        <v>0.9</v>
      </c>
      <c r="F82" s="35">
        <v>45</v>
      </c>
      <c r="G82" s="36">
        <v>0.64677399999999996</v>
      </c>
      <c r="H82" s="18">
        <v>1164.1926269999999</v>
      </c>
      <c r="I82" s="16" t="s">
        <v>52</v>
      </c>
      <c r="J82" s="16">
        <v>704</v>
      </c>
      <c r="K82" s="16"/>
      <c r="L82" s="37"/>
      <c r="M82" s="37"/>
      <c r="N82" s="37"/>
      <c r="O82" s="37"/>
      <c r="P82" s="37"/>
      <c r="Q82" s="18">
        <v>7.1145139999999998</v>
      </c>
      <c r="R82" s="18">
        <v>4.8508049999999997E-2</v>
      </c>
      <c r="S82" s="18">
        <v>13.582253999999999</v>
      </c>
      <c r="T82" s="18">
        <v>58.20966</v>
      </c>
      <c r="U82" s="18">
        <v>29.10483</v>
      </c>
      <c r="V82" s="18">
        <v>372.54182399999996</v>
      </c>
      <c r="W82" s="18">
        <v>349.25795999999997</v>
      </c>
      <c r="X82" s="18">
        <v>232.83864</v>
      </c>
      <c r="Y82" s="18">
        <v>10.348383999999999</v>
      </c>
      <c r="Z82" s="18">
        <v>45.920953999999995</v>
      </c>
      <c r="AA82" s="18">
        <v>67.264495999999994</v>
      </c>
      <c r="AB82" s="18">
        <v>119.65319</v>
      </c>
      <c r="AC82" s="18">
        <v>36.866118</v>
      </c>
      <c r="AD82" s="18">
        <v>194.03219999999999</v>
      </c>
    </row>
    <row r="83" spans="2:30" x14ac:dyDescent="0.25">
      <c r="B83" t="s">
        <v>53</v>
      </c>
      <c r="C83" t="s">
        <v>84</v>
      </c>
      <c r="D83" t="s">
        <v>64</v>
      </c>
      <c r="E83" s="35">
        <v>0.9</v>
      </c>
      <c r="F83" s="35">
        <v>45</v>
      </c>
      <c r="G83" s="36">
        <v>0.65427299999999999</v>
      </c>
      <c r="H83" s="18">
        <v>1177.692078</v>
      </c>
      <c r="I83" s="16" t="s">
        <v>52</v>
      </c>
      <c r="J83" s="16">
        <v>705</v>
      </c>
      <c r="K83" s="16"/>
      <c r="L83" s="37"/>
      <c r="M83" s="37"/>
      <c r="N83" s="37"/>
      <c r="O83" s="37"/>
      <c r="P83" s="37"/>
      <c r="Q83" s="18">
        <v>7.1970029999999996</v>
      </c>
      <c r="R83" s="18">
        <v>4.9070474999999995E-2</v>
      </c>
      <c r="S83" s="18">
        <v>13.739732999999999</v>
      </c>
      <c r="T83" s="18">
        <v>58.884569999999997</v>
      </c>
      <c r="U83" s="18">
        <v>29.442284999999998</v>
      </c>
      <c r="V83" s="18">
        <v>376.86124799999999</v>
      </c>
      <c r="W83" s="18">
        <v>353.30741999999998</v>
      </c>
      <c r="X83" s="18">
        <v>235.53827999999999</v>
      </c>
      <c r="Y83" s="18">
        <v>10.468368</v>
      </c>
      <c r="Z83" s="18">
        <v>46.453383000000002</v>
      </c>
      <c r="AA83" s="18">
        <v>68.044392000000002</v>
      </c>
      <c r="AB83" s="18">
        <v>121.040505</v>
      </c>
      <c r="AC83" s="18">
        <v>37.293560999999997</v>
      </c>
      <c r="AD83" s="18">
        <v>196.28190000000001</v>
      </c>
    </row>
    <row r="84" spans="2:30" x14ac:dyDescent="0.25">
      <c r="B84" t="s">
        <v>53</v>
      </c>
      <c r="C84" t="s">
        <v>84</v>
      </c>
      <c r="D84" t="s">
        <v>87</v>
      </c>
      <c r="E84" s="35">
        <v>0.9</v>
      </c>
      <c r="F84" s="35">
        <v>45</v>
      </c>
      <c r="G84" s="36">
        <v>0.65787300000000004</v>
      </c>
      <c r="H84" s="18">
        <v>1184.171814</v>
      </c>
      <c r="I84" s="16" t="s">
        <v>52</v>
      </c>
      <c r="J84" s="16">
        <v>706</v>
      </c>
      <c r="K84" s="16"/>
      <c r="L84" s="37"/>
      <c r="M84" s="37"/>
      <c r="N84" s="37"/>
      <c r="O84" s="37"/>
      <c r="P84" s="37"/>
      <c r="Q84" s="18">
        <v>7.2366030000000006</v>
      </c>
      <c r="R84" s="18">
        <v>4.9340475000000002E-2</v>
      </c>
      <c r="S84" s="18">
        <v>13.815333000000001</v>
      </c>
      <c r="T84" s="18">
        <v>59.208570000000002</v>
      </c>
      <c r="U84" s="18">
        <v>29.604285000000001</v>
      </c>
      <c r="V84" s="18">
        <v>378.93484800000004</v>
      </c>
      <c r="W84" s="18">
        <v>355.25142</v>
      </c>
      <c r="X84" s="18">
        <v>236.83428000000001</v>
      </c>
      <c r="Y84" s="18">
        <v>10.525968000000001</v>
      </c>
      <c r="Z84" s="18">
        <v>46.708983000000003</v>
      </c>
      <c r="AA84" s="18">
        <v>68.41879200000001</v>
      </c>
      <c r="AB84" s="18">
        <v>121.70650500000001</v>
      </c>
      <c r="AC84" s="18">
        <v>37.498761000000002</v>
      </c>
      <c r="AD84" s="18">
        <v>197.36190000000002</v>
      </c>
    </row>
    <row r="85" spans="2:30" x14ac:dyDescent="0.25">
      <c r="B85" t="s">
        <v>56</v>
      </c>
      <c r="C85" t="s">
        <v>84</v>
      </c>
      <c r="D85" t="s">
        <v>67</v>
      </c>
      <c r="E85" s="35">
        <v>0.9</v>
      </c>
      <c r="F85" s="35">
        <v>33</v>
      </c>
      <c r="G85" s="36">
        <v>0.49080000000000001</v>
      </c>
      <c r="H85" s="18">
        <v>883.44005100000004</v>
      </c>
      <c r="I85" s="16" t="s">
        <v>52</v>
      </c>
      <c r="J85" s="16">
        <v>707</v>
      </c>
      <c r="K85" s="16"/>
      <c r="L85" s="37"/>
      <c r="M85" s="37"/>
      <c r="N85" s="37"/>
      <c r="O85" s="37"/>
      <c r="P85" s="37"/>
      <c r="Q85" s="18">
        <v>5.3988000000000005</v>
      </c>
      <c r="R85" s="18">
        <v>3.6810000000000002E-2</v>
      </c>
      <c r="S85" s="18">
        <v>10.306800000000001</v>
      </c>
      <c r="T85" s="18">
        <v>44.172000000000004</v>
      </c>
      <c r="U85" s="18">
        <v>22.086000000000002</v>
      </c>
      <c r="V85" s="18">
        <v>282.70080000000002</v>
      </c>
      <c r="W85" s="18">
        <v>265.03199999999998</v>
      </c>
      <c r="X85" s="18">
        <v>176.68800000000002</v>
      </c>
      <c r="Y85" s="18">
        <v>7.8528000000000002</v>
      </c>
      <c r="Z85" s="18">
        <v>34.846800000000002</v>
      </c>
      <c r="AA85" s="18">
        <v>51.043199999999999</v>
      </c>
      <c r="AB85" s="18">
        <v>90.798000000000002</v>
      </c>
      <c r="AC85" s="18">
        <v>27.9756</v>
      </c>
      <c r="AD85" s="18">
        <v>147.24</v>
      </c>
    </row>
    <row r="86" spans="2:30" x14ac:dyDescent="0.25">
      <c r="B86" t="s">
        <v>56</v>
      </c>
      <c r="C86" t="s">
        <v>84</v>
      </c>
      <c r="D86" t="s">
        <v>64</v>
      </c>
      <c r="E86" s="35">
        <v>0.9</v>
      </c>
      <c r="F86" s="35">
        <v>33</v>
      </c>
      <c r="G86" s="36">
        <v>0.4798</v>
      </c>
      <c r="H86" s="18">
        <v>863.64085699999998</v>
      </c>
      <c r="I86" s="16" t="s">
        <v>52</v>
      </c>
      <c r="J86" s="16">
        <v>708</v>
      </c>
      <c r="K86" s="16"/>
      <c r="L86" s="37"/>
      <c r="M86" s="37"/>
      <c r="N86" s="37"/>
      <c r="O86" s="37"/>
      <c r="P86" s="37"/>
      <c r="Q86" s="18">
        <v>5.2778</v>
      </c>
      <c r="R86" s="18">
        <v>3.5984999999999996E-2</v>
      </c>
      <c r="S86" s="18">
        <v>10.075800000000001</v>
      </c>
      <c r="T86" s="18">
        <v>43.182000000000002</v>
      </c>
      <c r="U86" s="18">
        <v>21.591000000000001</v>
      </c>
      <c r="V86" s="18">
        <v>276.3648</v>
      </c>
      <c r="W86" s="18">
        <v>259.09199999999998</v>
      </c>
      <c r="X86" s="18">
        <v>172.72800000000001</v>
      </c>
      <c r="Y86" s="18">
        <v>7.6768000000000001</v>
      </c>
      <c r="Z86" s="18">
        <v>34.065800000000003</v>
      </c>
      <c r="AA86" s="18">
        <v>49.8992</v>
      </c>
      <c r="AB86" s="18">
        <v>88.763000000000005</v>
      </c>
      <c r="AC86" s="18">
        <v>27.348600000000001</v>
      </c>
      <c r="AD86" s="18">
        <v>143.94</v>
      </c>
    </row>
    <row r="87" spans="2:30" x14ac:dyDescent="0.25">
      <c r="B87" t="s">
        <v>56</v>
      </c>
      <c r="C87" t="s">
        <v>84</v>
      </c>
      <c r="D87" t="s">
        <v>64</v>
      </c>
      <c r="E87" s="35">
        <v>0.9</v>
      </c>
      <c r="F87" s="35">
        <v>33</v>
      </c>
      <c r="G87" s="36">
        <v>0.4798</v>
      </c>
      <c r="H87" s="18">
        <v>863.64085699999998</v>
      </c>
      <c r="I87" s="16" t="s">
        <v>52</v>
      </c>
      <c r="J87" s="16">
        <v>709</v>
      </c>
      <c r="K87" s="16"/>
      <c r="L87" s="37"/>
      <c r="M87" s="37"/>
      <c r="N87" s="37"/>
      <c r="O87" s="37"/>
      <c r="P87" s="37"/>
      <c r="Q87" s="18">
        <v>5.2778</v>
      </c>
      <c r="R87" s="18">
        <v>3.5984999999999996E-2</v>
      </c>
      <c r="S87" s="18">
        <v>10.075800000000001</v>
      </c>
      <c r="T87" s="18">
        <v>43.182000000000002</v>
      </c>
      <c r="U87" s="18">
        <v>21.591000000000001</v>
      </c>
      <c r="V87" s="18">
        <v>276.3648</v>
      </c>
      <c r="W87" s="18">
        <v>259.09199999999998</v>
      </c>
      <c r="X87" s="18">
        <v>172.72800000000001</v>
      </c>
      <c r="Y87" s="18">
        <v>7.6768000000000001</v>
      </c>
      <c r="Z87" s="18">
        <v>34.065800000000003</v>
      </c>
      <c r="AA87" s="18">
        <v>49.8992</v>
      </c>
      <c r="AB87" s="18">
        <v>88.763000000000005</v>
      </c>
      <c r="AC87" s="18">
        <v>27.348600000000001</v>
      </c>
      <c r="AD87" s="18">
        <v>143.94</v>
      </c>
    </row>
    <row r="88" spans="2:30" x14ac:dyDescent="0.25">
      <c r="B88" t="s">
        <v>56</v>
      </c>
      <c r="C88" t="s">
        <v>84</v>
      </c>
      <c r="D88" t="s">
        <v>87</v>
      </c>
      <c r="E88" s="35">
        <v>0.9</v>
      </c>
      <c r="F88" s="35">
        <v>33</v>
      </c>
      <c r="G88" s="36">
        <v>0.48243999999999998</v>
      </c>
      <c r="H88" s="18">
        <v>868.39266399999997</v>
      </c>
      <c r="I88" s="16" t="s">
        <v>52</v>
      </c>
      <c r="J88" s="16">
        <v>710</v>
      </c>
      <c r="K88" s="16"/>
      <c r="L88" s="37"/>
      <c r="M88" s="37"/>
      <c r="N88" s="37"/>
      <c r="O88" s="37"/>
      <c r="P88" s="37"/>
      <c r="Q88" s="18">
        <v>5.3068399999999993</v>
      </c>
      <c r="R88" s="18">
        <v>3.6183E-2</v>
      </c>
      <c r="S88" s="18">
        <v>10.13124</v>
      </c>
      <c r="T88" s="18">
        <v>43.419599999999996</v>
      </c>
      <c r="U88" s="18">
        <v>21.709799999999998</v>
      </c>
      <c r="V88" s="18">
        <v>277.88544000000002</v>
      </c>
      <c r="W88" s="18">
        <v>260.51760000000002</v>
      </c>
      <c r="X88" s="18">
        <v>173.67839999999998</v>
      </c>
      <c r="Y88" s="18">
        <v>7.7190399999999997</v>
      </c>
      <c r="Z88" s="18">
        <v>34.253239999999998</v>
      </c>
      <c r="AA88" s="18">
        <v>50.173760000000001</v>
      </c>
      <c r="AB88" s="18">
        <v>89.25139999999999</v>
      </c>
      <c r="AC88" s="18">
        <v>27.499079999999999</v>
      </c>
      <c r="AD88" s="18">
        <v>144.732</v>
      </c>
    </row>
    <row r="89" spans="2:30" x14ac:dyDescent="0.25">
      <c r="B89" t="s">
        <v>56</v>
      </c>
      <c r="C89" t="s">
        <v>84</v>
      </c>
      <c r="D89" t="s">
        <v>64</v>
      </c>
      <c r="E89" s="35">
        <v>0.9</v>
      </c>
      <c r="F89" s="35">
        <v>33</v>
      </c>
      <c r="G89" s="36">
        <v>0.4798</v>
      </c>
      <c r="H89" s="18">
        <v>863.64085699999998</v>
      </c>
      <c r="I89" s="16" t="s">
        <v>52</v>
      </c>
      <c r="J89" s="16">
        <v>711</v>
      </c>
      <c r="K89" s="16"/>
      <c r="L89" s="37"/>
      <c r="M89" s="37"/>
      <c r="N89" s="37"/>
      <c r="O89" s="37"/>
      <c r="P89" s="37"/>
      <c r="Q89" s="18">
        <v>5.2778</v>
      </c>
      <c r="R89" s="18">
        <v>3.5984999999999996E-2</v>
      </c>
      <c r="S89" s="18">
        <v>10.075800000000001</v>
      </c>
      <c r="T89" s="18">
        <v>43.182000000000002</v>
      </c>
      <c r="U89" s="18">
        <v>21.591000000000001</v>
      </c>
      <c r="V89" s="18">
        <v>276.3648</v>
      </c>
      <c r="W89" s="18">
        <v>259.09199999999998</v>
      </c>
      <c r="X89" s="18">
        <v>172.72800000000001</v>
      </c>
      <c r="Y89" s="18">
        <v>7.6768000000000001</v>
      </c>
      <c r="Z89" s="18">
        <v>34.065800000000003</v>
      </c>
      <c r="AA89" s="18">
        <v>49.8992</v>
      </c>
      <c r="AB89" s="18">
        <v>88.763000000000005</v>
      </c>
      <c r="AC89" s="18">
        <v>27.348600000000001</v>
      </c>
      <c r="AD89" s="18">
        <v>143.94</v>
      </c>
    </row>
    <row r="90" spans="2:30" x14ac:dyDescent="0.25">
      <c r="B90" t="s">
        <v>60</v>
      </c>
      <c r="C90" t="s">
        <v>84</v>
      </c>
      <c r="D90" t="s">
        <v>64</v>
      </c>
      <c r="E90" s="35">
        <v>0.9</v>
      </c>
      <c r="F90" s="35">
        <v>39</v>
      </c>
      <c r="G90" s="36">
        <v>0.56703700000000001</v>
      </c>
      <c r="H90" s="18">
        <v>1020.666467</v>
      </c>
      <c r="I90" s="16" t="s">
        <v>52</v>
      </c>
      <c r="J90" s="16">
        <v>712</v>
      </c>
      <c r="K90" s="16"/>
      <c r="L90" s="37"/>
      <c r="M90" s="37"/>
      <c r="N90" s="37"/>
      <c r="O90" s="37"/>
      <c r="P90" s="37"/>
      <c r="Q90" s="18">
        <v>6.2374070000000001</v>
      </c>
      <c r="R90" s="18">
        <v>4.2527774999999997E-2</v>
      </c>
      <c r="S90" s="18">
        <v>11.907776999999999</v>
      </c>
      <c r="T90" s="18">
        <v>51.033329999999999</v>
      </c>
      <c r="U90" s="18">
        <v>25.516665</v>
      </c>
      <c r="V90" s="18">
        <v>326.61331200000001</v>
      </c>
      <c r="W90" s="18">
        <v>306.19997999999998</v>
      </c>
      <c r="X90" s="18">
        <v>204.13332</v>
      </c>
      <c r="Y90" s="18">
        <v>9.0725920000000002</v>
      </c>
      <c r="Z90" s="18">
        <v>40.259627000000002</v>
      </c>
      <c r="AA90" s="18">
        <v>58.971848000000001</v>
      </c>
      <c r="AB90" s="18">
        <v>104.90184500000001</v>
      </c>
      <c r="AC90" s="18">
        <v>32.321109</v>
      </c>
      <c r="AD90" s="18">
        <v>170.11109999999999</v>
      </c>
    </row>
    <row r="91" spans="2:30" x14ac:dyDescent="0.25">
      <c r="B91" t="s">
        <v>60</v>
      </c>
      <c r="C91" t="s">
        <v>84</v>
      </c>
      <c r="D91" t="s">
        <v>51</v>
      </c>
      <c r="E91" s="35">
        <v>0.9</v>
      </c>
      <c r="F91" s="35">
        <v>39</v>
      </c>
      <c r="G91" s="36">
        <v>0.56053699999999995</v>
      </c>
      <c r="H91" s="18">
        <v>1008.966943</v>
      </c>
      <c r="I91" s="16" t="s">
        <v>52</v>
      </c>
      <c r="J91" s="16">
        <v>713</v>
      </c>
      <c r="K91" s="16"/>
      <c r="L91" s="37"/>
      <c r="M91" s="37"/>
      <c r="N91" s="37"/>
      <c r="O91" s="37"/>
      <c r="P91" s="37"/>
      <c r="Q91" s="18">
        <v>6.1659069999999998</v>
      </c>
      <c r="R91" s="18">
        <v>4.2040274999999995E-2</v>
      </c>
      <c r="S91" s="18">
        <v>11.771277</v>
      </c>
      <c r="T91" s="18">
        <v>50.448329999999999</v>
      </c>
      <c r="U91" s="18">
        <v>25.224164999999999</v>
      </c>
      <c r="V91" s="18">
        <v>322.86931199999998</v>
      </c>
      <c r="W91" s="18">
        <v>302.68997999999999</v>
      </c>
      <c r="X91" s="18">
        <v>201.79331999999999</v>
      </c>
      <c r="Y91" s="18">
        <v>8.9685919999999992</v>
      </c>
      <c r="Z91" s="18">
        <v>39.798126999999994</v>
      </c>
      <c r="AA91" s="18">
        <v>58.295847999999992</v>
      </c>
      <c r="AB91" s="18">
        <v>103.69934499999999</v>
      </c>
      <c r="AC91" s="18">
        <v>31.950608999999996</v>
      </c>
      <c r="AD91" s="18">
        <v>168.16109999999998</v>
      </c>
    </row>
    <row r="92" spans="2:30" x14ac:dyDescent="0.25">
      <c r="B92" t="s">
        <v>49</v>
      </c>
      <c r="C92" t="s">
        <v>84</v>
      </c>
      <c r="D92" t="s">
        <v>64</v>
      </c>
      <c r="E92" s="35">
        <v>0.9</v>
      </c>
      <c r="F92" s="35">
        <v>49</v>
      </c>
      <c r="G92" s="36">
        <v>0.71243100000000004</v>
      </c>
      <c r="H92" s="18">
        <v>1282.375818</v>
      </c>
      <c r="I92" s="16" t="s">
        <v>52</v>
      </c>
      <c r="J92" s="16">
        <v>714</v>
      </c>
      <c r="K92" s="16"/>
      <c r="L92" s="37"/>
      <c r="M92" s="37"/>
      <c r="N92" s="37"/>
      <c r="O92" s="37"/>
      <c r="P92" s="37"/>
      <c r="Q92" s="18">
        <v>7.836741</v>
      </c>
      <c r="R92" s="18">
        <v>5.3432325000000003E-2</v>
      </c>
      <c r="S92" s="18">
        <v>14.961051000000001</v>
      </c>
      <c r="T92" s="18">
        <v>64.118790000000004</v>
      </c>
      <c r="U92" s="18">
        <v>32.059395000000002</v>
      </c>
      <c r="V92" s="18">
        <v>410.36025600000005</v>
      </c>
      <c r="W92" s="18">
        <v>384.71274</v>
      </c>
      <c r="X92" s="18">
        <v>256.47516000000002</v>
      </c>
      <c r="Y92" s="18">
        <v>11.398896000000001</v>
      </c>
      <c r="Z92" s="18">
        <v>50.582601000000004</v>
      </c>
      <c r="AA92" s="18">
        <v>74.092824000000007</v>
      </c>
      <c r="AB92" s="18">
        <v>131.799735</v>
      </c>
      <c r="AC92" s="18">
        <v>40.608567000000001</v>
      </c>
      <c r="AD92" s="18">
        <v>213.72930000000002</v>
      </c>
    </row>
    <row r="93" spans="2:30" x14ac:dyDescent="0.25">
      <c r="B93" t="s">
        <v>56</v>
      </c>
      <c r="C93" t="s">
        <v>84</v>
      </c>
      <c r="D93" t="s">
        <v>51</v>
      </c>
      <c r="E93" s="35">
        <v>0.9</v>
      </c>
      <c r="F93" s="35">
        <v>33</v>
      </c>
      <c r="G93" s="36">
        <v>0.47430099999999997</v>
      </c>
      <c r="H93" s="18">
        <v>853.74126000000001</v>
      </c>
      <c r="I93" s="16" t="s">
        <v>52</v>
      </c>
      <c r="J93" s="16">
        <v>659</v>
      </c>
      <c r="K93" s="16"/>
      <c r="L93" s="37"/>
      <c r="M93" s="37"/>
      <c r="N93" s="37"/>
      <c r="O93" s="37"/>
      <c r="P93" s="37"/>
      <c r="Q93" s="18">
        <v>5.2173109999999996</v>
      </c>
      <c r="R93" s="18">
        <v>3.5572574999999995E-2</v>
      </c>
      <c r="S93" s="18">
        <v>9.9603209999999986</v>
      </c>
      <c r="T93" s="18">
        <v>42.687089999999998</v>
      </c>
      <c r="U93" s="18">
        <v>21.343544999999999</v>
      </c>
      <c r="V93" s="18">
        <v>273.19737599999996</v>
      </c>
      <c r="W93" s="18">
        <v>256.12253999999996</v>
      </c>
      <c r="X93" s="18">
        <v>170.74835999999999</v>
      </c>
      <c r="Y93" s="18">
        <v>7.5888159999999996</v>
      </c>
      <c r="Z93" s="18">
        <v>33.675370999999998</v>
      </c>
      <c r="AA93" s="18">
        <v>49.327303999999998</v>
      </c>
      <c r="AB93" s="18">
        <v>87.745684999999995</v>
      </c>
      <c r="AC93" s="18">
        <v>27.035156999999998</v>
      </c>
      <c r="AD93" s="18">
        <v>142.2903</v>
      </c>
    </row>
    <row r="94" spans="2:30" x14ac:dyDescent="0.25">
      <c r="B94" t="s">
        <v>56</v>
      </c>
      <c r="C94" t="s">
        <v>84</v>
      </c>
      <c r="D94" t="s">
        <v>51</v>
      </c>
      <c r="E94" s="35">
        <v>0.9</v>
      </c>
      <c r="F94" s="35">
        <v>33</v>
      </c>
      <c r="G94" s="36">
        <v>0.47430099999999997</v>
      </c>
      <c r="H94" s="18">
        <v>853.74126000000001</v>
      </c>
      <c r="I94" s="16" t="s">
        <v>52</v>
      </c>
      <c r="J94" s="16">
        <v>660</v>
      </c>
      <c r="K94" s="16"/>
      <c r="L94" s="37"/>
      <c r="M94" s="37"/>
      <c r="N94" s="37"/>
      <c r="O94" s="37"/>
      <c r="P94" s="37"/>
      <c r="Q94" s="18">
        <v>5.2173109999999996</v>
      </c>
      <c r="R94" s="18">
        <v>3.5572574999999995E-2</v>
      </c>
      <c r="S94" s="18">
        <v>9.9603209999999986</v>
      </c>
      <c r="T94" s="18">
        <v>42.687089999999998</v>
      </c>
      <c r="U94" s="18">
        <v>21.343544999999999</v>
      </c>
      <c r="V94" s="18">
        <v>273.19737599999996</v>
      </c>
      <c r="W94" s="18">
        <v>256.12253999999996</v>
      </c>
      <c r="X94" s="18">
        <v>170.74835999999999</v>
      </c>
      <c r="Y94" s="18">
        <v>7.5888159999999996</v>
      </c>
      <c r="Z94" s="18">
        <v>33.675370999999998</v>
      </c>
      <c r="AA94" s="18">
        <v>49.327303999999998</v>
      </c>
      <c r="AB94" s="18">
        <v>87.745684999999995</v>
      </c>
      <c r="AC94" s="18">
        <v>27.035156999999998</v>
      </c>
      <c r="AD94" s="18">
        <v>142.2903</v>
      </c>
    </row>
    <row r="95" spans="2:30" x14ac:dyDescent="0.25">
      <c r="B95" t="s">
        <v>56</v>
      </c>
      <c r="C95" t="s">
        <v>84</v>
      </c>
      <c r="D95" t="s">
        <v>51</v>
      </c>
      <c r="E95" s="35">
        <v>0.9</v>
      </c>
      <c r="F95" s="35">
        <v>33</v>
      </c>
      <c r="G95" s="36">
        <v>0.47430099999999997</v>
      </c>
      <c r="H95" s="18">
        <v>853.74126000000001</v>
      </c>
      <c r="I95" s="16" t="s">
        <v>52</v>
      </c>
      <c r="J95" s="16">
        <v>661</v>
      </c>
      <c r="K95" s="16"/>
      <c r="L95" s="37"/>
      <c r="M95" s="37"/>
      <c r="N95" s="37"/>
      <c r="O95" s="37"/>
      <c r="P95" s="37"/>
      <c r="Q95" s="18">
        <v>5.2173109999999996</v>
      </c>
      <c r="R95" s="18">
        <v>3.5572574999999995E-2</v>
      </c>
      <c r="S95" s="18">
        <v>9.9603209999999986</v>
      </c>
      <c r="T95" s="18">
        <v>42.687089999999998</v>
      </c>
      <c r="U95" s="18">
        <v>21.343544999999999</v>
      </c>
      <c r="V95" s="18">
        <v>273.19737599999996</v>
      </c>
      <c r="W95" s="18">
        <v>256.12253999999996</v>
      </c>
      <c r="X95" s="18">
        <v>170.74835999999999</v>
      </c>
      <c r="Y95" s="18">
        <v>7.5888159999999996</v>
      </c>
      <c r="Z95" s="18">
        <v>33.675370999999998</v>
      </c>
      <c r="AA95" s="18">
        <v>49.327303999999998</v>
      </c>
      <c r="AB95" s="18">
        <v>87.745684999999995</v>
      </c>
      <c r="AC95" s="18">
        <v>27.035156999999998</v>
      </c>
      <c r="AD95" s="18">
        <v>142.2903</v>
      </c>
    </row>
    <row r="96" spans="2:30" x14ac:dyDescent="0.25">
      <c r="B96" t="s">
        <v>53</v>
      </c>
      <c r="C96" t="s">
        <v>84</v>
      </c>
      <c r="D96" t="s">
        <v>51</v>
      </c>
      <c r="E96" s="35">
        <v>0.9</v>
      </c>
      <c r="F96" s="35">
        <v>45</v>
      </c>
      <c r="G96" s="36">
        <v>0.64677399999999996</v>
      </c>
      <c r="H96" s="18">
        <v>1164.1926269999999</v>
      </c>
      <c r="I96" s="16" t="s">
        <v>52</v>
      </c>
      <c r="J96" s="16">
        <v>662</v>
      </c>
      <c r="K96" s="16"/>
      <c r="L96" s="37"/>
      <c r="M96" s="37"/>
      <c r="N96" s="37"/>
      <c r="O96" s="37"/>
      <c r="P96" s="37"/>
      <c r="Q96" s="18">
        <v>7.1145139999999998</v>
      </c>
      <c r="R96" s="18">
        <v>4.8508049999999997E-2</v>
      </c>
      <c r="S96" s="18">
        <v>13.582253999999999</v>
      </c>
      <c r="T96" s="18">
        <v>58.20966</v>
      </c>
      <c r="U96" s="18">
        <v>29.10483</v>
      </c>
      <c r="V96" s="18">
        <v>372.54182399999996</v>
      </c>
      <c r="W96" s="18">
        <v>349.25795999999997</v>
      </c>
      <c r="X96" s="18">
        <v>232.83864</v>
      </c>
      <c r="Y96" s="18">
        <v>10.348383999999999</v>
      </c>
      <c r="Z96" s="18">
        <v>45.920953999999995</v>
      </c>
      <c r="AA96" s="18">
        <v>67.264495999999994</v>
      </c>
      <c r="AB96" s="18">
        <v>119.65319</v>
      </c>
      <c r="AC96" s="18">
        <v>36.866118</v>
      </c>
      <c r="AD96" s="18">
        <v>194.03219999999999</v>
      </c>
    </row>
    <row r="97" spans="2:30" x14ac:dyDescent="0.25">
      <c r="B97" t="s">
        <v>56</v>
      </c>
      <c r="C97" t="s">
        <v>84</v>
      </c>
      <c r="D97" t="s">
        <v>51</v>
      </c>
      <c r="E97" s="35">
        <v>0.9</v>
      </c>
      <c r="F97" s="35">
        <v>33</v>
      </c>
      <c r="G97" s="36">
        <v>0.47430099999999997</v>
      </c>
      <c r="H97" s="18">
        <v>853.74126000000001</v>
      </c>
      <c r="I97" s="16" t="s">
        <v>52</v>
      </c>
      <c r="J97" s="16">
        <v>663</v>
      </c>
      <c r="K97" s="16"/>
      <c r="L97" s="37"/>
      <c r="M97" s="37"/>
      <c r="N97" s="37"/>
      <c r="O97" s="37"/>
      <c r="P97" s="37"/>
      <c r="Q97" s="18">
        <v>5.2173109999999996</v>
      </c>
      <c r="R97" s="18">
        <v>3.5572574999999995E-2</v>
      </c>
      <c r="S97" s="18">
        <v>9.9603209999999986</v>
      </c>
      <c r="T97" s="18">
        <v>42.687089999999998</v>
      </c>
      <c r="U97" s="18">
        <v>21.343544999999999</v>
      </c>
      <c r="V97" s="18">
        <v>273.19737599999996</v>
      </c>
      <c r="W97" s="18">
        <v>256.12253999999996</v>
      </c>
      <c r="X97" s="18">
        <v>170.74835999999999</v>
      </c>
      <c r="Y97" s="18">
        <v>7.5888159999999996</v>
      </c>
      <c r="Z97" s="18">
        <v>33.675370999999998</v>
      </c>
      <c r="AA97" s="18">
        <v>49.327303999999998</v>
      </c>
      <c r="AB97" s="18">
        <v>87.745684999999995</v>
      </c>
      <c r="AC97" s="18">
        <v>27.035156999999998</v>
      </c>
      <c r="AD97" s="18">
        <v>142.2903</v>
      </c>
    </row>
    <row r="98" spans="2:30" x14ac:dyDescent="0.25">
      <c r="B98" t="s">
        <v>49</v>
      </c>
      <c r="C98" t="s">
        <v>84</v>
      </c>
      <c r="D98" t="s">
        <v>51</v>
      </c>
      <c r="E98" s="35">
        <v>0.9</v>
      </c>
      <c r="F98" s="35">
        <v>49</v>
      </c>
      <c r="G98" s="36">
        <v>0.70426500000000003</v>
      </c>
      <c r="H98" s="18">
        <v>1267.676416</v>
      </c>
      <c r="I98" s="16" t="s">
        <v>52</v>
      </c>
      <c r="J98" s="16">
        <v>664</v>
      </c>
      <c r="K98" s="16"/>
      <c r="L98" s="37"/>
      <c r="M98" s="37"/>
      <c r="N98" s="37"/>
      <c r="O98" s="37"/>
      <c r="P98" s="37"/>
      <c r="Q98" s="18">
        <v>7.7469150000000004</v>
      </c>
      <c r="R98" s="18">
        <v>5.2819875000000002E-2</v>
      </c>
      <c r="S98" s="18">
        <v>14.789565000000001</v>
      </c>
      <c r="T98" s="18">
        <v>63.383850000000002</v>
      </c>
      <c r="U98" s="18">
        <v>31.691925000000001</v>
      </c>
      <c r="V98" s="18">
        <v>405.65664000000004</v>
      </c>
      <c r="W98" s="18">
        <v>380.30310000000003</v>
      </c>
      <c r="X98" s="18">
        <v>253.53540000000001</v>
      </c>
      <c r="Y98" s="18">
        <v>11.26824</v>
      </c>
      <c r="Z98" s="18">
        <v>50.002815000000005</v>
      </c>
      <c r="AA98" s="18">
        <v>73.243560000000002</v>
      </c>
      <c r="AB98" s="18">
        <v>130.28902500000001</v>
      </c>
      <c r="AC98" s="18">
        <v>40.143104999999998</v>
      </c>
      <c r="AD98" s="18">
        <v>211.27950000000001</v>
      </c>
    </row>
    <row r="99" spans="2:30" x14ac:dyDescent="0.25">
      <c r="B99" t="s">
        <v>56</v>
      </c>
      <c r="C99" t="s">
        <v>84</v>
      </c>
      <c r="D99" t="s">
        <v>51</v>
      </c>
      <c r="E99" s="35">
        <v>0.9</v>
      </c>
      <c r="F99" s="35">
        <v>33</v>
      </c>
      <c r="G99" s="36">
        <v>0.47430099999999997</v>
      </c>
      <c r="H99" s="18">
        <v>853.74126000000001</v>
      </c>
      <c r="I99" s="16" t="s">
        <v>52</v>
      </c>
      <c r="J99" s="16">
        <v>665</v>
      </c>
      <c r="K99" s="16"/>
      <c r="L99" s="37"/>
      <c r="M99" s="37"/>
      <c r="N99" s="37"/>
      <c r="O99" s="37"/>
      <c r="P99" s="37"/>
      <c r="Q99" s="18">
        <v>5.2173109999999996</v>
      </c>
      <c r="R99" s="18">
        <v>3.5572574999999995E-2</v>
      </c>
      <c r="S99" s="18">
        <v>9.9603209999999986</v>
      </c>
      <c r="T99" s="18">
        <v>42.687089999999998</v>
      </c>
      <c r="U99" s="18">
        <v>21.343544999999999</v>
      </c>
      <c r="V99" s="18">
        <v>273.19737599999996</v>
      </c>
      <c r="W99" s="18">
        <v>256.12253999999996</v>
      </c>
      <c r="X99" s="18">
        <v>170.74835999999999</v>
      </c>
      <c r="Y99" s="18">
        <v>7.5888159999999996</v>
      </c>
      <c r="Z99" s="18">
        <v>33.675370999999998</v>
      </c>
      <c r="AA99" s="18">
        <v>49.327303999999998</v>
      </c>
      <c r="AB99" s="18">
        <v>87.745684999999995</v>
      </c>
      <c r="AC99" s="18">
        <v>27.035156999999998</v>
      </c>
      <c r="AD99" s="18">
        <v>142.2903</v>
      </c>
    </row>
    <row r="100" spans="2:30" x14ac:dyDescent="0.25">
      <c r="B100" t="s">
        <v>53</v>
      </c>
      <c r="C100" t="s">
        <v>84</v>
      </c>
      <c r="D100" t="s">
        <v>64</v>
      </c>
      <c r="E100" s="35">
        <v>0.9</v>
      </c>
      <c r="F100" s="35">
        <v>45</v>
      </c>
      <c r="G100" s="36">
        <v>0.65427299999999999</v>
      </c>
      <c r="H100" s="18">
        <v>1177.692078</v>
      </c>
      <c r="I100" s="16" t="s">
        <v>52</v>
      </c>
      <c r="J100" s="16">
        <v>666</v>
      </c>
      <c r="K100" s="16"/>
      <c r="L100" s="37"/>
      <c r="M100" s="37"/>
      <c r="N100" s="37"/>
      <c r="O100" s="37"/>
      <c r="P100" s="37"/>
      <c r="Q100" s="18">
        <v>7.1970029999999996</v>
      </c>
      <c r="R100" s="18">
        <v>4.9070474999999995E-2</v>
      </c>
      <c r="S100" s="18">
        <v>13.739732999999999</v>
      </c>
      <c r="T100" s="18">
        <v>58.884569999999997</v>
      </c>
      <c r="U100" s="18">
        <v>29.442284999999998</v>
      </c>
      <c r="V100" s="18">
        <v>376.86124799999999</v>
      </c>
      <c r="W100" s="18">
        <v>353.30741999999998</v>
      </c>
      <c r="X100" s="18">
        <v>235.53827999999999</v>
      </c>
      <c r="Y100" s="18">
        <v>10.468368</v>
      </c>
      <c r="Z100" s="18">
        <v>46.453383000000002</v>
      </c>
      <c r="AA100" s="18">
        <v>68.044392000000002</v>
      </c>
      <c r="AB100" s="18">
        <v>121.040505</v>
      </c>
      <c r="AC100" s="18">
        <v>37.293560999999997</v>
      </c>
      <c r="AD100" s="18">
        <v>196.28190000000001</v>
      </c>
    </row>
    <row r="101" spans="2:30" x14ac:dyDescent="0.25">
      <c r="B101" t="s">
        <v>49</v>
      </c>
      <c r="C101" t="s">
        <v>84</v>
      </c>
      <c r="D101" t="s">
        <v>85</v>
      </c>
      <c r="E101" s="35">
        <v>0.9</v>
      </c>
      <c r="F101" s="35">
        <v>49</v>
      </c>
      <c r="G101" s="36">
        <v>0.802261</v>
      </c>
      <c r="H101" s="18">
        <v>1444.069238</v>
      </c>
      <c r="I101" s="16" t="s">
        <v>52</v>
      </c>
      <c r="J101" s="16">
        <v>667</v>
      </c>
      <c r="K101" s="16"/>
      <c r="L101" s="37"/>
      <c r="M101" s="37"/>
      <c r="N101" s="37"/>
      <c r="O101" s="37"/>
      <c r="P101" s="37"/>
      <c r="Q101" s="18">
        <v>8.8248709999999999</v>
      </c>
      <c r="R101" s="18">
        <v>6.0169574999999996E-2</v>
      </c>
      <c r="S101" s="18">
        <v>16.847480999999998</v>
      </c>
      <c r="T101" s="18">
        <v>72.203490000000002</v>
      </c>
      <c r="U101" s="18">
        <v>36.101745000000001</v>
      </c>
      <c r="V101" s="18">
        <v>462.10233599999998</v>
      </c>
      <c r="W101" s="18">
        <v>433.22093999999998</v>
      </c>
      <c r="X101" s="18">
        <v>288.81396000000001</v>
      </c>
      <c r="Y101" s="18">
        <v>12.836176</v>
      </c>
      <c r="Z101" s="18">
        <v>56.960531000000003</v>
      </c>
      <c r="AA101" s="18">
        <v>83.435143999999994</v>
      </c>
      <c r="AB101" s="18">
        <v>148.418285</v>
      </c>
      <c r="AC101" s="18">
        <v>45.728876999999997</v>
      </c>
      <c r="AD101" s="18">
        <v>240.67830000000001</v>
      </c>
    </row>
    <row r="102" spans="2:30" x14ac:dyDescent="0.25">
      <c r="B102" t="s">
        <v>53</v>
      </c>
      <c r="C102" t="s">
        <v>84</v>
      </c>
      <c r="D102" t="s">
        <v>64</v>
      </c>
      <c r="E102" s="35">
        <v>0.9</v>
      </c>
      <c r="F102" s="35">
        <v>45</v>
      </c>
      <c r="G102" s="36">
        <v>0.65427299999999999</v>
      </c>
      <c r="H102" s="18">
        <v>1177.692078</v>
      </c>
      <c r="I102" s="16" t="s">
        <v>52</v>
      </c>
      <c r="J102" s="16">
        <v>668</v>
      </c>
      <c r="K102" s="16"/>
      <c r="L102" s="37"/>
      <c r="M102" s="37"/>
      <c r="N102" s="37"/>
      <c r="O102" s="37"/>
      <c r="P102" s="37"/>
      <c r="Q102" s="18">
        <v>7.1970029999999996</v>
      </c>
      <c r="R102" s="18">
        <v>4.9070474999999995E-2</v>
      </c>
      <c r="S102" s="18">
        <v>13.739732999999999</v>
      </c>
      <c r="T102" s="18">
        <v>58.884569999999997</v>
      </c>
      <c r="U102" s="18">
        <v>29.442284999999998</v>
      </c>
      <c r="V102" s="18">
        <v>376.86124799999999</v>
      </c>
      <c r="W102" s="18">
        <v>353.30741999999998</v>
      </c>
      <c r="X102" s="18">
        <v>235.53827999999999</v>
      </c>
      <c r="Y102" s="18">
        <v>10.468368</v>
      </c>
      <c r="Z102" s="18">
        <v>46.453383000000002</v>
      </c>
      <c r="AA102" s="18">
        <v>68.044392000000002</v>
      </c>
      <c r="AB102" s="18">
        <v>121.040505</v>
      </c>
      <c r="AC102" s="18">
        <v>37.293560999999997</v>
      </c>
      <c r="AD102" s="18">
        <v>196.28190000000001</v>
      </c>
    </row>
    <row r="103" spans="2:30" x14ac:dyDescent="0.25">
      <c r="B103" t="s">
        <v>49</v>
      </c>
      <c r="C103" t="s">
        <v>84</v>
      </c>
      <c r="D103" t="s">
        <v>85</v>
      </c>
      <c r="E103" s="35">
        <v>0.9</v>
      </c>
      <c r="F103" s="35">
        <v>49</v>
      </c>
      <c r="G103" s="36">
        <v>0.802261</v>
      </c>
      <c r="H103" s="18">
        <v>1444.069238</v>
      </c>
      <c r="I103" s="16" t="s">
        <v>52</v>
      </c>
      <c r="J103" s="16">
        <v>669</v>
      </c>
      <c r="K103" s="16"/>
      <c r="L103" s="37"/>
      <c r="M103" s="37"/>
      <c r="N103" s="37"/>
      <c r="O103" s="37"/>
      <c r="P103" s="37"/>
      <c r="Q103" s="18">
        <v>8.8248709999999999</v>
      </c>
      <c r="R103" s="18">
        <v>6.0169574999999996E-2</v>
      </c>
      <c r="S103" s="18">
        <v>16.847480999999998</v>
      </c>
      <c r="T103" s="18">
        <v>72.203490000000002</v>
      </c>
      <c r="U103" s="18">
        <v>36.101745000000001</v>
      </c>
      <c r="V103" s="18">
        <v>462.10233599999998</v>
      </c>
      <c r="W103" s="18">
        <v>433.22093999999998</v>
      </c>
      <c r="X103" s="18">
        <v>288.81396000000001</v>
      </c>
      <c r="Y103" s="18">
        <v>12.836176</v>
      </c>
      <c r="Z103" s="18">
        <v>56.960531000000003</v>
      </c>
      <c r="AA103" s="18">
        <v>83.435143999999994</v>
      </c>
      <c r="AB103" s="18">
        <v>148.418285</v>
      </c>
      <c r="AC103" s="18">
        <v>45.728876999999997</v>
      </c>
      <c r="AD103" s="18">
        <v>240.67830000000001</v>
      </c>
    </row>
    <row r="104" spans="2:30" x14ac:dyDescent="0.25">
      <c r="B104" t="s">
        <v>53</v>
      </c>
      <c r="C104" t="s">
        <v>84</v>
      </c>
      <c r="D104" t="s">
        <v>64</v>
      </c>
      <c r="E104" s="35">
        <v>0.9</v>
      </c>
      <c r="F104" s="35">
        <v>45</v>
      </c>
      <c r="G104" s="36">
        <v>0.65427299999999999</v>
      </c>
      <c r="H104" s="18">
        <v>1177.692078</v>
      </c>
      <c r="I104" s="16" t="s">
        <v>52</v>
      </c>
      <c r="J104" s="16">
        <v>670</v>
      </c>
      <c r="K104" s="16"/>
      <c r="L104" s="37"/>
      <c r="M104" s="37"/>
      <c r="N104" s="37"/>
      <c r="O104" s="37"/>
      <c r="P104" s="37"/>
      <c r="Q104" s="18">
        <v>7.1970029999999996</v>
      </c>
      <c r="R104" s="18">
        <v>4.9070474999999995E-2</v>
      </c>
      <c r="S104" s="18">
        <v>13.739732999999999</v>
      </c>
      <c r="T104" s="18">
        <v>58.884569999999997</v>
      </c>
      <c r="U104" s="18">
        <v>29.442284999999998</v>
      </c>
      <c r="V104" s="18">
        <v>376.86124799999999</v>
      </c>
      <c r="W104" s="18">
        <v>353.30741999999998</v>
      </c>
      <c r="X104" s="18">
        <v>235.53827999999999</v>
      </c>
      <c r="Y104" s="18">
        <v>10.468368</v>
      </c>
      <c r="Z104" s="18">
        <v>46.453383000000002</v>
      </c>
      <c r="AA104" s="18">
        <v>68.044392000000002</v>
      </c>
      <c r="AB104" s="18">
        <v>121.040505</v>
      </c>
      <c r="AC104" s="18">
        <v>37.293560999999997</v>
      </c>
      <c r="AD104" s="18">
        <v>196.28190000000001</v>
      </c>
    </row>
    <row r="105" spans="2:30" x14ac:dyDescent="0.25">
      <c r="B105" t="s">
        <v>49</v>
      </c>
      <c r="C105" t="s">
        <v>84</v>
      </c>
      <c r="D105" t="s">
        <v>86</v>
      </c>
      <c r="E105" s="35">
        <v>0.9</v>
      </c>
      <c r="F105" s="35">
        <v>49</v>
      </c>
      <c r="G105" s="36">
        <v>0.81042700000000001</v>
      </c>
      <c r="H105" s="18">
        <v>1458.76864</v>
      </c>
      <c r="I105" s="16" t="s">
        <v>52</v>
      </c>
      <c r="J105" s="16">
        <v>671</v>
      </c>
      <c r="K105" s="16"/>
      <c r="L105" s="37"/>
      <c r="M105" s="37"/>
      <c r="N105" s="37"/>
      <c r="O105" s="37"/>
      <c r="P105" s="37"/>
      <c r="Q105" s="18">
        <v>8.9146970000000003</v>
      </c>
      <c r="R105" s="18">
        <v>6.0782024999999996E-2</v>
      </c>
      <c r="S105" s="18">
        <v>17.018967</v>
      </c>
      <c r="T105" s="18">
        <v>72.938429999999997</v>
      </c>
      <c r="U105" s="18">
        <v>36.469214999999998</v>
      </c>
      <c r="V105" s="18">
        <v>466.80595199999999</v>
      </c>
      <c r="W105" s="18">
        <v>437.63058000000001</v>
      </c>
      <c r="X105" s="18">
        <v>291.75371999999999</v>
      </c>
      <c r="Y105" s="18">
        <v>12.966832</v>
      </c>
      <c r="Z105" s="18">
        <v>57.540317000000002</v>
      </c>
      <c r="AA105" s="18">
        <v>84.284407999999999</v>
      </c>
      <c r="AB105" s="18">
        <v>149.92899500000001</v>
      </c>
      <c r="AC105" s="18">
        <v>46.194338999999999</v>
      </c>
      <c r="AD105" s="18">
        <v>243.12809999999999</v>
      </c>
    </row>
    <row r="106" spans="2:30" x14ac:dyDescent="0.25">
      <c r="B106" t="s">
        <v>53</v>
      </c>
      <c r="C106" t="s">
        <v>84</v>
      </c>
      <c r="D106" t="s">
        <v>51</v>
      </c>
      <c r="E106" s="35">
        <v>0.9</v>
      </c>
      <c r="F106" s="35">
        <v>45</v>
      </c>
      <c r="G106" s="36">
        <v>0.64677399999999996</v>
      </c>
      <c r="H106" s="18">
        <v>1164.1926269999999</v>
      </c>
      <c r="I106" s="16" t="s">
        <v>52</v>
      </c>
      <c r="J106" s="16">
        <v>672</v>
      </c>
      <c r="K106" s="16"/>
      <c r="L106" s="37"/>
      <c r="M106" s="37"/>
      <c r="N106" s="37"/>
      <c r="O106" s="37"/>
      <c r="P106" s="37"/>
      <c r="Q106" s="18">
        <v>7.1145139999999998</v>
      </c>
      <c r="R106" s="18">
        <v>4.8508049999999997E-2</v>
      </c>
      <c r="S106" s="18">
        <v>13.582253999999999</v>
      </c>
      <c r="T106" s="18">
        <v>58.20966</v>
      </c>
      <c r="U106" s="18">
        <v>29.10483</v>
      </c>
      <c r="V106" s="18">
        <v>372.54182399999996</v>
      </c>
      <c r="W106" s="18">
        <v>349.25795999999997</v>
      </c>
      <c r="X106" s="18">
        <v>232.83864</v>
      </c>
      <c r="Y106" s="18">
        <v>10.348383999999999</v>
      </c>
      <c r="Z106" s="18">
        <v>45.920953999999995</v>
      </c>
      <c r="AA106" s="18">
        <v>67.264495999999994</v>
      </c>
      <c r="AB106" s="18">
        <v>119.65319</v>
      </c>
      <c r="AC106" s="18">
        <v>36.866118</v>
      </c>
      <c r="AD106" s="18">
        <v>194.03219999999999</v>
      </c>
    </row>
    <row r="107" spans="2:30" x14ac:dyDescent="0.25">
      <c r="B107" t="s">
        <v>53</v>
      </c>
      <c r="C107" t="s">
        <v>84</v>
      </c>
      <c r="D107" t="s">
        <v>64</v>
      </c>
      <c r="E107" s="35">
        <v>0.9</v>
      </c>
      <c r="F107" s="35">
        <v>45</v>
      </c>
      <c r="G107" s="36">
        <v>0.65427299999999999</v>
      </c>
      <c r="H107" s="18">
        <v>1177.692078</v>
      </c>
      <c r="I107" s="16" t="s">
        <v>52</v>
      </c>
      <c r="J107" s="16">
        <v>673</v>
      </c>
      <c r="K107" s="16"/>
      <c r="L107" s="37"/>
      <c r="M107" s="37"/>
      <c r="N107" s="37"/>
      <c r="O107" s="37"/>
      <c r="P107" s="37"/>
      <c r="Q107" s="18">
        <v>7.1970029999999996</v>
      </c>
      <c r="R107" s="18">
        <v>4.9070474999999995E-2</v>
      </c>
      <c r="S107" s="18">
        <v>13.739732999999999</v>
      </c>
      <c r="T107" s="18">
        <v>58.884569999999997</v>
      </c>
      <c r="U107" s="18">
        <v>29.442284999999998</v>
      </c>
      <c r="V107" s="18">
        <v>376.86124799999999</v>
      </c>
      <c r="W107" s="18">
        <v>353.30741999999998</v>
      </c>
      <c r="X107" s="18">
        <v>235.53827999999999</v>
      </c>
      <c r="Y107" s="18">
        <v>10.468368</v>
      </c>
      <c r="Z107" s="18">
        <v>46.453383000000002</v>
      </c>
      <c r="AA107" s="18">
        <v>68.044392000000002</v>
      </c>
      <c r="AB107" s="18">
        <v>121.040505</v>
      </c>
      <c r="AC107" s="18">
        <v>37.293560999999997</v>
      </c>
      <c r="AD107" s="18">
        <v>196.28190000000001</v>
      </c>
    </row>
    <row r="108" spans="2:30" x14ac:dyDescent="0.25">
      <c r="B108" t="s">
        <v>53</v>
      </c>
      <c r="C108" t="s">
        <v>84</v>
      </c>
      <c r="D108" t="s">
        <v>51</v>
      </c>
      <c r="E108" s="35">
        <v>0.9</v>
      </c>
      <c r="F108" s="35">
        <v>45</v>
      </c>
      <c r="G108" s="36">
        <v>0.64677399999999996</v>
      </c>
      <c r="H108" s="18">
        <v>1164.1926269999999</v>
      </c>
      <c r="I108" s="16" t="s">
        <v>52</v>
      </c>
      <c r="J108" s="16">
        <v>674</v>
      </c>
      <c r="K108" s="16"/>
      <c r="L108" s="37"/>
      <c r="M108" s="37"/>
      <c r="N108" s="37"/>
      <c r="O108" s="37"/>
      <c r="P108" s="37"/>
      <c r="Q108" s="18">
        <v>7.1145139999999998</v>
      </c>
      <c r="R108" s="18">
        <v>4.8508049999999997E-2</v>
      </c>
      <c r="S108" s="18">
        <v>13.582253999999999</v>
      </c>
      <c r="T108" s="18">
        <v>58.20966</v>
      </c>
      <c r="U108" s="18">
        <v>29.10483</v>
      </c>
      <c r="V108" s="18">
        <v>372.54182399999996</v>
      </c>
      <c r="W108" s="18">
        <v>349.25795999999997</v>
      </c>
      <c r="X108" s="18">
        <v>232.83864</v>
      </c>
      <c r="Y108" s="18">
        <v>10.348383999999999</v>
      </c>
      <c r="Z108" s="18">
        <v>45.920953999999995</v>
      </c>
      <c r="AA108" s="18">
        <v>67.264495999999994</v>
      </c>
      <c r="AB108" s="18">
        <v>119.65319</v>
      </c>
      <c r="AC108" s="18">
        <v>36.866118</v>
      </c>
      <c r="AD108" s="18">
        <v>194.03219999999999</v>
      </c>
    </row>
    <row r="109" spans="2:30" x14ac:dyDescent="0.25">
      <c r="B109" t="s">
        <v>53</v>
      </c>
      <c r="C109" t="s">
        <v>84</v>
      </c>
      <c r="D109" t="s">
        <v>64</v>
      </c>
      <c r="E109" s="35">
        <v>0.9</v>
      </c>
      <c r="F109" s="35">
        <v>45</v>
      </c>
      <c r="G109" s="36">
        <v>0.65427299999999999</v>
      </c>
      <c r="H109" s="18">
        <v>1177.692078</v>
      </c>
      <c r="I109" s="16" t="s">
        <v>52</v>
      </c>
      <c r="J109" s="16">
        <v>675</v>
      </c>
      <c r="K109" s="16"/>
      <c r="L109" s="37"/>
      <c r="M109" s="37"/>
      <c r="N109" s="37"/>
      <c r="O109" s="37"/>
      <c r="P109" s="37"/>
      <c r="Q109" s="18">
        <v>7.1970029999999996</v>
      </c>
      <c r="R109" s="18">
        <v>4.9070474999999995E-2</v>
      </c>
      <c r="S109" s="18">
        <v>13.739732999999999</v>
      </c>
      <c r="T109" s="18">
        <v>58.884569999999997</v>
      </c>
      <c r="U109" s="18">
        <v>29.442284999999998</v>
      </c>
      <c r="V109" s="18">
        <v>376.86124799999999</v>
      </c>
      <c r="W109" s="18">
        <v>353.30741999999998</v>
      </c>
      <c r="X109" s="18">
        <v>235.53827999999999</v>
      </c>
      <c r="Y109" s="18">
        <v>10.468368</v>
      </c>
      <c r="Z109" s="18">
        <v>46.453383000000002</v>
      </c>
      <c r="AA109" s="18">
        <v>68.044392000000002</v>
      </c>
      <c r="AB109" s="18">
        <v>121.040505</v>
      </c>
      <c r="AC109" s="18">
        <v>37.293560999999997</v>
      </c>
      <c r="AD109" s="18">
        <v>196.28190000000001</v>
      </c>
    </row>
    <row r="110" spans="2:30" x14ac:dyDescent="0.25">
      <c r="B110" t="s">
        <v>60</v>
      </c>
      <c r="C110" t="s">
        <v>84</v>
      </c>
      <c r="D110" t="s">
        <v>67</v>
      </c>
      <c r="E110" s="35">
        <v>0.9</v>
      </c>
      <c r="F110" s="35">
        <v>39</v>
      </c>
      <c r="G110" s="36">
        <v>0.580036</v>
      </c>
      <c r="H110" s="18">
        <v>1044.065515</v>
      </c>
      <c r="I110" s="16" t="s">
        <v>52</v>
      </c>
      <c r="J110" s="16">
        <v>676</v>
      </c>
      <c r="K110" s="16"/>
      <c r="L110" s="37"/>
      <c r="M110" s="37"/>
      <c r="N110" s="37"/>
      <c r="O110" s="37"/>
      <c r="P110" s="37"/>
      <c r="Q110" s="18">
        <v>6.3803960000000002</v>
      </c>
      <c r="R110" s="18">
        <v>4.3502699999999998E-2</v>
      </c>
      <c r="S110" s="18">
        <v>12.180756000000001</v>
      </c>
      <c r="T110" s="18">
        <v>52.203240000000001</v>
      </c>
      <c r="U110" s="18">
        <v>26.10162</v>
      </c>
      <c r="V110" s="18">
        <v>334.10073599999998</v>
      </c>
      <c r="W110" s="18">
        <v>313.21944000000002</v>
      </c>
      <c r="X110" s="18">
        <v>208.81296</v>
      </c>
      <c r="Y110" s="18">
        <v>9.2805759999999999</v>
      </c>
      <c r="Z110" s="18">
        <v>41.182555999999998</v>
      </c>
      <c r="AA110" s="18">
        <v>60.323743999999998</v>
      </c>
      <c r="AB110" s="18">
        <v>107.30665999999999</v>
      </c>
      <c r="AC110" s="18">
        <v>33.062052000000001</v>
      </c>
      <c r="AD110" s="18">
        <v>174.01079999999999</v>
      </c>
    </row>
    <row r="111" spans="2:30" x14ac:dyDescent="0.25">
      <c r="B111" t="s">
        <v>53</v>
      </c>
      <c r="C111" t="s">
        <v>84</v>
      </c>
      <c r="D111" t="s">
        <v>51</v>
      </c>
      <c r="E111" s="35">
        <v>0.9</v>
      </c>
      <c r="F111" s="35">
        <v>45</v>
      </c>
      <c r="G111" s="36">
        <v>0.64677399999999996</v>
      </c>
      <c r="H111" s="18">
        <v>1164.1926269999999</v>
      </c>
      <c r="I111" s="16" t="s">
        <v>52</v>
      </c>
      <c r="J111" s="16">
        <v>677</v>
      </c>
      <c r="K111" s="16"/>
      <c r="L111" s="37"/>
      <c r="M111" s="37"/>
      <c r="N111" s="37"/>
      <c r="O111" s="37"/>
      <c r="P111" s="37"/>
      <c r="Q111" s="18">
        <v>7.1145139999999998</v>
      </c>
      <c r="R111" s="18">
        <v>4.8508049999999997E-2</v>
      </c>
      <c r="S111" s="18">
        <v>13.582253999999999</v>
      </c>
      <c r="T111" s="18">
        <v>58.20966</v>
      </c>
      <c r="U111" s="18">
        <v>29.10483</v>
      </c>
      <c r="V111" s="18">
        <v>372.54182399999996</v>
      </c>
      <c r="W111" s="18">
        <v>349.25795999999997</v>
      </c>
      <c r="X111" s="18">
        <v>232.83864</v>
      </c>
      <c r="Y111" s="18">
        <v>10.348383999999999</v>
      </c>
      <c r="Z111" s="18">
        <v>45.920953999999995</v>
      </c>
      <c r="AA111" s="18">
        <v>67.264495999999994</v>
      </c>
      <c r="AB111" s="18">
        <v>119.65319</v>
      </c>
      <c r="AC111" s="18">
        <v>36.866118</v>
      </c>
      <c r="AD111" s="18">
        <v>194.03219999999999</v>
      </c>
    </row>
    <row r="112" spans="2:30" x14ac:dyDescent="0.25">
      <c r="B112" t="s">
        <v>60</v>
      </c>
      <c r="C112" t="s">
        <v>84</v>
      </c>
      <c r="D112" t="s">
        <v>64</v>
      </c>
      <c r="E112" s="35">
        <v>0.9</v>
      </c>
      <c r="F112" s="35">
        <v>39</v>
      </c>
      <c r="G112" s="36">
        <v>0.56703700000000001</v>
      </c>
      <c r="H112" s="18">
        <v>1020.666467</v>
      </c>
      <c r="I112" s="16" t="s">
        <v>52</v>
      </c>
      <c r="J112" s="16">
        <v>678</v>
      </c>
      <c r="K112" s="16"/>
      <c r="L112" s="37"/>
      <c r="M112" s="37"/>
      <c r="N112" s="37"/>
      <c r="O112" s="37"/>
      <c r="P112" s="37"/>
      <c r="Q112" s="18">
        <v>6.2374070000000001</v>
      </c>
      <c r="R112" s="18">
        <v>4.2527774999999997E-2</v>
      </c>
      <c r="S112" s="18">
        <v>11.907776999999999</v>
      </c>
      <c r="T112" s="18">
        <v>51.033329999999999</v>
      </c>
      <c r="U112" s="18">
        <v>25.516665</v>
      </c>
      <c r="V112" s="18">
        <v>326.61331200000001</v>
      </c>
      <c r="W112" s="18">
        <v>306.19997999999998</v>
      </c>
      <c r="X112" s="18">
        <v>204.13332</v>
      </c>
      <c r="Y112" s="18">
        <v>9.0725920000000002</v>
      </c>
      <c r="Z112" s="18">
        <v>40.259627000000002</v>
      </c>
      <c r="AA112" s="18">
        <v>58.971848000000001</v>
      </c>
      <c r="AB112" s="18">
        <v>104.90184500000001</v>
      </c>
      <c r="AC112" s="18">
        <v>32.321109</v>
      </c>
      <c r="AD112" s="18">
        <v>170.11109999999999</v>
      </c>
    </row>
    <row r="113" spans="2:30" x14ac:dyDescent="0.25">
      <c r="B113" t="s">
        <v>53</v>
      </c>
      <c r="C113" t="s">
        <v>84</v>
      </c>
      <c r="D113" t="s">
        <v>51</v>
      </c>
      <c r="E113" s="35">
        <v>0.9</v>
      </c>
      <c r="F113" s="35">
        <v>45</v>
      </c>
      <c r="G113" s="36">
        <v>0.64677399999999996</v>
      </c>
      <c r="H113" s="18">
        <v>1164.1926269999999</v>
      </c>
      <c r="I113" s="16" t="s">
        <v>52</v>
      </c>
      <c r="J113" s="16">
        <v>679</v>
      </c>
      <c r="K113" s="16"/>
      <c r="L113" s="37"/>
      <c r="M113" s="37"/>
      <c r="N113" s="37"/>
      <c r="O113" s="37"/>
      <c r="P113" s="37"/>
      <c r="Q113" s="18">
        <v>7.1145139999999998</v>
      </c>
      <c r="R113" s="18">
        <v>4.8508049999999997E-2</v>
      </c>
      <c r="S113" s="18">
        <v>13.582253999999999</v>
      </c>
      <c r="T113" s="18">
        <v>58.20966</v>
      </c>
      <c r="U113" s="18">
        <v>29.10483</v>
      </c>
      <c r="V113" s="18">
        <v>372.54182399999996</v>
      </c>
      <c r="W113" s="18">
        <v>349.25795999999997</v>
      </c>
      <c r="X113" s="18">
        <v>232.83864</v>
      </c>
      <c r="Y113" s="18">
        <v>10.348383999999999</v>
      </c>
      <c r="Z113" s="18">
        <v>45.920953999999995</v>
      </c>
      <c r="AA113" s="18">
        <v>67.264495999999994</v>
      </c>
      <c r="AB113" s="18">
        <v>119.65319</v>
      </c>
      <c r="AC113" s="18">
        <v>36.866118</v>
      </c>
      <c r="AD113" s="18">
        <v>194.03219999999999</v>
      </c>
    </row>
    <row r="114" spans="2:30" x14ac:dyDescent="0.25">
      <c r="B114" t="s">
        <v>53</v>
      </c>
      <c r="C114" t="s">
        <v>84</v>
      </c>
      <c r="D114" t="s">
        <v>51</v>
      </c>
      <c r="E114" s="35">
        <v>0.9</v>
      </c>
      <c r="F114" s="35">
        <v>45</v>
      </c>
      <c r="G114" s="36">
        <v>0.64677399999999996</v>
      </c>
      <c r="H114" s="18">
        <v>1164.1926269999999</v>
      </c>
      <c r="I114" s="16" t="s">
        <v>52</v>
      </c>
      <c r="J114" s="16">
        <v>680</v>
      </c>
      <c r="K114" s="16"/>
      <c r="L114" s="37"/>
      <c r="M114" s="37"/>
      <c r="N114" s="37"/>
      <c r="O114" s="37"/>
      <c r="P114" s="37"/>
      <c r="Q114" s="18">
        <v>7.1145139999999998</v>
      </c>
      <c r="R114" s="18">
        <v>4.8508049999999997E-2</v>
      </c>
      <c r="S114" s="18">
        <v>13.582253999999999</v>
      </c>
      <c r="T114" s="18">
        <v>58.20966</v>
      </c>
      <c r="U114" s="18">
        <v>29.10483</v>
      </c>
      <c r="V114" s="18">
        <v>372.54182399999996</v>
      </c>
      <c r="W114" s="18">
        <v>349.25795999999997</v>
      </c>
      <c r="X114" s="18">
        <v>232.83864</v>
      </c>
      <c r="Y114" s="18">
        <v>10.348383999999999</v>
      </c>
      <c r="Z114" s="18">
        <v>45.920953999999995</v>
      </c>
      <c r="AA114" s="18">
        <v>67.264495999999994</v>
      </c>
      <c r="AB114" s="18">
        <v>119.65319</v>
      </c>
      <c r="AC114" s="18">
        <v>36.866118</v>
      </c>
      <c r="AD114" s="18">
        <v>194.03219999999999</v>
      </c>
    </row>
    <row r="115" spans="2:30" x14ac:dyDescent="0.25">
      <c r="B115" t="s">
        <v>49</v>
      </c>
      <c r="C115" t="s">
        <v>84</v>
      </c>
      <c r="D115" t="s">
        <v>87</v>
      </c>
      <c r="E115" s="35">
        <v>0.9</v>
      </c>
      <c r="F115" s="35">
        <v>49</v>
      </c>
      <c r="G115" s="36">
        <v>0.71635099999999996</v>
      </c>
      <c r="H115" s="18">
        <v>1289.4315309999999</v>
      </c>
      <c r="I115" s="16" t="s">
        <v>52</v>
      </c>
      <c r="J115" s="16">
        <v>681</v>
      </c>
      <c r="K115" s="16"/>
      <c r="L115" s="37"/>
      <c r="M115" s="37"/>
      <c r="N115" s="37"/>
      <c r="O115" s="37"/>
      <c r="P115" s="37"/>
      <c r="Q115" s="18">
        <v>7.879861</v>
      </c>
      <c r="R115" s="18">
        <v>5.3726324999999998E-2</v>
      </c>
      <c r="S115" s="18">
        <v>15.043370999999999</v>
      </c>
      <c r="T115" s="18">
        <v>64.471589999999992</v>
      </c>
      <c r="U115" s="18">
        <v>32.235794999999996</v>
      </c>
      <c r="V115" s="18">
        <v>412.61817599999995</v>
      </c>
      <c r="W115" s="18">
        <v>386.82953999999995</v>
      </c>
      <c r="X115" s="18">
        <v>257.88635999999997</v>
      </c>
      <c r="Y115" s="18">
        <v>11.461615999999999</v>
      </c>
      <c r="Z115" s="18">
        <v>50.860920999999998</v>
      </c>
      <c r="AA115" s="18">
        <v>74.500503999999992</v>
      </c>
      <c r="AB115" s="18">
        <v>132.524935</v>
      </c>
      <c r="AC115" s="18">
        <v>40.832006999999997</v>
      </c>
      <c r="AD115" s="18">
        <v>214.90529999999998</v>
      </c>
    </row>
    <row r="116" spans="2:30" x14ac:dyDescent="0.25">
      <c r="B116" t="s">
        <v>53</v>
      </c>
      <c r="C116" t="s">
        <v>84</v>
      </c>
      <c r="D116" t="s">
        <v>64</v>
      </c>
      <c r="E116" s="35">
        <v>0.9</v>
      </c>
      <c r="F116" s="35">
        <v>45</v>
      </c>
      <c r="G116" s="36">
        <v>0.65427299999999999</v>
      </c>
      <c r="H116" s="18">
        <v>1177.692078</v>
      </c>
      <c r="I116" s="16" t="s">
        <v>52</v>
      </c>
      <c r="J116" s="16">
        <v>682</v>
      </c>
      <c r="K116" s="16"/>
      <c r="L116" s="37"/>
      <c r="M116" s="37"/>
      <c r="N116" s="37"/>
      <c r="O116" s="37"/>
      <c r="P116" s="37"/>
      <c r="Q116" s="18">
        <v>7.1970029999999996</v>
      </c>
      <c r="R116" s="18">
        <v>4.9070474999999995E-2</v>
      </c>
      <c r="S116" s="18">
        <v>13.739732999999999</v>
      </c>
      <c r="T116" s="18">
        <v>58.884569999999997</v>
      </c>
      <c r="U116" s="18">
        <v>29.442284999999998</v>
      </c>
      <c r="V116" s="18">
        <v>376.86124799999999</v>
      </c>
      <c r="W116" s="18">
        <v>353.30741999999998</v>
      </c>
      <c r="X116" s="18">
        <v>235.53827999999999</v>
      </c>
      <c r="Y116" s="18">
        <v>10.468368</v>
      </c>
      <c r="Z116" s="18">
        <v>46.453383000000002</v>
      </c>
      <c r="AA116" s="18">
        <v>68.044392000000002</v>
      </c>
      <c r="AB116" s="18">
        <v>121.040505</v>
      </c>
      <c r="AC116" s="18">
        <v>37.293560999999997</v>
      </c>
      <c r="AD116" s="18">
        <v>196.28190000000001</v>
      </c>
    </row>
    <row r="117" spans="2:30" x14ac:dyDescent="0.25">
      <c r="B117" t="s">
        <v>53</v>
      </c>
      <c r="C117" t="s">
        <v>84</v>
      </c>
      <c r="D117" t="s">
        <v>88</v>
      </c>
      <c r="E117" s="35">
        <v>0.9</v>
      </c>
      <c r="F117" s="35">
        <v>45</v>
      </c>
      <c r="G117" s="36">
        <v>0.73916999999999999</v>
      </c>
      <c r="H117" s="18">
        <v>1330.5058590000001</v>
      </c>
      <c r="I117" s="16" t="s">
        <v>52</v>
      </c>
      <c r="J117" s="16">
        <v>683</v>
      </c>
      <c r="K117" s="16"/>
      <c r="L117" s="37"/>
      <c r="M117" s="37"/>
      <c r="N117" s="37"/>
      <c r="O117" s="37"/>
      <c r="P117" s="37"/>
      <c r="Q117" s="18">
        <v>8.1308699999999998</v>
      </c>
      <c r="R117" s="18">
        <v>5.5437750000000001E-2</v>
      </c>
      <c r="S117" s="18">
        <v>15.52257</v>
      </c>
      <c r="T117" s="18">
        <v>66.525300000000001</v>
      </c>
      <c r="U117" s="18">
        <v>33.262650000000001</v>
      </c>
      <c r="V117" s="18">
        <v>425.76191999999998</v>
      </c>
      <c r="W117" s="18">
        <v>399.15179999999998</v>
      </c>
      <c r="X117" s="18">
        <v>266.10120000000001</v>
      </c>
      <c r="Y117" s="18">
        <v>11.82672</v>
      </c>
      <c r="Z117" s="18">
        <v>52.481070000000003</v>
      </c>
      <c r="AA117" s="18">
        <v>76.873679999999993</v>
      </c>
      <c r="AB117" s="18">
        <v>136.74645000000001</v>
      </c>
      <c r="AC117" s="18">
        <v>42.132689999999997</v>
      </c>
      <c r="AD117" s="18">
        <v>221.751</v>
      </c>
    </row>
    <row r="118" spans="2:30" x14ac:dyDescent="0.25">
      <c r="B118" t="s">
        <v>83</v>
      </c>
      <c r="C118" t="s">
        <v>84</v>
      </c>
      <c r="D118" t="s">
        <v>89</v>
      </c>
      <c r="E118" s="35">
        <v>2.34</v>
      </c>
      <c r="F118" s="35">
        <v>50.78</v>
      </c>
      <c r="G118" s="36">
        <v>0.39471400000000001</v>
      </c>
      <c r="H118" s="18">
        <v>1847.260608</v>
      </c>
      <c r="I118" s="16" t="s">
        <v>52</v>
      </c>
      <c r="J118" s="16">
        <v>684</v>
      </c>
      <c r="K118" s="16"/>
      <c r="L118" s="37"/>
      <c r="M118" s="37"/>
      <c r="N118" s="37"/>
      <c r="O118" s="37"/>
      <c r="P118" s="37"/>
      <c r="Q118" s="18">
        <v>4.3418539999999997</v>
      </c>
      <c r="R118" s="18">
        <v>2.9603549999999999E-2</v>
      </c>
      <c r="S118" s="18">
        <v>8.2889940000000006</v>
      </c>
      <c r="T118" s="18">
        <v>35.524259999999998</v>
      </c>
      <c r="U118" s="18">
        <v>17.762129999999999</v>
      </c>
      <c r="V118" s="18">
        <v>227.35526400000001</v>
      </c>
      <c r="W118" s="18">
        <v>213.14556000000002</v>
      </c>
      <c r="X118" s="18">
        <v>142.09703999999999</v>
      </c>
      <c r="Y118" s="18">
        <v>6.3154240000000001</v>
      </c>
      <c r="Z118" s="18">
        <v>28.024694</v>
      </c>
      <c r="AA118" s="18">
        <v>41.050256000000005</v>
      </c>
      <c r="AB118" s="18">
        <v>73.022090000000006</v>
      </c>
      <c r="AC118" s="18">
        <v>22.498698000000001</v>
      </c>
      <c r="AD118" s="18">
        <v>118.41420000000001</v>
      </c>
    </row>
    <row r="119" spans="2:30" x14ac:dyDescent="0.25">
      <c r="B119" t="s">
        <v>83</v>
      </c>
      <c r="C119" t="s">
        <v>84</v>
      </c>
      <c r="D119" t="s">
        <v>89</v>
      </c>
      <c r="E119" s="35">
        <v>2.34</v>
      </c>
      <c r="F119" s="35">
        <v>50.78</v>
      </c>
      <c r="G119" s="36">
        <v>0.39471400000000001</v>
      </c>
      <c r="H119" s="18">
        <v>1847.260608</v>
      </c>
      <c r="I119" s="16" t="s">
        <v>52</v>
      </c>
      <c r="J119" s="16">
        <v>685</v>
      </c>
      <c r="K119" s="16"/>
      <c r="L119" s="37"/>
      <c r="M119" s="37"/>
      <c r="N119" s="37"/>
      <c r="O119" s="37"/>
      <c r="P119" s="37"/>
      <c r="Q119" s="18">
        <v>4.3418539999999997</v>
      </c>
      <c r="R119" s="18">
        <v>2.9603549999999999E-2</v>
      </c>
      <c r="S119" s="18">
        <v>8.2889940000000006</v>
      </c>
      <c r="T119" s="18">
        <v>35.524259999999998</v>
      </c>
      <c r="U119" s="18">
        <v>17.762129999999999</v>
      </c>
      <c r="V119" s="18">
        <v>227.35526400000001</v>
      </c>
      <c r="W119" s="18">
        <v>213.14556000000002</v>
      </c>
      <c r="X119" s="18">
        <v>142.09703999999999</v>
      </c>
      <c r="Y119" s="18">
        <v>6.3154240000000001</v>
      </c>
      <c r="Z119" s="18">
        <v>28.024694</v>
      </c>
      <c r="AA119" s="18">
        <v>41.050256000000005</v>
      </c>
      <c r="AB119" s="18">
        <v>73.022090000000006</v>
      </c>
      <c r="AC119" s="18">
        <v>22.498698000000001</v>
      </c>
      <c r="AD119" s="18">
        <v>118.41420000000001</v>
      </c>
    </row>
    <row r="120" spans="2:30" x14ac:dyDescent="0.25">
      <c r="B120" t="s">
        <v>83</v>
      </c>
      <c r="C120" t="s">
        <v>84</v>
      </c>
      <c r="D120" t="s">
        <v>89</v>
      </c>
      <c r="E120" s="35">
        <v>2.34</v>
      </c>
      <c r="F120" s="35">
        <v>50.78</v>
      </c>
      <c r="G120" s="36">
        <v>0.39471400000000001</v>
      </c>
      <c r="H120" s="18">
        <v>1847.260608</v>
      </c>
      <c r="I120" s="16" t="s">
        <v>52</v>
      </c>
      <c r="J120" s="16">
        <v>686</v>
      </c>
      <c r="K120" s="16"/>
      <c r="L120" s="37"/>
      <c r="M120" s="37"/>
      <c r="N120" s="37"/>
      <c r="O120" s="37"/>
      <c r="P120" s="37"/>
      <c r="Q120" s="18">
        <v>4.3418539999999997</v>
      </c>
      <c r="R120" s="18">
        <v>2.9603549999999999E-2</v>
      </c>
      <c r="S120" s="18">
        <v>8.2889940000000006</v>
      </c>
      <c r="T120" s="18">
        <v>35.524259999999998</v>
      </c>
      <c r="U120" s="18">
        <v>17.762129999999999</v>
      </c>
      <c r="V120" s="18">
        <v>227.35526400000001</v>
      </c>
      <c r="W120" s="18">
        <v>213.14556000000002</v>
      </c>
      <c r="X120" s="18">
        <v>142.09703999999999</v>
      </c>
      <c r="Y120" s="18">
        <v>6.3154240000000001</v>
      </c>
      <c r="Z120" s="18">
        <v>28.024694</v>
      </c>
      <c r="AA120" s="18">
        <v>41.050256000000005</v>
      </c>
      <c r="AB120" s="18">
        <v>73.022090000000006</v>
      </c>
      <c r="AC120" s="18">
        <v>22.498698000000001</v>
      </c>
      <c r="AD120" s="18">
        <v>118.41420000000001</v>
      </c>
    </row>
    <row r="121" spans="2:30" x14ac:dyDescent="0.25">
      <c r="B121" t="s">
        <v>56</v>
      </c>
      <c r="C121" t="s">
        <v>84</v>
      </c>
      <c r="D121" t="s">
        <v>90</v>
      </c>
      <c r="E121" s="35">
        <v>0.9</v>
      </c>
      <c r="F121" s="35">
        <v>33</v>
      </c>
      <c r="G121" s="36">
        <v>0.24001</v>
      </c>
      <c r="H121" s="18">
        <v>432.01841999999999</v>
      </c>
      <c r="I121" s="16" t="s">
        <v>52</v>
      </c>
      <c r="J121" s="16">
        <v>687</v>
      </c>
      <c r="K121" s="16"/>
      <c r="L121" s="37"/>
      <c r="M121" s="37"/>
      <c r="N121" s="37"/>
      <c r="O121" s="37"/>
      <c r="P121" s="37"/>
      <c r="Q121" s="18">
        <v>2.64011</v>
      </c>
      <c r="R121" s="18">
        <v>1.8000749999999999E-2</v>
      </c>
      <c r="S121" s="18">
        <v>5.0402100000000001</v>
      </c>
      <c r="T121" s="18">
        <v>21.600899999999999</v>
      </c>
      <c r="U121" s="18">
        <v>10.80045</v>
      </c>
      <c r="V121" s="18">
        <v>138.24575999999999</v>
      </c>
      <c r="W121" s="18">
        <v>129.6054</v>
      </c>
      <c r="X121" s="18">
        <v>86.403599999999997</v>
      </c>
      <c r="Y121" s="18">
        <v>3.84016</v>
      </c>
      <c r="Z121" s="18">
        <v>17.040710000000001</v>
      </c>
      <c r="AA121" s="18">
        <v>24.961040000000001</v>
      </c>
      <c r="AB121" s="18">
        <v>44.401850000000003</v>
      </c>
      <c r="AC121" s="18">
        <v>13.680569999999999</v>
      </c>
      <c r="AD121" s="18">
        <v>72.003</v>
      </c>
    </row>
    <row r="122" spans="2:30" x14ac:dyDescent="0.25">
      <c r="B122" t="s">
        <v>91</v>
      </c>
      <c r="C122" t="s">
        <v>84</v>
      </c>
      <c r="D122" t="s">
        <v>67</v>
      </c>
      <c r="E122" s="35">
        <v>2.34</v>
      </c>
      <c r="F122" s="35">
        <v>62.64</v>
      </c>
      <c r="G122" s="36">
        <v>0.93162800000000001</v>
      </c>
      <c r="H122" s="18">
        <v>4360.0175909999998</v>
      </c>
      <c r="I122" s="16" t="s">
        <v>52</v>
      </c>
      <c r="J122" s="16">
        <v>688</v>
      </c>
      <c r="K122" s="16"/>
      <c r="L122" s="37"/>
      <c r="M122" s="37"/>
      <c r="N122" s="37"/>
      <c r="O122" s="37"/>
      <c r="P122" s="37"/>
      <c r="Q122" s="18">
        <v>10.247908000000001</v>
      </c>
      <c r="R122" s="18">
        <v>6.9872099999999993E-2</v>
      </c>
      <c r="S122" s="18">
        <v>19.564188000000001</v>
      </c>
      <c r="T122" s="18">
        <v>83.846519999999998</v>
      </c>
      <c r="U122" s="18">
        <v>41.923259999999999</v>
      </c>
      <c r="V122" s="18">
        <v>536.61772800000006</v>
      </c>
      <c r="W122" s="18">
        <v>503.07911999999999</v>
      </c>
      <c r="X122" s="18">
        <v>335.38607999999999</v>
      </c>
      <c r="Y122" s="18">
        <v>14.906048</v>
      </c>
      <c r="Z122" s="18">
        <v>66.145588000000004</v>
      </c>
      <c r="AA122" s="18">
        <v>96.889312000000004</v>
      </c>
      <c r="AB122" s="18">
        <v>172.35118</v>
      </c>
      <c r="AC122" s="18">
        <v>53.102795999999998</v>
      </c>
      <c r="AD122" s="18">
        <v>279.48840000000001</v>
      </c>
    </row>
    <row r="123" spans="2:30" x14ac:dyDescent="0.25">
      <c r="B123" t="s">
        <v>49</v>
      </c>
      <c r="C123" t="s">
        <v>84</v>
      </c>
      <c r="D123" t="s">
        <v>92</v>
      </c>
      <c r="E123" s="35">
        <v>0.9</v>
      </c>
      <c r="F123" s="35">
        <v>49</v>
      </c>
      <c r="G123" s="36">
        <v>0.84864499999999998</v>
      </c>
      <c r="H123" s="18">
        <v>1527.561841</v>
      </c>
      <c r="I123" s="16" t="s">
        <v>52</v>
      </c>
      <c r="J123" s="16">
        <v>689</v>
      </c>
      <c r="K123" s="16"/>
      <c r="L123" s="37"/>
      <c r="M123" s="37"/>
      <c r="N123" s="37"/>
      <c r="O123" s="37"/>
      <c r="P123" s="37"/>
      <c r="Q123" s="18">
        <v>9.335094999999999</v>
      </c>
      <c r="R123" s="18">
        <v>6.3648374999999993E-2</v>
      </c>
      <c r="S123" s="18">
        <v>17.821545</v>
      </c>
      <c r="T123" s="18">
        <v>76.378050000000002</v>
      </c>
      <c r="U123" s="18">
        <v>38.189025000000001</v>
      </c>
      <c r="V123" s="18">
        <v>488.81952000000001</v>
      </c>
      <c r="W123" s="18">
        <v>458.26830000000001</v>
      </c>
      <c r="X123" s="18">
        <v>305.51220000000001</v>
      </c>
      <c r="Y123" s="18">
        <v>13.57832</v>
      </c>
      <c r="Z123" s="18">
        <v>60.253794999999997</v>
      </c>
      <c r="AA123" s="18">
        <v>88.259079999999997</v>
      </c>
      <c r="AB123" s="18">
        <v>156.999325</v>
      </c>
      <c r="AC123" s="18">
        <v>48.372765000000001</v>
      </c>
      <c r="AD123" s="18">
        <v>254.59350000000001</v>
      </c>
    </row>
    <row r="124" spans="2:30" x14ac:dyDescent="0.25">
      <c r="B124" t="s">
        <v>49</v>
      </c>
      <c r="C124" t="s">
        <v>84</v>
      </c>
      <c r="D124" t="s">
        <v>92</v>
      </c>
      <c r="E124" s="35">
        <v>0.9</v>
      </c>
      <c r="F124" s="35">
        <v>49</v>
      </c>
      <c r="G124" s="36">
        <v>0.84864499999999998</v>
      </c>
      <c r="H124" s="18">
        <v>1527.561841</v>
      </c>
      <c r="I124" s="16" t="s">
        <v>52</v>
      </c>
      <c r="J124" s="16">
        <v>690</v>
      </c>
      <c r="K124" s="16"/>
      <c r="L124" s="37"/>
      <c r="M124" s="37"/>
      <c r="N124" s="37"/>
      <c r="O124" s="37"/>
      <c r="P124" s="37"/>
      <c r="Q124" s="18">
        <v>9.335094999999999</v>
      </c>
      <c r="R124" s="18">
        <v>6.3648374999999993E-2</v>
      </c>
      <c r="S124" s="18">
        <v>17.821545</v>
      </c>
      <c r="T124" s="18">
        <v>76.378050000000002</v>
      </c>
      <c r="U124" s="18">
        <v>38.189025000000001</v>
      </c>
      <c r="V124" s="18">
        <v>488.81952000000001</v>
      </c>
      <c r="W124" s="18">
        <v>458.26830000000001</v>
      </c>
      <c r="X124" s="18">
        <v>305.51220000000001</v>
      </c>
      <c r="Y124" s="18">
        <v>13.57832</v>
      </c>
      <c r="Z124" s="18">
        <v>60.253794999999997</v>
      </c>
      <c r="AA124" s="18">
        <v>88.259079999999997</v>
      </c>
      <c r="AB124" s="18">
        <v>156.999325</v>
      </c>
      <c r="AC124" s="18">
        <v>48.372765000000001</v>
      </c>
      <c r="AD124" s="18">
        <v>254.59350000000001</v>
      </c>
    </row>
    <row r="125" spans="2:30" x14ac:dyDescent="0.25">
      <c r="B125" t="s">
        <v>49</v>
      </c>
      <c r="C125" t="s">
        <v>84</v>
      </c>
      <c r="D125" t="s">
        <v>92</v>
      </c>
      <c r="E125" s="35">
        <v>0.9</v>
      </c>
      <c r="F125" s="35">
        <v>49</v>
      </c>
      <c r="G125" s="36">
        <v>0.84864499999999998</v>
      </c>
      <c r="H125" s="18">
        <v>1527.561841</v>
      </c>
      <c r="I125" s="16" t="s">
        <v>52</v>
      </c>
      <c r="J125" s="16">
        <v>691</v>
      </c>
      <c r="K125" s="16"/>
      <c r="L125" s="37"/>
      <c r="M125" s="37"/>
      <c r="N125" s="37"/>
      <c r="O125" s="37"/>
      <c r="P125" s="37"/>
      <c r="Q125" s="18">
        <v>9.335094999999999</v>
      </c>
      <c r="R125" s="18">
        <v>6.3648374999999993E-2</v>
      </c>
      <c r="S125" s="18">
        <v>17.821545</v>
      </c>
      <c r="T125" s="18">
        <v>76.378050000000002</v>
      </c>
      <c r="U125" s="18">
        <v>38.189025000000001</v>
      </c>
      <c r="V125" s="18">
        <v>488.81952000000001</v>
      </c>
      <c r="W125" s="18">
        <v>458.26830000000001</v>
      </c>
      <c r="X125" s="18">
        <v>305.51220000000001</v>
      </c>
      <c r="Y125" s="18">
        <v>13.57832</v>
      </c>
      <c r="Z125" s="18">
        <v>60.253794999999997</v>
      </c>
      <c r="AA125" s="18">
        <v>88.259079999999997</v>
      </c>
      <c r="AB125" s="18">
        <v>156.999325</v>
      </c>
      <c r="AC125" s="18">
        <v>48.372765000000001</v>
      </c>
      <c r="AD125" s="18">
        <v>254.59350000000001</v>
      </c>
    </row>
    <row r="126" spans="2:30" x14ac:dyDescent="0.25">
      <c r="B126" t="s">
        <v>49</v>
      </c>
      <c r="C126" t="s">
        <v>84</v>
      </c>
      <c r="D126" t="s">
        <v>93</v>
      </c>
      <c r="E126" s="35">
        <v>0.9</v>
      </c>
      <c r="F126" s="35">
        <v>49</v>
      </c>
      <c r="G126" s="36">
        <v>0.831986</v>
      </c>
      <c r="H126" s="18">
        <v>1497.575061</v>
      </c>
      <c r="I126" s="16" t="s">
        <v>52</v>
      </c>
      <c r="J126" s="16">
        <v>692</v>
      </c>
      <c r="K126" s="16"/>
      <c r="L126" s="37"/>
      <c r="M126" s="37"/>
      <c r="N126" s="37"/>
      <c r="O126" s="37"/>
      <c r="P126" s="37"/>
      <c r="Q126" s="18">
        <v>9.1518460000000008</v>
      </c>
      <c r="R126" s="18">
        <v>6.2398949999999995E-2</v>
      </c>
      <c r="S126" s="18">
        <v>17.471706000000001</v>
      </c>
      <c r="T126" s="18">
        <v>74.878739999999993</v>
      </c>
      <c r="U126" s="18">
        <v>37.439369999999997</v>
      </c>
      <c r="V126" s="18">
        <v>479.22393599999998</v>
      </c>
      <c r="W126" s="18">
        <v>449.27244000000002</v>
      </c>
      <c r="X126" s="18">
        <v>299.51495999999997</v>
      </c>
      <c r="Y126" s="18">
        <v>13.311776</v>
      </c>
      <c r="Z126" s="18">
        <v>59.071005999999997</v>
      </c>
      <c r="AA126" s="18">
        <v>86.526544000000001</v>
      </c>
      <c r="AB126" s="18">
        <v>153.91740999999999</v>
      </c>
      <c r="AC126" s="18">
        <v>47.423202000000003</v>
      </c>
      <c r="AD126" s="18">
        <v>249.5958</v>
      </c>
    </row>
    <row r="127" spans="2:30" x14ac:dyDescent="0.25">
      <c r="B127" t="s">
        <v>53</v>
      </c>
      <c r="C127" t="s">
        <v>84</v>
      </c>
      <c r="D127" t="s">
        <v>64</v>
      </c>
      <c r="E127" s="35">
        <v>0.9</v>
      </c>
      <c r="F127" s="35">
        <v>45</v>
      </c>
      <c r="G127" s="36">
        <v>0.65427299999999999</v>
      </c>
      <c r="H127" s="18">
        <v>1177.692078</v>
      </c>
      <c r="I127" s="16" t="s">
        <v>52</v>
      </c>
      <c r="J127" s="16">
        <v>693</v>
      </c>
      <c r="K127" s="16"/>
      <c r="L127" s="37"/>
      <c r="M127" s="37"/>
      <c r="N127" s="37"/>
      <c r="O127" s="37"/>
      <c r="P127" s="37"/>
      <c r="Q127" s="18">
        <v>7.1970029999999996</v>
      </c>
      <c r="R127" s="18">
        <v>4.9070474999999995E-2</v>
      </c>
      <c r="S127" s="18">
        <v>13.739732999999999</v>
      </c>
      <c r="T127" s="18">
        <v>58.884569999999997</v>
      </c>
      <c r="U127" s="18">
        <v>29.442284999999998</v>
      </c>
      <c r="V127" s="18">
        <v>376.86124799999999</v>
      </c>
      <c r="W127" s="18">
        <v>353.30741999999998</v>
      </c>
      <c r="X127" s="18">
        <v>235.53827999999999</v>
      </c>
      <c r="Y127" s="18">
        <v>10.468368</v>
      </c>
      <c r="Z127" s="18">
        <v>46.453383000000002</v>
      </c>
      <c r="AA127" s="18">
        <v>68.044392000000002</v>
      </c>
      <c r="AB127" s="18">
        <v>121.040505</v>
      </c>
      <c r="AC127" s="18">
        <v>37.293560999999997</v>
      </c>
      <c r="AD127" s="18">
        <v>196.28190000000001</v>
      </c>
    </row>
    <row r="128" spans="2:30" x14ac:dyDescent="0.25">
      <c r="B128" t="s">
        <v>60</v>
      </c>
      <c r="C128" t="s">
        <v>84</v>
      </c>
      <c r="D128" t="s">
        <v>67</v>
      </c>
      <c r="E128" s="35">
        <v>0.9</v>
      </c>
      <c r="F128" s="35">
        <v>39</v>
      </c>
      <c r="G128" s="36">
        <v>0.580036</v>
      </c>
      <c r="H128" s="18">
        <v>1044.065515</v>
      </c>
      <c r="I128" s="16" t="s">
        <v>52</v>
      </c>
      <c r="J128" s="16">
        <v>694</v>
      </c>
      <c r="K128" s="16"/>
      <c r="L128" s="37"/>
      <c r="M128" s="37"/>
      <c r="N128" s="37"/>
      <c r="O128" s="37"/>
      <c r="P128" s="37"/>
      <c r="Q128" s="18">
        <v>6.3803960000000002</v>
      </c>
      <c r="R128" s="18">
        <v>4.3502699999999998E-2</v>
      </c>
      <c r="S128" s="18">
        <v>12.180756000000001</v>
      </c>
      <c r="T128" s="18">
        <v>52.203240000000001</v>
      </c>
      <c r="U128" s="18">
        <v>26.10162</v>
      </c>
      <c r="V128" s="18">
        <v>334.10073599999998</v>
      </c>
      <c r="W128" s="18">
        <v>313.21944000000002</v>
      </c>
      <c r="X128" s="18">
        <v>208.81296</v>
      </c>
      <c r="Y128" s="18">
        <v>9.2805759999999999</v>
      </c>
      <c r="Z128" s="18">
        <v>41.182555999999998</v>
      </c>
      <c r="AA128" s="18">
        <v>60.323743999999998</v>
      </c>
      <c r="AB128" s="18">
        <v>107.30665999999999</v>
      </c>
      <c r="AC128" s="18">
        <v>33.062052000000001</v>
      </c>
      <c r="AD128" s="18">
        <v>174.01079999999999</v>
      </c>
    </row>
    <row r="129" spans="2:30" x14ac:dyDescent="0.25">
      <c r="B129" t="s">
        <v>60</v>
      </c>
      <c r="C129" t="s">
        <v>84</v>
      </c>
      <c r="D129" t="s">
        <v>67</v>
      </c>
      <c r="E129" s="35">
        <v>0.9</v>
      </c>
      <c r="F129" s="35">
        <v>39</v>
      </c>
      <c r="G129" s="36">
        <v>0.580036</v>
      </c>
      <c r="H129" s="18">
        <v>1044.065515</v>
      </c>
      <c r="I129" s="16" t="s">
        <v>52</v>
      </c>
      <c r="J129" s="16">
        <v>695</v>
      </c>
      <c r="K129" s="16"/>
      <c r="L129" s="37"/>
      <c r="M129" s="37"/>
      <c r="N129" s="37"/>
      <c r="O129" s="37"/>
      <c r="P129" s="37"/>
      <c r="Q129" s="18">
        <v>6.3803960000000002</v>
      </c>
      <c r="R129" s="18">
        <v>4.3502699999999998E-2</v>
      </c>
      <c r="S129" s="18">
        <v>12.180756000000001</v>
      </c>
      <c r="T129" s="18">
        <v>52.203240000000001</v>
      </c>
      <c r="U129" s="18">
        <v>26.10162</v>
      </c>
      <c r="V129" s="18">
        <v>334.10073599999998</v>
      </c>
      <c r="W129" s="18">
        <v>313.21944000000002</v>
      </c>
      <c r="X129" s="18">
        <v>208.81296</v>
      </c>
      <c r="Y129" s="18">
        <v>9.2805759999999999</v>
      </c>
      <c r="Z129" s="18">
        <v>41.182555999999998</v>
      </c>
      <c r="AA129" s="18">
        <v>60.323743999999998</v>
      </c>
      <c r="AB129" s="18">
        <v>107.30665999999999</v>
      </c>
      <c r="AC129" s="18">
        <v>33.062052000000001</v>
      </c>
      <c r="AD129" s="18">
        <v>174.01079999999999</v>
      </c>
    </row>
    <row r="130" spans="2:30" x14ac:dyDescent="0.25">
      <c r="B130" t="s">
        <v>60</v>
      </c>
      <c r="C130" t="s">
        <v>84</v>
      </c>
      <c r="D130" t="s">
        <v>67</v>
      </c>
      <c r="E130" s="35">
        <v>0.9</v>
      </c>
      <c r="F130" s="35">
        <v>39</v>
      </c>
      <c r="G130" s="36">
        <v>0.580036</v>
      </c>
      <c r="H130" s="18">
        <v>1044.065515</v>
      </c>
      <c r="I130" s="16" t="s">
        <v>52</v>
      </c>
      <c r="J130" s="16">
        <v>696</v>
      </c>
      <c r="K130" s="16"/>
      <c r="L130" s="37"/>
      <c r="M130" s="37"/>
      <c r="N130" s="37"/>
      <c r="O130" s="37"/>
      <c r="P130" s="37"/>
      <c r="Q130" s="18">
        <v>6.3803960000000002</v>
      </c>
      <c r="R130" s="18">
        <v>4.3502699999999998E-2</v>
      </c>
      <c r="S130" s="18">
        <v>12.180756000000001</v>
      </c>
      <c r="T130" s="18">
        <v>52.203240000000001</v>
      </c>
      <c r="U130" s="18">
        <v>26.10162</v>
      </c>
      <c r="V130" s="18">
        <v>334.10073599999998</v>
      </c>
      <c r="W130" s="18">
        <v>313.21944000000002</v>
      </c>
      <c r="X130" s="18">
        <v>208.81296</v>
      </c>
      <c r="Y130" s="18">
        <v>9.2805759999999999</v>
      </c>
      <c r="Z130" s="18">
        <v>41.182555999999998</v>
      </c>
      <c r="AA130" s="18">
        <v>60.323743999999998</v>
      </c>
      <c r="AB130" s="18">
        <v>107.30665999999999</v>
      </c>
      <c r="AC130" s="18">
        <v>33.062052000000001</v>
      </c>
      <c r="AD130" s="18">
        <v>174.01079999999999</v>
      </c>
    </row>
    <row r="131" spans="2:30" x14ac:dyDescent="0.25">
      <c r="B131" t="s">
        <v>60</v>
      </c>
      <c r="C131" t="s">
        <v>84</v>
      </c>
      <c r="D131" t="s">
        <v>67</v>
      </c>
      <c r="E131" s="35">
        <v>0.9</v>
      </c>
      <c r="F131" s="35">
        <v>39</v>
      </c>
      <c r="G131" s="36">
        <v>0.580036</v>
      </c>
      <c r="H131" s="18">
        <v>1044.065515</v>
      </c>
      <c r="I131" s="16" t="s">
        <v>52</v>
      </c>
      <c r="J131" s="16">
        <v>697</v>
      </c>
      <c r="K131" s="16"/>
      <c r="L131" s="37"/>
      <c r="M131" s="37"/>
      <c r="N131" s="37"/>
      <c r="O131" s="37"/>
      <c r="P131" s="37"/>
      <c r="Q131" s="18">
        <v>6.3803960000000002</v>
      </c>
      <c r="R131" s="18">
        <v>4.3502699999999998E-2</v>
      </c>
      <c r="S131" s="18">
        <v>12.180756000000001</v>
      </c>
      <c r="T131" s="18">
        <v>52.203240000000001</v>
      </c>
      <c r="U131" s="18">
        <v>26.10162</v>
      </c>
      <c r="V131" s="18">
        <v>334.10073599999998</v>
      </c>
      <c r="W131" s="18">
        <v>313.21944000000002</v>
      </c>
      <c r="X131" s="18">
        <v>208.81296</v>
      </c>
      <c r="Y131" s="18">
        <v>9.2805759999999999</v>
      </c>
      <c r="Z131" s="18">
        <v>41.182555999999998</v>
      </c>
      <c r="AA131" s="18">
        <v>60.323743999999998</v>
      </c>
      <c r="AB131" s="18">
        <v>107.30665999999999</v>
      </c>
      <c r="AC131" s="18">
        <v>33.062052000000001</v>
      </c>
      <c r="AD131" s="18">
        <v>174.01079999999999</v>
      </c>
    </row>
    <row r="132" spans="2:30" x14ac:dyDescent="0.25">
      <c r="B132" t="s">
        <v>60</v>
      </c>
      <c r="C132" t="s">
        <v>84</v>
      </c>
      <c r="D132" t="s">
        <v>51</v>
      </c>
      <c r="E132" s="35">
        <v>0.9</v>
      </c>
      <c r="F132" s="35">
        <v>39</v>
      </c>
      <c r="G132" s="36">
        <v>0.56053699999999995</v>
      </c>
      <c r="H132" s="18">
        <v>1008.966943</v>
      </c>
      <c r="I132" s="16" t="s">
        <v>52</v>
      </c>
      <c r="J132" s="16">
        <v>698</v>
      </c>
      <c r="K132" s="16"/>
      <c r="L132" s="37"/>
      <c r="M132" s="37"/>
      <c r="N132" s="37"/>
      <c r="O132" s="37"/>
      <c r="P132" s="37"/>
      <c r="Q132" s="18">
        <v>6.1659069999999998</v>
      </c>
      <c r="R132" s="18">
        <v>4.2040274999999995E-2</v>
      </c>
      <c r="S132" s="18">
        <v>11.771277</v>
      </c>
      <c r="T132" s="18">
        <v>50.448329999999999</v>
      </c>
      <c r="U132" s="18">
        <v>25.224164999999999</v>
      </c>
      <c r="V132" s="18">
        <v>322.86931199999998</v>
      </c>
      <c r="W132" s="18">
        <v>302.68997999999999</v>
      </c>
      <c r="X132" s="18">
        <v>201.79331999999999</v>
      </c>
      <c r="Y132" s="18">
        <v>8.9685919999999992</v>
      </c>
      <c r="Z132" s="18">
        <v>39.798126999999994</v>
      </c>
      <c r="AA132" s="18">
        <v>58.295847999999992</v>
      </c>
      <c r="AB132" s="18">
        <v>103.69934499999999</v>
      </c>
      <c r="AC132" s="18">
        <v>31.950608999999996</v>
      </c>
      <c r="AD132" s="18">
        <v>168.16109999999998</v>
      </c>
    </row>
    <row r="133" spans="2:30" x14ac:dyDescent="0.25">
      <c r="B133" t="s">
        <v>56</v>
      </c>
      <c r="C133" t="s">
        <v>84</v>
      </c>
      <c r="D133" t="s">
        <v>51</v>
      </c>
      <c r="E133" s="35">
        <v>0.9</v>
      </c>
      <c r="F133" s="35">
        <v>33</v>
      </c>
      <c r="G133" s="36">
        <v>0.47430099999999997</v>
      </c>
      <c r="H133" s="18">
        <v>853.74126000000001</v>
      </c>
      <c r="I133" s="16" t="s">
        <v>52</v>
      </c>
      <c r="J133" s="16">
        <v>699</v>
      </c>
      <c r="K133" s="16"/>
      <c r="L133" s="37"/>
      <c r="M133" s="37"/>
      <c r="N133" s="37"/>
      <c r="O133" s="37"/>
      <c r="P133" s="37"/>
      <c r="Q133" s="18">
        <v>5.2173109999999996</v>
      </c>
      <c r="R133" s="18">
        <v>3.5572574999999995E-2</v>
      </c>
      <c r="S133" s="18">
        <v>9.9603209999999986</v>
      </c>
      <c r="T133" s="18">
        <v>42.687089999999998</v>
      </c>
      <c r="U133" s="18">
        <v>21.343544999999999</v>
      </c>
      <c r="V133" s="18">
        <v>273.19737599999996</v>
      </c>
      <c r="W133" s="18">
        <v>256.12253999999996</v>
      </c>
      <c r="X133" s="18">
        <v>170.74835999999999</v>
      </c>
      <c r="Y133" s="18">
        <v>7.5888159999999996</v>
      </c>
      <c r="Z133" s="18">
        <v>33.675370999999998</v>
      </c>
      <c r="AA133" s="18">
        <v>49.327303999999998</v>
      </c>
      <c r="AB133" s="18">
        <v>87.745684999999995</v>
      </c>
      <c r="AC133" s="18">
        <v>27.035156999999998</v>
      </c>
      <c r="AD133" s="18">
        <v>142.2903</v>
      </c>
    </row>
    <row r="134" spans="2:30" x14ac:dyDescent="0.25">
      <c r="B134" t="s">
        <v>56</v>
      </c>
      <c r="C134" t="s">
        <v>84</v>
      </c>
      <c r="D134" t="s">
        <v>51</v>
      </c>
      <c r="E134" s="35">
        <v>0.9</v>
      </c>
      <c r="F134" s="35">
        <v>33</v>
      </c>
      <c r="G134" s="36">
        <v>0.47430099999999997</v>
      </c>
      <c r="H134" s="18">
        <v>853.74126000000001</v>
      </c>
      <c r="I134" s="16" t="s">
        <v>52</v>
      </c>
      <c r="J134" s="16">
        <v>700</v>
      </c>
      <c r="K134" s="16"/>
      <c r="L134" s="37"/>
      <c r="M134" s="37"/>
      <c r="N134" s="37"/>
      <c r="O134" s="37"/>
      <c r="P134" s="37"/>
      <c r="Q134" s="18">
        <v>5.2173109999999996</v>
      </c>
      <c r="R134" s="18">
        <v>3.5572574999999995E-2</v>
      </c>
      <c r="S134" s="18">
        <v>9.9603209999999986</v>
      </c>
      <c r="T134" s="18">
        <v>42.687089999999998</v>
      </c>
      <c r="U134" s="18">
        <v>21.343544999999999</v>
      </c>
      <c r="V134" s="18">
        <v>273.19737599999996</v>
      </c>
      <c r="W134" s="18">
        <v>256.12253999999996</v>
      </c>
      <c r="X134" s="18">
        <v>170.74835999999999</v>
      </c>
      <c r="Y134" s="18">
        <v>7.5888159999999996</v>
      </c>
      <c r="Z134" s="18">
        <v>33.675370999999998</v>
      </c>
      <c r="AA134" s="18">
        <v>49.327303999999998</v>
      </c>
      <c r="AB134" s="18">
        <v>87.745684999999995</v>
      </c>
      <c r="AC134" s="18">
        <v>27.035156999999998</v>
      </c>
      <c r="AD134" s="18">
        <v>142.2903</v>
      </c>
    </row>
    <row r="135" spans="2:30" x14ac:dyDescent="0.25">
      <c r="E135" s="38" t="s">
        <v>797</v>
      </c>
      <c r="F135" s="38"/>
      <c r="G135" s="39">
        <f>SUM(G7:G134)</f>
        <v>77.198083999999994</v>
      </c>
      <c r="H135" s="40">
        <f>SUM(H7:H134)</f>
        <v>169300.97764900001</v>
      </c>
      <c r="I135" s="41"/>
      <c r="J135" s="41"/>
      <c r="K135" s="41"/>
      <c r="L135" s="42"/>
      <c r="M135" s="42"/>
      <c r="N135" s="42"/>
      <c r="O135" s="42"/>
      <c r="P135" s="42"/>
      <c r="Q135" s="40">
        <f>SUM(Q7:Q134)</f>
        <v>849.1789239999996</v>
      </c>
      <c r="R135" s="40">
        <f>SUM(R7:R134)</f>
        <v>5.7898563000000012</v>
      </c>
      <c r="S135" s="40">
        <f>SUM(S7:S134)</f>
        <v>1621.1597639999998</v>
      </c>
      <c r="T135" s="40">
        <f>SUM(T7:T134)</f>
        <v>6947.8275600000079</v>
      </c>
      <c r="U135" s="40">
        <f>SUM(U7:U134)</f>
        <v>3473.913780000004</v>
      </c>
      <c r="V135" s="40">
        <f>SUM(V7:V134)</f>
        <v>44466.096383999982</v>
      </c>
      <c r="W135" s="40">
        <f>SUM(W7:W134)</f>
        <v>41686.965360000002</v>
      </c>
      <c r="X135" s="40">
        <f>SUM(X7:X134)</f>
        <v>27791.310240000032</v>
      </c>
      <c r="Y135" s="40">
        <f>SUM(Y7:Y134)</f>
        <v>1235.1693439999999</v>
      </c>
      <c r="Z135" s="40">
        <f>SUM(Z7:Z134)</f>
        <v>5481.0639639999981</v>
      </c>
      <c r="AA135" s="40">
        <f>SUM(AA7:AA134)</f>
        <v>8028.6007359999994</v>
      </c>
      <c r="AB135" s="40">
        <f>SUM(AB7:AB134)</f>
        <v>14281.645540000016</v>
      </c>
      <c r="AC135" s="40">
        <f>SUM(AC7:AC134)</f>
        <v>4400.2907879999984</v>
      </c>
      <c r="AD135" s="40">
        <f>SUM(AD7:AD134)</f>
        <v>23159.425200000009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D1065"/>
  <sheetViews>
    <sheetView showGridLines="0" workbookViewId="0">
      <selection activeCell="K37" sqref="K37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14.42578125" bestFit="1" customWidth="1"/>
    <col min="7" max="7" width="16.42578125" style="16" customWidth="1"/>
    <col min="8" max="8" width="14.28515625" style="16" customWidth="1"/>
    <col min="9" max="9" width="21.140625" customWidth="1"/>
    <col min="10" max="10" width="18.140625" customWidth="1"/>
    <col min="11" max="11" width="14.42578125" customWidth="1"/>
    <col min="13" max="13" width="15.85546875" customWidth="1"/>
    <col min="14" max="14" width="12.7109375" customWidth="1"/>
    <col min="15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7" max="28" width="10.140625" bestFit="1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94</v>
      </c>
      <c r="F4" t="s">
        <v>95</v>
      </c>
      <c r="G4" t="s">
        <v>96</v>
      </c>
      <c r="H4" t="s">
        <v>97</v>
      </c>
      <c r="I4" t="s">
        <v>29</v>
      </c>
      <c r="J4" t="s">
        <v>30</v>
      </c>
      <c r="K4" t="s">
        <v>31</v>
      </c>
      <c r="L4" t="s">
        <v>98</v>
      </c>
      <c r="M4" t="s">
        <v>99</v>
      </c>
      <c r="N4" t="s">
        <v>100</v>
      </c>
    </row>
    <row r="5" spans="2:30" x14ac:dyDescent="0.25">
      <c r="B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 t="s">
        <v>101</v>
      </c>
      <c r="J5" t="s">
        <v>102</v>
      </c>
      <c r="K5" t="s">
        <v>103</v>
      </c>
      <c r="L5" t="s">
        <v>39</v>
      </c>
      <c r="M5" t="s">
        <v>41</v>
      </c>
      <c r="N5" t="s">
        <v>40</v>
      </c>
      <c r="O5" t="s">
        <v>798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104</v>
      </c>
      <c r="C7" t="s">
        <v>105</v>
      </c>
      <c r="D7" t="s">
        <v>106</v>
      </c>
      <c r="E7" s="35">
        <v>0.9</v>
      </c>
      <c r="F7" s="35">
        <v>68</v>
      </c>
      <c r="G7" s="36">
        <v>1.3064560000000001</v>
      </c>
      <c r="H7" s="18">
        <v>2351.6202929999999</v>
      </c>
      <c r="I7" s="16">
        <v>0</v>
      </c>
      <c r="J7" s="16">
        <v>52</v>
      </c>
      <c r="K7" s="16"/>
      <c r="L7" s="37" t="s">
        <v>107</v>
      </c>
      <c r="M7" s="37"/>
      <c r="N7" s="37">
        <v>8</v>
      </c>
      <c r="O7" s="37"/>
      <c r="P7" s="37"/>
      <c r="Q7" s="18">
        <v>14.371016000000001</v>
      </c>
      <c r="R7" s="18">
        <v>9.7984200000000007E-2</v>
      </c>
      <c r="S7" s="18">
        <v>27.435576000000001</v>
      </c>
      <c r="T7" s="18">
        <v>117.58104</v>
      </c>
      <c r="U7" s="18">
        <v>58.790520000000001</v>
      </c>
      <c r="V7" s="18">
        <v>752.51865600000008</v>
      </c>
      <c r="W7" s="18">
        <v>705.48624000000007</v>
      </c>
      <c r="X7" s="18">
        <v>470.32416000000001</v>
      </c>
      <c r="Y7" s="18">
        <v>20.903296000000001</v>
      </c>
      <c r="Z7" s="18">
        <v>92.758375999999998</v>
      </c>
      <c r="AA7" s="18">
        <v>135.87142400000002</v>
      </c>
      <c r="AB7" s="18">
        <v>241.69436000000002</v>
      </c>
      <c r="AC7" s="18">
        <v>74.46799200000001</v>
      </c>
      <c r="AD7" s="18">
        <v>391.93680000000001</v>
      </c>
    </row>
    <row r="8" spans="2:30" x14ac:dyDescent="0.25">
      <c r="B8" t="s">
        <v>108</v>
      </c>
      <c r="C8" t="s">
        <v>105</v>
      </c>
      <c r="D8" t="s">
        <v>109</v>
      </c>
      <c r="E8" s="35">
        <v>0.9</v>
      </c>
      <c r="F8" s="35">
        <v>16</v>
      </c>
      <c r="G8" s="36">
        <v>7.8076999999999994E-2</v>
      </c>
      <c r="H8" s="18">
        <v>140.539219</v>
      </c>
      <c r="I8" s="16">
        <v>0</v>
      </c>
      <c r="J8" s="16"/>
      <c r="K8" s="16"/>
      <c r="L8" s="37" t="s">
        <v>107</v>
      </c>
      <c r="M8" s="37"/>
      <c r="N8" s="37">
        <v>9</v>
      </c>
      <c r="O8" s="37"/>
      <c r="P8" s="37"/>
      <c r="Q8" s="18">
        <v>0.85884699999999992</v>
      </c>
      <c r="R8" s="18">
        <v>5.8557749999999997E-3</v>
      </c>
      <c r="S8" s="18">
        <v>1.6396169999999999</v>
      </c>
      <c r="T8" s="18">
        <v>7.0269299999999992</v>
      </c>
      <c r="U8" s="18">
        <v>3.5134649999999996</v>
      </c>
      <c r="V8" s="18">
        <v>44.972351999999994</v>
      </c>
      <c r="W8" s="18">
        <v>42.161579999999994</v>
      </c>
      <c r="X8" s="18">
        <v>28.107719999999997</v>
      </c>
      <c r="Y8" s="18">
        <v>1.2492319999999999</v>
      </c>
      <c r="Z8" s="18">
        <v>5.5434669999999997</v>
      </c>
      <c r="AA8" s="18">
        <v>8.1200079999999986</v>
      </c>
      <c r="AB8" s="18">
        <v>14.444244999999999</v>
      </c>
      <c r="AC8" s="18">
        <v>4.4503889999999995</v>
      </c>
      <c r="AD8" s="18">
        <v>23.423099999999998</v>
      </c>
    </row>
    <row r="9" spans="2:30" x14ac:dyDescent="0.25">
      <c r="B9" t="s">
        <v>108</v>
      </c>
      <c r="C9" t="s">
        <v>105</v>
      </c>
      <c r="D9" t="s">
        <v>109</v>
      </c>
      <c r="E9" s="35">
        <v>0.9</v>
      </c>
      <c r="F9" s="35">
        <v>16</v>
      </c>
      <c r="G9" s="36">
        <v>7.8076999999999994E-2</v>
      </c>
      <c r="H9" s="18">
        <v>140.539219</v>
      </c>
      <c r="I9" s="16">
        <v>0</v>
      </c>
      <c r="J9" s="16"/>
      <c r="K9" s="16"/>
      <c r="L9" s="37" t="s">
        <v>107</v>
      </c>
      <c r="M9" s="37"/>
      <c r="N9" s="37">
        <v>10</v>
      </c>
      <c r="O9" s="37"/>
      <c r="P9" s="37"/>
      <c r="Q9" s="18">
        <v>0.85884699999999992</v>
      </c>
      <c r="R9" s="18">
        <v>5.8557749999999997E-3</v>
      </c>
      <c r="S9" s="18">
        <v>1.6396169999999999</v>
      </c>
      <c r="T9" s="18">
        <v>7.0269299999999992</v>
      </c>
      <c r="U9" s="18">
        <v>3.5134649999999996</v>
      </c>
      <c r="V9" s="18">
        <v>44.972351999999994</v>
      </c>
      <c r="W9" s="18">
        <v>42.161579999999994</v>
      </c>
      <c r="X9" s="18">
        <v>28.107719999999997</v>
      </c>
      <c r="Y9" s="18">
        <v>1.2492319999999999</v>
      </c>
      <c r="Z9" s="18">
        <v>5.5434669999999997</v>
      </c>
      <c r="AA9" s="18">
        <v>8.1200079999999986</v>
      </c>
      <c r="AB9" s="18">
        <v>14.444244999999999</v>
      </c>
      <c r="AC9" s="18">
        <v>4.4503889999999995</v>
      </c>
      <c r="AD9" s="18">
        <v>23.423099999999998</v>
      </c>
    </row>
    <row r="10" spans="2:30" x14ac:dyDescent="0.25">
      <c r="B10" t="s">
        <v>110</v>
      </c>
      <c r="C10" t="s">
        <v>105</v>
      </c>
      <c r="D10" t="s">
        <v>111</v>
      </c>
      <c r="E10" s="35">
        <v>0.9</v>
      </c>
      <c r="F10" s="35">
        <v>22</v>
      </c>
      <c r="G10" s="36">
        <v>0.24756400000000001</v>
      </c>
      <c r="H10" s="18">
        <v>445.61515600000001</v>
      </c>
      <c r="I10" s="16">
        <v>0</v>
      </c>
      <c r="J10" s="16"/>
      <c r="K10" s="16"/>
      <c r="L10" s="37" t="s">
        <v>107</v>
      </c>
      <c r="M10" s="37"/>
      <c r="N10" s="37">
        <v>11</v>
      </c>
      <c r="O10" s="37"/>
      <c r="P10" s="37"/>
      <c r="Q10" s="18">
        <v>2.723204</v>
      </c>
      <c r="R10" s="18">
        <v>1.8567299999999998E-2</v>
      </c>
      <c r="S10" s="18">
        <v>5.1988440000000002</v>
      </c>
      <c r="T10" s="18">
        <v>22.280760000000001</v>
      </c>
      <c r="U10" s="18">
        <v>11.14038</v>
      </c>
      <c r="V10" s="18">
        <v>142.59686400000001</v>
      </c>
      <c r="W10" s="18">
        <v>133.68456</v>
      </c>
      <c r="X10" s="18">
        <v>89.123040000000003</v>
      </c>
      <c r="Y10" s="18">
        <v>3.9610240000000001</v>
      </c>
      <c r="Z10" s="18">
        <v>17.577044000000001</v>
      </c>
      <c r="AA10" s="18">
        <v>25.746656000000002</v>
      </c>
      <c r="AB10" s="18">
        <v>45.799340000000001</v>
      </c>
      <c r="AC10" s="18">
        <v>14.111148</v>
      </c>
      <c r="AD10" s="18">
        <v>74.269199999999998</v>
      </c>
    </row>
    <row r="11" spans="2:30" x14ac:dyDescent="0.25">
      <c r="B11" t="s">
        <v>112</v>
      </c>
      <c r="C11" t="s">
        <v>105</v>
      </c>
      <c r="D11" t="s">
        <v>113</v>
      </c>
      <c r="E11" s="35">
        <v>0.9</v>
      </c>
      <c r="F11" s="35">
        <v>60</v>
      </c>
      <c r="G11" s="36">
        <v>1.1727540000000001</v>
      </c>
      <c r="H11" s="18">
        <v>2110.957617</v>
      </c>
      <c r="I11" s="16">
        <v>0</v>
      </c>
      <c r="J11" s="16">
        <v>66</v>
      </c>
      <c r="K11" s="16" t="s">
        <v>114</v>
      </c>
      <c r="L11" s="37" t="s">
        <v>107</v>
      </c>
      <c r="M11" s="37"/>
      <c r="N11" s="37">
        <v>12</v>
      </c>
      <c r="O11" s="37"/>
      <c r="P11" s="37"/>
      <c r="Q11" s="18">
        <v>12.900294000000001</v>
      </c>
      <c r="R11" s="18">
        <v>8.7956550000000008E-2</v>
      </c>
      <c r="S11" s="18">
        <v>24.627834</v>
      </c>
      <c r="T11" s="18">
        <v>105.54786</v>
      </c>
      <c r="U11" s="18">
        <v>52.77393</v>
      </c>
      <c r="V11" s="18">
        <v>675.506304</v>
      </c>
      <c r="W11" s="18">
        <v>633.28716000000009</v>
      </c>
      <c r="X11" s="18">
        <v>422.19144</v>
      </c>
      <c r="Y11" s="18">
        <v>18.764064000000001</v>
      </c>
      <c r="Z11" s="18">
        <v>83.265534000000002</v>
      </c>
      <c r="AA11" s="18">
        <v>121.96641600000001</v>
      </c>
      <c r="AB11" s="18">
        <v>216.95949000000002</v>
      </c>
      <c r="AC11" s="18">
        <v>66.846978000000007</v>
      </c>
      <c r="AD11" s="18">
        <v>351.82620000000003</v>
      </c>
    </row>
    <row r="12" spans="2:30" x14ac:dyDescent="0.25">
      <c r="B12" t="s">
        <v>108</v>
      </c>
      <c r="C12" t="s">
        <v>105</v>
      </c>
      <c r="D12" t="s">
        <v>115</v>
      </c>
      <c r="E12" s="35">
        <v>0.9</v>
      </c>
      <c r="F12" s="35">
        <v>16</v>
      </c>
      <c r="G12" s="36">
        <v>5.2158000000000003E-2</v>
      </c>
      <c r="H12" s="18">
        <v>93.885116999999994</v>
      </c>
      <c r="I12" s="16">
        <v>0</v>
      </c>
      <c r="J12" s="16"/>
      <c r="K12" s="16"/>
      <c r="L12" s="37" t="s">
        <v>107</v>
      </c>
      <c r="M12" s="37"/>
      <c r="N12" s="37">
        <v>13</v>
      </c>
      <c r="O12" s="37"/>
      <c r="P12" s="37"/>
      <c r="Q12" s="18">
        <v>0.57373800000000008</v>
      </c>
      <c r="R12" s="18">
        <v>3.9118499999999997E-3</v>
      </c>
      <c r="S12" s="18">
        <v>1.095318</v>
      </c>
      <c r="T12" s="18">
        <v>4.6942200000000005</v>
      </c>
      <c r="U12" s="18">
        <v>2.3471100000000003</v>
      </c>
      <c r="V12" s="18">
        <v>30.043008</v>
      </c>
      <c r="W12" s="18">
        <v>28.165320000000001</v>
      </c>
      <c r="X12" s="18">
        <v>18.776880000000002</v>
      </c>
      <c r="Y12" s="18">
        <v>0.83452800000000005</v>
      </c>
      <c r="Z12" s="18">
        <v>3.7032180000000001</v>
      </c>
      <c r="AA12" s="18">
        <v>5.4244320000000004</v>
      </c>
      <c r="AB12" s="18">
        <v>9.6492300000000011</v>
      </c>
      <c r="AC12" s="18">
        <v>2.9730060000000003</v>
      </c>
      <c r="AD12" s="18">
        <v>15.647400000000001</v>
      </c>
    </row>
    <row r="13" spans="2:30" x14ac:dyDescent="0.25">
      <c r="B13" t="s">
        <v>116</v>
      </c>
      <c r="C13" t="s">
        <v>105</v>
      </c>
      <c r="D13" t="s">
        <v>117</v>
      </c>
      <c r="E13" s="35">
        <v>0.9</v>
      </c>
      <c r="F13" s="35">
        <v>50</v>
      </c>
      <c r="G13" s="36">
        <v>0.70664000000000005</v>
      </c>
      <c r="H13" s="18">
        <v>1271.951172</v>
      </c>
      <c r="I13" s="16">
        <v>0</v>
      </c>
      <c r="J13" s="16"/>
      <c r="K13" s="16"/>
      <c r="L13" s="37" t="s">
        <v>107</v>
      </c>
      <c r="M13" s="37"/>
      <c r="N13" s="37">
        <v>14</v>
      </c>
      <c r="O13" s="37"/>
      <c r="P13" s="37"/>
      <c r="Q13" s="18">
        <v>7.7730400000000008</v>
      </c>
      <c r="R13" s="18">
        <v>5.2998000000000003E-2</v>
      </c>
      <c r="S13" s="18">
        <v>14.839440000000002</v>
      </c>
      <c r="T13" s="18">
        <v>63.597600000000007</v>
      </c>
      <c r="U13" s="18">
        <v>31.798800000000004</v>
      </c>
      <c r="V13" s="18">
        <v>407.02464000000003</v>
      </c>
      <c r="W13" s="18">
        <v>381.5856</v>
      </c>
      <c r="X13" s="18">
        <v>254.39040000000003</v>
      </c>
      <c r="Y13" s="18">
        <v>11.306240000000001</v>
      </c>
      <c r="Z13" s="18">
        <v>50.171440000000004</v>
      </c>
      <c r="AA13" s="18">
        <v>73.490560000000002</v>
      </c>
      <c r="AB13" s="18">
        <v>130.72840000000002</v>
      </c>
      <c r="AC13" s="18">
        <v>40.278480000000002</v>
      </c>
      <c r="AD13" s="18">
        <v>211.99200000000002</v>
      </c>
    </row>
    <row r="14" spans="2:30" x14ac:dyDescent="0.25">
      <c r="B14" t="s">
        <v>118</v>
      </c>
      <c r="C14" t="s">
        <v>105</v>
      </c>
      <c r="D14" t="s">
        <v>117</v>
      </c>
      <c r="E14" s="35">
        <v>0.9</v>
      </c>
      <c r="F14" s="35">
        <v>76</v>
      </c>
      <c r="G14" s="36">
        <v>1.074092</v>
      </c>
      <c r="H14" s="18">
        <v>1933.365781</v>
      </c>
      <c r="I14" s="16">
        <v>0</v>
      </c>
      <c r="J14" s="16">
        <v>48</v>
      </c>
      <c r="K14" s="16"/>
      <c r="L14" s="37" t="s">
        <v>107</v>
      </c>
      <c r="M14" s="37"/>
      <c r="N14" s="37">
        <v>15</v>
      </c>
      <c r="O14" s="37"/>
      <c r="P14" s="37"/>
      <c r="Q14" s="18">
        <v>11.815012000000001</v>
      </c>
      <c r="R14" s="18">
        <v>8.0556900000000001E-2</v>
      </c>
      <c r="S14" s="18">
        <v>22.555932000000002</v>
      </c>
      <c r="T14" s="18">
        <v>96.66828000000001</v>
      </c>
      <c r="U14" s="18">
        <v>48.334140000000005</v>
      </c>
      <c r="V14" s="18">
        <v>618.67699200000004</v>
      </c>
      <c r="W14" s="18">
        <v>580.00968</v>
      </c>
      <c r="X14" s="18">
        <v>386.67312000000004</v>
      </c>
      <c r="Y14" s="18">
        <v>17.185472000000001</v>
      </c>
      <c r="Z14" s="18">
        <v>76.260531999999998</v>
      </c>
      <c r="AA14" s="18">
        <v>111.705568</v>
      </c>
      <c r="AB14" s="18">
        <v>198.70702</v>
      </c>
      <c r="AC14" s="18">
        <v>61.223244000000001</v>
      </c>
      <c r="AD14" s="18">
        <v>322.2276</v>
      </c>
    </row>
    <row r="15" spans="2:30" x14ac:dyDescent="0.25">
      <c r="B15" t="s">
        <v>119</v>
      </c>
      <c r="C15" t="s">
        <v>105</v>
      </c>
      <c r="D15" t="s">
        <v>120</v>
      </c>
      <c r="E15" s="35">
        <v>0.9</v>
      </c>
      <c r="F15" s="35">
        <v>19</v>
      </c>
      <c r="G15" s="36">
        <v>0.207814</v>
      </c>
      <c r="H15" s="18">
        <v>374.06522999999999</v>
      </c>
      <c r="I15" s="16">
        <v>0</v>
      </c>
      <c r="J15" s="16"/>
      <c r="K15" s="16"/>
      <c r="L15" s="37" t="s">
        <v>107</v>
      </c>
      <c r="M15" s="37"/>
      <c r="N15" s="37">
        <v>16</v>
      </c>
      <c r="O15" s="37"/>
      <c r="P15" s="37"/>
      <c r="Q15" s="18">
        <v>2.2859539999999998</v>
      </c>
      <c r="R15" s="18">
        <v>1.5586049999999999E-2</v>
      </c>
      <c r="S15" s="18">
        <v>4.3640939999999997</v>
      </c>
      <c r="T15" s="18">
        <v>18.70326</v>
      </c>
      <c r="U15" s="18">
        <v>9.3516300000000001</v>
      </c>
      <c r="V15" s="18">
        <v>119.700864</v>
      </c>
      <c r="W15" s="18">
        <v>112.21956</v>
      </c>
      <c r="X15" s="18">
        <v>74.813040000000001</v>
      </c>
      <c r="Y15" s="18">
        <v>3.325024</v>
      </c>
      <c r="Z15" s="18">
        <v>14.754794</v>
      </c>
      <c r="AA15" s="18">
        <v>21.612656000000001</v>
      </c>
      <c r="AB15" s="18">
        <v>38.445590000000003</v>
      </c>
      <c r="AC15" s="18">
        <v>11.845397999999999</v>
      </c>
      <c r="AD15" s="18">
        <v>62.344200000000001</v>
      </c>
    </row>
    <row r="16" spans="2:30" x14ac:dyDescent="0.25">
      <c r="B16" t="s">
        <v>119</v>
      </c>
      <c r="C16" t="s">
        <v>105</v>
      </c>
      <c r="D16" t="s">
        <v>121</v>
      </c>
      <c r="E16" s="35">
        <v>0.9</v>
      </c>
      <c r="F16" s="35">
        <v>19</v>
      </c>
      <c r="G16" s="36">
        <v>0.13772300000000001</v>
      </c>
      <c r="H16" s="18">
        <v>247.90140199999999</v>
      </c>
      <c r="I16" s="16">
        <v>0</v>
      </c>
      <c r="J16" s="16"/>
      <c r="K16" s="16"/>
      <c r="L16" s="37" t="s">
        <v>107</v>
      </c>
      <c r="M16" s="37"/>
      <c r="N16" s="37">
        <v>17</v>
      </c>
      <c r="O16" s="37"/>
      <c r="P16" s="37"/>
      <c r="Q16" s="18">
        <v>1.5149530000000002</v>
      </c>
      <c r="R16" s="18">
        <v>1.0329225000000001E-2</v>
      </c>
      <c r="S16" s="18">
        <v>2.8921830000000002</v>
      </c>
      <c r="T16" s="18">
        <v>12.39507</v>
      </c>
      <c r="U16" s="18">
        <v>6.1975350000000002</v>
      </c>
      <c r="V16" s="18">
        <v>79.328448000000009</v>
      </c>
      <c r="W16" s="18">
        <v>74.37042000000001</v>
      </c>
      <c r="X16" s="18">
        <v>49.580280000000002</v>
      </c>
      <c r="Y16" s="18">
        <v>2.2035680000000002</v>
      </c>
      <c r="Z16" s="18">
        <v>9.7783330000000017</v>
      </c>
      <c r="AA16" s="18">
        <v>14.323192000000001</v>
      </c>
      <c r="AB16" s="18">
        <v>25.478755000000003</v>
      </c>
      <c r="AC16" s="18">
        <v>7.8502110000000007</v>
      </c>
      <c r="AD16" s="18">
        <v>41.316900000000004</v>
      </c>
    </row>
    <row r="17" spans="2:30" x14ac:dyDescent="0.25">
      <c r="B17" t="s">
        <v>112</v>
      </c>
      <c r="C17" t="s">
        <v>105</v>
      </c>
      <c r="D17" t="s">
        <v>113</v>
      </c>
      <c r="E17" s="35">
        <v>0.9</v>
      </c>
      <c r="F17" s="35">
        <v>60</v>
      </c>
      <c r="G17" s="36">
        <v>1.1727540000000001</v>
      </c>
      <c r="H17" s="18">
        <v>2110.957617</v>
      </c>
      <c r="I17" s="16">
        <v>0</v>
      </c>
      <c r="J17" s="16">
        <v>60</v>
      </c>
      <c r="K17" s="16" t="s">
        <v>114</v>
      </c>
      <c r="L17" s="37" t="s">
        <v>107</v>
      </c>
      <c r="M17" s="37"/>
      <c r="N17" s="37">
        <v>18</v>
      </c>
      <c r="O17" s="37"/>
      <c r="P17" s="37"/>
      <c r="Q17" s="18">
        <v>12.900294000000001</v>
      </c>
      <c r="R17" s="18">
        <v>8.7956550000000008E-2</v>
      </c>
      <c r="S17" s="18">
        <v>24.627834</v>
      </c>
      <c r="T17" s="18">
        <v>105.54786</v>
      </c>
      <c r="U17" s="18">
        <v>52.77393</v>
      </c>
      <c r="V17" s="18">
        <v>675.506304</v>
      </c>
      <c r="W17" s="18">
        <v>633.28716000000009</v>
      </c>
      <c r="X17" s="18">
        <v>422.19144</v>
      </c>
      <c r="Y17" s="18">
        <v>18.764064000000001</v>
      </c>
      <c r="Z17" s="18">
        <v>83.265534000000002</v>
      </c>
      <c r="AA17" s="18">
        <v>121.96641600000001</v>
      </c>
      <c r="AB17" s="18">
        <v>216.95949000000002</v>
      </c>
      <c r="AC17" s="18">
        <v>66.846978000000007</v>
      </c>
      <c r="AD17" s="18">
        <v>351.82620000000003</v>
      </c>
    </row>
    <row r="18" spans="2:30" x14ac:dyDescent="0.25">
      <c r="B18" t="s">
        <v>122</v>
      </c>
      <c r="C18" t="s">
        <v>105</v>
      </c>
      <c r="D18" t="s">
        <v>123</v>
      </c>
      <c r="E18" s="35">
        <v>0.9</v>
      </c>
      <c r="F18" s="35">
        <v>71</v>
      </c>
      <c r="G18" s="36">
        <v>1.3549739999999999</v>
      </c>
      <c r="H18" s="18">
        <v>2438.9527619999999</v>
      </c>
      <c r="I18" s="16">
        <v>0</v>
      </c>
      <c r="J18" s="16">
        <v>40</v>
      </c>
      <c r="K18" s="16"/>
      <c r="L18" s="37" t="s">
        <v>107</v>
      </c>
      <c r="M18" s="37"/>
      <c r="N18" s="37">
        <v>19</v>
      </c>
      <c r="O18" s="37"/>
      <c r="P18" s="37"/>
      <c r="Q18" s="18">
        <v>14.904713999999998</v>
      </c>
      <c r="R18" s="18">
        <v>0.10162304999999999</v>
      </c>
      <c r="S18" s="18">
        <v>28.454453999999998</v>
      </c>
      <c r="T18" s="18">
        <v>121.94765999999998</v>
      </c>
      <c r="U18" s="18">
        <v>60.973829999999992</v>
      </c>
      <c r="V18" s="18">
        <v>780.46502399999997</v>
      </c>
      <c r="W18" s="18">
        <v>731.68595999999991</v>
      </c>
      <c r="X18" s="18">
        <v>487.79063999999994</v>
      </c>
      <c r="Y18" s="18">
        <v>21.679583999999998</v>
      </c>
      <c r="Z18" s="18">
        <v>96.203153999999998</v>
      </c>
      <c r="AA18" s="18">
        <v>140.91729599999999</v>
      </c>
      <c r="AB18" s="18">
        <v>250.67018999999999</v>
      </c>
      <c r="AC18" s="18">
        <v>77.233517999999989</v>
      </c>
      <c r="AD18" s="18">
        <v>406.49219999999997</v>
      </c>
    </row>
    <row r="19" spans="2:30" x14ac:dyDescent="0.25">
      <c r="B19" t="s">
        <v>124</v>
      </c>
      <c r="C19" t="s">
        <v>105</v>
      </c>
      <c r="D19" t="s">
        <v>125</v>
      </c>
      <c r="E19" s="35">
        <v>0.9</v>
      </c>
      <c r="F19" s="35">
        <v>35</v>
      </c>
      <c r="G19" s="36">
        <v>0.47567100000000001</v>
      </c>
      <c r="H19" s="18">
        <v>856.20800099999997</v>
      </c>
      <c r="I19" s="16">
        <v>0</v>
      </c>
      <c r="J19" s="16"/>
      <c r="K19" s="16"/>
      <c r="L19" s="37" t="s">
        <v>107</v>
      </c>
      <c r="M19" s="37"/>
      <c r="N19" s="37">
        <v>20</v>
      </c>
      <c r="O19" s="37"/>
      <c r="P19" s="37"/>
      <c r="Q19" s="18">
        <v>5.2323810000000002</v>
      </c>
      <c r="R19" s="18">
        <v>3.5675325000000001E-2</v>
      </c>
      <c r="S19" s="18">
        <v>9.9890910000000002</v>
      </c>
      <c r="T19" s="18">
        <v>42.810389999999998</v>
      </c>
      <c r="U19" s="18">
        <v>21.405194999999999</v>
      </c>
      <c r="V19" s="18">
        <v>273.98649599999999</v>
      </c>
      <c r="W19" s="18">
        <v>256.86234000000002</v>
      </c>
      <c r="X19" s="18">
        <v>171.24155999999999</v>
      </c>
      <c r="Y19" s="18">
        <v>7.6107360000000002</v>
      </c>
      <c r="Z19" s="18">
        <v>33.772641</v>
      </c>
      <c r="AA19" s="18">
        <v>49.469784000000004</v>
      </c>
      <c r="AB19" s="18">
        <v>87.999134999999995</v>
      </c>
      <c r="AC19" s="18">
        <v>27.113247000000001</v>
      </c>
      <c r="AD19" s="18">
        <v>142.7013</v>
      </c>
    </row>
    <row r="20" spans="2:30" x14ac:dyDescent="0.25">
      <c r="B20" t="s">
        <v>112</v>
      </c>
      <c r="C20" t="s">
        <v>105</v>
      </c>
      <c r="D20" t="s">
        <v>126</v>
      </c>
      <c r="E20" s="35">
        <v>0.9</v>
      </c>
      <c r="F20" s="35">
        <v>60</v>
      </c>
      <c r="G20" s="36">
        <v>1.150355</v>
      </c>
      <c r="H20" s="18">
        <v>2070.6392580000002</v>
      </c>
      <c r="I20" s="16">
        <v>0</v>
      </c>
      <c r="J20" s="16">
        <v>60</v>
      </c>
      <c r="K20" s="16" t="s">
        <v>114</v>
      </c>
      <c r="L20" s="37" t="s">
        <v>107</v>
      </c>
      <c r="M20" s="37"/>
      <c r="N20" s="37">
        <v>21</v>
      </c>
      <c r="O20" s="37"/>
      <c r="P20" s="37"/>
      <c r="Q20" s="18">
        <v>12.653905</v>
      </c>
      <c r="R20" s="18">
        <v>8.6276624999999996E-2</v>
      </c>
      <c r="S20" s="18">
        <v>24.157454999999999</v>
      </c>
      <c r="T20" s="18">
        <v>103.53194999999999</v>
      </c>
      <c r="U20" s="18">
        <v>51.765974999999997</v>
      </c>
      <c r="V20" s="18">
        <v>662.60447999999997</v>
      </c>
      <c r="W20" s="18">
        <v>621.19169999999997</v>
      </c>
      <c r="X20" s="18">
        <v>414.12779999999998</v>
      </c>
      <c r="Y20" s="18">
        <v>18.40568</v>
      </c>
      <c r="Z20" s="18">
        <v>81.675205000000005</v>
      </c>
      <c r="AA20" s="18">
        <v>119.63692</v>
      </c>
      <c r="AB20" s="18">
        <v>212.815675</v>
      </c>
      <c r="AC20" s="18">
        <v>65.570234999999997</v>
      </c>
      <c r="AD20" s="18">
        <v>345.10649999999998</v>
      </c>
    </row>
    <row r="21" spans="2:30" x14ac:dyDescent="0.25">
      <c r="B21" t="s">
        <v>108</v>
      </c>
      <c r="C21" t="s">
        <v>105</v>
      </c>
      <c r="D21" t="s">
        <v>127</v>
      </c>
      <c r="E21" s="35">
        <v>0.9</v>
      </c>
      <c r="F21" s="35">
        <v>16</v>
      </c>
      <c r="G21" s="36">
        <v>7.1281999999999998E-2</v>
      </c>
      <c r="H21" s="18">
        <v>128.30793499999999</v>
      </c>
      <c r="I21" s="16">
        <v>0</v>
      </c>
      <c r="J21" s="16"/>
      <c r="K21" s="16"/>
      <c r="L21" s="37" t="s">
        <v>107</v>
      </c>
      <c r="M21" s="37"/>
      <c r="N21" s="37">
        <v>22</v>
      </c>
      <c r="O21" s="37"/>
      <c r="P21" s="37"/>
      <c r="Q21" s="18">
        <v>0.78410199999999997</v>
      </c>
      <c r="R21" s="18">
        <v>5.34615E-3</v>
      </c>
      <c r="S21" s="18">
        <v>1.4969219999999999</v>
      </c>
      <c r="T21" s="18">
        <v>6.4153799999999999</v>
      </c>
      <c r="U21" s="18">
        <v>3.2076899999999999</v>
      </c>
      <c r="V21" s="18">
        <v>41.058431999999996</v>
      </c>
      <c r="W21" s="18">
        <v>38.492280000000001</v>
      </c>
      <c r="X21" s="18">
        <v>25.661519999999999</v>
      </c>
      <c r="Y21" s="18">
        <v>1.140512</v>
      </c>
      <c r="Z21" s="18">
        <v>5.0610219999999995</v>
      </c>
      <c r="AA21" s="18">
        <v>7.4133279999999999</v>
      </c>
      <c r="AB21" s="18">
        <v>13.18717</v>
      </c>
      <c r="AC21" s="18">
        <v>4.0630740000000003</v>
      </c>
      <c r="AD21" s="18">
        <v>21.384599999999999</v>
      </c>
    </row>
    <row r="22" spans="2:30" x14ac:dyDescent="0.25">
      <c r="B22" t="s">
        <v>128</v>
      </c>
      <c r="C22" t="s">
        <v>105</v>
      </c>
      <c r="D22" t="s">
        <v>129</v>
      </c>
      <c r="E22" s="35">
        <v>0.9</v>
      </c>
      <c r="F22" s="35">
        <v>65</v>
      </c>
      <c r="G22" s="36">
        <v>1.200555</v>
      </c>
      <c r="H22" s="18">
        <v>2160.9992699999998</v>
      </c>
      <c r="I22" s="16">
        <v>0</v>
      </c>
      <c r="J22" s="16">
        <v>72</v>
      </c>
      <c r="K22" s="16" t="s">
        <v>130</v>
      </c>
      <c r="L22" s="37" t="s">
        <v>107</v>
      </c>
      <c r="M22" s="37"/>
      <c r="N22" s="37">
        <v>23</v>
      </c>
      <c r="O22" s="37"/>
      <c r="P22" s="37"/>
      <c r="Q22" s="18">
        <v>13.206105000000001</v>
      </c>
      <c r="R22" s="18">
        <v>9.0041625E-2</v>
      </c>
      <c r="S22" s="18">
        <v>25.211655</v>
      </c>
      <c r="T22" s="18">
        <v>108.04995000000001</v>
      </c>
      <c r="U22" s="18">
        <v>54.024975000000005</v>
      </c>
      <c r="V22" s="18">
        <v>691.51967999999999</v>
      </c>
      <c r="W22" s="18">
        <v>648.29970000000003</v>
      </c>
      <c r="X22" s="18">
        <v>432.19980000000004</v>
      </c>
      <c r="Y22" s="18">
        <v>19.208880000000001</v>
      </c>
      <c r="Z22" s="18">
        <v>85.239405000000005</v>
      </c>
      <c r="AA22" s="18">
        <v>124.85772</v>
      </c>
      <c r="AB22" s="18">
        <v>222.102675</v>
      </c>
      <c r="AC22" s="18">
        <v>68.431635</v>
      </c>
      <c r="AD22" s="18">
        <v>360.16649999999998</v>
      </c>
    </row>
    <row r="23" spans="2:30" x14ac:dyDescent="0.25">
      <c r="B23" t="s">
        <v>108</v>
      </c>
      <c r="C23" t="s">
        <v>105</v>
      </c>
      <c r="D23" t="s">
        <v>131</v>
      </c>
      <c r="E23" s="35">
        <v>0.9</v>
      </c>
      <c r="F23" s="35">
        <v>16</v>
      </c>
      <c r="G23" s="36">
        <v>7.1387999999999993E-2</v>
      </c>
      <c r="H23" s="18">
        <v>128.49807699999999</v>
      </c>
      <c r="I23" s="16">
        <v>0</v>
      </c>
      <c r="J23" s="16"/>
      <c r="K23" s="16"/>
      <c r="L23" s="37" t="s">
        <v>107</v>
      </c>
      <c r="M23" s="37"/>
      <c r="N23" s="37">
        <v>24</v>
      </c>
      <c r="O23" s="37"/>
      <c r="P23" s="37"/>
      <c r="Q23" s="18">
        <v>0.78526799999999997</v>
      </c>
      <c r="R23" s="18">
        <v>5.3540999999999997E-3</v>
      </c>
      <c r="S23" s="18">
        <v>1.4991479999999999</v>
      </c>
      <c r="T23" s="18">
        <v>6.4249199999999993</v>
      </c>
      <c r="U23" s="18">
        <v>3.2124599999999996</v>
      </c>
      <c r="V23" s="18">
        <v>41.119487999999997</v>
      </c>
      <c r="W23" s="18">
        <v>38.549519999999994</v>
      </c>
      <c r="X23" s="18">
        <v>25.699679999999997</v>
      </c>
      <c r="Y23" s="18">
        <v>1.1422079999999999</v>
      </c>
      <c r="Z23" s="18">
        <v>5.0685479999999998</v>
      </c>
      <c r="AA23" s="18">
        <v>7.424351999999999</v>
      </c>
      <c r="AB23" s="18">
        <v>13.206779999999998</v>
      </c>
      <c r="AC23" s="18">
        <v>4.0691159999999993</v>
      </c>
      <c r="AD23" s="18">
        <v>21.416399999999999</v>
      </c>
    </row>
    <row r="24" spans="2:30" x14ac:dyDescent="0.25">
      <c r="B24" t="s">
        <v>124</v>
      </c>
      <c r="C24" t="s">
        <v>105</v>
      </c>
      <c r="D24" t="s">
        <v>132</v>
      </c>
      <c r="E24" s="35">
        <v>0.9</v>
      </c>
      <c r="F24" s="35">
        <v>35</v>
      </c>
      <c r="G24" s="36">
        <v>0.48745100000000002</v>
      </c>
      <c r="H24" s="18">
        <v>877.41193599999997</v>
      </c>
      <c r="I24" s="16">
        <v>0</v>
      </c>
      <c r="J24" s="16"/>
      <c r="K24" s="16"/>
      <c r="L24" s="37" t="s">
        <v>107</v>
      </c>
      <c r="M24" s="37"/>
      <c r="N24" s="37">
        <v>25</v>
      </c>
      <c r="O24" s="37"/>
      <c r="P24" s="37"/>
      <c r="Q24" s="18">
        <v>5.361961</v>
      </c>
      <c r="R24" s="18">
        <v>3.6558825000000003E-2</v>
      </c>
      <c r="S24" s="18">
        <v>10.236471</v>
      </c>
      <c r="T24" s="18">
        <v>43.87059</v>
      </c>
      <c r="U24" s="18">
        <v>21.935295</v>
      </c>
      <c r="V24" s="18">
        <v>280.77177599999999</v>
      </c>
      <c r="W24" s="18">
        <v>263.22354000000001</v>
      </c>
      <c r="X24" s="18">
        <v>175.48236</v>
      </c>
      <c r="Y24" s="18">
        <v>7.7992160000000004</v>
      </c>
      <c r="Z24" s="18">
        <v>34.609020999999998</v>
      </c>
      <c r="AA24" s="18">
        <v>50.694904000000001</v>
      </c>
      <c r="AB24" s="18">
        <v>90.178435000000007</v>
      </c>
      <c r="AC24" s="18">
        <v>27.784707000000001</v>
      </c>
      <c r="AD24" s="18">
        <v>146.2353</v>
      </c>
    </row>
    <row r="25" spans="2:30" x14ac:dyDescent="0.25">
      <c r="B25" t="s">
        <v>133</v>
      </c>
      <c r="C25" t="s">
        <v>105</v>
      </c>
      <c r="D25" t="s">
        <v>113</v>
      </c>
      <c r="E25" s="35">
        <v>0.9</v>
      </c>
      <c r="F25" s="35">
        <v>50</v>
      </c>
      <c r="G25" s="36">
        <v>0.97729500000000002</v>
      </c>
      <c r="H25" s="18">
        <v>1759.1313479999999</v>
      </c>
      <c r="I25" s="16">
        <v>0</v>
      </c>
      <c r="J25" s="16">
        <v>48</v>
      </c>
      <c r="K25" s="16"/>
      <c r="L25" s="37" t="s">
        <v>107</v>
      </c>
      <c r="M25" s="37"/>
      <c r="N25" s="37">
        <v>26</v>
      </c>
      <c r="O25" s="37"/>
      <c r="P25" s="37"/>
      <c r="Q25" s="18">
        <v>10.750245</v>
      </c>
      <c r="R25" s="18">
        <v>7.3297125000000005E-2</v>
      </c>
      <c r="S25" s="18">
        <v>20.523195000000001</v>
      </c>
      <c r="T25" s="18">
        <v>87.956550000000007</v>
      </c>
      <c r="U25" s="18">
        <v>43.978275000000004</v>
      </c>
      <c r="V25" s="18">
        <v>562.92192</v>
      </c>
      <c r="W25" s="18">
        <v>527.73929999999996</v>
      </c>
      <c r="X25" s="18">
        <v>351.82620000000003</v>
      </c>
      <c r="Y25" s="18">
        <v>15.63672</v>
      </c>
      <c r="Z25" s="18">
        <v>69.387945000000002</v>
      </c>
      <c r="AA25" s="18">
        <v>101.63868000000001</v>
      </c>
      <c r="AB25" s="18">
        <v>180.799575</v>
      </c>
      <c r="AC25" s="18">
        <v>55.705815000000001</v>
      </c>
      <c r="AD25" s="18">
        <v>293.18850000000003</v>
      </c>
    </row>
    <row r="26" spans="2:30" x14ac:dyDescent="0.25">
      <c r="B26" t="s">
        <v>134</v>
      </c>
      <c r="C26" t="s">
        <v>105</v>
      </c>
      <c r="D26" t="s">
        <v>135</v>
      </c>
      <c r="E26" s="35">
        <v>1.17</v>
      </c>
      <c r="F26" s="35">
        <v>86</v>
      </c>
      <c r="G26" s="36">
        <v>1.1062799999999999</v>
      </c>
      <c r="H26" s="18">
        <v>2588.6955130000001</v>
      </c>
      <c r="I26" s="16">
        <v>0</v>
      </c>
      <c r="J26" s="16">
        <v>30</v>
      </c>
      <c r="K26" s="16"/>
      <c r="L26" s="37" t="s">
        <v>107</v>
      </c>
      <c r="M26" s="37"/>
      <c r="N26" s="37">
        <v>27</v>
      </c>
      <c r="O26" s="37"/>
      <c r="P26" s="37"/>
      <c r="Q26" s="18">
        <v>12.169079999999999</v>
      </c>
      <c r="R26" s="18">
        <v>8.2970999999999989E-2</v>
      </c>
      <c r="S26" s="18">
        <v>23.231879999999997</v>
      </c>
      <c r="T26" s="18">
        <v>99.56519999999999</v>
      </c>
      <c r="U26" s="18">
        <v>49.782599999999995</v>
      </c>
      <c r="V26" s="18">
        <v>637.21727999999996</v>
      </c>
      <c r="W26" s="18">
        <v>597.39119999999991</v>
      </c>
      <c r="X26" s="18">
        <v>398.26079999999996</v>
      </c>
      <c r="Y26" s="18">
        <v>17.700479999999999</v>
      </c>
      <c r="Z26" s="18">
        <v>78.545879999999997</v>
      </c>
      <c r="AA26" s="18">
        <v>115.05311999999999</v>
      </c>
      <c r="AB26" s="18">
        <v>204.6618</v>
      </c>
      <c r="AC26" s="18">
        <v>63.057959999999994</v>
      </c>
      <c r="AD26" s="18">
        <v>331.88399999999996</v>
      </c>
    </row>
    <row r="27" spans="2:30" x14ac:dyDescent="0.25">
      <c r="B27" t="s">
        <v>112</v>
      </c>
      <c r="C27" t="s">
        <v>105</v>
      </c>
      <c r="D27" t="s">
        <v>136</v>
      </c>
      <c r="E27" s="35">
        <v>0.9</v>
      </c>
      <c r="F27" s="35">
        <v>60</v>
      </c>
      <c r="G27" s="36">
        <v>1.08205</v>
      </c>
      <c r="H27" s="18">
        <v>1947.6892829999999</v>
      </c>
      <c r="I27" s="16">
        <v>0</v>
      </c>
      <c r="J27" s="16">
        <v>64</v>
      </c>
      <c r="K27" s="16" t="s">
        <v>130</v>
      </c>
      <c r="L27" s="37" t="s">
        <v>107</v>
      </c>
      <c r="M27" s="37"/>
      <c r="N27" s="37">
        <v>28</v>
      </c>
      <c r="O27" s="37"/>
      <c r="P27" s="37"/>
      <c r="Q27" s="18">
        <v>11.90255</v>
      </c>
      <c r="R27" s="18">
        <v>8.1153749999999997E-2</v>
      </c>
      <c r="S27" s="18">
        <v>22.723050000000001</v>
      </c>
      <c r="T27" s="18">
        <v>97.384500000000003</v>
      </c>
      <c r="U27" s="18">
        <v>48.692250000000001</v>
      </c>
      <c r="V27" s="18">
        <v>623.26080000000002</v>
      </c>
      <c r="W27" s="18">
        <v>584.30700000000002</v>
      </c>
      <c r="X27" s="18">
        <v>389.53800000000001</v>
      </c>
      <c r="Y27" s="18">
        <v>17.312799999999999</v>
      </c>
      <c r="Z27" s="18">
        <v>76.825549999999993</v>
      </c>
      <c r="AA27" s="18">
        <v>112.53319999999999</v>
      </c>
      <c r="AB27" s="18">
        <v>200.17925</v>
      </c>
      <c r="AC27" s="18">
        <v>61.676849999999995</v>
      </c>
      <c r="AD27" s="18">
        <v>324.61500000000001</v>
      </c>
    </row>
    <row r="28" spans="2:30" x14ac:dyDescent="0.25">
      <c r="B28" t="s">
        <v>134</v>
      </c>
      <c r="C28" t="s">
        <v>105</v>
      </c>
      <c r="D28" t="s">
        <v>137</v>
      </c>
      <c r="E28" s="35">
        <v>1.17</v>
      </c>
      <c r="F28" s="35">
        <v>86</v>
      </c>
      <c r="G28" s="36">
        <v>1.132863</v>
      </c>
      <c r="H28" s="18">
        <v>2650.9002810000002</v>
      </c>
      <c r="I28" s="16">
        <v>0</v>
      </c>
      <c r="J28" s="16">
        <v>34</v>
      </c>
      <c r="K28" s="16"/>
      <c r="L28" s="37" t="s">
        <v>107</v>
      </c>
      <c r="M28" s="37"/>
      <c r="N28" s="37">
        <v>29</v>
      </c>
      <c r="O28" s="37"/>
      <c r="P28" s="37"/>
      <c r="Q28" s="18">
        <v>12.461492999999999</v>
      </c>
      <c r="R28" s="18">
        <v>8.4964724999999991E-2</v>
      </c>
      <c r="S28" s="18">
        <v>23.790122999999998</v>
      </c>
      <c r="T28" s="18">
        <v>101.95766999999999</v>
      </c>
      <c r="U28" s="18">
        <v>50.978834999999997</v>
      </c>
      <c r="V28" s="18">
        <v>652.529088</v>
      </c>
      <c r="W28" s="18">
        <v>611.74601999999993</v>
      </c>
      <c r="X28" s="18">
        <v>407.83067999999997</v>
      </c>
      <c r="Y28" s="18">
        <v>18.125807999999999</v>
      </c>
      <c r="Z28" s="18">
        <v>80.433273</v>
      </c>
      <c r="AA28" s="18">
        <v>117.817752</v>
      </c>
      <c r="AB28" s="18">
        <v>209.579655</v>
      </c>
      <c r="AC28" s="18">
        <v>64.573190999999994</v>
      </c>
      <c r="AD28" s="18">
        <v>339.85890000000001</v>
      </c>
    </row>
    <row r="29" spans="2:30" x14ac:dyDescent="0.25">
      <c r="B29" t="s">
        <v>138</v>
      </c>
      <c r="C29" t="s">
        <v>105</v>
      </c>
      <c r="D29" t="s">
        <v>137</v>
      </c>
      <c r="E29" s="35">
        <v>0.9</v>
      </c>
      <c r="F29" s="35">
        <v>44</v>
      </c>
      <c r="G29" s="36">
        <v>0.57960500000000004</v>
      </c>
      <c r="H29" s="18">
        <v>1043.288125</v>
      </c>
      <c r="I29" s="16">
        <v>0</v>
      </c>
      <c r="J29" s="16"/>
      <c r="K29" s="16"/>
      <c r="L29" s="37" t="s">
        <v>107</v>
      </c>
      <c r="M29" s="37"/>
      <c r="N29" s="37">
        <v>30</v>
      </c>
      <c r="O29" s="37"/>
      <c r="P29" s="37"/>
      <c r="Q29" s="18">
        <v>6.3756550000000001</v>
      </c>
      <c r="R29" s="18">
        <v>4.3470374999999999E-2</v>
      </c>
      <c r="S29" s="18">
        <v>12.171705000000001</v>
      </c>
      <c r="T29" s="18">
        <v>52.164450000000002</v>
      </c>
      <c r="U29" s="18">
        <v>26.082225000000001</v>
      </c>
      <c r="V29" s="18">
        <v>333.85248000000001</v>
      </c>
      <c r="W29" s="18">
        <v>312.98670000000004</v>
      </c>
      <c r="X29" s="18">
        <v>208.65780000000001</v>
      </c>
      <c r="Y29" s="18">
        <v>9.2736800000000006</v>
      </c>
      <c r="Z29" s="18">
        <v>41.151955000000001</v>
      </c>
      <c r="AA29" s="18">
        <v>60.278920000000006</v>
      </c>
      <c r="AB29" s="18">
        <v>107.22692500000001</v>
      </c>
      <c r="AC29" s="18">
        <v>33.037485000000004</v>
      </c>
      <c r="AD29" s="18">
        <v>173.88150000000002</v>
      </c>
    </row>
    <row r="30" spans="2:30" x14ac:dyDescent="0.25">
      <c r="B30" t="s">
        <v>138</v>
      </c>
      <c r="C30" t="s">
        <v>105</v>
      </c>
      <c r="D30" t="s">
        <v>139</v>
      </c>
      <c r="E30" s="35">
        <v>0.9</v>
      </c>
      <c r="F30" s="35">
        <v>44</v>
      </c>
      <c r="G30" s="36">
        <v>0.56629399999999996</v>
      </c>
      <c r="H30" s="18">
        <v>1019.329658</v>
      </c>
      <c r="I30" s="16">
        <v>0</v>
      </c>
      <c r="J30" s="16"/>
      <c r="K30" s="16"/>
      <c r="L30" s="37" t="s">
        <v>107</v>
      </c>
      <c r="M30" s="37"/>
      <c r="N30" s="37">
        <v>31</v>
      </c>
      <c r="O30" s="37"/>
      <c r="P30" s="37"/>
      <c r="Q30" s="18">
        <v>6.2292339999999999</v>
      </c>
      <c r="R30" s="18">
        <v>4.2472049999999997E-2</v>
      </c>
      <c r="S30" s="18">
        <v>11.892173999999999</v>
      </c>
      <c r="T30" s="18">
        <v>50.966459999999998</v>
      </c>
      <c r="U30" s="18">
        <v>25.483229999999999</v>
      </c>
      <c r="V30" s="18">
        <v>326.18534399999999</v>
      </c>
      <c r="W30" s="18">
        <v>305.79875999999996</v>
      </c>
      <c r="X30" s="18">
        <v>203.86583999999999</v>
      </c>
      <c r="Y30" s="18">
        <v>9.0607039999999994</v>
      </c>
      <c r="Z30" s="18">
        <v>40.206873999999999</v>
      </c>
      <c r="AA30" s="18">
        <v>58.894575999999994</v>
      </c>
      <c r="AB30" s="18">
        <v>104.76438999999999</v>
      </c>
      <c r="AC30" s="18">
        <v>32.278757999999996</v>
      </c>
      <c r="AD30" s="18">
        <v>169.88819999999998</v>
      </c>
    </row>
    <row r="31" spans="2:30" x14ac:dyDescent="0.25">
      <c r="B31" t="s">
        <v>124</v>
      </c>
      <c r="C31" t="s">
        <v>105</v>
      </c>
      <c r="D31" t="s">
        <v>132</v>
      </c>
      <c r="E31" s="35">
        <v>0.9</v>
      </c>
      <c r="F31" s="35">
        <v>35</v>
      </c>
      <c r="G31" s="36">
        <v>0.48745100000000002</v>
      </c>
      <c r="H31" s="18">
        <v>877.41193599999997</v>
      </c>
      <c r="I31" s="16">
        <v>0</v>
      </c>
      <c r="J31" s="16"/>
      <c r="K31" s="16"/>
      <c r="L31" s="37" t="s">
        <v>107</v>
      </c>
      <c r="M31" s="37"/>
      <c r="N31" s="37">
        <v>32</v>
      </c>
      <c r="O31" s="37"/>
      <c r="P31" s="37"/>
      <c r="Q31" s="18">
        <v>5.361961</v>
      </c>
      <c r="R31" s="18">
        <v>3.6558825000000003E-2</v>
      </c>
      <c r="S31" s="18">
        <v>10.236471</v>
      </c>
      <c r="T31" s="18">
        <v>43.87059</v>
      </c>
      <c r="U31" s="18">
        <v>21.935295</v>
      </c>
      <c r="V31" s="18">
        <v>280.77177599999999</v>
      </c>
      <c r="W31" s="18">
        <v>263.22354000000001</v>
      </c>
      <c r="X31" s="18">
        <v>175.48236</v>
      </c>
      <c r="Y31" s="18">
        <v>7.7992160000000004</v>
      </c>
      <c r="Z31" s="18">
        <v>34.609020999999998</v>
      </c>
      <c r="AA31" s="18">
        <v>50.694904000000001</v>
      </c>
      <c r="AB31" s="18">
        <v>90.178435000000007</v>
      </c>
      <c r="AC31" s="18">
        <v>27.784707000000001</v>
      </c>
      <c r="AD31" s="18">
        <v>146.2353</v>
      </c>
    </row>
    <row r="32" spans="2:30" x14ac:dyDescent="0.25">
      <c r="B32" t="s">
        <v>133</v>
      </c>
      <c r="C32" t="s">
        <v>105</v>
      </c>
      <c r="D32" t="s">
        <v>113</v>
      </c>
      <c r="E32" s="35">
        <v>0.9</v>
      </c>
      <c r="F32" s="35">
        <v>50</v>
      </c>
      <c r="G32" s="36">
        <v>0.97729500000000002</v>
      </c>
      <c r="H32" s="18">
        <v>1759.1313479999999</v>
      </c>
      <c r="I32" s="16">
        <v>0</v>
      </c>
      <c r="J32" s="16">
        <v>50</v>
      </c>
      <c r="K32" s="16"/>
      <c r="L32" s="37" t="s">
        <v>107</v>
      </c>
      <c r="M32" s="37"/>
      <c r="N32" s="37">
        <v>33</v>
      </c>
      <c r="O32" s="37"/>
      <c r="P32" s="37"/>
      <c r="Q32" s="18">
        <v>10.750245</v>
      </c>
      <c r="R32" s="18">
        <v>7.3297125000000005E-2</v>
      </c>
      <c r="S32" s="18">
        <v>20.523195000000001</v>
      </c>
      <c r="T32" s="18">
        <v>87.956550000000007</v>
      </c>
      <c r="U32" s="18">
        <v>43.978275000000004</v>
      </c>
      <c r="V32" s="18">
        <v>562.92192</v>
      </c>
      <c r="W32" s="18">
        <v>527.73929999999996</v>
      </c>
      <c r="X32" s="18">
        <v>351.82620000000003</v>
      </c>
      <c r="Y32" s="18">
        <v>15.63672</v>
      </c>
      <c r="Z32" s="18">
        <v>69.387945000000002</v>
      </c>
      <c r="AA32" s="18">
        <v>101.63868000000001</v>
      </c>
      <c r="AB32" s="18">
        <v>180.799575</v>
      </c>
      <c r="AC32" s="18">
        <v>55.705815000000001</v>
      </c>
      <c r="AD32" s="18">
        <v>293.18850000000003</v>
      </c>
    </row>
    <row r="33" spans="2:30" x14ac:dyDescent="0.25">
      <c r="B33" t="s">
        <v>133</v>
      </c>
      <c r="C33" t="s">
        <v>105</v>
      </c>
      <c r="D33" t="s">
        <v>140</v>
      </c>
      <c r="E33" s="35">
        <v>0.9</v>
      </c>
      <c r="F33" s="35">
        <v>50</v>
      </c>
      <c r="G33" s="36">
        <v>0.86129699999999998</v>
      </c>
      <c r="H33" s="18">
        <v>1550.334122</v>
      </c>
      <c r="I33" s="16">
        <v>0</v>
      </c>
      <c r="J33" s="16">
        <v>50</v>
      </c>
      <c r="K33" s="16" t="s">
        <v>130</v>
      </c>
      <c r="L33" s="37" t="s">
        <v>107</v>
      </c>
      <c r="M33" s="37"/>
      <c r="N33" s="37">
        <v>34</v>
      </c>
      <c r="O33" s="37"/>
      <c r="P33" s="37"/>
      <c r="Q33" s="18">
        <v>9.4742669999999993</v>
      </c>
      <c r="R33" s="18">
        <v>6.4597274999999996E-2</v>
      </c>
      <c r="S33" s="18">
        <v>18.087236999999998</v>
      </c>
      <c r="T33" s="18">
        <v>77.516729999999995</v>
      </c>
      <c r="U33" s="18">
        <v>38.758364999999998</v>
      </c>
      <c r="V33" s="18">
        <v>496.10707200000002</v>
      </c>
      <c r="W33" s="18">
        <v>465.10037999999997</v>
      </c>
      <c r="X33" s="18">
        <v>310.06691999999998</v>
      </c>
      <c r="Y33" s="18">
        <v>13.780752</v>
      </c>
      <c r="Z33" s="18">
        <v>61.152087000000002</v>
      </c>
      <c r="AA33" s="18">
        <v>89.574888000000001</v>
      </c>
      <c r="AB33" s="18">
        <v>159.339945</v>
      </c>
      <c r="AC33" s="18">
        <v>49.093928999999996</v>
      </c>
      <c r="AD33" s="18">
        <v>258.38909999999998</v>
      </c>
    </row>
    <row r="34" spans="2:30" x14ac:dyDescent="0.25">
      <c r="B34" t="s">
        <v>124</v>
      </c>
      <c r="C34" t="s">
        <v>105</v>
      </c>
      <c r="D34" t="s">
        <v>125</v>
      </c>
      <c r="E34" s="35">
        <v>0.9</v>
      </c>
      <c r="F34" s="35">
        <v>35</v>
      </c>
      <c r="G34" s="36">
        <v>0.47567100000000001</v>
      </c>
      <c r="H34" s="18">
        <v>856.20800099999997</v>
      </c>
      <c r="I34" s="16">
        <v>0</v>
      </c>
      <c r="J34" s="16">
        <v>30</v>
      </c>
      <c r="K34" s="16"/>
      <c r="L34" s="37" t="s">
        <v>107</v>
      </c>
      <c r="M34" s="37"/>
      <c r="N34" s="37">
        <v>35</v>
      </c>
      <c r="O34" s="37"/>
      <c r="P34" s="37"/>
      <c r="Q34" s="18">
        <v>5.2323810000000002</v>
      </c>
      <c r="R34" s="18">
        <v>3.5675325000000001E-2</v>
      </c>
      <c r="S34" s="18">
        <v>9.9890910000000002</v>
      </c>
      <c r="T34" s="18">
        <v>42.810389999999998</v>
      </c>
      <c r="U34" s="18">
        <v>21.405194999999999</v>
      </c>
      <c r="V34" s="18">
        <v>273.98649599999999</v>
      </c>
      <c r="W34" s="18">
        <v>256.86234000000002</v>
      </c>
      <c r="X34" s="18">
        <v>171.24155999999999</v>
      </c>
      <c r="Y34" s="18">
        <v>7.6107360000000002</v>
      </c>
      <c r="Z34" s="18">
        <v>33.772641</v>
      </c>
      <c r="AA34" s="18">
        <v>49.469784000000004</v>
      </c>
      <c r="AB34" s="18">
        <v>87.999134999999995</v>
      </c>
      <c r="AC34" s="18">
        <v>27.113247000000001</v>
      </c>
      <c r="AD34" s="18">
        <v>142.7013</v>
      </c>
    </row>
    <row r="35" spans="2:30" x14ac:dyDescent="0.25">
      <c r="B35" t="s">
        <v>112</v>
      </c>
      <c r="C35" t="s">
        <v>105</v>
      </c>
      <c r="D35" t="s">
        <v>126</v>
      </c>
      <c r="E35" s="35">
        <v>0.9</v>
      </c>
      <c r="F35" s="35">
        <v>60</v>
      </c>
      <c r="G35" s="36">
        <v>1.150355</v>
      </c>
      <c r="H35" s="18">
        <v>2070.6392580000002</v>
      </c>
      <c r="I35" s="16">
        <v>0</v>
      </c>
      <c r="J35" s="16">
        <v>70</v>
      </c>
      <c r="K35" s="16" t="s">
        <v>114</v>
      </c>
      <c r="L35" s="37" t="s">
        <v>107</v>
      </c>
      <c r="M35" s="37"/>
      <c r="N35" s="37">
        <v>36</v>
      </c>
      <c r="O35" s="37"/>
      <c r="P35" s="37"/>
      <c r="Q35" s="18">
        <v>12.653905</v>
      </c>
      <c r="R35" s="18">
        <v>8.6276624999999996E-2</v>
      </c>
      <c r="S35" s="18">
        <v>24.157454999999999</v>
      </c>
      <c r="T35" s="18">
        <v>103.53194999999999</v>
      </c>
      <c r="U35" s="18">
        <v>51.765974999999997</v>
      </c>
      <c r="V35" s="18">
        <v>662.60447999999997</v>
      </c>
      <c r="W35" s="18">
        <v>621.19169999999997</v>
      </c>
      <c r="X35" s="18">
        <v>414.12779999999998</v>
      </c>
      <c r="Y35" s="18">
        <v>18.40568</v>
      </c>
      <c r="Z35" s="18">
        <v>81.675205000000005</v>
      </c>
      <c r="AA35" s="18">
        <v>119.63692</v>
      </c>
      <c r="AB35" s="18">
        <v>212.815675</v>
      </c>
      <c r="AC35" s="18">
        <v>65.570234999999997</v>
      </c>
      <c r="AD35" s="18">
        <v>345.10649999999998</v>
      </c>
    </row>
    <row r="36" spans="2:30" x14ac:dyDescent="0.25">
      <c r="B36" t="s">
        <v>141</v>
      </c>
      <c r="C36" t="s">
        <v>105</v>
      </c>
      <c r="D36" t="s">
        <v>142</v>
      </c>
      <c r="E36" s="35">
        <v>0.9</v>
      </c>
      <c r="F36" s="35">
        <v>46</v>
      </c>
      <c r="G36" s="36">
        <v>0.76321099999999997</v>
      </c>
      <c r="H36" s="18">
        <v>1373.779722</v>
      </c>
      <c r="I36" s="16">
        <v>0</v>
      </c>
      <c r="J36" s="16">
        <v>46</v>
      </c>
      <c r="K36" s="16" t="s">
        <v>130</v>
      </c>
      <c r="L36" s="37" t="s">
        <v>107</v>
      </c>
      <c r="M36" s="37"/>
      <c r="N36" s="37">
        <v>37</v>
      </c>
      <c r="O36" s="37"/>
      <c r="P36" s="37"/>
      <c r="Q36" s="18">
        <v>8.3953209999999991</v>
      </c>
      <c r="R36" s="18">
        <v>5.7240824999999995E-2</v>
      </c>
      <c r="S36" s="18">
        <v>16.027431</v>
      </c>
      <c r="T36" s="18">
        <v>68.688990000000004</v>
      </c>
      <c r="U36" s="18">
        <v>34.344495000000002</v>
      </c>
      <c r="V36" s="18">
        <v>439.60953599999999</v>
      </c>
      <c r="W36" s="18">
        <v>412.13394</v>
      </c>
      <c r="X36" s="18">
        <v>274.75596000000002</v>
      </c>
      <c r="Y36" s="18">
        <v>12.211376</v>
      </c>
      <c r="Z36" s="18">
        <v>54.187981000000001</v>
      </c>
      <c r="AA36" s="18">
        <v>79.373943999999995</v>
      </c>
      <c r="AB36" s="18">
        <v>141.19403499999999</v>
      </c>
      <c r="AC36" s="18">
        <v>43.503026999999996</v>
      </c>
      <c r="AD36" s="18">
        <v>228.9633</v>
      </c>
    </row>
    <row r="37" spans="2:30" x14ac:dyDescent="0.25">
      <c r="B37" t="s">
        <v>124</v>
      </c>
      <c r="C37" t="s">
        <v>105</v>
      </c>
      <c r="D37" t="s">
        <v>132</v>
      </c>
      <c r="E37" s="35">
        <v>0.9</v>
      </c>
      <c r="F37" s="35">
        <v>35</v>
      </c>
      <c r="G37" s="36">
        <v>0.48745100000000002</v>
      </c>
      <c r="H37" s="18">
        <v>877.41193599999997</v>
      </c>
      <c r="I37" s="16">
        <v>0</v>
      </c>
      <c r="J37" s="16"/>
      <c r="K37" s="16"/>
      <c r="L37" s="37" t="s">
        <v>107</v>
      </c>
      <c r="M37" s="37"/>
      <c r="N37" s="37">
        <v>38</v>
      </c>
      <c r="O37" s="37"/>
      <c r="P37" s="37"/>
      <c r="Q37" s="18">
        <v>5.361961</v>
      </c>
      <c r="R37" s="18">
        <v>3.6558825000000003E-2</v>
      </c>
      <c r="S37" s="18">
        <v>10.236471</v>
      </c>
      <c r="T37" s="18">
        <v>43.87059</v>
      </c>
      <c r="U37" s="18">
        <v>21.935295</v>
      </c>
      <c r="V37" s="18">
        <v>280.77177599999999</v>
      </c>
      <c r="W37" s="18">
        <v>263.22354000000001</v>
      </c>
      <c r="X37" s="18">
        <v>175.48236</v>
      </c>
      <c r="Y37" s="18">
        <v>7.7992160000000004</v>
      </c>
      <c r="Z37" s="18">
        <v>34.609020999999998</v>
      </c>
      <c r="AA37" s="18">
        <v>50.694904000000001</v>
      </c>
      <c r="AB37" s="18">
        <v>90.178435000000007</v>
      </c>
      <c r="AC37" s="18">
        <v>27.784707000000001</v>
      </c>
      <c r="AD37" s="18">
        <v>146.2353</v>
      </c>
    </row>
    <row r="38" spans="2:30" x14ac:dyDescent="0.25">
      <c r="B38" t="s">
        <v>133</v>
      </c>
      <c r="C38" t="s">
        <v>105</v>
      </c>
      <c r="D38" t="s">
        <v>113</v>
      </c>
      <c r="E38" s="35">
        <v>0.9</v>
      </c>
      <c r="F38" s="35">
        <v>50</v>
      </c>
      <c r="G38" s="36">
        <v>0.97729500000000002</v>
      </c>
      <c r="H38" s="18">
        <v>1759.1313479999999</v>
      </c>
      <c r="I38" s="16">
        <v>0</v>
      </c>
      <c r="J38" s="16">
        <v>56</v>
      </c>
      <c r="K38" s="16"/>
      <c r="L38" s="37" t="s">
        <v>107</v>
      </c>
      <c r="M38" s="37"/>
      <c r="N38" s="37">
        <v>39</v>
      </c>
      <c r="O38" s="37"/>
      <c r="P38" s="37"/>
      <c r="Q38" s="18">
        <v>10.750245</v>
      </c>
      <c r="R38" s="18">
        <v>7.3297125000000005E-2</v>
      </c>
      <c r="S38" s="18">
        <v>20.523195000000001</v>
      </c>
      <c r="T38" s="18">
        <v>87.956550000000007</v>
      </c>
      <c r="U38" s="18">
        <v>43.978275000000004</v>
      </c>
      <c r="V38" s="18">
        <v>562.92192</v>
      </c>
      <c r="W38" s="18">
        <v>527.73929999999996</v>
      </c>
      <c r="X38" s="18">
        <v>351.82620000000003</v>
      </c>
      <c r="Y38" s="18">
        <v>15.63672</v>
      </c>
      <c r="Z38" s="18">
        <v>69.387945000000002</v>
      </c>
      <c r="AA38" s="18">
        <v>101.63868000000001</v>
      </c>
      <c r="AB38" s="18">
        <v>180.799575</v>
      </c>
      <c r="AC38" s="18">
        <v>55.705815000000001</v>
      </c>
      <c r="AD38" s="18">
        <v>293.18850000000003</v>
      </c>
    </row>
    <row r="39" spans="2:30" x14ac:dyDescent="0.25">
      <c r="B39" t="s">
        <v>122</v>
      </c>
      <c r="C39" t="s">
        <v>105</v>
      </c>
      <c r="D39" t="s">
        <v>143</v>
      </c>
      <c r="E39" s="35">
        <v>0.9</v>
      </c>
      <c r="F39" s="35">
        <v>71</v>
      </c>
      <c r="G39" s="36">
        <v>0.96727600000000002</v>
      </c>
      <c r="H39" s="18">
        <v>1741.097573</v>
      </c>
      <c r="I39" s="16">
        <v>0</v>
      </c>
      <c r="J39" s="16">
        <v>30</v>
      </c>
      <c r="K39" s="16"/>
      <c r="L39" s="37" t="s">
        <v>107</v>
      </c>
      <c r="M39" s="37"/>
      <c r="N39" s="37">
        <v>40</v>
      </c>
      <c r="O39" s="37"/>
      <c r="P39" s="37"/>
      <c r="Q39" s="18">
        <v>10.640036</v>
      </c>
      <c r="R39" s="18">
        <v>7.2545700000000005E-2</v>
      </c>
      <c r="S39" s="18">
        <v>20.312795999999999</v>
      </c>
      <c r="T39" s="18">
        <v>87.054839999999999</v>
      </c>
      <c r="U39" s="18">
        <v>43.527419999999999</v>
      </c>
      <c r="V39" s="18">
        <v>557.15097600000001</v>
      </c>
      <c r="W39" s="18">
        <v>522.32903999999996</v>
      </c>
      <c r="X39" s="18">
        <v>348.21935999999999</v>
      </c>
      <c r="Y39" s="18">
        <v>15.476416</v>
      </c>
      <c r="Z39" s="18">
        <v>68.676596000000004</v>
      </c>
      <c r="AA39" s="18">
        <v>100.596704</v>
      </c>
      <c r="AB39" s="18">
        <v>178.94606000000002</v>
      </c>
      <c r="AC39" s="18">
        <v>55.134732</v>
      </c>
      <c r="AD39" s="18">
        <v>290.18279999999999</v>
      </c>
    </row>
    <row r="40" spans="2:30" x14ac:dyDescent="0.25">
      <c r="B40" t="s">
        <v>144</v>
      </c>
      <c r="C40" t="s">
        <v>105</v>
      </c>
      <c r="D40" t="s">
        <v>145</v>
      </c>
      <c r="E40" s="35">
        <v>0.9</v>
      </c>
      <c r="F40" s="35">
        <v>40</v>
      </c>
      <c r="G40" s="36">
        <v>0.64529700000000001</v>
      </c>
      <c r="H40" s="18">
        <v>1161.5342089999999</v>
      </c>
      <c r="I40" s="16">
        <v>0</v>
      </c>
      <c r="J40" s="16">
        <v>40</v>
      </c>
      <c r="K40" s="16" t="s">
        <v>130</v>
      </c>
      <c r="L40" s="37" t="s">
        <v>107</v>
      </c>
      <c r="M40" s="37"/>
      <c r="N40" s="37">
        <v>41</v>
      </c>
      <c r="O40" s="37"/>
      <c r="P40" s="37"/>
      <c r="Q40" s="18">
        <v>7.0982669999999999</v>
      </c>
      <c r="R40" s="18">
        <v>4.8397274999999997E-2</v>
      </c>
      <c r="S40" s="18">
        <v>13.551237</v>
      </c>
      <c r="T40" s="18">
        <v>58.076729999999998</v>
      </c>
      <c r="U40" s="18">
        <v>29.038364999999999</v>
      </c>
      <c r="V40" s="18">
        <v>371.69107200000002</v>
      </c>
      <c r="W40" s="18">
        <v>348.46037999999999</v>
      </c>
      <c r="X40" s="18">
        <v>232.30691999999999</v>
      </c>
      <c r="Y40" s="18">
        <v>10.324752</v>
      </c>
      <c r="Z40" s="18">
        <v>45.816087000000003</v>
      </c>
      <c r="AA40" s="18">
        <v>67.110888000000003</v>
      </c>
      <c r="AB40" s="18">
        <v>119.37994500000001</v>
      </c>
      <c r="AC40" s="18">
        <v>36.781928999999998</v>
      </c>
      <c r="AD40" s="18">
        <v>193.5891</v>
      </c>
    </row>
    <row r="41" spans="2:30" x14ac:dyDescent="0.25">
      <c r="B41" t="s">
        <v>144</v>
      </c>
      <c r="C41" t="s">
        <v>105</v>
      </c>
      <c r="D41" t="s">
        <v>146</v>
      </c>
      <c r="E41" s="35">
        <v>0.9</v>
      </c>
      <c r="F41" s="35">
        <v>40</v>
      </c>
      <c r="G41" s="36">
        <v>0.54581100000000005</v>
      </c>
      <c r="H41" s="18">
        <v>982.45959300000004</v>
      </c>
      <c r="I41" s="16">
        <v>0</v>
      </c>
      <c r="J41" s="16"/>
      <c r="K41" s="16"/>
      <c r="L41" s="37" t="s">
        <v>107</v>
      </c>
      <c r="M41" s="37"/>
      <c r="N41" s="37">
        <v>42</v>
      </c>
      <c r="O41" s="37"/>
      <c r="P41" s="37"/>
      <c r="Q41" s="18">
        <v>6.0039210000000001</v>
      </c>
      <c r="R41" s="18">
        <v>4.0935825000000002E-2</v>
      </c>
      <c r="S41" s="18">
        <v>11.462031000000001</v>
      </c>
      <c r="T41" s="18">
        <v>49.122990000000001</v>
      </c>
      <c r="U41" s="18">
        <v>24.561495000000001</v>
      </c>
      <c r="V41" s="18">
        <v>314.38713600000005</v>
      </c>
      <c r="W41" s="18">
        <v>294.73794000000004</v>
      </c>
      <c r="X41" s="18">
        <v>196.49196000000001</v>
      </c>
      <c r="Y41" s="18">
        <v>8.7329760000000007</v>
      </c>
      <c r="Z41" s="18">
        <v>38.752581000000006</v>
      </c>
      <c r="AA41" s="18">
        <v>56.764344000000008</v>
      </c>
      <c r="AB41" s="18">
        <v>100.97503500000001</v>
      </c>
      <c r="AC41" s="18">
        <v>31.111227000000003</v>
      </c>
      <c r="AD41" s="18">
        <v>163.7433</v>
      </c>
    </row>
    <row r="42" spans="2:30" x14ac:dyDescent="0.25">
      <c r="B42" t="s">
        <v>147</v>
      </c>
      <c r="C42" t="s">
        <v>105</v>
      </c>
      <c r="D42" t="s">
        <v>148</v>
      </c>
      <c r="E42" s="35">
        <v>1.17</v>
      </c>
      <c r="F42" s="35">
        <v>97</v>
      </c>
      <c r="G42" s="36">
        <v>1.3547149999999999</v>
      </c>
      <c r="H42" s="18">
        <v>3170.0323950000002</v>
      </c>
      <c r="I42" s="16">
        <v>0</v>
      </c>
      <c r="J42" s="16">
        <v>30</v>
      </c>
      <c r="K42" s="16"/>
      <c r="L42" s="37" t="s">
        <v>107</v>
      </c>
      <c r="M42" s="37"/>
      <c r="N42" s="37">
        <v>43</v>
      </c>
      <c r="O42" s="37"/>
      <c r="P42" s="37"/>
      <c r="Q42" s="18">
        <v>14.901864999999999</v>
      </c>
      <c r="R42" s="18">
        <v>0.10160362499999999</v>
      </c>
      <c r="S42" s="18">
        <v>28.449014999999999</v>
      </c>
      <c r="T42" s="18">
        <v>121.92434999999999</v>
      </c>
      <c r="U42" s="18">
        <v>60.962174999999995</v>
      </c>
      <c r="V42" s="18">
        <v>780.31583999999998</v>
      </c>
      <c r="W42" s="18">
        <v>731.54609999999991</v>
      </c>
      <c r="X42" s="18">
        <v>487.69739999999996</v>
      </c>
      <c r="Y42" s="18">
        <v>21.675439999999998</v>
      </c>
      <c r="Z42" s="18">
        <v>96.184764999999999</v>
      </c>
      <c r="AA42" s="18">
        <v>140.89035999999999</v>
      </c>
      <c r="AB42" s="18">
        <v>250.62227499999997</v>
      </c>
      <c r="AC42" s="18">
        <v>77.218754999999987</v>
      </c>
      <c r="AD42" s="18">
        <v>406.41449999999998</v>
      </c>
    </row>
    <row r="43" spans="2:30" x14ac:dyDescent="0.25">
      <c r="B43" t="s">
        <v>138</v>
      </c>
      <c r="C43" t="s">
        <v>105</v>
      </c>
      <c r="D43" t="s">
        <v>148</v>
      </c>
      <c r="E43" s="35">
        <v>0.9</v>
      </c>
      <c r="F43" s="35">
        <v>44</v>
      </c>
      <c r="G43" s="36">
        <v>0.61451</v>
      </c>
      <c r="H43" s="18">
        <v>1106.1175679999999</v>
      </c>
      <c r="I43" s="16">
        <v>0</v>
      </c>
      <c r="J43" s="16">
        <v>36</v>
      </c>
      <c r="K43" s="16"/>
      <c r="L43" s="37" t="s">
        <v>107</v>
      </c>
      <c r="M43" s="37"/>
      <c r="N43" s="37">
        <v>44</v>
      </c>
      <c r="O43" s="37"/>
      <c r="P43" s="37"/>
      <c r="Q43" s="18">
        <v>6.7596100000000003</v>
      </c>
      <c r="R43" s="18">
        <v>4.6088249999999997E-2</v>
      </c>
      <c r="S43" s="18">
        <v>12.90471</v>
      </c>
      <c r="T43" s="18">
        <v>55.305900000000001</v>
      </c>
      <c r="U43" s="18">
        <v>27.652950000000001</v>
      </c>
      <c r="V43" s="18">
        <v>353.95776000000001</v>
      </c>
      <c r="W43" s="18">
        <v>331.83539999999999</v>
      </c>
      <c r="X43" s="18">
        <v>221.2236</v>
      </c>
      <c r="Y43" s="18">
        <v>9.83216</v>
      </c>
      <c r="Z43" s="18">
        <v>43.630209999999998</v>
      </c>
      <c r="AA43" s="18">
        <v>63.909039999999997</v>
      </c>
      <c r="AB43" s="18">
        <v>113.68434999999999</v>
      </c>
      <c r="AC43" s="18">
        <v>35.027070000000002</v>
      </c>
      <c r="AD43" s="18">
        <v>184.35300000000001</v>
      </c>
    </row>
    <row r="44" spans="2:30" x14ac:dyDescent="0.25">
      <c r="B44" t="s">
        <v>124</v>
      </c>
      <c r="C44" t="s">
        <v>105</v>
      </c>
      <c r="D44" t="s">
        <v>149</v>
      </c>
      <c r="E44" s="35">
        <v>0.9</v>
      </c>
      <c r="F44" s="35">
        <v>35</v>
      </c>
      <c r="G44" s="36">
        <v>0.48721999999999999</v>
      </c>
      <c r="H44" s="18">
        <v>876.99604099999999</v>
      </c>
      <c r="I44" s="16">
        <v>0</v>
      </c>
      <c r="J44" s="16"/>
      <c r="K44" s="16"/>
      <c r="L44" s="37" t="s">
        <v>107</v>
      </c>
      <c r="M44" s="37"/>
      <c r="N44" s="37">
        <v>45</v>
      </c>
      <c r="O44" s="37"/>
      <c r="P44" s="37"/>
      <c r="Q44" s="18">
        <v>5.3594200000000001</v>
      </c>
      <c r="R44" s="18">
        <v>3.6541499999999998E-2</v>
      </c>
      <c r="S44" s="18">
        <v>10.231619999999999</v>
      </c>
      <c r="T44" s="18">
        <v>43.849800000000002</v>
      </c>
      <c r="U44" s="18">
        <v>21.924900000000001</v>
      </c>
      <c r="V44" s="18">
        <v>280.63871999999998</v>
      </c>
      <c r="W44" s="18">
        <v>263.09879999999998</v>
      </c>
      <c r="X44" s="18">
        <v>175.39920000000001</v>
      </c>
      <c r="Y44" s="18">
        <v>7.7955199999999998</v>
      </c>
      <c r="Z44" s="18">
        <v>34.592619999999997</v>
      </c>
      <c r="AA44" s="18">
        <v>50.670879999999997</v>
      </c>
      <c r="AB44" s="18">
        <v>90.1357</v>
      </c>
      <c r="AC44" s="18">
        <v>27.771539999999998</v>
      </c>
      <c r="AD44" s="18">
        <v>146.166</v>
      </c>
    </row>
    <row r="45" spans="2:30" x14ac:dyDescent="0.25">
      <c r="B45" t="s">
        <v>133</v>
      </c>
      <c r="C45" t="s">
        <v>105</v>
      </c>
      <c r="D45" t="s">
        <v>113</v>
      </c>
      <c r="E45" s="35">
        <v>0.9</v>
      </c>
      <c r="F45" s="35">
        <v>50</v>
      </c>
      <c r="G45" s="36">
        <v>0.97729500000000002</v>
      </c>
      <c r="H45" s="18">
        <v>1759.1313479999999</v>
      </c>
      <c r="I45" s="16">
        <v>0</v>
      </c>
      <c r="J45" s="16">
        <v>50</v>
      </c>
      <c r="K45" s="16"/>
      <c r="L45" s="37" t="s">
        <v>107</v>
      </c>
      <c r="M45" s="37"/>
      <c r="N45" s="37">
        <v>46</v>
      </c>
      <c r="O45" s="37"/>
      <c r="P45" s="37"/>
      <c r="Q45" s="18">
        <v>10.750245</v>
      </c>
      <c r="R45" s="18">
        <v>7.3297125000000005E-2</v>
      </c>
      <c r="S45" s="18">
        <v>20.523195000000001</v>
      </c>
      <c r="T45" s="18">
        <v>87.956550000000007</v>
      </c>
      <c r="U45" s="18">
        <v>43.978275000000004</v>
      </c>
      <c r="V45" s="18">
        <v>562.92192</v>
      </c>
      <c r="W45" s="18">
        <v>527.73929999999996</v>
      </c>
      <c r="X45" s="18">
        <v>351.82620000000003</v>
      </c>
      <c r="Y45" s="18">
        <v>15.63672</v>
      </c>
      <c r="Z45" s="18">
        <v>69.387945000000002</v>
      </c>
      <c r="AA45" s="18">
        <v>101.63868000000001</v>
      </c>
      <c r="AB45" s="18">
        <v>180.799575</v>
      </c>
      <c r="AC45" s="18">
        <v>55.705815000000001</v>
      </c>
      <c r="AD45" s="18">
        <v>293.18850000000003</v>
      </c>
    </row>
    <row r="46" spans="2:30" x14ac:dyDescent="0.25">
      <c r="B46" t="s">
        <v>144</v>
      </c>
      <c r="C46" t="s">
        <v>105</v>
      </c>
      <c r="D46" t="s">
        <v>150</v>
      </c>
      <c r="E46" s="35">
        <v>0.9</v>
      </c>
      <c r="F46" s="35">
        <v>40</v>
      </c>
      <c r="G46" s="36">
        <v>0.61041000000000001</v>
      </c>
      <c r="H46" s="18">
        <v>1098.7381580000001</v>
      </c>
      <c r="I46" s="16">
        <v>0</v>
      </c>
      <c r="J46" s="16">
        <v>42</v>
      </c>
      <c r="K46" s="16" t="s">
        <v>130</v>
      </c>
      <c r="L46" s="37" t="s">
        <v>107</v>
      </c>
      <c r="M46" s="37"/>
      <c r="N46" s="37">
        <v>47</v>
      </c>
      <c r="O46" s="37"/>
      <c r="P46" s="37"/>
      <c r="Q46" s="18">
        <v>6.7145099999999998</v>
      </c>
      <c r="R46" s="18">
        <v>4.5780750000000002E-2</v>
      </c>
      <c r="S46" s="18">
        <v>12.81861</v>
      </c>
      <c r="T46" s="18">
        <v>54.936900000000001</v>
      </c>
      <c r="U46" s="18">
        <v>27.468450000000001</v>
      </c>
      <c r="V46" s="18">
        <v>351.59616</v>
      </c>
      <c r="W46" s="18">
        <v>329.62139999999999</v>
      </c>
      <c r="X46" s="18">
        <v>219.74760000000001</v>
      </c>
      <c r="Y46" s="18">
        <v>9.7665600000000001</v>
      </c>
      <c r="Z46" s="18">
        <v>43.339109999999998</v>
      </c>
      <c r="AA46" s="18">
        <v>63.482640000000004</v>
      </c>
      <c r="AB46" s="18">
        <v>112.92585</v>
      </c>
      <c r="AC46" s="18">
        <v>34.793370000000003</v>
      </c>
      <c r="AD46" s="18">
        <v>183.12299999999999</v>
      </c>
    </row>
    <row r="47" spans="2:30" x14ac:dyDescent="0.25">
      <c r="B47" t="s">
        <v>124</v>
      </c>
      <c r="C47" t="s">
        <v>105</v>
      </c>
      <c r="D47" t="s">
        <v>125</v>
      </c>
      <c r="E47" s="35">
        <v>0.9</v>
      </c>
      <c r="F47" s="35">
        <v>35</v>
      </c>
      <c r="G47" s="36">
        <v>0.47567100000000001</v>
      </c>
      <c r="H47" s="18">
        <v>856.20800099999997</v>
      </c>
      <c r="I47" s="16">
        <v>0</v>
      </c>
      <c r="J47" s="16"/>
      <c r="K47" s="16"/>
      <c r="L47" s="37" t="s">
        <v>107</v>
      </c>
      <c r="M47" s="37"/>
      <c r="N47" s="37">
        <v>48</v>
      </c>
      <c r="O47" s="37"/>
      <c r="P47" s="37"/>
      <c r="Q47" s="18">
        <v>5.2323810000000002</v>
      </c>
      <c r="R47" s="18">
        <v>3.5675325000000001E-2</v>
      </c>
      <c r="S47" s="18">
        <v>9.9890910000000002</v>
      </c>
      <c r="T47" s="18">
        <v>42.810389999999998</v>
      </c>
      <c r="U47" s="18">
        <v>21.405194999999999</v>
      </c>
      <c r="V47" s="18">
        <v>273.98649599999999</v>
      </c>
      <c r="W47" s="18">
        <v>256.86234000000002</v>
      </c>
      <c r="X47" s="18">
        <v>171.24155999999999</v>
      </c>
      <c r="Y47" s="18">
        <v>7.6107360000000002</v>
      </c>
      <c r="Z47" s="18">
        <v>33.772641</v>
      </c>
      <c r="AA47" s="18">
        <v>49.469784000000004</v>
      </c>
      <c r="AB47" s="18">
        <v>87.999134999999995</v>
      </c>
      <c r="AC47" s="18">
        <v>27.113247000000001</v>
      </c>
      <c r="AD47" s="18">
        <v>142.7013</v>
      </c>
    </row>
    <row r="48" spans="2:30" x14ac:dyDescent="0.25">
      <c r="B48" t="s">
        <v>112</v>
      </c>
      <c r="C48" t="s">
        <v>105</v>
      </c>
      <c r="D48" t="s">
        <v>126</v>
      </c>
      <c r="E48" s="35">
        <v>0.9</v>
      </c>
      <c r="F48" s="35">
        <v>60</v>
      </c>
      <c r="G48" s="36">
        <v>1.150355</v>
      </c>
      <c r="H48" s="18">
        <v>2070.6392580000002</v>
      </c>
      <c r="I48" s="16">
        <v>0</v>
      </c>
      <c r="J48" s="16">
        <v>58</v>
      </c>
      <c r="K48" s="16" t="s">
        <v>114</v>
      </c>
      <c r="L48" s="37" t="s">
        <v>107</v>
      </c>
      <c r="M48" s="37"/>
      <c r="N48" s="37">
        <v>49</v>
      </c>
      <c r="O48" s="37"/>
      <c r="P48" s="37"/>
      <c r="Q48" s="18">
        <v>12.653905</v>
      </c>
      <c r="R48" s="18">
        <v>8.6276624999999996E-2</v>
      </c>
      <c r="S48" s="18">
        <v>24.157454999999999</v>
      </c>
      <c r="T48" s="18">
        <v>103.53194999999999</v>
      </c>
      <c r="U48" s="18">
        <v>51.765974999999997</v>
      </c>
      <c r="V48" s="18">
        <v>662.60447999999997</v>
      </c>
      <c r="W48" s="18">
        <v>621.19169999999997</v>
      </c>
      <c r="X48" s="18">
        <v>414.12779999999998</v>
      </c>
      <c r="Y48" s="18">
        <v>18.40568</v>
      </c>
      <c r="Z48" s="18">
        <v>81.675205000000005</v>
      </c>
      <c r="AA48" s="18">
        <v>119.63692</v>
      </c>
      <c r="AB48" s="18">
        <v>212.815675</v>
      </c>
      <c r="AC48" s="18">
        <v>65.570234999999997</v>
      </c>
      <c r="AD48" s="18">
        <v>345.10649999999998</v>
      </c>
    </row>
    <row r="49" spans="2:30" x14ac:dyDescent="0.25">
      <c r="B49" t="s">
        <v>124</v>
      </c>
      <c r="C49" t="s">
        <v>105</v>
      </c>
      <c r="D49" t="s">
        <v>151</v>
      </c>
      <c r="E49" s="35">
        <v>0.9</v>
      </c>
      <c r="F49" s="35">
        <v>35</v>
      </c>
      <c r="G49" s="36">
        <v>0.510656</v>
      </c>
      <c r="H49" s="18">
        <v>919.180205</v>
      </c>
      <c r="I49" s="16">
        <v>0</v>
      </c>
      <c r="J49" s="16"/>
      <c r="K49" s="16"/>
      <c r="L49" s="37" t="s">
        <v>107</v>
      </c>
      <c r="M49" s="37"/>
      <c r="N49" s="37">
        <v>50</v>
      </c>
      <c r="O49" s="37"/>
      <c r="P49" s="37"/>
      <c r="Q49" s="18">
        <v>5.617216</v>
      </c>
      <c r="R49" s="18">
        <v>3.8299199999999999E-2</v>
      </c>
      <c r="S49" s="18">
        <v>10.723776000000001</v>
      </c>
      <c r="T49" s="18">
        <v>45.959040000000002</v>
      </c>
      <c r="U49" s="18">
        <v>22.979520000000001</v>
      </c>
      <c r="V49" s="18">
        <v>294.137856</v>
      </c>
      <c r="W49" s="18">
        <v>275.75423999999998</v>
      </c>
      <c r="X49" s="18">
        <v>183.83616000000001</v>
      </c>
      <c r="Y49" s="18">
        <v>8.170496</v>
      </c>
      <c r="Z49" s="18">
        <v>36.256576000000003</v>
      </c>
      <c r="AA49" s="18">
        <v>53.108224</v>
      </c>
      <c r="AB49" s="18">
        <v>94.471360000000004</v>
      </c>
      <c r="AC49" s="18">
        <v>29.107392000000001</v>
      </c>
      <c r="AD49" s="18">
        <v>153.1968</v>
      </c>
    </row>
    <row r="50" spans="2:30" x14ac:dyDescent="0.25">
      <c r="B50" t="s">
        <v>124</v>
      </c>
      <c r="C50" t="s">
        <v>105</v>
      </c>
      <c r="D50" t="s">
        <v>152</v>
      </c>
      <c r="E50" s="35">
        <v>0.9</v>
      </c>
      <c r="F50" s="35">
        <v>35</v>
      </c>
      <c r="G50" s="36">
        <v>0.48718800000000001</v>
      </c>
      <c r="H50" s="18">
        <v>876.93767800000001</v>
      </c>
      <c r="I50" s="16">
        <v>0</v>
      </c>
      <c r="J50" s="16"/>
      <c r="K50" s="16"/>
      <c r="L50" s="37" t="s">
        <v>107</v>
      </c>
      <c r="M50" s="37"/>
      <c r="N50" s="37">
        <v>51</v>
      </c>
      <c r="O50" s="37"/>
      <c r="P50" s="37"/>
      <c r="Q50" s="18">
        <v>5.3590679999999997</v>
      </c>
      <c r="R50" s="18">
        <v>3.6539099999999998E-2</v>
      </c>
      <c r="S50" s="18">
        <v>10.230948</v>
      </c>
      <c r="T50" s="18">
        <v>43.846920000000004</v>
      </c>
      <c r="U50" s="18">
        <v>21.923460000000002</v>
      </c>
      <c r="V50" s="18">
        <v>280.62028800000002</v>
      </c>
      <c r="W50" s="18">
        <v>263.08152000000001</v>
      </c>
      <c r="X50" s="18">
        <v>175.38768000000002</v>
      </c>
      <c r="Y50" s="18">
        <v>7.7950080000000002</v>
      </c>
      <c r="Z50" s="18">
        <v>34.590347999999999</v>
      </c>
      <c r="AA50" s="18">
        <v>50.667552000000001</v>
      </c>
      <c r="AB50" s="18">
        <v>90.129779999999997</v>
      </c>
      <c r="AC50" s="18">
        <v>27.769715999999999</v>
      </c>
      <c r="AD50" s="18">
        <v>146.15639999999999</v>
      </c>
    </row>
    <row r="51" spans="2:30" x14ac:dyDescent="0.25">
      <c r="B51" t="s">
        <v>122</v>
      </c>
      <c r="C51" t="s">
        <v>105</v>
      </c>
      <c r="D51" t="s">
        <v>153</v>
      </c>
      <c r="E51" s="35">
        <v>0.9</v>
      </c>
      <c r="F51" s="35">
        <v>71</v>
      </c>
      <c r="G51" s="36">
        <v>0.93815800000000005</v>
      </c>
      <c r="H51" s="18">
        <v>1688.68478</v>
      </c>
      <c r="I51" s="16">
        <v>0</v>
      </c>
      <c r="J51" s="16">
        <v>30</v>
      </c>
      <c r="K51" s="16"/>
      <c r="L51" s="37" t="s">
        <v>107</v>
      </c>
      <c r="M51" s="37"/>
      <c r="N51" s="37">
        <v>52</v>
      </c>
      <c r="O51" s="37"/>
      <c r="P51" s="37"/>
      <c r="Q51" s="18">
        <v>10.319738000000001</v>
      </c>
      <c r="R51" s="18">
        <v>7.0361850000000004E-2</v>
      </c>
      <c r="S51" s="18">
        <v>19.701318000000001</v>
      </c>
      <c r="T51" s="18">
        <v>84.43422000000001</v>
      </c>
      <c r="U51" s="18">
        <v>42.217110000000005</v>
      </c>
      <c r="V51" s="18">
        <v>540.379008</v>
      </c>
      <c r="W51" s="18">
        <v>506.60532000000001</v>
      </c>
      <c r="X51" s="18">
        <v>337.73688000000004</v>
      </c>
      <c r="Y51" s="18">
        <v>15.010528000000001</v>
      </c>
      <c r="Z51" s="18">
        <v>66.609217999999998</v>
      </c>
      <c r="AA51" s="18">
        <v>97.568432000000001</v>
      </c>
      <c r="AB51" s="18">
        <v>173.55923000000001</v>
      </c>
      <c r="AC51" s="18">
        <v>53.475006</v>
      </c>
      <c r="AD51" s="18">
        <v>281.44740000000002</v>
      </c>
    </row>
    <row r="52" spans="2:30" x14ac:dyDescent="0.25">
      <c r="B52" t="s">
        <v>133</v>
      </c>
      <c r="C52" t="s">
        <v>105</v>
      </c>
      <c r="D52" t="s">
        <v>113</v>
      </c>
      <c r="E52" s="35">
        <v>0.9</v>
      </c>
      <c r="F52" s="35">
        <v>50</v>
      </c>
      <c r="G52" s="36">
        <v>0.97729500000000002</v>
      </c>
      <c r="H52" s="18">
        <v>1759.1313479999999</v>
      </c>
      <c r="I52" s="16">
        <v>0</v>
      </c>
      <c r="J52" s="16">
        <v>48</v>
      </c>
      <c r="K52" s="16"/>
      <c r="L52" s="37" t="s">
        <v>107</v>
      </c>
      <c r="M52" s="37"/>
      <c r="N52" s="37">
        <v>53</v>
      </c>
      <c r="O52" s="37"/>
      <c r="P52" s="37"/>
      <c r="Q52" s="18">
        <v>10.750245</v>
      </c>
      <c r="R52" s="18">
        <v>7.3297125000000005E-2</v>
      </c>
      <c r="S52" s="18">
        <v>20.523195000000001</v>
      </c>
      <c r="T52" s="18">
        <v>87.956550000000007</v>
      </c>
      <c r="U52" s="18">
        <v>43.978275000000004</v>
      </c>
      <c r="V52" s="18">
        <v>562.92192</v>
      </c>
      <c r="W52" s="18">
        <v>527.73929999999996</v>
      </c>
      <c r="X52" s="18">
        <v>351.82620000000003</v>
      </c>
      <c r="Y52" s="18">
        <v>15.63672</v>
      </c>
      <c r="Z52" s="18">
        <v>69.387945000000002</v>
      </c>
      <c r="AA52" s="18">
        <v>101.63868000000001</v>
      </c>
      <c r="AB52" s="18">
        <v>180.799575</v>
      </c>
      <c r="AC52" s="18">
        <v>55.705815000000001</v>
      </c>
      <c r="AD52" s="18">
        <v>293.18850000000003</v>
      </c>
    </row>
    <row r="53" spans="2:30" x14ac:dyDescent="0.25">
      <c r="B53" t="s">
        <v>124</v>
      </c>
      <c r="C53" t="s">
        <v>105</v>
      </c>
      <c r="D53" t="s">
        <v>154</v>
      </c>
      <c r="E53" s="35">
        <v>0.9</v>
      </c>
      <c r="F53" s="35">
        <v>35</v>
      </c>
      <c r="G53" s="36">
        <v>0.496004</v>
      </c>
      <c r="H53" s="18">
        <v>892.80667900000003</v>
      </c>
      <c r="I53" s="16">
        <v>0</v>
      </c>
      <c r="J53" s="16"/>
      <c r="K53" s="16"/>
      <c r="L53" s="37" t="s">
        <v>107</v>
      </c>
      <c r="M53" s="37"/>
      <c r="N53" s="37">
        <v>54</v>
      </c>
      <c r="O53" s="37"/>
      <c r="P53" s="37"/>
      <c r="Q53" s="18">
        <v>5.4560440000000003</v>
      </c>
      <c r="R53" s="18">
        <v>3.7200299999999999E-2</v>
      </c>
      <c r="S53" s="18">
        <v>10.416084</v>
      </c>
      <c r="T53" s="18">
        <v>44.640360000000001</v>
      </c>
      <c r="U53" s="18">
        <v>22.320180000000001</v>
      </c>
      <c r="V53" s="18">
        <v>285.69830400000001</v>
      </c>
      <c r="W53" s="18">
        <v>267.84215999999998</v>
      </c>
      <c r="X53" s="18">
        <v>178.56144</v>
      </c>
      <c r="Y53" s="18">
        <v>7.936064</v>
      </c>
      <c r="Z53" s="18">
        <v>35.216284000000002</v>
      </c>
      <c r="AA53" s="18">
        <v>51.584415999999997</v>
      </c>
      <c r="AB53" s="18">
        <v>91.760739999999998</v>
      </c>
      <c r="AC53" s="18">
        <v>28.272227999999998</v>
      </c>
      <c r="AD53" s="18">
        <v>148.80119999999999</v>
      </c>
    </row>
    <row r="54" spans="2:30" x14ac:dyDescent="0.25">
      <c r="B54" t="s">
        <v>144</v>
      </c>
      <c r="C54" t="s">
        <v>105</v>
      </c>
      <c r="D54" t="s">
        <v>155</v>
      </c>
      <c r="E54" s="35">
        <v>0.9</v>
      </c>
      <c r="F54" s="35">
        <v>40</v>
      </c>
      <c r="G54" s="36">
        <v>0.52906799999999998</v>
      </c>
      <c r="H54" s="18">
        <v>952.32234700000004</v>
      </c>
      <c r="I54" s="16">
        <v>0</v>
      </c>
      <c r="J54" s="16"/>
      <c r="K54" s="16"/>
      <c r="L54" s="37" t="s">
        <v>107</v>
      </c>
      <c r="M54" s="37"/>
      <c r="N54" s="37">
        <v>55</v>
      </c>
      <c r="O54" s="37"/>
      <c r="P54" s="37"/>
      <c r="Q54" s="18">
        <v>5.8197479999999997</v>
      </c>
      <c r="R54" s="18">
        <v>3.9680099999999996E-2</v>
      </c>
      <c r="S54" s="18">
        <v>11.110427999999999</v>
      </c>
      <c r="T54" s="18">
        <v>47.616119999999995</v>
      </c>
      <c r="U54" s="18">
        <v>23.808059999999998</v>
      </c>
      <c r="V54" s="18">
        <v>304.74316799999997</v>
      </c>
      <c r="W54" s="18">
        <v>285.69671999999997</v>
      </c>
      <c r="X54" s="18">
        <v>190.46447999999998</v>
      </c>
      <c r="Y54" s="18">
        <v>8.4650879999999997</v>
      </c>
      <c r="Z54" s="18">
        <v>37.563828000000001</v>
      </c>
      <c r="AA54" s="18">
        <v>55.023071999999999</v>
      </c>
      <c r="AB54" s="18">
        <v>97.877579999999995</v>
      </c>
      <c r="AC54" s="18">
        <v>30.156876</v>
      </c>
      <c r="AD54" s="18">
        <v>158.72039999999998</v>
      </c>
    </row>
    <row r="55" spans="2:30" x14ac:dyDescent="0.25">
      <c r="B55" t="s">
        <v>134</v>
      </c>
      <c r="C55" t="s">
        <v>105</v>
      </c>
      <c r="D55" t="s">
        <v>156</v>
      </c>
      <c r="E55" s="35">
        <v>1.17</v>
      </c>
      <c r="F55" s="35">
        <v>86</v>
      </c>
      <c r="G55" s="36">
        <v>1.1724220000000001</v>
      </c>
      <c r="H55" s="18">
        <v>2743.466915</v>
      </c>
      <c r="I55" s="16">
        <v>0</v>
      </c>
      <c r="J55" s="16">
        <v>30</v>
      </c>
      <c r="K55" s="16"/>
      <c r="L55" s="37" t="s">
        <v>107</v>
      </c>
      <c r="M55" s="37"/>
      <c r="N55" s="37">
        <v>56</v>
      </c>
      <c r="O55" s="37"/>
      <c r="P55" s="37"/>
      <c r="Q55" s="18">
        <v>12.896642</v>
      </c>
      <c r="R55" s="18">
        <v>8.793165E-2</v>
      </c>
      <c r="S55" s="18">
        <v>24.620862000000002</v>
      </c>
      <c r="T55" s="18">
        <v>105.51798000000001</v>
      </c>
      <c r="U55" s="18">
        <v>52.758990000000004</v>
      </c>
      <c r="V55" s="18">
        <v>675.3150720000001</v>
      </c>
      <c r="W55" s="18">
        <v>633.10788000000002</v>
      </c>
      <c r="X55" s="18">
        <v>422.07192000000003</v>
      </c>
      <c r="Y55" s="18">
        <v>18.758752000000001</v>
      </c>
      <c r="Z55" s="18">
        <v>83.241962000000001</v>
      </c>
      <c r="AA55" s="18">
        <v>121.93188800000001</v>
      </c>
      <c r="AB55" s="18">
        <v>216.89807000000002</v>
      </c>
      <c r="AC55" s="18">
        <v>66.828054000000009</v>
      </c>
      <c r="AD55" s="18">
        <v>351.72660000000002</v>
      </c>
    </row>
    <row r="56" spans="2:30" x14ac:dyDescent="0.25">
      <c r="B56" t="s">
        <v>138</v>
      </c>
      <c r="C56" t="s">
        <v>105</v>
      </c>
      <c r="D56" t="s">
        <v>156</v>
      </c>
      <c r="E56" s="35">
        <v>0.9</v>
      </c>
      <c r="F56" s="35">
        <v>44</v>
      </c>
      <c r="G56" s="36">
        <v>0.59984400000000004</v>
      </c>
      <c r="H56" s="18">
        <v>1079.7186429999999</v>
      </c>
      <c r="I56" s="16">
        <v>0</v>
      </c>
      <c r="J56" s="16"/>
      <c r="K56" s="16"/>
      <c r="L56" s="37" t="s">
        <v>107</v>
      </c>
      <c r="M56" s="37"/>
      <c r="N56" s="37">
        <v>57</v>
      </c>
      <c r="O56" s="37"/>
      <c r="P56" s="37"/>
      <c r="Q56" s="18">
        <v>6.5982840000000005</v>
      </c>
      <c r="R56" s="18">
        <v>4.4988300000000002E-2</v>
      </c>
      <c r="S56" s="18">
        <v>12.596724000000002</v>
      </c>
      <c r="T56" s="18">
        <v>53.985960000000006</v>
      </c>
      <c r="U56" s="18">
        <v>26.992980000000003</v>
      </c>
      <c r="V56" s="18">
        <v>345.51014400000003</v>
      </c>
      <c r="W56" s="18">
        <v>323.91576000000003</v>
      </c>
      <c r="X56" s="18">
        <v>215.94384000000002</v>
      </c>
      <c r="Y56" s="18">
        <v>9.5975040000000007</v>
      </c>
      <c r="Z56" s="18">
        <v>42.588924000000006</v>
      </c>
      <c r="AA56" s="18">
        <v>62.383776000000005</v>
      </c>
      <c r="AB56" s="18">
        <v>110.97114000000001</v>
      </c>
      <c r="AC56" s="18">
        <v>34.191108</v>
      </c>
      <c r="AD56" s="18">
        <v>179.95320000000001</v>
      </c>
    </row>
    <row r="57" spans="2:30" x14ac:dyDescent="0.25">
      <c r="B57" t="s">
        <v>133</v>
      </c>
      <c r="C57" t="s">
        <v>105</v>
      </c>
      <c r="D57" t="s">
        <v>157</v>
      </c>
      <c r="E57" s="35">
        <v>0.9</v>
      </c>
      <c r="F57" s="35">
        <v>50</v>
      </c>
      <c r="G57" s="36">
        <v>0.69233699999999998</v>
      </c>
      <c r="H57" s="18">
        <v>1246.2068039999999</v>
      </c>
      <c r="I57" s="16">
        <v>0</v>
      </c>
      <c r="J57" s="16"/>
      <c r="K57" s="16"/>
      <c r="L57" s="37" t="s">
        <v>107</v>
      </c>
      <c r="M57" s="37"/>
      <c r="N57" s="37">
        <v>58</v>
      </c>
      <c r="O57" s="37"/>
      <c r="P57" s="37"/>
      <c r="Q57" s="18">
        <v>7.6157069999999996</v>
      </c>
      <c r="R57" s="18">
        <v>5.1925275E-2</v>
      </c>
      <c r="S57" s="18">
        <v>14.539076999999999</v>
      </c>
      <c r="T57" s="18">
        <v>62.31033</v>
      </c>
      <c r="U57" s="18">
        <v>31.155165</v>
      </c>
      <c r="V57" s="18">
        <v>398.786112</v>
      </c>
      <c r="W57" s="18">
        <v>373.86198000000002</v>
      </c>
      <c r="X57" s="18">
        <v>249.24132</v>
      </c>
      <c r="Y57" s="18">
        <v>11.077392</v>
      </c>
      <c r="Z57" s="18">
        <v>49.155926999999998</v>
      </c>
      <c r="AA57" s="18">
        <v>72.003047999999993</v>
      </c>
      <c r="AB57" s="18">
        <v>128.082345</v>
      </c>
      <c r="AC57" s="18">
        <v>39.463208999999999</v>
      </c>
      <c r="AD57" s="18">
        <v>207.7011</v>
      </c>
    </row>
    <row r="58" spans="2:30" x14ac:dyDescent="0.25">
      <c r="B58" t="s">
        <v>133</v>
      </c>
      <c r="C58" t="s">
        <v>105</v>
      </c>
      <c r="D58" t="s">
        <v>113</v>
      </c>
      <c r="E58" s="35">
        <v>0.9</v>
      </c>
      <c r="F58" s="35">
        <v>50</v>
      </c>
      <c r="G58" s="36">
        <v>0.97729500000000002</v>
      </c>
      <c r="H58" s="18">
        <v>1759.1313479999999</v>
      </c>
      <c r="I58" s="16">
        <v>0</v>
      </c>
      <c r="J58" s="16">
        <v>48</v>
      </c>
      <c r="K58" s="16"/>
      <c r="L58" s="37" t="s">
        <v>107</v>
      </c>
      <c r="M58" s="37"/>
      <c r="N58" s="37">
        <v>59</v>
      </c>
      <c r="O58" s="37"/>
      <c r="P58" s="37"/>
      <c r="Q58" s="18">
        <v>10.750245</v>
      </c>
      <c r="R58" s="18">
        <v>7.3297125000000005E-2</v>
      </c>
      <c r="S58" s="18">
        <v>20.523195000000001</v>
      </c>
      <c r="T58" s="18">
        <v>87.956550000000007</v>
      </c>
      <c r="U58" s="18">
        <v>43.978275000000004</v>
      </c>
      <c r="V58" s="18">
        <v>562.92192</v>
      </c>
      <c r="W58" s="18">
        <v>527.73929999999996</v>
      </c>
      <c r="X58" s="18">
        <v>351.82620000000003</v>
      </c>
      <c r="Y58" s="18">
        <v>15.63672</v>
      </c>
      <c r="Z58" s="18">
        <v>69.387945000000002</v>
      </c>
      <c r="AA58" s="18">
        <v>101.63868000000001</v>
      </c>
      <c r="AB58" s="18">
        <v>180.799575</v>
      </c>
      <c r="AC58" s="18">
        <v>55.705815000000001</v>
      </c>
      <c r="AD58" s="18">
        <v>293.18850000000003</v>
      </c>
    </row>
    <row r="59" spans="2:30" x14ac:dyDescent="0.25">
      <c r="B59" t="s">
        <v>158</v>
      </c>
      <c r="C59" t="s">
        <v>105</v>
      </c>
      <c r="D59" t="s">
        <v>159</v>
      </c>
      <c r="E59" s="35">
        <v>0.9</v>
      </c>
      <c r="F59" s="35">
        <v>18</v>
      </c>
      <c r="G59" s="36">
        <v>8.2380999999999996E-2</v>
      </c>
      <c r="H59" s="18">
        <v>148.286599</v>
      </c>
      <c r="I59" s="16">
        <v>0</v>
      </c>
      <c r="J59" s="16"/>
      <c r="K59" s="16"/>
      <c r="L59" s="37" t="s">
        <v>107</v>
      </c>
      <c r="M59" s="37"/>
      <c r="N59" s="37">
        <v>60</v>
      </c>
      <c r="O59" s="37"/>
      <c r="P59" s="37"/>
      <c r="Q59" s="18">
        <v>0.90619099999999997</v>
      </c>
      <c r="R59" s="18">
        <v>6.1785749999999995E-3</v>
      </c>
      <c r="S59" s="18">
        <v>1.7300009999999999</v>
      </c>
      <c r="T59" s="18">
        <v>7.4142899999999994</v>
      </c>
      <c r="U59" s="18">
        <v>3.7071449999999997</v>
      </c>
      <c r="V59" s="18">
        <v>47.451456</v>
      </c>
      <c r="W59" s="18">
        <v>44.48574</v>
      </c>
      <c r="X59" s="18">
        <v>29.657159999999998</v>
      </c>
      <c r="Y59" s="18">
        <v>1.3180959999999999</v>
      </c>
      <c r="Z59" s="18">
        <v>5.8490509999999993</v>
      </c>
      <c r="AA59" s="18">
        <v>8.5676240000000004</v>
      </c>
      <c r="AB59" s="18">
        <v>15.240485</v>
      </c>
      <c r="AC59" s="18">
        <v>4.6957170000000001</v>
      </c>
      <c r="AD59" s="18">
        <v>24.714299999999998</v>
      </c>
    </row>
    <row r="60" spans="2:30" x14ac:dyDescent="0.25">
      <c r="B60" t="s">
        <v>158</v>
      </c>
      <c r="C60" t="s">
        <v>105</v>
      </c>
      <c r="D60" t="s">
        <v>159</v>
      </c>
      <c r="E60" s="35">
        <v>0.9</v>
      </c>
      <c r="F60" s="35">
        <v>18</v>
      </c>
      <c r="G60" s="36">
        <v>8.2380999999999996E-2</v>
      </c>
      <c r="H60" s="18">
        <v>148.286599</v>
      </c>
      <c r="I60" s="16">
        <v>0</v>
      </c>
      <c r="J60" s="16"/>
      <c r="K60" s="16"/>
      <c r="L60" s="37" t="s">
        <v>107</v>
      </c>
      <c r="M60" s="37"/>
      <c r="N60" s="37">
        <v>61</v>
      </c>
      <c r="O60" s="37"/>
      <c r="P60" s="37"/>
      <c r="Q60" s="18">
        <v>0.90619099999999997</v>
      </c>
      <c r="R60" s="18">
        <v>6.1785749999999995E-3</v>
      </c>
      <c r="S60" s="18">
        <v>1.7300009999999999</v>
      </c>
      <c r="T60" s="18">
        <v>7.4142899999999994</v>
      </c>
      <c r="U60" s="18">
        <v>3.7071449999999997</v>
      </c>
      <c r="V60" s="18">
        <v>47.451456</v>
      </c>
      <c r="W60" s="18">
        <v>44.48574</v>
      </c>
      <c r="X60" s="18">
        <v>29.657159999999998</v>
      </c>
      <c r="Y60" s="18">
        <v>1.3180959999999999</v>
      </c>
      <c r="Z60" s="18">
        <v>5.8490509999999993</v>
      </c>
      <c r="AA60" s="18">
        <v>8.5676240000000004</v>
      </c>
      <c r="AB60" s="18">
        <v>15.240485</v>
      </c>
      <c r="AC60" s="18">
        <v>4.6957170000000001</v>
      </c>
      <c r="AD60" s="18">
        <v>24.714299999999998</v>
      </c>
    </row>
    <row r="61" spans="2:30" x14ac:dyDescent="0.25">
      <c r="B61" t="s">
        <v>160</v>
      </c>
      <c r="C61" t="s">
        <v>105</v>
      </c>
      <c r="D61" t="s">
        <v>161</v>
      </c>
      <c r="E61" s="35">
        <v>0.9</v>
      </c>
      <c r="F61" s="35">
        <v>31</v>
      </c>
      <c r="G61" s="36">
        <v>0.413798</v>
      </c>
      <c r="H61" s="18">
        <v>744.83567600000003</v>
      </c>
      <c r="I61" s="16">
        <v>0</v>
      </c>
      <c r="J61" s="16"/>
      <c r="K61" s="16"/>
      <c r="L61" s="37" t="s">
        <v>107</v>
      </c>
      <c r="M61" s="37"/>
      <c r="N61" s="37">
        <v>62</v>
      </c>
      <c r="O61" s="37"/>
      <c r="P61" s="37"/>
      <c r="Q61" s="18">
        <v>4.5517779999999997</v>
      </c>
      <c r="R61" s="18">
        <v>3.1034849999999999E-2</v>
      </c>
      <c r="S61" s="18">
        <v>8.6897579999999994</v>
      </c>
      <c r="T61" s="18">
        <v>37.241819999999997</v>
      </c>
      <c r="U61" s="18">
        <v>18.620909999999999</v>
      </c>
      <c r="V61" s="18">
        <v>238.34764799999999</v>
      </c>
      <c r="W61" s="18">
        <v>223.45092</v>
      </c>
      <c r="X61" s="18">
        <v>148.96727999999999</v>
      </c>
      <c r="Y61" s="18">
        <v>6.620768</v>
      </c>
      <c r="Z61" s="18">
        <v>29.379657999999999</v>
      </c>
      <c r="AA61" s="18">
        <v>43.034992000000003</v>
      </c>
      <c r="AB61" s="18">
        <v>76.552629999999994</v>
      </c>
      <c r="AC61" s="18">
        <v>23.586486000000001</v>
      </c>
      <c r="AD61" s="18">
        <v>124.13939999999999</v>
      </c>
    </row>
    <row r="62" spans="2:30" x14ac:dyDescent="0.25">
      <c r="B62" t="s">
        <v>158</v>
      </c>
      <c r="C62" t="s">
        <v>105</v>
      </c>
      <c r="D62" t="s">
        <v>159</v>
      </c>
      <c r="E62" s="35">
        <v>0.9</v>
      </c>
      <c r="F62" s="35">
        <v>18</v>
      </c>
      <c r="G62" s="36">
        <v>8.2380999999999996E-2</v>
      </c>
      <c r="H62" s="18">
        <v>148.286599</v>
      </c>
      <c r="I62" s="16">
        <v>0</v>
      </c>
      <c r="J62" s="16"/>
      <c r="K62" s="16"/>
      <c r="L62" s="37" t="s">
        <v>107</v>
      </c>
      <c r="M62" s="37"/>
      <c r="N62" s="37">
        <v>63</v>
      </c>
      <c r="O62" s="37"/>
      <c r="P62" s="37"/>
      <c r="Q62" s="18">
        <v>0.90619099999999997</v>
      </c>
      <c r="R62" s="18">
        <v>6.1785749999999995E-3</v>
      </c>
      <c r="S62" s="18">
        <v>1.7300009999999999</v>
      </c>
      <c r="T62" s="18">
        <v>7.4142899999999994</v>
      </c>
      <c r="U62" s="18">
        <v>3.7071449999999997</v>
      </c>
      <c r="V62" s="18">
        <v>47.451456</v>
      </c>
      <c r="W62" s="18">
        <v>44.48574</v>
      </c>
      <c r="X62" s="18">
        <v>29.657159999999998</v>
      </c>
      <c r="Y62" s="18">
        <v>1.3180959999999999</v>
      </c>
      <c r="Z62" s="18">
        <v>5.8490509999999993</v>
      </c>
      <c r="AA62" s="18">
        <v>8.5676240000000004</v>
      </c>
      <c r="AB62" s="18">
        <v>15.240485</v>
      </c>
      <c r="AC62" s="18">
        <v>4.6957170000000001</v>
      </c>
      <c r="AD62" s="18">
        <v>24.714299999999998</v>
      </c>
    </row>
    <row r="63" spans="2:30" x14ac:dyDescent="0.25">
      <c r="B63" t="s">
        <v>162</v>
      </c>
      <c r="C63" t="s">
        <v>105</v>
      </c>
      <c r="D63" t="s">
        <v>163</v>
      </c>
      <c r="E63" s="35">
        <v>0.9</v>
      </c>
      <c r="F63" s="35">
        <v>24</v>
      </c>
      <c r="G63" s="36">
        <v>8.0427999999999999E-2</v>
      </c>
      <c r="H63" s="18">
        <v>144.76962</v>
      </c>
      <c r="I63" s="16">
        <v>0</v>
      </c>
      <c r="J63" s="16"/>
      <c r="K63" s="16"/>
      <c r="L63" s="37" t="s">
        <v>107</v>
      </c>
      <c r="M63" s="37"/>
      <c r="N63" s="37">
        <v>64</v>
      </c>
      <c r="O63" s="37"/>
      <c r="P63" s="37"/>
      <c r="Q63" s="18">
        <v>0.88470800000000005</v>
      </c>
      <c r="R63" s="18">
        <v>6.0320999999999994E-3</v>
      </c>
      <c r="S63" s="18">
        <v>1.6889879999999999</v>
      </c>
      <c r="T63" s="18">
        <v>7.2385200000000003</v>
      </c>
      <c r="U63" s="18">
        <v>3.6192600000000001</v>
      </c>
      <c r="V63" s="18">
        <v>46.326527999999996</v>
      </c>
      <c r="W63" s="18">
        <v>43.43112</v>
      </c>
      <c r="X63" s="18">
        <v>28.954080000000001</v>
      </c>
      <c r="Y63" s="18">
        <v>1.286848</v>
      </c>
      <c r="Z63" s="18">
        <v>5.710388</v>
      </c>
      <c r="AA63" s="18">
        <v>8.3645119999999995</v>
      </c>
      <c r="AB63" s="18">
        <v>14.87918</v>
      </c>
      <c r="AC63" s="18">
        <v>4.5843959999999999</v>
      </c>
      <c r="AD63" s="18">
        <v>24.128399999999999</v>
      </c>
    </row>
    <row r="64" spans="2:30" x14ac:dyDescent="0.25">
      <c r="B64" t="s">
        <v>162</v>
      </c>
      <c r="C64" t="s">
        <v>105</v>
      </c>
      <c r="D64" t="s">
        <v>164</v>
      </c>
      <c r="E64" s="35">
        <v>0.9</v>
      </c>
      <c r="F64" s="35">
        <v>24</v>
      </c>
      <c r="G64" s="36">
        <v>8.4455000000000002E-2</v>
      </c>
      <c r="H64" s="18">
        <v>152.01968400000001</v>
      </c>
      <c r="I64" s="16">
        <v>0</v>
      </c>
      <c r="J64" s="16"/>
      <c r="K64" s="16"/>
      <c r="L64" s="37" t="s">
        <v>107</v>
      </c>
      <c r="M64" s="37"/>
      <c r="N64" s="37">
        <v>65</v>
      </c>
      <c r="O64" s="37"/>
      <c r="P64" s="37"/>
      <c r="Q64" s="18">
        <v>0.92900500000000008</v>
      </c>
      <c r="R64" s="18">
        <v>6.3341250000000003E-3</v>
      </c>
      <c r="S64" s="18">
        <v>1.773555</v>
      </c>
      <c r="T64" s="18">
        <v>7.6009500000000001</v>
      </c>
      <c r="U64" s="18">
        <v>3.800475</v>
      </c>
      <c r="V64" s="18">
        <v>48.646079999999998</v>
      </c>
      <c r="W64" s="18">
        <v>45.605699999999999</v>
      </c>
      <c r="X64" s="18">
        <v>30.4038</v>
      </c>
      <c r="Y64" s="18">
        <v>1.35128</v>
      </c>
      <c r="Z64" s="18">
        <v>5.9963050000000004</v>
      </c>
      <c r="AA64" s="18">
        <v>8.7833199999999998</v>
      </c>
      <c r="AB64" s="18">
        <v>15.624175000000001</v>
      </c>
      <c r="AC64" s="18">
        <v>4.8139349999999999</v>
      </c>
      <c r="AD64" s="18">
        <v>25.336500000000001</v>
      </c>
    </row>
    <row r="65" spans="2:30" x14ac:dyDescent="0.25">
      <c r="B65" t="s">
        <v>162</v>
      </c>
      <c r="C65" t="s">
        <v>105</v>
      </c>
      <c r="D65" t="s">
        <v>164</v>
      </c>
      <c r="E65" s="35">
        <v>0.9</v>
      </c>
      <c r="F65" s="35">
        <v>24</v>
      </c>
      <c r="G65" s="36">
        <v>8.4477999999999998E-2</v>
      </c>
      <c r="H65" s="18">
        <v>152.059572</v>
      </c>
      <c r="I65" s="16">
        <v>0</v>
      </c>
      <c r="J65" s="16"/>
      <c r="K65" s="16"/>
      <c r="L65" s="37" t="s">
        <v>107</v>
      </c>
      <c r="M65" s="37"/>
      <c r="N65" s="37">
        <v>66</v>
      </c>
      <c r="O65" s="37"/>
      <c r="P65" s="37"/>
      <c r="Q65" s="18">
        <v>0.92925799999999992</v>
      </c>
      <c r="R65" s="18">
        <v>6.3358499999999996E-3</v>
      </c>
      <c r="S65" s="18">
        <v>1.774038</v>
      </c>
      <c r="T65" s="18">
        <v>7.6030199999999999</v>
      </c>
      <c r="U65" s="18">
        <v>3.8015099999999999</v>
      </c>
      <c r="V65" s="18">
        <v>48.659328000000002</v>
      </c>
      <c r="W65" s="18">
        <v>45.618119999999998</v>
      </c>
      <c r="X65" s="18">
        <v>30.41208</v>
      </c>
      <c r="Y65" s="18">
        <v>1.351648</v>
      </c>
      <c r="Z65" s="18">
        <v>5.9979379999999995</v>
      </c>
      <c r="AA65" s="18">
        <v>8.7857120000000002</v>
      </c>
      <c r="AB65" s="18">
        <v>15.62843</v>
      </c>
      <c r="AC65" s="18">
        <v>4.8152460000000001</v>
      </c>
      <c r="AD65" s="18">
        <v>25.343399999999999</v>
      </c>
    </row>
    <row r="66" spans="2:30" x14ac:dyDescent="0.25">
      <c r="B66" t="s">
        <v>133</v>
      </c>
      <c r="C66" t="s">
        <v>105</v>
      </c>
      <c r="D66" t="s">
        <v>125</v>
      </c>
      <c r="E66" s="35">
        <v>0.9</v>
      </c>
      <c r="F66" s="35">
        <v>50</v>
      </c>
      <c r="G66" s="36">
        <v>0.67952999999999997</v>
      </c>
      <c r="H66" s="18">
        <v>1223.1542870000001</v>
      </c>
      <c r="I66" s="16">
        <v>0</v>
      </c>
      <c r="J66" s="16"/>
      <c r="K66" s="16"/>
      <c r="L66" s="37" t="s">
        <v>107</v>
      </c>
      <c r="M66" s="37"/>
      <c r="N66" s="37">
        <v>67</v>
      </c>
      <c r="O66" s="37"/>
      <c r="P66" s="37"/>
      <c r="Q66" s="18">
        <v>7.4748299999999999</v>
      </c>
      <c r="R66" s="18">
        <v>5.0964749999999996E-2</v>
      </c>
      <c r="S66" s="18">
        <v>14.27013</v>
      </c>
      <c r="T66" s="18">
        <v>61.157699999999998</v>
      </c>
      <c r="U66" s="18">
        <v>30.578849999999999</v>
      </c>
      <c r="V66" s="18">
        <v>391.40927999999997</v>
      </c>
      <c r="W66" s="18">
        <v>366.94619999999998</v>
      </c>
      <c r="X66" s="18">
        <v>244.63079999999999</v>
      </c>
      <c r="Y66" s="18">
        <v>10.872479999999999</v>
      </c>
      <c r="Z66" s="18">
        <v>48.246629999999996</v>
      </c>
      <c r="AA66" s="18">
        <v>70.671120000000002</v>
      </c>
      <c r="AB66" s="18">
        <v>125.71305</v>
      </c>
      <c r="AC66" s="18">
        <v>38.73321</v>
      </c>
      <c r="AD66" s="18">
        <v>203.85899999999998</v>
      </c>
    </row>
    <row r="67" spans="2:30" x14ac:dyDescent="0.25">
      <c r="B67" t="s">
        <v>162</v>
      </c>
      <c r="C67" t="s">
        <v>105</v>
      </c>
      <c r="D67" t="s">
        <v>165</v>
      </c>
      <c r="E67" s="35">
        <v>0.9</v>
      </c>
      <c r="F67" s="35">
        <v>24</v>
      </c>
      <c r="G67" s="36">
        <v>8.0607999999999999E-2</v>
      </c>
      <c r="H67" s="18">
        <v>145.09499</v>
      </c>
      <c r="I67" s="16">
        <v>0</v>
      </c>
      <c r="J67" s="16"/>
      <c r="K67" s="16"/>
      <c r="L67" s="37" t="s">
        <v>107</v>
      </c>
      <c r="M67" s="37"/>
      <c r="N67" s="37">
        <v>68</v>
      </c>
      <c r="O67" s="37"/>
      <c r="P67" s="37"/>
      <c r="Q67" s="18">
        <v>0.88668800000000003</v>
      </c>
      <c r="R67" s="18">
        <v>6.0455999999999999E-3</v>
      </c>
      <c r="S67" s="18">
        <v>1.6927680000000001</v>
      </c>
      <c r="T67" s="18">
        <v>7.2547199999999998</v>
      </c>
      <c r="U67" s="18">
        <v>3.6273599999999999</v>
      </c>
      <c r="V67" s="18">
        <v>46.430208</v>
      </c>
      <c r="W67" s="18">
        <v>43.528320000000001</v>
      </c>
      <c r="X67" s="18">
        <v>29.018879999999999</v>
      </c>
      <c r="Y67" s="18">
        <v>1.289728</v>
      </c>
      <c r="Z67" s="18">
        <v>5.7231680000000003</v>
      </c>
      <c r="AA67" s="18">
        <v>8.3832319999999996</v>
      </c>
      <c r="AB67" s="18">
        <v>14.91248</v>
      </c>
      <c r="AC67" s="18">
        <v>4.5946559999999996</v>
      </c>
      <c r="AD67" s="18">
        <v>24.182400000000001</v>
      </c>
    </row>
    <row r="68" spans="2:30" x14ac:dyDescent="0.25">
      <c r="B68" t="s">
        <v>112</v>
      </c>
      <c r="C68" t="s">
        <v>105</v>
      </c>
      <c r="D68" t="s">
        <v>106</v>
      </c>
      <c r="E68" s="35">
        <v>0.9</v>
      </c>
      <c r="F68" s="35">
        <v>60</v>
      </c>
      <c r="G68" s="36">
        <v>1.152755</v>
      </c>
      <c r="H68" s="18">
        <v>2074.9590819999999</v>
      </c>
      <c r="I68" s="16">
        <v>0</v>
      </c>
      <c r="J68" s="16">
        <v>60</v>
      </c>
      <c r="K68" s="16" t="s">
        <v>114</v>
      </c>
      <c r="L68" s="37" t="s">
        <v>107</v>
      </c>
      <c r="M68" s="37"/>
      <c r="N68" s="37">
        <v>69</v>
      </c>
      <c r="O68" s="37"/>
      <c r="P68" s="37"/>
      <c r="Q68" s="18">
        <v>12.680305000000001</v>
      </c>
      <c r="R68" s="18">
        <v>8.6456624999999995E-2</v>
      </c>
      <c r="S68" s="18">
        <v>24.207854999999999</v>
      </c>
      <c r="T68" s="18">
        <v>103.74795</v>
      </c>
      <c r="U68" s="18">
        <v>51.873975000000002</v>
      </c>
      <c r="V68" s="18">
        <v>663.98687999999993</v>
      </c>
      <c r="W68" s="18">
        <v>622.48770000000002</v>
      </c>
      <c r="X68" s="18">
        <v>414.99180000000001</v>
      </c>
      <c r="Y68" s="18">
        <v>18.44408</v>
      </c>
      <c r="Z68" s="18">
        <v>81.845604999999992</v>
      </c>
      <c r="AA68" s="18">
        <v>119.88651999999999</v>
      </c>
      <c r="AB68" s="18">
        <v>213.25967499999999</v>
      </c>
      <c r="AC68" s="18">
        <v>65.707035000000005</v>
      </c>
      <c r="AD68" s="18">
        <v>345.82650000000001</v>
      </c>
    </row>
    <row r="69" spans="2:30" x14ac:dyDescent="0.25">
      <c r="B69" t="s">
        <v>166</v>
      </c>
      <c r="C69" t="s">
        <v>105</v>
      </c>
      <c r="D69" t="s">
        <v>167</v>
      </c>
      <c r="E69" s="35">
        <v>0.9</v>
      </c>
      <c r="F69" s="35">
        <v>26</v>
      </c>
      <c r="G69" s="36">
        <v>0.33021899999999998</v>
      </c>
      <c r="H69" s="18">
        <v>594.39492700000005</v>
      </c>
      <c r="I69" s="16">
        <v>0</v>
      </c>
      <c r="J69" s="16"/>
      <c r="K69" s="16"/>
      <c r="L69" s="37" t="s">
        <v>107</v>
      </c>
      <c r="M69" s="37"/>
      <c r="N69" s="37">
        <v>70</v>
      </c>
      <c r="O69" s="37"/>
      <c r="P69" s="37"/>
      <c r="Q69" s="18">
        <v>3.632409</v>
      </c>
      <c r="R69" s="18">
        <v>2.4766424999999998E-2</v>
      </c>
      <c r="S69" s="18">
        <v>6.9345989999999995</v>
      </c>
      <c r="T69" s="18">
        <v>29.719709999999999</v>
      </c>
      <c r="U69" s="18">
        <v>14.859855</v>
      </c>
      <c r="V69" s="18">
        <v>190.20614399999999</v>
      </c>
      <c r="W69" s="18">
        <v>178.31825999999998</v>
      </c>
      <c r="X69" s="18">
        <v>118.87884</v>
      </c>
      <c r="Y69" s="18">
        <v>5.2835039999999998</v>
      </c>
      <c r="Z69" s="18">
        <v>23.445549</v>
      </c>
      <c r="AA69" s="18">
        <v>34.342776000000001</v>
      </c>
      <c r="AB69" s="18">
        <v>61.090514999999996</v>
      </c>
      <c r="AC69" s="18">
        <v>18.822482999999998</v>
      </c>
      <c r="AD69" s="18">
        <v>99.065699999999993</v>
      </c>
    </row>
    <row r="70" spans="2:30" x14ac:dyDescent="0.25">
      <c r="B70" t="s">
        <v>124</v>
      </c>
      <c r="C70" t="s">
        <v>105</v>
      </c>
      <c r="D70" t="s">
        <v>149</v>
      </c>
      <c r="E70" s="35">
        <v>0.9</v>
      </c>
      <c r="F70" s="35">
        <v>35</v>
      </c>
      <c r="G70" s="36">
        <v>0.48721999999999999</v>
      </c>
      <c r="H70" s="18">
        <v>876.99604099999999</v>
      </c>
      <c r="I70" s="16">
        <v>0</v>
      </c>
      <c r="J70" s="16"/>
      <c r="K70" s="16"/>
      <c r="L70" s="37" t="s">
        <v>107</v>
      </c>
      <c r="M70" s="37"/>
      <c r="N70" s="37">
        <v>71</v>
      </c>
      <c r="O70" s="37"/>
      <c r="P70" s="37"/>
      <c r="Q70" s="18">
        <v>5.3594200000000001</v>
      </c>
      <c r="R70" s="18">
        <v>3.6541499999999998E-2</v>
      </c>
      <c r="S70" s="18">
        <v>10.231619999999999</v>
      </c>
      <c r="T70" s="18">
        <v>43.849800000000002</v>
      </c>
      <c r="U70" s="18">
        <v>21.924900000000001</v>
      </c>
      <c r="V70" s="18">
        <v>280.63871999999998</v>
      </c>
      <c r="W70" s="18">
        <v>263.09879999999998</v>
      </c>
      <c r="X70" s="18">
        <v>175.39920000000001</v>
      </c>
      <c r="Y70" s="18">
        <v>7.7955199999999998</v>
      </c>
      <c r="Z70" s="18">
        <v>34.592619999999997</v>
      </c>
      <c r="AA70" s="18">
        <v>50.670879999999997</v>
      </c>
      <c r="AB70" s="18">
        <v>90.1357</v>
      </c>
      <c r="AC70" s="18">
        <v>27.771539999999998</v>
      </c>
      <c r="AD70" s="18">
        <v>146.166</v>
      </c>
    </row>
    <row r="71" spans="2:30" x14ac:dyDescent="0.25">
      <c r="B71" t="s">
        <v>133</v>
      </c>
      <c r="C71" t="s">
        <v>105</v>
      </c>
      <c r="D71" t="s">
        <v>168</v>
      </c>
      <c r="E71" s="35">
        <v>0.9</v>
      </c>
      <c r="F71" s="35">
        <v>50</v>
      </c>
      <c r="G71" s="36">
        <v>0.59001400000000004</v>
      </c>
      <c r="H71" s="18">
        <v>1062.024439</v>
      </c>
      <c r="I71" s="16">
        <v>0</v>
      </c>
      <c r="J71" s="16">
        <v>24</v>
      </c>
      <c r="K71" s="16"/>
      <c r="L71" s="37" t="s">
        <v>107</v>
      </c>
      <c r="M71" s="37"/>
      <c r="N71" s="37">
        <v>72</v>
      </c>
      <c r="O71" s="37"/>
      <c r="P71" s="37"/>
      <c r="Q71" s="18">
        <v>6.4901540000000004</v>
      </c>
      <c r="R71" s="18">
        <v>4.425105E-2</v>
      </c>
      <c r="S71" s="18">
        <v>12.390294000000001</v>
      </c>
      <c r="T71" s="18">
        <v>53.101260000000003</v>
      </c>
      <c r="U71" s="18">
        <v>26.550630000000002</v>
      </c>
      <c r="V71" s="18">
        <v>339.84806400000002</v>
      </c>
      <c r="W71" s="18">
        <v>318.60756000000003</v>
      </c>
      <c r="X71" s="18">
        <v>212.40504000000001</v>
      </c>
      <c r="Y71" s="18">
        <v>9.4402240000000006</v>
      </c>
      <c r="Z71" s="18">
        <v>41.890994000000006</v>
      </c>
      <c r="AA71" s="18">
        <v>61.361456000000004</v>
      </c>
      <c r="AB71" s="18">
        <v>109.15259</v>
      </c>
      <c r="AC71" s="18">
        <v>33.630797999999999</v>
      </c>
      <c r="AD71" s="18">
        <v>177.00420000000003</v>
      </c>
    </row>
    <row r="72" spans="2:30" x14ac:dyDescent="0.25">
      <c r="B72" t="s">
        <v>144</v>
      </c>
      <c r="C72" t="s">
        <v>105</v>
      </c>
      <c r="D72" t="s">
        <v>169</v>
      </c>
      <c r="E72" s="35">
        <v>0.9</v>
      </c>
      <c r="F72" s="35">
        <v>40</v>
      </c>
      <c r="G72" s="36">
        <v>0.75303699999999996</v>
      </c>
      <c r="H72" s="18">
        <v>1355.4671880000001</v>
      </c>
      <c r="I72" s="16">
        <v>0</v>
      </c>
      <c r="J72" s="16">
        <v>48</v>
      </c>
      <c r="K72" s="16" t="s">
        <v>114</v>
      </c>
      <c r="L72" s="37" t="s">
        <v>107</v>
      </c>
      <c r="M72" s="37"/>
      <c r="N72" s="37">
        <v>73</v>
      </c>
      <c r="O72" s="37"/>
      <c r="P72" s="37"/>
      <c r="Q72" s="18">
        <v>8.2834070000000004</v>
      </c>
      <c r="R72" s="18">
        <v>5.6477774999999994E-2</v>
      </c>
      <c r="S72" s="18">
        <v>15.813776999999998</v>
      </c>
      <c r="T72" s="18">
        <v>67.773330000000001</v>
      </c>
      <c r="U72" s="18">
        <v>33.886665000000001</v>
      </c>
      <c r="V72" s="18">
        <v>433.74931199999997</v>
      </c>
      <c r="W72" s="18">
        <v>406.63997999999998</v>
      </c>
      <c r="X72" s="18">
        <v>271.09332000000001</v>
      </c>
      <c r="Y72" s="18">
        <v>12.048591999999999</v>
      </c>
      <c r="Z72" s="18">
        <v>53.465626999999998</v>
      </c>
      <c r="AA72" s="18">
        <v>78.315847999999988</v>
      </c>
      <c r="AB72" s="18">
        <v>139.31184500000001</v>
      </c>
      <c r="AC72" s="18">
        <v>42.923108999999997</v>
      </c>
      <c r="AD72" s="18">
        <v>225.91109999999998</v>
      </c>
    </row>
    <row r="73" spans="2:30" x14ac:dyDescent="0.25">
      <c r="B73" t="s">
        <v>166</v>
      </c>
      <c r="C73" t="s">
        <v>105</v>
      </c>
      <c r="D73" t="s">
        <v>170</v>
      </c>
      <c r="E73" s="35">
        <v>0.9</v>
      </c>
      <c r="F73" s="35">
        <v>26</v>
      </c>
      <c r="G73" s="36">
        <v>0.33928799999999998</v>
      </c>
      <c r="H73" s="18">
        <v>610.71767</v>
      </c>
      <c r="I73" s="16">
        <v>0</v>
      </c>
      <c r="J73" s="16"/>
      <c r="K73" s="16"/>
      <c r="L73" s="37" t="s">
        <v>107</v>
      </c>
      <c r="M73" s="37"/>
      <c r="N73" s="37">
        <v>74</v>
      </c>
      <c r="O73" s="37"/>
      <c r="P73" s="37"/>
      <c r="Q73" s="18">
        <v>3.7321679999999997</v>
      </c>
      <c r="R73" s="18">
        <v>2.5446599999999996E-2</v>
      </c>
      <c r="S73" s="18">
        <v>7.1250479999999996</v>
      </c>
      <c r="T73" s="18">
        <v>30.535919999999997</v>
      </c>
      <c r="U73" s="18">
        <v>15.267959999999999</v>
      </c>
      <c r="V73" s="18">
        <v>195.42988799999998</v>
      </c>
      <c r="W73" s="18">
        <v>183.21552</v>
      </c>
      <c r="X73" s="18">
        <v>122.14367999999999</v>
      </c>
      <c r="Y73" s="18">
        <v>5.4286079999999997</v>
      </c>
      <c r="Z73" s="18">
        <v>24.089447999999997</v>
      </c>
      <c r="AA73" s="18">
        <v>35.285951999999995</v>
      </c>
      <c r="AB73" s="18">
        <v>62.768279999999997</v>
      </c>
      <c r="AC73" s="18">
        <v>19.339416</v>
      </c>
      <c r="AD73" s="18">
        <v>101.7864</v>
      </c>
    </row>
    <row r="74" spans="2:30" x14ac:dyDescent="0.25">
      <c r="B74" t="s">
        <v>144</v>
      </c>
      <c r="C74" t="s">
        <v>105</v>
      </c>
      <c r="D74" t="s">
        <v>171</v>
      </c>
      <c r="E74" s="35">
        <v>0.9</v>
      </c>
      <c r="F74" s="35">
        <v>40</v>
      </c>
      <c r="G74" s="36">
        <v>0.47253899999999999</v>
      </c>
      <c r="H74" s="18">
        <v>850.570153</v>
      </c>
      <c r="I74" s="16">
        <v>0</v>
      </c>
      <c r="J74" s="16"/>
      <c r="K74" s="16"/>
      <c r="L74" s="37" t="s">
        <v>107</v>
      </c>
      <c r="M74" s="37"/>
      <c r="N74" s="37">
        <v>75</v>
      </c>
      <c r="O74" s="37"/>
      <c r="P74" s="37"/>
      <c r="Q74" s="18">
        <v>5.1979290000000002</v>
      </c>
      <c r="R74" s="18">
        <v>3.5440424999999998E-2</v>
      </c>
      <c r="S74" s="18">
        <v>9.9233189999999993</v>
      </c>
      <c r="T74" s="18">
        <v>42.528509999999997</v>
      </c>
      <c r="U74" s="18">
        <v>21.264254999999999</v>
      </c>
      <c r="V74" s="18">
        <v>272.18246399999998</v>
      </c>
      <c r="W74" s="18">
        <v>255.17105999999998</v>
      </c>
      <c r="X74" s="18">
        <v>170.11403999999999</v>
      </c>
      <c r="Y74" s="18">
        <v>7.5606239999999998</v>
      </c>
      <c r="Z74" s="18">
        <v>33.550269</v>
      </c>
      <c r="AA74" s="18">
        <v>49.144055999999999</v>
      </c>
      <c r="AB74" s="18">
        <v>87.419714999999997</v>
      </c>
      <c r="AC74" s="18">
        <v>26.934722999999998</v>
      </c>
      <c r="AD74" s="18">
        <v>141.76169999999999</v>
      </c>
    </row>
    <row r="75" spans="2:30" x14ac:dyDescent="0.25">
      <c r="B75" t="s">
        <v>124</v>
      </c>
      <c r="C75" t="s">
        <v>105</v>
      </c>
      <c r="D75" t="s">
        <v>132</v>
      </c>
      <c r="E75" s="35">
        <v>0.9</v>
      </c>
      <c r="F75" s="35">
        <v>35</v>
      </c>
      <c r="G75" s="36">
        <v>0.48745100000000002</v>
      </c>
      <c r="H75" s="18">
        <v>877.41193599999997</v>
      </c>
      <c r="I75" s="16">
        <v>0</v>
      </c>
      <c r="J75" s="16"/>
      <c r="K75" s="16"/>
      <c r="L75" s="37" t="s">
        <v>107</v>
      </c>
      <c r="M75" s="37"/>
      <c r="N75" s="37">
        <v>76</v>
      </c>
      <c r="O75" s="37"/>
      <c r="P75" s="37"/>
      <c r="Q75" s="18">
        <v>5.361961</v>
      </c>
      <c r="R75" s="18">
        <v>3.6558825000000003E-2</v>
      </c>
      <c r="S75" s="18">
        <v>10.236471</v>
      </c>
      <c r="T75" s="18">
        <v>43.87059</v>
      </c>
      <c r="U75" s="18">
        <v>21.935295</v>
      </c>
      <c r="V75" s="18">
        <v>280.77177599999999</v>
      </c>
      <c r="W75" s="18">
        <v>263.22354000000001</v>
      </c>
      <c r="X75" s="18">
        <v>175.48236</v>
      </c>
      <c r="Y75" s="18">
        <v>7.7992160000000004</v>
      </c>
      <c r="Z75" s="18">
        <v>34.609020999999998</v>
      </c>
      <c r="AA75" s="18">
        <v>50.694904000000001</v>
      </c>
      <c r="AB75" s="18">
        <v>90.178435000000007</v>
      </c>
      <c r="AC75" s="18">
        <v>27.784707000000001</v>
      </c>
      <c r="AD75" s="18">
        <v>146.2353</v>
      </c>
    </row>
    <row r="76" spans="2:30" x14ac:dyDescent="0.25">
      <c r="B76" t="s">
        <v>138</v>
      </c>
      <c r="C76" t="s">
        <v>105</v>
      </c>
      <c r="D76" t="s">
        <v>172</v>
      </c>
      <c r="E76" s="35">
        <v>0.9</v>
      </c>
      <c r="F76" s="35">
        <v>44</v>
      </c>
      <c r="G76" s="36">
        <v>0.56904500000000002</v>
      </c>
      <c r="H76" s="18">
        <v>1024.280898</v>
      </c>
      <c r="I76" s="16">
        <v>0</v>
      </c>
      <c r="J76" s="16"/>
      <c r="K76" s="16"/>
      <c r="L76" s="37" t="s">
        <v>107</v>
      </c>
      <c r="M76" s="37"/>
      <c r="N76" s="37">
        <v>77</v>
      </c>
      <c r="O76" s="37"/>
      <c r="P76" s="37"/>
      <c r="Q76" s="18">
        <v>6.2594950000000003</v>
      </c>
      <c r="R76" s="18">
        <v>4.2678374999999998E-2</v>
      </c>
      <c r="S76" s="18">
        <v>11.949945</v>
      </c>
      <c r="T76" s="18">
        <v>51.21405</v>
      </c>
      <c r="U76" s="18">
        <v>25.607025</v>
      </c>
      <c r="V76" s="18">
        <v>327.76992000000001</v>
      </c>
      <c r="W76" s="18">
        <v>307.28430000000003</v>
      </c>
      <c r="X76" s="18">
        <v>204.8562</v>
      </c>
      <c r="Y76" s="18">
        <v>9.1047200000000004</v>
      </c>
      <c r="Z76" s="18">
        <v>40.402194999999999</v>
      </c>
      <c r="AA76" s="18">
        <v>59.180680000000002</v>
      </c>
      <c r="AB76" s="18">
        <v>105.273325</v>
      </c>
      <c r="AC76" s="18">
        <v>32.435565000000004</v>
      </c>
      <c r="AD76" s="18">
        <v>170.71350000000001</v>
      </c>
    </row>
    <row r="77" spans="2:30" x14ac:dyDescent="0.25">
      <c r="B77" t="s">
        <v>112</v>
      </c>
      <c r="C77" t="s">
        <v>105</v>
      </c>
      <c r="D77" t="s">
        <v>173</v>
      </c>
      <c r="E77" s="35">
        <v>0.9</v>
      </c>
      <c r="F77" s="35">
        <v>60</v>
      </c>
      <c r="G77" s="36">
        <v>0.78757299999999997</v>
      </c>
      <c r="H77" s="18">
        <v>1417.632255</v>
      </c>
      <c r="I77" s="16">
        <v>0</v>
      </c>
      <c r="J77" s="16">
        <v>30</v>
      </c>
      <c r="K77" s="16"/>
      <c r="L77" s="37" t="s">
        <v>107</v>
      </c>
      <c r="M77" s="37"/>
      <c r="N77" s="37">
        <v>78</v>
      </c>
      <c r="O77" s="37"/>
      <c r="P77" s="37"/>
      <c r="Q77" s="18">
        <v>8.6633029999999991</v>
      </c>
      <c r="R77" s="18">
        <v>5.9067974999999995E-2</v>
      </c>
      <c r="S77" s="18">
        <v>16.539033</v>
      </c>
      <c r="T77" s="18">
        <v>70.881569999999996</v>
      </c>
      <c r="U77" s="18">
        <v>35.440784999999998</v>
      </c>
      <c r="V77" s="18">
        <v>453.64204799999999</v>
      </c>
      <c r="W77" s="18">
        <v>425.28942000000001</v>
      </c>
      <c r="X77" s="18">
        <v>283.52627999999999</v>
      </c>
      <c r="Y77" s="18">
        <v>12.601167999999999</v>
      </c>
      <c r="Z77" s="18">
        <v>55.917682999999997</v>
      </c>
      <c r="AA77" s="18">
        <v>81.907591999999994</v>
      </c>
      <c r="AB77" s="18">
        <v>145.70100499999998</v>
      </c>
      <c r="AC77" s="18">
        <v>44.891660999999999</v>
      </c>
      <c r="AD77" s="18">
        <v>236.27189999999999</v>
      </c>
    </row>
    <row r="78" spans="2:30" x14ac:dyDescent="0.25">
      <c r="B78" t="s">
        <v>144</v>
      </c>
      <c r="C78" t="s">
        <v>105</v>
      </c>
      <c r="D78" t="s">
        <v>174</v>
      </c>
      <c r="E78" s="35">
        <v>0.9</v>
      </c>
      <c r="F78" s="35">
        <v>40</v>
      </c>
      <c r="G78" s="36">
        <v>0.72423800000000005</v>
      </c>
      <c r="H78" s="18">
        <v>1303.629297</v>
      </c>
      <c r="I78" s="16">
        <v>0</v>
      </c>
      <c r="J78" s="16">
        <v>38</v>
      </c>
      <c r="K78" s="16" t="s">
        <v>114</v>
      </c>
      <c r="L78" s="37" t="s">
        <v>107</v>
      </c>
      <c r="M78" s="37"/>
      <c r="N78" s="37">
        <v>79</v>
      </c>
      <c r="O78" s="37"/>
      <c r="P78" s="37"/>
      <c r="Q78" s="18">
        <v>7.9666180000000004</v>
      </c>
      <c r="R78" s="18">
        <v>5.4317850000000001E-2</v>
      </c>
      <c r="S78" s="18">
        <v>15.208998000000001</v>
      </c>
      <c r="T78" s="18">
        <v>65.181420000000003</v>
      </c>
      <c r="U78" s="18">
        <v>32.590710000000001</v>
      </c>
      <c r="V78" s="18">
        <v>417.16108800000001</v>
      </c>
      <c r="W78" s="18">
        <v>391.08852000000002</v>
      </c>
      <c r="X78" s="18">
        <v>260.72568000000001</v>
      </c>
      <c r="Y78" s="18">
        <v>11.587808000000001</v>
      </c>
      <c r="Z78" s="18">
        <v>51.420898000000001</v>
      </c>
      <c r="AA78" s="18">
        <v>75.320751999999999</v>
      </c>
      <c r="AB78" s="18">
        <v>133.98403000000002</v>
      </c>
      <c r="AC78" s="18">
        <v>41.281566000000005</v>
      </c>
      <c r="AD78" s="18">
        <v>217.27140000000003</v>
      </c>
    </row>
    <row r="79" spans="2:30" x14ac:dyDescent="0.25">
      <c r="B79" t="s">
        <v>166</v>
      </c>
      <c r="C79" t="s">
        <v>105</v>
      </c>
      <c r="D79" t="s">
        <v>175</v>
      </c>
      <c r="E79" s="35">
        <v>0.9</v>
      </c>
      <c r="F79" s="35">
        <v>26</v>
      </c>
      <c r="G79" s="36">
        <v>0.33799600000000002</v>
      </c>
      <c r="H79" s="18">
        <v>608.39347499999997</v>
      </c>
      <c r="I79" s="16">
        <v>0</v>
      </c>
      <c r="J79" s="16"/>
      <c r="K79" s="16"/>
      <c r="L79" s="37" t="s">
        <v>107</v>
      </c>
      <c r="M79" s="37"/>
      <c r="N79" s="37">
        <v>80</v>
      </c>
      <c r="O79" s="37"/>
      <c r="P79" s="37"/>
      <c r="Q79" s="18">
        <v>3.717956</v>
      </c>
      <c r="R79" s="18">
        <v>2.5349699999999999E-2</v>
      </c>
      <c r="S79" s="18">
        <v>7.0979160000000006</v>
      </c>
      <c r="T79" s="18">
        <v>30.419640000000001</v>
      </c>
      <c r="U79" s="18">
        <v>15.209820000000001</v>
      </c>
      <c r="V79" s="18">
        <v>194.68569600000001</v>
      </c>
      <c r="W79" s="18">
        <v>182.51784000000001</v>
      </c>
      <c r="X79" s="18">
        <v>121.67856</v>
      </c>
      <c r="Y79" s="18">
        <v>5.4079360000000003</v>
      </c>
      <c r="Z79" s="18">
        <v>23.997716</v>
      </c>
      <c r="AA79" s="18">
        <v>35.151584</v>
      </c>
      <c r="AB79" s="18">
        <v>62.529260000000001</v>
      </c>
      <c r="AC79" s="18">
        <v>19.265772000000002</v>
      </c>
      <c r="AD79" s="18">
        <v>101.39880000000001</v>
      </c>
    </row>
    <row r="80" spans="2:30" x14ac:dyDescent="0.25">
      <c r="B80" t="s">
        <v>124</v>
      </c>
      <c r="C80" t="s">
        <v>105</v>
      </c>
      <c r="D80" t="s">
        <v>176</v>
      </c>
      <c r="E80" s="35">
        <v>0.9</v>
      </c>
      <c r="F80" s="35">
        <v>35</v>
      </c>
      <c r="G80" s="36">
        <v>0.47590199999999999</v>
      </c>
      <c r="H80" s="18">
        <v>856.62389900000005</v>
      </c>
      <c r="I80" s="16">
        <v>0</v>
      </c>
      <c r="J80" s="16"/>
      <c r="K80" s="16"/>
      <c r="L80" s="37" t="s">
        <v>107</v>
      </c>
      <c r="M80" s="37"/>
      <c r="N80" s="37">
        <v>81</v>
      </c>
      <c r="O80" s="37"/>
      <c r="P80" s="37"/>
      <c r="Q80" s="18">
        <v>5.2349220000000001</v>
      </c>
      <c r="R80" s="18">
        <v>3.5692649999999999E-2</v>
      </c>
      <c r="S80" s="18">
        <v>9.9939420000000005</v>
      </c>
      <c r="T80" s="18">
        <v>42.831179999999996</v>
      </c>
      <c r="U80" s="18">
        <v>21.415589999999998</v>
      </c>
      <c r="V80" s="18">
        <v>274.119552</v>
      </c>
      <c r="W80" s="18">
        <v>256.98707999999999</v>
      </c>
      <c r="X80" s="18">
        <v>171.32471999999999</v>
      </c>
      <c r="Y80" s="18">
        <v>7.6144319999999999</v>
      </c>
      <c r="Z80" s="18">
        <v>33.789042000000002</v>
      </c>
      <c r="AA80" s="18">
        <v>49.493808000000001</v>
      </c>
      <c r="AB80" s="18">
        <v>88.041870000000003</v>
      </c>
      <c r="AC80" s="18">
        <v>27.126414</v>
      </c>
      <c r="AD80" s="18">
        <v>142.7706</v>
      </c>
    </row>
    <row r="81" spans="2:30" x14ac:dyDescent="0.25">
      <c r="B81" t="s">
        <v>108</v>
      </c>
      <c r="C81" t="s">
        <v>105</v>
      </c>
      <c r="D81" t="s">
        <v>177</v>
      </c>
      <c r="E81" s="35">
        <v>0.9</v>
      </c>
      <c r="F81" s="35">
        <v>16</v>
      </c>
      <c r="G81" s="36">
        <v>7.1678000000000006E-2</v>
      </c>
      <c r="H81" s="18">
        <v>129.019688</v>
      </c>
      <c r="I81" s="16">
        <v>0</v>
      </c>
      <c r="J81" s="16"/>
      <c r="K81" s="16"/>
      <c r="L81" s="37" t="s">
        <v>107</v>
      </c>
      <c r="M81" s="37"/>
      <c r="N81" s="37">
        <v>82</v>
      </c>
      <c r="O81" s="37"/>
      <c r="P81" s="37"/>
      <c r="Q81" s="18">
        <v>0.7884580000000001</v>
      </c>
      <c r="R81" s="18">
        <v>5.3758500000000006E-3</v>
      </c>
      <c r="S81" s="18">
        <v>1.5052380000000001</v>
      </c>
      <c r="T81" s="18">
        <v>6.4510200000000006</v>
      </c>
      <c r="U81" s="18">
        <v>3.2255100000000003</v>
      </c>
      <c r="V81" s="18">
        <v>41.286528000000004</v>
      </c>
      <c r="W81" s="18">
        <v>38.706120000000006</v>
      </c>
      <c r="X81" s="18">
        <v>25.804080000000003</v>
      </c>
      <c r="Y81" s="18">
        <v>1.1468480000000001</v>
      </c>
      <c r="Z81" s="18">
        <v>5.0891380000000002</v>
      </c>
      <c r="AA81" s="18">
        <v>7.4545120000000002</v>
      </c>
      <c r="AB81" s="18">
        <v>13.260430000000001</v>
      </c>
      <c r="AC81" s="18">
        <v>4.0856460000000006</v>
      </c>
      <c r="AD81" s="18">
        <v>21.503400000000003</v>
      </c>
    </row>
    <row r="82" spans="2:30" x14ac:dyDescent="0.25">
      <c r="B82" t="s">
        <v>108</v>
      </c>
      <c r="C82" t="s">
        <v>105</v>
      </c>
      <c r="D82" t="s">
        <v>177</v>
      </c>
      <c r="E82" s="35">
        <v>0.9</v>
      </c>
      <c r="F82" s="35">
        <v>16</v>
      </c>
      <c r="G82" s="36">
        <v>7.1678000000000006E-2</v>
      </c>
      <c r="H82" s="18">
        <v>129.019688</v>
      </c>
      <c r="I82" s="16">
        <v>0</v>
      </c>
      <c r="J82" s="16"/>
      <c r="K82" s="16"/>
      <c r="L82" s="37" t="s">
        <v>107</v>
      </c>
      <c r="M82" s="37"/>
      <c r="N82" s="37">
        <v>83</v>
      </c>
      <c r="O82" s="37"/>
      <c r="P82" s="37"/>
      <c r="Q82" s="18">
        <v>0.7884580000000001</v>
      </c>
      <c r="R82" s="18">
        <v>5.3758500000000006E-3</v>
      </c>
      <c r="S82" s="18">
        <v>1.5052380000000001</v>
      </c>
      <c r="T82" s="18">
        <v>6.4510200000000006</v>
      </c>
      <c r="U82" s="18">
        <v>3.2255100000000003</v>
      </c>
      <c r="V82" s="18">
        <v>41.286528000000004</v>
      </c>
      <c r="W82" s="18">
        <v>38.706120000000006</v>
      </c>
      <c r="X82" s="18">
        <v>25.804080000000003</v>
      </c>
      <c r="Y82" s="18">
        <v>1.1468480000000001</v>
      </c>
      <c r="Z82" s="18">
        <v>5.0891380000000002</v>
      </c>
      <c r="AA82" s="18">
        <v>7.4545120000000002</v>
      </c>
      <c r="AB82" s="18">
        <v>13.260430000000001</v>
      </c>
      <c r="AC82" s="18">
        <v>4.0856460000000006</v>
      </c>
      <c r="AD82" s="18">
        <v>21.503400000000003</v>
      </c>
    </row>
    <row r="83" spans="2:30" x14ac:dyDescent="0.25">
      <c r="B83" t="s">
        <v>108</v>
      </c>
      <c r="C83" t="s">
        <v>105</v>
      </c>
      <c r="D83" t="s">
        <v>178</v>
      </c>
      <c r="E83" s="35">
        <v>0.9</v>
      </c>
      <c r="F83" s="35">
        <v>16</v>
      </c>
      <c r="G83" s="36">
        <v>6.7731E-2</v>
      </c>
      <c r="H83" s="18">
        <v>121.915977</v>
      </c>
      <c r="I83" s="16">
        <v>0</v>
      </c>
      <c r="J83" s="16"/>
      <c r="K83" s="16"/>
      <c r="L83" s="37" t="s">
        <v>107</v>
      </c>
      <c r="M83" s="37"/>
      <c r="N83" s="37">
        <v>84</v>
      </c>
      <c r="O83" s="37"/>
      <c r="P83" s="37"/>
      <c r="Q83" s="18">
        <v>0.74504099999999995</v>
      </c>
      <c r="R83" s="18">
        <v>5.0798249999999996E-3</v>
      </c>
      <c r="S83" s="18">
        <v>1.4223509999999999</v>
      </c>
      <c r="T83" s="18">
        <v>6.09579</v>
      </c>
      <c r="U83" s="18">
        <v>3.047895</v>
      </c>
      <c r="V83" s="18">
        <v>39.013055999999999</v>
      </c>
      <c r="W83" s="18">
        <v>36.574739999999998</v>
      </c>
      <c r="X83" s="18">
        <v>24.38316</v>
      </c>
      <c r="Y83" s="18">
        <v>1.083696</v>
      </c>
      <c r="Z83" s="18">
        <v>4.8089009999999996</v>
      </c>
      <c r="AA83" s="18">
        <v>7.0440240000000003</v>
      </c>
      <c r="AB83" s="18">
        <v>12.530234999999999</v>
      </c>
      <c r="AC83" s="18">
        <v>3.8606669999999998</v>
      </c>
      <c r="AD83" s="18">
        <v>20.319299999999998</v>
      </c>
    </row>
    <row r="84" spans="2:30" x14ac:dyDescent="0.25">
      <c r="B84" t="s">
        <v>108</v>
      </c>
      <c r="C84" t="s">
        <v>105</v>
      </c>
      <c r="D84" t="s">
        <v>179</v>
      </c>
      <c r="E84" s="35">
        <v>0.9</v>
      </c>
      <c r="F84" s="35">
        <v>16</v>
      </c>
      <c r="G84" s="36">
        <v>6.7090999999999998E-2</v>
      </c>
      <c r="H84" s="18">
        <v>120.76402299999999</v>
      </c>
      <c r="I84" s="16">
        <v>0</v>
      </c>
      <c r="J84" s="16"/>
      <c r="K84" s="16"/>
      <c r="L84" s="37" t="s">
        <v>107</v>
      </c>
      <c r="M84" s="37"/>
      <c r="N84" s="37">
        <v>85</v>
      </c>
      <c r="O84" s="37"/>
      <c r="P84" s="37"/>
      <c r="Q84" s="18">
        <v>0.73800100000000002</v>
      </c>
      <c r="R84" s="18">
        <v>5.0318249999999993E-3</v>
      </c>
      <c r="S84" s="18">
        <v>1.408911</v>
      </c>
      <c r="T84" s="18">
        <v>6.0381900000000002</v>
      </c>
      <c r="U84" s="18">
        <v>3.0190950000000001</v>
      </c>
      <c r="V84" s="18">
        <v>38.644416</v>
      </c>
      <c r="W84" s="18">
        <v>36.229140000000001</v>
      </c>
      <c r="X84" s="18">
        <v>24.152760000000001</v>
      </c>
      <c r="Y84" s="18">
        <v>1.073456</v>
      </c>
      <c r="Z84" s="18">
        <v>4.7634609999999995</v>
      </c>
      <c r="AA84" s="18">
        <v>6.9774639999999994</v>
      </c>
      <c r="AB84" s="18">
        <v>12.411835</v>
      </c>
      <c r="AC84" s="18">
        <v>3.8241869999999998</v>
      </c>
      <c r="AD84" s="18">
        <v>20.127299999999998</v>
      </c>
    </row>
    <row r="85" spans="2:30" x14ac:dyDescent="0.25">
      <c r="B85" t="s">
        <v>108</v>
      </c>
      <c r="C85" t="s">
        <v>105</v>
      </c>
      <c r="D85" t="s">
        <v>180</v>
      </c>
      <c r="E85" s="35">
        <v>0.9</v>
      </c>
      <c r="F85" s="35">
        <v>16</v>
      </c>
      <c r="G85" s="36">
        <v>6.8371000000000001E-2</v>
      </c>
      <c r="H85" s="18">
        <v>123.067745</v>
      </c>
      <c r="I85" s="16">
        <v>0</v>
      </c>
      <c r="J85" s="16"/>
      <c r="K85" s="16"/>
      <c r="L85" s="37" t="s">
        <v>107</v>
      </c>
      <c r="M85" s="37"/>
      <c r="N85" s="37">
        <v>86</v>
      </c>
      <c r="O85" s="37"/>
      <c r="P85" s="37"/>
      <c r="Q85" s="18">
        <v>0.752081</v>
      </c>
      <c r="R85" s="18">
        <v>5.1278249999999999E-3</v>
      </c>
      <c r="S85" s="18">
        <v>1.435791</v>
      </c>
      <c r="T85" s="18">
        <v>6.1533899999999999</v>
      </c>
      <c r="U85" s="18">
        <v>3.076695</v>
      </c>
      <c r="V85" s="18">
        <v>39.381695999999998</v>
      </c>
      <c r="W85" s="18">
        <v>36.920340000000003</v>
      </c>
      <c r="X85" s="18">
        <v>24.61356</v>
      </c>
      <c r="Y85" s="18">
        <v>1.093936</v>
      </c>
      <c r="Z85" s="18">
        <v>4.8543409999999998</v>
      </c>
      <c r="AA85" s="18">
        <v>7.1105840000000002</v>
      </c>
      <c r="AB85" s="18">
        <v>12.648635000000001</v>
      </c>
      <c r="AC85" s="18">
        <v>3.8971469999999999</v>
      </c>
      <c r="AD85" s="18">
        <v>20.511300000000002</v>
      </c>
    </row>
    <row r="86" spans="2:30" x14ac:dyDescent="0.25">
      <c r="B86" t="s">
        <v>108</v>
      </c>
      <c r="C86" t="s">
        <v>105</v>
      </c>
      <c r="D86" t="s">
        <v>180</v>
      </c>
      <c r="E86" s="35">
        <v>0.9</v>
      </c>
      <c r="F86" s="35">
        <v>16</v>
      </c>
      <c r="G86" s="36">
        <v>6.8371000000000001E-2</v>
      </c>
      <c r="H86" s="18">
        <v>123.067745</v>
      </c>
      <c r="I86" s="16">
        <v>0</v>
      </c>
      <c r="J86" s="16"/>
      <c r="K86" s="16"/>
      <c r="L86" s="37" t="s">
        <v>107</v>
      </c>
      <c r="M86" s="37"/>
      <c r="N86" s="37">
        <v>87</v>
      </c>
      <c r="O86" s="37"/>
      <c r="P86" s="37"/>
      <c r="Q86" s="18">
        <v>0.752081</v>
      </c>
      <c r="R86" s="18">
        <v>5.1278249999999999E-3</v>
      </c>
      <c r="S86" s="18">
        <v>1.435791</v>
      </c>
      <c r="T86" s="18">
        <v>6.1533899999999999</v>
      </c>
      <c r="U86" s="18">
        <v>3.076695</v>
      </c>
      <c r="V86" s="18">
        <v>39.381695999999998</v>
      </c>
      <c r="W86" s="18">
        <v>36.920340000000003</v>
      </c>
      <c r="X86" s="18">
        <v>24.61356</v>
      </c>
      <c r="Y86" s="18">
        <v>1.093936</v>
      </c>
      <c r="Z86" s="18">
        <v>4.8543409999999998</v>
      </c>
      <c r="AA86" s="18">
        <v>7.1105840000000002</v>
      </c>
      <c r="AB86" s="18">
        <v>12.648635000000001</v>
      </c>
      <c r="AC86" s="18">
        <v>3.8971469999999999</v>
      </c>
      <c r="AD86" s="18">
        <v>20.511300000000002</v>
      </c>
    </row>
    <row r="87" spans="2:30" x14ac:dyDescent="0.25">
      <c r="B87" t="s">
        <v>166</v>
      </c>
      <c r="C87" t="s">
        <v>105</v>
      </c>
      <c r="D87" t="s">
        <v>181</v>
      </c>
      <c r="E87" s="35">
        <v>0.9</v>
      </c>
      <c r="F87" s="35">
        <v>26</v>
      </c>
      <c r="G87" s="36">
        <v>0.33989399999999997</v>
      </c>
      <c r="H87" s="18">
        <v>611.808628</v>
      </c>
      <c r="I87" s="16">
        <v>0</v>
      </c>
      <c r="J87" s="16"/>
      <c r="K87" s="16"/>
      <c r="L87" s="37" t="s">
        <v>107</v>
      </c>
      <c r="M87" s="37"/>
      <c r="N87" s="37">
        <v>88</v>
      </c>
      <c r="O87" s="37"/>
      <c r="P87" s="37"/>
      <c r="Q87" s="18">
        <v>3.7388339999999998</v>
      </c>
      <c r="R87" s="18">
        <v>2.5492049999999999E-2</v>
      </c>
      <c r="S87" s="18">
        <v>7.1377739999999994</v>
      </c>
      <c r="T87" s="18">
        <v>30.590459999999997</v>
      </c>
      <c r="U87" s="18">
        <v>15.295229999999998</v>
      </c>
      <c r="V87" s="18">
        <v>195.778944</v>
      </c>
      <c r="W87" s="18">
        <v>183.54275999999999</v>
      </c>
      <c r="X87" s="18">
        <v>122.36183999999999</v>
      </c>
      <c r="Y87" s="18">
        <v>5.4383039999999996</v>
      </c>
      <c r="Z87" s="18">
        <v>24.132473999999998</v>
      </c>
      <c r="AA87" s="18">
        <v>35.348976</v>
      </c>
      <c r="AB87" s="18">
        <v>62.880389999999998</v>
      </c>
      <c r="AC87" s="18">
        <v>19.373957999999998</v>
      </c>
      <c r="AD87" s="18">
        <v>101.9682</v>
      </c>
    </row>
    <row r="88" spans="2:30" x14ac:dyDescent="0.25">
      <c r="B88" t="s">
        <v>124</v>
      </c>
      <c r="C88" t="s">
        <v>105</v>
      </c>
      <c r="D88" t="s">
        <v>182</v>
      </c>
      <c r="E88" s="35">
        <v>0.9</v>
      </c>
      <c r="F88" s="35">
        <v>35</v>
      </c>
      <c r="G88" s="36">
        <v>0.59521000000000002</v>
      </c>
      <c r="H88" s="18">
        <v>1071.378455</v>
      </c>
      <c r="I88" s="16">
        <v>0</v>
      </c>
      <c r="J88" s="16">
        <v>30</v>
      </c>
      <c r="K88" s="16"/>
      <c r="L88" s="37" t="s">
        <v>107</v>
      </c>
      <c r="M88" s="37"/>
      <c r="N88" s="37">
        <v>89</v>
      </c>
      <c r="O88" s="37"/>
      <c r="P88" s="37"/>
      <c r="Q88" s="18">
        <v>6.5473100000000004</v>
      </c>
      <c r="R88" s="18">
        <v>4.464075E-2</v>
      </c>
      <c r="S88" s="18">
        <v>12.499410000000001</v>
      </c>
      <c r="T88" s="18">
        <v>53.568899999999999</v>
      </c>
      <c r="U88" s="18">
        <v>26.78445</v>
      </c>
      <c r="V88" s="18">
        <v>342.84096</v>
      </c>
      <c r="W88" s="18">
        <v>321.41340000000002</v>
      </c>
      <c r="X88" s="18">
        <v>214.2756</v>
      </c>
      <c r="Y88" s="18">
        <v>9.5233600000000003</v>
      </c>
      <c r="Z88" s="18">
        <v>42.259909999999998</v>
      </c>
      <c r="AA88" s="18">
        <v>61.90184</v>
      </c>
      <c r="AB88" s="18">
        <v>110.11385</v>
      </c>
      <c r="AC88" s="18">
        <v>33.926970000000004</v>
      </c>
      <c r="AD88" s="18">
        <v>178.56300000000002</v>
      </c>
    </row>
    <row r="89" spans="2:30" x14ac:dyDescent="0.25">
      <c r="B89" t="s">
        <v>166</v>
      </c>
      <c r="C89" t="s">
        <v>105</v>
      </c>
      <c r="D89" t="s">
        <v>183</v>
      </c>
      <c r="E89" s="35">
        <v>0.9</v>
      </c>
      <c r="F89" s="35">
        <v>26</v>
      </c>
      <c r="G89" s="36">
        <v>0.26120399999999999</v>
      </c>
      <c r="H89" s="18">
        <v>470.16639199999997</v>
      </c>
      <c r="I89" s="16">
        <v>0</v>
      </c>
      <c r="J89" s="16"/>
      <c r="K89" s="16"/>
      <c r="L89" s="37" t="s">
        <v>107</v>
      </c>
      <c r="M89" s="37"/>
      <c r="N89" s="37">
        <v>90</v>
      </c>
      <c r="O89" s="37"/>
      <c r="P89" s="37"/>
      <c r="Q89" s="18">
        <v>2.8732439999999997</v>
      </c>
      <c r="R89" s="18">
        <v>1.9590299999999998E-2</v>
      </c>
      <c r="S89" s="18">
        <v>5.485284</v>
      </c>
      <c r="T89" s="18">
        <v>23.50836</v>
      </c>
      <c r="U89" s="18">
        <v>11.75418</v>
      </c>
      <c r="V89" s="18">
        <v>150.45350400000001</v>
      </c>
      <c r="W89" s="18">
        <v>141.05016000000001</v>
      </c>
      <c r="X89" s="18">
        <v>94.033439999999999</v>
      </c>
      <c r="Y89" s="18">
        <v>4.1792639999999999</v>
      </c>
      <c r="Z89" s="18">
        <v>18.545483999999998</v>
      </c>
      <c r="AA89" s="18">
        <v>27.165216000000001</v>
      </c>
      <c r="AB89" s="18">
        <v>48.322739999999996</v>
      </c>
      <c r="AC89" s="18">
        <v>14.888627999999999</v>
      </c>
      <c r="AD89" s="18">
        <v>78.361199999999997</v>
      </c>
    </row>
    <row r="90" spans="2:30" x14ac:dyDescent="0.25">
      <c r="B90" t="s">
        <v>160</v>
      </c>
      <c r="C90" t="s">
        <v>105</v>
      </c>
      <c r="D90" t="s">
        <v>184</v>
      </c>
      <c r="E90" s="35">
        <v>0.9</v>
      </c>
      <c r="F90" s="35">
        <v>31</v>
      </c>
      <c r="G90" s="36">
        <v>0.44059599999999999</v>
      </c>
      <c r="H90" s="18">
        <v>793.07354499999997</v>
      </c>
      <c r="I90" s="16">
        <v>0</v>
      </c>
      <c r="J90" s="16"/>
      <c r="K90" s="16"/>
      <c r="L90" s="37" t="s">
        <v>107</v>
      </c>
      <c r="M90" s="37"/>
      <c r="N90" s="37">
        <v>91</v>
      </c>
      <c r="O90" s="37"/>
      <c r="P90" s="37"/>
      <c r="Q90" s="18">
        <v>4.8465559999999996</v>
      </c>
      <c r="R90" s="18">
        <v>3.3044699999999996E-2</v>
      </c>
      <c r="S90" s="18">
        <v>9.252516</v>
      </c>
      <c r="T90" s="18">
        <v>39.653639999999996</v>
      </c>
      <c r="U90" s="18">
        <v>19.826819999999998</v>
      </c>
      <c r="V90" s="18">
        <v>253.78329600000001</v>
      </c>
      <c r="W90" s="18">
        <v>237.92184</v>
      </c>
      <c r="X90" s="18">
        <v>158.61455999999998</v>
      </c>
      <c r="Y90" s="18">
        <v>7.0495359999999998</v>
      </c>
      <c r="Z90" s="18">
        <v>31.282315999999998</v>
      </c>
      <c r="AA90" s="18">
        <v>45.821984</v>
      </c>
      <c r="AB90" s="18">
        <v>81.510260000000002</v>
      </c>
      <c r="AC90" s="18">
        <v>25.113972</v>
      </c>
      <c r="AD90" s="18">
        <v>132.1788</v>
      </c>
    </row>
    <row r="91" spans="2:30" x14ac:dyDescent="0.25">
      <c r="B91" t="s">
        <v>124</v>
      </c>
      <c r="C91" t="s">
        <v>105</v>
      </c>
      <c r="D91" t="s">
        <v>132</v>
      </c>
      <c r="E91" s="35">
        <v>0.9</v>
      </c>
      <c r="F91" s="35">
        <v>35</v>
      </c>
      <c r="G91" s="36">
        <v>0.48745100000000002</v>
      </c>
      <c r="H91" s="18">
        <v>877.41193599999997</v>
      </c>
      <c r="I91" s="16">
        <v>0</v>
      </c>
      <c r="J91" s="16"/>
      <c r="K91" s="16"/>
      <c r="L91" s="37" t="s">
        <v>107</v>
      </c>
      <c r="M91" s="37"/>
      <c r="N91" s="37">
        <v>92</v>
      </c>
      <c r="O91" s="37"/>
      <c r="P91" s="37"/>
      <c r="Q91" s="18">
        <v>5.361961</v>
      </c>
      <c r="R91" s="18">
        <v>3.6558825000000003E-2</v>
      </c>
      <c r="S91" s="18">
        <v>10.236471</v>
      </c>
      <c r="T91" s="18">
        <v>43.87059</v>
      </c>
      <c r="U91" s="18">
        <v>21.935295</v>
      </c>
      <c r="V91" s="18">
        <v>280.77177599999999</v>
      </c>
      <c r="W91" s="18">
        <v>263.22354000000001</v>
      </c>
      <c r="X91" s="18">
        <v>175.48236</v>
      </c>
      <c r="Y91" s="18">
        <v>7.7992160000000004</v>
      </c>
      <c r="Z91" s="18">
        <v>34.609020999999998</v>
      </c>
      <c r="AA91" s="18">
        <v>50.694904000000001</v>
      </c>
      <c r="AB91" s="18">
        <v>90.178435000000007</v>
      </c>
      <c r="AC91" s="18">
        <v>27.784707000000001</v>
      </c>
      <c r="AD91" s="18">
        <v>146.2353</v>
      </c>
    </row>
    <row r="92" spans="2:30" x14ac:dyDescent="0.25">
      <c r="B92" t="s">
        <v>108</v>
      </c>
      <c r="C92" t="s">
        <v>105</v>
      </c>
      <c r="D92" t="s">
        <v>185</v>
      </c>
      <c r="E92" s="35">
        <v>0.9</v>
      </c>
      <c r="F92" s="35">
        <v>16</v>
      </c>
      <c r="G92" s="36">
        <v>5.7384999999999999E-2</v>
      </c>
      <c r="H92" s="18">
        <v>103.292734</v>
      </c>
      <c r="I92" s="16">
        <v>0</v>
      </c>
      <c r="J92" s="16"/>
      <c r="K92" s="16"/>
      <c r="L92" s="37" t="s">
        <v>107</v>
      </c>
      <c r="M92" s="37"/>
      <c r="N92" s="37">
        <v>93</v>
      </c>
      <c r="O92" s="37"/>
      <c r="P92" s="37"/>
      <c r="Q92" s="18">
        <v>0.63123499999999999</v>
      </c>
      <c r="R92" s="18">
        <v>4.3038749999999995E-3</v>
      </c>
      <c r="S92" s="18">
        <v>1.205085</v>
      </c>
      <c r="T92" s="18">
        <v>5.16465</v>
      </c>
      <c r="U92" s="18">
        <v>2.582325</v>
      </c>
      <c r="V92" s="18">
        <v>33.053759999999997</v>
      </c>
      <c r="W92" s="18">
        <v>30.9879</v>
      </c>
      <c r="X92" s="18">
        <v>20.6586</v>
      </c>
      <c r="Y92" s="18">
        <v>0.91815999999999998</v>
      </c>
      <c r="Z92" s="18">
        <v>4.0743349999999996</v>
      </c>
      <c r="AA92" s="18">
        <v>5.9680400000000002</v>
      </c>
      <c r="AB92" s="18">
        <v>10.616225</v>
      </c>
      <c r="AC92" s="18">
        <v>3.2709449999999998</v>
      </c>
      <c r="AD92" s="18">
        <v>17.215499999999999</v>
      </c>
    </row>
    <row r="93" spans="2:30" x14ac:dyDescent="0.25">
      <c r="B93" t="s">
        <v>108</v>
      </c>
      <c r="C93" t="s">
        <v>105</v>
      </c>
      <c r="D93" t="s">
        <v>185</v>
      </c>
      <c r="E93" s="35">
        <v>0.9</v>
      </c>
      <c r="F93" s="35">
        <v>16</v>
      </c>
      <c r="G93" s="36">
        <v>5.7384999999999999E-2</v>
      </c>
      <c r="H93" s="18">
        <v>103.292734</v>
      </c>
      <c r="I93" s="16">
        <v>0</v>
      </c>
      <c r="J93" s="16"/>
      <c r="K93" s="16"/>
      <c r="L93" s="37" t="s">
        <v>107</v>
      </c>
      <c r="M93" s="37"/>
      <c r="N93" s="37">
        <v>94</v>
      </c>
      <c r="O93" s="37"/>
      <c r="P93" s="37"/>
      <c r="Q93" s="18">
        <v>0.63123499999999999</v>
      </c>
      <c r="R93" s="18">
        <v>4.3038749999999995E-3</v>
      </c>
      <c r="S93" s="18">
        <v>1.205085</v>
      </c>
      <c r="T93" s="18">
        <v>5.16465</v>
      </c>
      <c r="U93" s="18">
        <v>2.582325</v>
      </c>
      <c r="V93" s="18">
        <v>33.053759999999997</v>
      </c>
      <c r="W93" s="18">
        <v>30.9879</v>
      </c>
      <c r="X93" s="18">
        <v>20.6586</v>
      </c>
      <c r="Y93" s="18">
        <v>0.91815999999999998</v>
      </c>
      <c r="Z93" s="18">
        <v>4.0743349999999996</v>
      </c>
      <c r="AA93" s="18">
        <v>5.9680400000000002</v>
      </c>
      <c r="AB93" s="18">
        <v>10.616225</v>
      </c>
      <c r="AC93" s="18">
        <v>3.2709449999999998</v>
      </c>
      <c r="AD93" s="18">
        <v>17.215499999999999</v>
      </c>
    </row>
    <row r="94" spans="2:30" x14ac:dyDescent="0.25">
      <c r="B94" t="s">
        <v>108</v>
      </c>
      <c r="C94" t="s">
        <v>105</v>
      </c>
      <c r="D94" t="s">
        <v>186</v>
      </c>
      <c r="E94" s="35">
        <v>0.9</v>
      </c>
      <c r="F94" s="35">
        <v>16</v>
      </c>
      <c r="G94" s="36">
        <v>6.9223999999999994E-2</v>
      </c>
      <c r="H94" s="18">
        <v>124.60386699999999</v>
      </c>
      <c r="I94" s="16">
        <v>0</v>
      </c>
      <c r="J94" s="16"/>
      <c r="K94" s="16"/>
      <c r="L94" s="37" t="s">
        <v>107</v>
      </c>
      <c r="M94" s="37"/>
      <c r="N94" s="37">
        <v>95</v>
      </c>
      <c r="O94" s="37"/>
      <c r="P94" s="37"/>
      <c r="Q94" s="18">
        <v>0.76146399999999992</v>
      </c>
      <c r="R94" s="18">
        <v>5.191799999999999E-3</v>
      </c>
      <c r="S94" s="18">
        <v>1.4537039999999999</v>
      </c>
      <c r="T94" s="18">
        <v>6.2301599999999997</v>
      </c>
      <c r="U94" s="18">
        <v>3.1150799999999998</v>
      </c>
      <c r="V94" s="18">
        <v>39.873023999999994</v>
      </c>
      <c r="W94" s="18">
        <v>37.380959999999995</v>
      </c>
      <c r="X94" s="18">
        <v>24.920639999999999</v>
      </c>
      <c r="Y94" s="18">
        <v>1.1075839999999999</v>
      </c>
      <c r="Z94" s="18">
        <v>4.9149039999999999</v>
      </c>
      <c r="AA94" s="18">
        <v>7.1992959999999995</v>
      </c>
      <c r="AB94" s="18">
        <v>12.806439999999998</v>
      </c>
      <c r="AC94" s="18">
        <v>3.9457679999999997</v>
      </c>
      <c r="AD94" s="18">
        <v>20.767199999999999</v>
      </c>
    </row>
    <row r="95" spans="2:30" x14ac:dyDescent="0.25">
      <c r="B95" t="s">
        <v>187</v>
      </c>
      <c r="C95" t="s">
        <v>105</v>
      </c>
      <c r="D95" t="s">
        <v>188</v>
      </c>
      <c r="E95" s="35">
        <v>0.9</v>
      </c>
      <c r="F95" s="35">
        <v>55</v>
      </c>
      <c r="G95" s="36">
        <v>0.67457800000000001</v>
      </c>
      <c r="H95" s="18">
        <v>1214.2404180000001</v>
      </c>
      <c r="I95" s="16">
        <v>0</v>
      </c>
      <c r="J95" s="16">
        <v>26</v>
      </c>
      <c r="K95" s="16"/>
      <c r="L95" s="37" t="s">
        <v>107</v>
      </c>
      <c r="M95" s="37"/>
      <c r="N95" s="37">
        <v>96</v>
      </c>
      <c r="O95" s="37"/>
      <c r="P95" s="37"/>
      <c r="Q95" s="18">
        <v>7.4203580000000002</v>
      </c>
      <c r="R95" s="18">
        <v>5.0593350000000002E-2</v>
      </c>
      <c r="S95" s="18">
        <v>14.166138</v>
      </c>
      <c r="T95" s="18">
        <v>60.712020000000003</v>
      </c>
      <c r="U95" s="18">
        <v>30.356010000000001</v>
      </c>
      <c r="V95" s="18">
        <v>388.55692800000003</v>
      </c>
      <c r="W95" s="18">
        <v>364.27212000000003</v>
      </c>
      <c r="X95" s="18">
        <v>242.84808000000001</v>
      </c>
      <c r="Y95" s="18">
        <v>10.793248</v>
      </c>
      <c r="Z95" s="18">
        <v>47.895038</v>
      </c>
      <c r="AA95" s="18">
        <v>70.156112000000007</v>
      </c>
      <c r="AB95" s="18">
        <v>124.79693</v>
      </c>
      <c r="AC95" s="18">
        <v>38.450946000000002</v>
      </c>
      <c r="AD95" s="18">
        <v>202.3734</v>
      </c>
    </row>
    <row r="96" spans="2:30" x14ac:dyDescent="0.25">
      <c r="B96" t="s">
        <v>110</v>
      </c>
      <c r="C96" t="s">
        <v>105</v>
      </c>
      <c r="D96" t="s">
        <v>189</v>
      </c>
      <c r="E96" s="35">
        <v>0.9</v>
      </c>
      <c r="F96" s="35">
        <v>22</v>
      </c>
      <c r="G96" s="36">
        <v>0.28349600000000003</v>
      </c>
      <c r="H96" s="18">
        <v>510.29252400000001</v>
      </c>
      <c r="I96" s="16">
        <v>0</v>
      </c>
      <c r="J96" s="16"/>
      <c r="K96" s="16"/>
      <c r="L96" s="37" t="s">
        <v>107</v>
      </c>
      <c r="M96" s="37"/>
      <c r="N96" s="37">
        <v>97</v>
      </c>
      <c r="O96" s="37"/>
      <c r="P96" s="37"/>
      <c r="Q96" s="18">
        <v>3.1184560000000001</v>
      </c>
      <c r="R96" s="18">
        <v>2.1262200000000002E-2</v>
      </c>
      <c r="S96" s="18">
        <v>5.9534160000000007</v>
      </c>
      <c r="T96" s="18">
        <v>25.514640000000004</v>
      </c>
      <c r="U96" s="18">
        <v>12.757320000000002</v>
      </c>
      <c r="V96" s="18">
        <v>163.29369600000001</v>
      </c>
      <c r="W96" s="18">
        <v>153.08784</v>
      </c>
      <c r="X96" s="18">
        <v>102.05856000000001</v>
      </c>
      <c r="Y96" s="18">
        <v>4.5359360000000004</v>
      </c>
      <c r="Z96" s="18">
        <v>20.128216000000002</v>
      </c>
      <c r="AA96" s="18">
        <v>29.483584000000004</v>
      </c>
      <c r="AB96" s="18">
        <v>52.446760000000005</v>
      </c>
      <c r="AC96" s="18">
        <v>16.159272000000001</v>
      </c>
      <c r="AD96" s="18">
        <v>85.048800000000014</v>
      </c>
    </row>
    <row r="97" spans="2:30" x14ac:dyDescent="0.25">
      <c r="B97" t="s">
        <v>108</v>
      </c>
      <c r="C97" t="s">
        <v>105</v>
      </c>
      <c r="D97" t="s">
        <v>190</v>
      </c>
      <c r="E97" s="35">
        <v>0.9</v>
      </c>
      <c r="F97" s="35">
        <v>16</v>
      </c>
      <c r="G97" s="36">
        <v>8.2130999999999996E-2</v>
      </c>
      <c r="H97" s="18">
        <v>147.83492200000001</v>
      </c>
      <c r="I97" s="16">
        <v>0</v>
      </c>
      <c r="J97" s="16"/>
      <c r="K97" s="16"/>
      <c r="L97" s="37" t="s">
        <v>107</v>
      </c>
      <c r="M97" s="37"/>
      <c r="N97" s="37">
        <v>98</v>
      </c>
      <c r="O97" s="37"/>
      <c r="P97" s="37"/>
      <c r="Q97" s="18">
        <v>0.90344099999999994</v>
      </c>
      <c r="R97" s="18">
        <v>6.1598249999999998E-3</v>
      </c>
      <c r="S97" s="18">
        <v>1.7247509999999999</v>
      </c>
      <c r="T97" s="18">
        <v>7.3917899999999994</v>
      </c>
      <c r="U97" s="18">
        <v>3.6958949999999997</v>
      </c>
      <c r="V97" s="18">
        <v>47.307455999999995</v>
      </c>
      <c r="W97" s="18">
        <v>44.350739999999995</v>
      </c>
      <c r="X97" s="18">
        <v>29.567159999999998</v>
      </c>
      <c r="Y97" s="18">
        <v>1.3140959999999999</v>
      </c>
      <c r="Z97" s="18">
        <v>5.8313009999999998</v>
      </c>
      <c r="AA97" s="18">
        <v>8.5416239999999988</v>
      </c>
      <c r="AB97" s="18">
        <v>15.194234999999999</v>
      </c>
      <c r="AC97" s="18">
        <v>4.6814669999999996</v>
      </c>
      <c r="AD97" s="18">
        <v>24.639299999999999</v>
      </c>
    </row>
    <row r="98" spans="2:30" x14ac:dyDescent="0.25">
      <c r="B98" t="s">
        <v>191</v>
      </c>
      <c r="C98" t="s">
        <v>105</v>
      </c>
      <c r="D98" t="s">
        <v>192</v>
      </c>
      <c r="E98" s="35">
        <v>0.9</v>
      </c>
      <c r="F98" s="35">
        <v>8.1999999999999993</v>
      </c>
      <c r="G98" s="36">
        <v>9.8560000000000002E-3</v>
      </c>
      <c r="H98" s="18">
        <v>17.740673000000001</v>
      </c>
      <c r="I98" s="16"/>
      <c r="J98" s="16"/>
      <c r="K98" s="16"/>
      <c r="L98" s="37" t="s">
        <v>107</v>
      </c>
      <c r="M98" s="37"/>
      <c r="N98" s="37">
        <v>99</v>
      </c>
      <c r="O98" s="37"/>
      <c r="P98" s="37"/>
      <c r="Q98" s="18">
        <v>0.108416</v>
      </c>
      <c r="R98" s="18">
        <v>7.3919999999999997E-4</v>
      </c>
      <c r="S98" s="18">
        <v>0.20697599999999999</v>
      </c>
      <c r="T98" s="18">
        <v>0.88704000000000005</v>
      </c>
      <c r="U98" s="18">
        <v>0.44352000000000003</v>
      </c>
      <c r="V98" s="18">
        <v>5.6770560000000003</v>
      </c>
      <c r="W98" s="18">
        <v>5.3222399999999999</v>
      </c>
      <c r="X98" s="18">
        <v>3.5481600000000002</v>
      </c>
      <c r="Y98" s="18">
        <v>0.157696</v>
      </c>
      <c r="Z98" s="18">
        <v>0.69977600000000006</v>
      </c>
      <c r="AA98" s="18">
        <v>1.0250239999999999</v>
      </c>
      <c r="AB98" s="18">
        <v>1.8233600000000001</v>
      </c>
      <c r="AC98" s="18">
        <v>0.56179199999999996</v>
      </c>
      <c r="AD98" s="18">
        <v>2.9567999999999999</v>
      </c>
    </row>
    <row r="99" spans="2:30" x14ac:dyDescent="0.25">
      <c r="B99" t="s">
        <v>160</v>
      </c>
      <c r="C99" t="s">
        <v>105</v>
      </c>
      <c r="D99" t="s">
        <v>184</v>
      </c>
      <c r="E99" s="35">
        <v>0.9</v>
      </c>
      <c r="F99" s="35">
        <v>31</v>
      </c>
      <c r="G99" s="36">
        <v>0.44059599999999999</v>
      </c>
      <c r="H99" s="18">
        <v>793.07354499999997</v>
      </c>
      <c r="I99" s="16">
        <v>0</v>
      </c>
      <c r="J99" s="16"/>
      <c r="K99" s="16"/>
      <c r="L99" s="37" t="s">
        <v>107</v>
      </c>
      <c r="M99" s="37"/>
      <c r="N99" s="37">
        <v>100</v>
      </c>
      <c r="O99" s="37"/>
      <c r="P99" s="37"/>
      <c r="Q99" s="18">
        <v>4.8465559999999996</v>
      </c>
      <c r="R99" s="18">
        <v>3.3044699999999996E-2</v>
      </c>
      <c r="S99" s="18">
        <v>9.252516</v>
      </c>
      <c r="T99" s="18">
        <v>39.653639999999996</v>
      </c>
      <c r="U99" s="18">
        <v>19.826819999999998</v>
      </c>
      <c r="V99" s="18">
        <v>253.78329600000001</v>
      </c>
      <c r="W99" s="18">
        <v>237.92184</v>
      </c>
      <c r="X99" s="18">
        <v>158.61455999999998</v>
      </c>
      <c r="Y99" s="18">
        <v>7.0495359999999998</v>
      </c>
      <c r="Z99" s="18">
        <v>31.282315999999998</v>
      </c>
      <c r="AA99" s="18">
        <v>45.821984</v>
      </c>
      <c r="AB99" s="18">
        <v>81.510260000000002</v>
      </c>
      <c r="AC99" s="18">
        <v>25.113972</v>
      </c>
      <c r="AD99" s="18">
        <v>132.1788</v>
      </c>
    </row>
    <row r="100" spans="2:30" x14ac:dyDescent="0.25">
      <c r="B100" t="s">
        <v>144</v>
      </c>
      <c r="C100" t="s">
        <v>105</v>
      </c>
      <c r="D100" t="s">
        <v>193</v>
      </c>
      <c r="E100" s="35">
        <v>0.9</v>
      </c>
      <c r="F100" s="35">
        <v>40</v>
      </c>
      <c r="G100" s="36">
        <v>0.49248799999999998</v>
      </c>
      <c r="H100" s="18">
        <v>886.47790899999995</v>
      </c>
      <c r="I100" s="16">
        <v>0</v>
      </c>
      <c r="J100" s="16"/>
      <c r="K100" s="16"/>
      <c r="L100" s="37" t="s">
        <v>107</v>
      </c>
      <c r="M100" s="37"/>
      <c r="N100" s="37">
        <v>101</v>
      </c>
      <c r="O100" s="37"/>
      <c r="P100" s="37"/>
      <c r="Q100" s="18">
        <v>5.4173679999999997</v>
      </c>
      <c r="R100" s="18">
        <v>3.69366E-2</v>
      </c>
      <c r="S100" s="18">
        <v>10.342248</v>
      </c>
      <c r="T100" s="18">
        <v>44.323920000000001</v>
      </c>
      <c r="U100" s="18">
        <v>22.161960000000001</v>
      </c>
      <c r="V100" s="18">
        <v>283.67308800000001</v>
      </c>
      <c r="W100" s="18">
        <v>265.94351999999998</v>
      </c>
      <c r="X100" s="18">
        <v>177.29568</v>
      </c>
      <c r="Y100" s="18">
        <v>7.8798079999999997</v>
      </c>
      <c r="Z100" s="18">
        <v>34.966647999999999</v>
      </c>
      <c r="AA100" s="18">
        <v>51.218751999999995</v>
      </c>
      <c r="AB100" s="18">
        <v>91.110280000000003</v>
      </c>
      <c r="AC100" s="18">
        <v>28.071815999999998</v>
      </c>
      <c r="AD100" s="18">
        <v>147.74639999999999</v>
      </c>
    </row>
    <row r="101" spans="2:30" x14ac:dyDescent="0.25">
      <c r="B101" t="s">
        <v>166</v>
      </c>
      <c r="C101" t="s">
        <v>105</v>
      </c>
      <c r="D101" t="s">
        <v>194</v>
      </c>
      <c r="E101" s="35">
        <v>0.9</v>
      </c>
      <c r="F101" s="35">
        <v>26</v>
      </c>
      <c r="G101" s="36">
        <v>0.21145900000000001</v>
      </c>
      <c r="H101" s="18">
        <v>380.626035</v>
      </c>
      <c r="I101" s="16">
        <v>0</v>
      </c>
      <c r="J101" s="16"/>
      <c r="K101" s="16"/>
      <c r="L101" s="37" t="s">
        <v>107</v>
      </c>
      <c r="M101" s="37"/>
      <c r="N101" s="37">
        <v>102</v>
      </c>
      <c r="O101" s="37"/>
      <c r="P101" s="37"/>
      <c r="Q101" s="18">
        <v>2.3260490000000003</v>
      </c>
      <c r="R101" s="18">
        <v>1.5859425E-2</v>
      </c>
      <c r="S101" s="18">
        <v>4.440639</v>
      </c>
      <c r="T101" s="18">
        <v>19.031310000000001</v>
      </c>
      <c r="U101" s="18">
        <v>9.5156550000000006</v>
      </c>
      <c r="V101" s="18">
        <v>121.80038400000001</v>
      </c>
      <c r="W101" s="18">
        <v>114.18786</v>
      </c>
      <c r="X101" s="18">
        <v>76.125240000000005</v>
      </c>
      <c r="Y101" s="18">
        <v>3.3833440000000001</v>
      </c>
      <c r="Z101" s="18">
        <v>15.013589000000001</v>
      </c>
      <c r="AA101" s="18">
        <v>21.991736</v>
      </c>
      <c r="AB101" s="18">
        <v>39.119914999999999</v>
      </c>
      <c r="AC101" s="18">
        <v>12.053163</v>
      </c>
      <c r="AD101" s="18">
        <v>63.4377</v>
      </c>
    </row>
    <row r="102" spans="2:30" x14ac:dyDescent="0.25">
      <c r="B102" t="s">
        <v>195</v>
      </c>
      <c r="C102" t="s">
        <v>105</v>
      </c>
      <c r="D102" t="s">
        <v>196</v>
      </c>
      <c r="E102" s="35">
        <v>0.9</v>
      </c>
      <c r="F102" s="35">
        <v>30</v>
      </c>
      <c r="G102" s="36">
        <v>0.25399100000000002</v>
      </c>
      <c r="H102" s="18">
        <v>457.183154</v>
      </c>
      <c r="I102" s="16">
        <v>0</v>
      </c>
      <c r="J102" s="16"/>
      <c r="K102" s="16"/>
      <c r="L102" s="37" t="s">
        <v>107</v>
      </c>
      <c r="M102" s="37"/>
      <c r="N102" s="37">
        <v>103</v>
      </c>
      <c r="O102" s="37"/>
      <c r="P102" s="37"/>
      <c r="Q102" s="18">
        <v>2.7939010000000004</v>
      </c>
      <c r="R102" s="18">
        <v>1.9049325000000002E-2</v>
      </c>
      <c r="S102" s="18">
        <v>5.3338110000000007</v>
      </c>
      <c r="T102" s="18">
        <v>22.859190000000002</v>
      </c>
      <c r="U102" s="18">
        <v>11.429595000000001</v>
      </c>
      <c r="V102" s="18">
        <v>146.29881600000002</v>
      </c>
      <c r="W102" s="18">
        <v>137.15514000000002</v>
      </c>
      <c r="X102" s="18">
        <v>91.436760000000007</v>
      </c>
      <c r="Y102" s="18">
        <v>4.0638560000000004</v>
      </c>
      <c r="Z102" s="18">
        <v>18.033361000000003</v>
      </c>
      <c r="AA102" s="18">
        <v>26.415064000000001</v>
      </c>
      <c r="AB102" s="18">
        <v>46.988335000000006</v>
      </c>
      <c r="AC102" s="18">
        <v>14.477487000000002</v>
      </c>
      <c r="AD102" s="18">
        <v>76.197300000000013</v>
      </c>
    </row>
    <row r="103" spans="2:30" x14ac:dyDescent="0.25">
      <c r="B103" t="s">
        <v>191</v>
      </c>
      <c r="C103" t="s">
        <v>105</v>
      </c>
      <c r="D103" t="s">
        <v>197</v>
      </c>
      <c r="E103" s="35">
        <v>0.9</v>
      </c>
      <c r="F103" s="35">
        <v>8.1999999999999993</v>
      </c>
      <c r="G103" s="36">
        <v>2.3254E-2</v>
      </c>
      <c r="H103" s="18">
        <v>41.856594000000001</v>
      </c>
      <c r="I103" s="16"/>
      <c r="J103" s="16"/>
      <c r="K103" s="16"/>
      <c r="L103" s="37" t="s">
        <v>107</v>
      </c>
      <c r="M103" s="37"/>
      <c r="N103" s="37">
        <v>104</v>
      </c>
      <c r="O103" s="37"/>
      <c r="P103" s="37"/>
      <c r="Q103" s="18">
        <v>0.25579400000000002</v>
      </c>
      <c r="R103" s="18">
        <v>1.74405E-3</v>
      </c>
      <c r="S103" s="18">
        <v>0.48833399999999999</v>
      </c>
      <c r="T103" s="18">
        <v>2.0928599999999999</v>
      </c>
      <c r="U103" s="18">
        <v>1.04643</v>
      </c>
      <c r="V103" s="18">
        <v>13.394304</v>
      </c>
      <c r="W103" s="18">
        <v>12.55716</v>
      </c>
      <c r="X103" s="18">
        <v>8.3714399999999998</v>
      </c>
      <c r="Y103" s="18">
        <v>0.37206400000000001</v>
      </c>
      <c r="Z103" s="18">
        <v>1.6510340000000001</v>
      </c>
      <c r="AA103" s="18">
        <v>2.4184160000000001</v>
      </c>
      <c r="AB103" s="18">
        <v>4.30199</v>
      </c>
      <c r="AC103" s="18">
        <v>1.3254779999999999</v>
      </c>
      <c r="AD103" s="18">
        <v>6.9762000000000004</v>
      </c>
    </row>
    <row r="104" spans="2:30" x14ac:dyDescent="0.25">
      <c r="B104" t="s">
        <v>191</v>
      </c>
      <c r="C104" t="s">
        <v>105</v>
      </c>
      <c r="D104" t="s">
        <v>197</v>
      </c>
      <c r="E104" s="35">
        <v>0.9</v>
      </c>
      <c r="F104" s="35">
        <v>8.1999999999999993</v>
      </c>
      <c r="G104" s="36">
        <v>2.3254E-2</v>
      </c>
      <c r="H104" s="18">
        <v>41.856594000000001</v>
      </c>
      <c r="I104" s="16"/>
      <c r="J104" s="16"/>
      <c r="K104" s="16"/>
      <c r="L104" s="37" t="s">
        <v>107</v>
      </c>
      <c r="M104" s="37"/>
      <c r="N104" s="37">
        <v>105</v>
      </c>
      <c r="O104" s="37"/>
      <c r="P104" s="37"/>
      <c r="Q104" s="18">
        <v>0.25579400000000002</v>
      </c>
      <c r="R104" s="18">
        <v>1.74405E-3</v>
      </c>
      <c r="S104" s="18">
        <v>0.48833399999999999</v>
      </c>
      <c r="T104" s="18">
        <v>2.0928599999999999</v>
      </c>
      <c r="U104" s="18">
        <v>1.04643</v>
      </c>
      <c r="V104" s="18">
        <v>13.394304</v>
      </c>
      <c r="W104" s="18">
        <v>12.55716</v>
      </c>
      <c r="X104" s="18">
        <v>8.3714399999999998</v>
      </c>
      <c r="Y104" s="18">
        <v>0.37206400000000001</v>
      </c>
      <c r="Z104" s="18">
        <v>1.6510340000000001</v>
      </c>
      <c r="AA104" s="18">
        <v>2.4184160000000001</v>
      </c>
      <c r="AB104" s="18">
        <v>4.30199</v>
      </c>
      <c r="AC104" s="18">
        <v>1.3254779999999999</v>
      </c>
      <c r="AD104" s="18">
        <v>6.9762000000000004</v>
      </c>
    </row>
    <row r="105" spans="2:30" x14ac:dyDescent="0.25">
      <c r="B105" t="s">
        <v>191</v>
      </c>
      <c r="C105" t="s">
        <v>105</v>
      </c>
      <c r="D105" t="s">
        <v>197</v>
      </c>
      <c r="E105" s="35">
        <v>0.9</v>
      </c>
      <c r="F105" s="35">
        <v>8.1999999999999993</v>
      </c>
      <c r="G105" s="36">
        <v>2.3254E-2</v>
      </c>
      <c r="H105" s="18">
        <v>41.856594000000001</v>
      </c>
      <c r="I105" s="16"/>
      <c r="J105" s="16"/>
      <c r="K105" s="16"/>
      <c r="L105" s="37" t="s">
        <v>107</v>
      </c>
      <c r="M105" s="37"/>
      <c r="N105" s="37">
        <v>106</v>
      </c>
      <c r="O105" s="37"/>
      <c r="P105" s="37"/>
      <c r="Q105" s="18">
        <v>0.25579400000000002</v>
      </c>
      <c r="R105" s="18">
        <v>1.74405E-3</v>
      </c>
      <c r="S105" s="18">
        <v>0.48833399999999999</v>
      </c>
      <c r="T105" s="18">
        <v>2.0928599999999999</v>
      </c>
      <c r="U105" s="18">
        <v>1.04643</v>
      </c>
      <c r="V105" s="18">
        <v>13.394304</v>
      </c>
      <c r="W105" s="18">
        <v>12.55716</v>
      </c>
      <c r="X105" s="18">
        <v>8.3714399999999998</v>
      </c>
      <c r="Y105" s="18">
        <v>0.37206400000000001</v>
      </c>
      <c r="Z105" s="18">
        <v>1.6510340000000001</v>
      </c>
      <c r="AA105" s="18">
        <v>2.4184160000000001</v>
      </c>
      <c r="AB105" s="18">
        <v>4.30199</v>
      </c>
      <c r="AC105" s="18">
        <v>1.3254779999999999</v>
      </c>
      <c r="AD105" s="18">
        <v>6.9762000000000004</v>
      </c>
    </row>
    <row r="106" spans="2:30" x14ac:dyDescent="0.25">
      <c r="B106" t="s">
        <v>191</v>
      </c>
      <c r="C106" t="s">
        <v>105</v>
      </c>
      <c r="D106" t="s">
        <v>197</v>
      </c>
      <c r="E106" s="35">
        <v>0.9</v>
      </c>
      <c r="F106" s="35">
        <v>8.1999999999999993</v>
      </c>
      <c r="G106" s="36">
        <v>2.3254E-2</v>
      </c>
      <c r="H106" s="18">
        <v>41.856594000000001</v>
      </c>
      <c r="I106" s="16"/>
      <c r="J106" s="16"/>
      <c r="K106" s="16"/>
      <c r="L106" s="37" t="s">
        <v>107</v>
      </c>
      <c r="M106" s="37"/>
      <c r="N106" s="37">
        <v>107</v>
      </c>
      <c r="O106" s="37"/>
      <c r="P106" s="37"/>
      <c r="Q106" s="18">
        <v>0.25579400000000002</v>
      </c>
      <c r="R106" s="18">
        <v>1.74405E-3</v>
      </c>
      <c r="S106" s="18">
        <v>0.48833399999999999</v>
      </c>
      <c r="T106" s="18">
        <v>2.0928599999999999</v>
      </c>
      <c r="U106" s="18">
        <v>1.04643</v>
      </c>
      <c r="V106" s="18">
        <v>13.394304</v>
      </c>
      <c r="W106" s="18">
        <v>12.55716</v>
      </c>
      <c r="X106" s="18">
        <v>8.3714399999999998</v>
      </c>
      <c r="Y106" s="18">
        <v>0.37206400000000001</v>
      </c>
      <c r="Z106" s="18">
        <v>1.6510340000000001</v>
      </c>
      <c r="AA106" s="18">
        <v>2.4184160000000001</v>
      </c>
      <c r="AB106" s="18">
        <v>4.30199</v>
      </c>
      <c r="AC106" s="18">
        <v>1.3254779999999999</v>
      </c>
      <c r="AD106" s="18">
        <v>6.9762000000000004</v>
      </c>
    </row>
    <row r="107" spans="2:30" x14ac:dyDescent="0.25">
      <c r="B107" t="s">
        <v>160</v>
      </c>
      <c r="C107" t="s">
        <v>105</v>
      </c>
      <c r="D107" t="s">
        <v>198</v>
      </c>
      <c r="E107" s="35">
        <v>0.9</v>
      </c>
      <c r="F107" s="35">
        <v>31</v>
      </c>
      <c r="G107" s="36">
        <v>0.24654400000000001</v>
      </c>
      <c r="H107" s="18">
        <v>443.77975800000002</v>
      </c>
      <c r="I107" s="16">
        <v>0</v>
      </c>
      <c r="J107" s="16"/>
      <c r="K107" s="16"/>
      <c r="L107" s="37" t="s">
        <v>107</v>
      </c>
      <c r="M107" s="37"/>
      <c r="N107" s="37">
        <v>108</v>
      </c>
      <c r="O107" s="37"/>
      <c r="P107" s="37"/>
      <c r="Q107" s="18">
        <v>2.7119840000000002</v>
      </c>
      <c r="R107" s="18">
        <v>1.8490800000000002E-2</v>
      </c>
      <c r="S107" s="18">
        <v>5.1774240000000002</v>
      </c>
      <c r="T107" s="18">
        <v>22.188960000000002</v>
      </c>
      <c r="U107" s="18">
        <v>11.094480000000001</v>
      </c>
      <c r="V107" s="18">
        <v>142.009344</v>
      </c>
      <c r="W107" s="18">
        <v>133.13376</v>
      </c>
      <c r="X107" s="18">
        <v>88.755840000000006</v>
      </c>
      <c r="Y107" s="18">
        <v>3.9447040000000002</v>
      </c>
      <c r="Z107" s="18">
        <v>17.504624</v>
      </c>
      <c r="AA107" s="18">
        <v>25.640576000000003</v>
      </c>
      <c r="AB107" s="18">
        <v>45.610640000000004</v>
      </c>
      <c r="AC107" s="18">
        <v>14.053008</v>
      </c>
      <c r="AD107" s="18">
        <v>73.963200000000001</v>
      </c>
    </row>
    <row r="108" spans="2:30" x14ac:dyDescent="0.25">
      <c r="B108" t="s">
        <v>195</v>
      </c>
      <c r="C108" t="s">
        <v>105</v>
      </c>
      <c r="D108" t="s">
        <v>198</v>
      </c>
      <c r="E108" s="35">
        <v>0.9</v>
      </c>
      <c r="F108" s="35">
        <v>30</v>
      </c>
      <c r="G108" s="36">
        <v>0.238591</v>
      </c>
      <c r="H108" s="18">
        <v>429.46428200000003</v>
      </c>
      <c r="I108" s="16">
        <v>0</v>
      </c>
      <c r="J108" s="16"/>
      <c r="K108" s="16"/>
      <c r="L108" s="37" t="s">
        <v>107</v>
      </c>
      <c r="M108" s="37"/>
      <c r="N108" s="37">
        <v>109</v>
      </c>
      <c r="O108" s="37"/>
      <c r="P108" s="37"/>
      <c r="Q108" s="18">
        <v>2.624501</v>
      </c>
      <c r="R108" s="18">
        <v>1.7894324999999999E-2</v>
      </c>
      <c r="S108" s="18">
        <v>5.0104109999999995</v>
      </c>
      <c r="T108" s="18">
        <v>21.473189999999999</v>
      </c>
      <c r="U108" s="18">
        <v>10.736594999999999</v>
      </c>
      <c r="V108" s="18">
        <v>137.428416</v>
      </c>
      <c r="W108" s="18">
        <v>128.83913999999999</v>
      </c>
      <c r="X108" s="18">
        <v>85.892759999999996</v>
      </c>
      <c r="Y108" s="18">
        <v>3.817456</v>
      </c>
      <c r="Z108" s="18">
        <v>16.939961</v>
      </c>
      <c r="AA108" s="18">
        <v>24.813464</v>
      </c>
      <c r="AB108" s="18">
        <v>44.139335000000003</v>
      </c>
      <c r="AC108" s="18">
        <v>13.599686999999999</v>
      </c>
      <c r="AD108" s="18">
        <v>71.577299999999994</v>
      </c>
    </row>
    <row r="109" spans="2:30" x14ac:dyDescent="0.25">
      <c r="B109" t="s">
        <v>166</v>
      </c>
      <c r="C109" t="s">
        <v>105</v>
      </c>
      <c r="D109" t="s">
        <v>199</v>
      </c>
      <c r="E109" s="35">
        <v>0.9</v>
      </c>
      <c r="F109" s="35">
        <v>26</v>
      </c>
      <c r="G109" s="36">
        <v>0.24127100000000001</v>
      </c>
      <c r="H109" s="18">
        <v>434.28785199999999</v>
      </c>
      <c r="I109" s="16">
        <v>0</v>
      </c>
      <c r="J109" s="16"/>
      <c r="K109" s="16"/>
      <c r="L109" s="37" t="s">
        <v>107</v>
      </c>
      <c r="M109" s="37"/>
      <c r="N109" s="37">
        <v>110</v>
      </c>
      <c r="O109" s="37"/>
      <c r="P109" s="37"/>
      <c r="Q109" s="18">
        <v>2.6539809999999999</v>
      </c>
      <c r="R109" s="18">
        <v>1.8095324999999999E-2</v>
      </c>
      <c r="S109" s="18">
        <v>5.0666910000000005</v>
      </c>
      <c r="T109" s="18">
        <v>21.714390000000002</v>
      </c>
      <c r="U109" s="18">
        <v>10.857195000000001</v>
      </c>
      <c r="V109" s="18">
        <v>138.97209600000002</v>
      </c>
      <c r="W109" s="18">
        <v>130.28634</v>
      </c>
      <c r="X109" s="18">
        <v>86.857560000000007</v>
      </c>
      <c r="Y109" s="18">
        <v>3.8603360000000002</v>
      </c>
      <c r="Z109" s="18">
        <v>17.130241000000002</v>
      </c>
      <c r="AA109" s="18">
        <v>25.092184000000003</v>
      </c>
      <c r="AB109" s="18">
        <v>44.635135000000005</v>
      </c>
      <c r="AC109" s="18">
        <v>13.752447</v>
      </c>
      <c r="AD109" s="18">
        <v>72.38130000000001</v>
      </c>
    </row>
    <row r="110" spans="2:30" x14ac:dyDescent="0.25">
      <c r="B110" t="s">
        <v>191</v>
      </c>
      <c r="C110" t="s">
        <v>105</v>
      </c>
      <c r="D110" t="s">
        <v>192</v>
      </c>
      <c r="E110" s="35">
        <v>0.9</v>
      </c>
      <c r="F110" s="35">
        <v>8.1999999999999993</v>
      </c>
      <c r="G110" s="36">
        <v>9.8560000000000002E-3</v>
      </c>
      <c r="H110" s="18">
        <v>17.740673000000001</v>
      </c>
      <c r="I110" s="16"/>
      <c r="J110" s="16"/>
      <c r="K110" s="16"/>
      <c r="L110" s="37" t="s">
        <v>107</v>
      </c>
      <c r="M110" s="37"/>
      <c r="N110" s="37">
        <v>111</v>
      </c>
      <c r="O110" s="37"/>
      <c r="P110" s="37"/>
      <c r="Q110" s="18">
        <v>0.108416</v>
      </c>
      <c r="R110" s="18">
        <v>7.3919999999999997E-4</v>
      </c>
      <c r="S110" s="18">
        <v>0.20697599999999999</v>
      </c>
      <c r="T110" s="18">
        <v>0.88704000000000005</v>
      </c>
      <c r="U110" s="18">
        <v>0.44352000000000003</v>
      </c>
      <c r="V110" s="18">
        <v>5.6770560000000003</v>
      </c>
      <c r="W110" s="18">
        <v>5.3222399999999999</v>
      </c>
      <c r="X110" s="18">
        <v>3.5481600000000002</v>
      </c>
      <c r="Y110" s="18">
        <v>0.157696</v>
      </c>
      <c r="Z110" s="18">
        <v>0.69977600000000006</v>
      </c>
      <c r="AA110" s="18">
        <v>1.0250239999999999</v>
      </c>
      <c r="AB110" s="18">
        <v>1.8233600000000001</v>
      </c>
      <c r="AC110" s="18">
        <v>0.56179199999999996</v>
      </c>
      <c r="AD110" s="18">
        <v>2.9567999999999999</v>
      </c>
    </row>
    <row r="111" spans="2:30" x14ac:dyDescent="0.25">
      <c r="B111" t="s">
        <v>124</v>
      </c>
      <c r="C111" t="s">
        <v>105</v>
      </c>
      <c r="D111" t="s">
        <v>132</v>
      </c>
      <c r="E111" s="35">
        <v>0.9</v>
      </c>
      <c r="F111" s="35">
        <v>35</v>
      </c>
      <c r="G111" s="36">
        <v>0.48745100000000002</v>
      </c>
      <c r="H111" s="18">
        <v>877.41193599999997</v>
      </c>
      <c r="I111" s="16">
        <v>0</v>
      </c>
      <c r="J111" s="16"/>
      <c r="K111" s="16"/>
      <c r="L111" s="37" t="s">
        <v>107</v>
      </c>
      <c r="M111" s="37"/>
      <c r="N111" s="37">
        <v>112</v>
      </c>
      <c r="O111" s="37"/>
      <c r="P111" s="37"/>
      <c r="Q111" s="18">
        <v>5.361961</v>
      </c>
      <c r="R111" s="18">
        <v>3.6558825000000003E-2</v>
      </c>
      <c r="S111" s="18">
        <v>10.236471</v>
      </c>
      <c r="T111" s="18">
        <v>43.87059</v>
      </c>
      <c r="U111" s="18">
        <v>21.935295</v>
      </c>
      <c r="V111" s="18">
        <v>280.77177599999999</v>
      </c>
      <c r="W111" s="18">
        <v>263.22354000000001</v>
      </c>
      <c r="X111" s="18">
        <v>175.48236</v>
      </c>
      <c r="Y111" s="18">
        <v>7.7992160000000004</v>
      </c>
      <c r="Z111" s="18">
        <v>34.609020999999998</v>
      </c>
      <c r="AA111" s="18">
        <v>50.694904000000001</v>
      </c>
      <c r="AB111" s="18">
        <v>90.178435000000007</v>
      </c>
      <c r="AC111" s="18">
        <v>27.784707000000001</v>
      </c>
      <c r="AD111" s="18">
        <v>146.2353</v>
      </c>
    </row>
    <row r="112" spans="2:30" x14ac:dyDescent="0.25">
      <c r="B112" t="s">
        <v>108</v>
      </c>
      <c r="C112" t="s">
        <v>105</v>
      </c>
      <c r="D112" t="s">
        <v>200</v>
      </c>
      <c r="E112" s="35">
        <v>0.9</v>
      </c>
      <c r="F112" s="35">
        <v>16</v>
      </c>
      <c r="G112" s="36">
        <v>6.1650999999999997E-2</v>
      </c>
      <c r="H112" s="18">
        <v>110.97242199999999</v>
      </c>
      <c r="I112" s="16">
        <v>0</v>
      </c>
      <c r="J112" s="16"/>
      <c r="K112" s="16"/>
      <c r="L112" s="37" t="s">
        <v>107</v>
      </c>
      <c r="M112" s="37"/>
      <c r="N112" s="37">
        <v>113</v>
      </c>
      <c r="O112" s="37"/>
      <c r="P112" s="37"/>
      <c r="Q112" s="18">
        <v>0.67816100000000001</v>
      </c>
      <c r="R112" s="18">
        <v>4.6238249999999998E-3</v>
      </c>
      <c r="S112" s="18">
        <v>1.2946709999999999</v>
      </c>
      <c r="T112" s="18">
        <v>5.5485899999999999</v>
      </c>
      <c r="U112" s="18">
        <v>2.774295</v>
      </c>
      <c r="V112" s="18">
        <v>35.510975999999999</v>
      </c>
      <c r="W112" s="18">
        <v>33.291539999999998</v>
      </c>
      <c r="X112" s="18">
        <v>22.19436</v>
      </c>
      <c r="Y112" s="18">
        <v>0.98641599999999996</v>
      </c>
      <c r="Z112" s="18">
        <v>4.3772209999999996</v>
      </c>
      <c r="AA112" s="18">
        <v>6.4117039999999994</v>
      </c>
      <c r="AB112" s="18">
        <v>11.405434999999999</v>
      </c>
      <c r="AC112" s="18">
        <v>3.5141069999999996</v>
      </c>
      <c r="AD112" s="18">
        <v>18.4953</v>
      </c>
    </row>
    <row r="113" spans="2:30" x14ac:dyDescent="0.25">
      <c r="B113" t="s">
        <v>108</v>
      </c>
      <c r="C113" t="s">
        <v>105</v>
      </c>
      <c r="D113" t="s">
        <v>200</v>
      </c>
      <c r="E113" s="35">
        <v>0.9</v>
      </c>
      <c r="F113" s="35">
        <v>16</v>
      </c>
      <c r="G113" s="36">
        <v>6.1650999999999997E-2</v>
      </c>
      <c r="H113" s="18">
        <v>110.97242199999999</v>
      </c>
      <c r="I113" s="16">
        <v>0</v>
      </c>
      <c r="J113" s="16"/>
      <c r="K113" s="16"/>
      <c r="L113" s="37" t="s">
        <v>107</v>
      </c>
      <c r="M113" s="37"/>
      <c r="N113" s="37">
        <v>114</v>
      </c>
      <c r="O113" s="37"/>
      <c r="P113" s="37"/>
      <c r="Q113" s="18">
        <v>0.67816100000000001</v>
      </c>
      <c r="R113" s="18">
        <v>4.6238249999999998E-3</v>
      </c>
      <c r="S113" s="18">
        <v>1.2946709999999999</v>
      </c>
      <c r="T113" s="18">
        <v>5.5485899999999999</v>
      </c>
      <c r="U113" s="18">
        <v>2.774295</v>
      </c>
      <c r="V113" s="18">
        <v>35.510975999999999</v>
      </c>
      <c r="W113" s="18">
        <v>33.291539999999998</v>
      </c>
      <c r="X113" s="18">
        <v>22.19436</v>
      </c>
      <c r="Y113" s="18">
        <v>0.98641599999999996</v>
      </c>
      <c r="Z113" s="18">
        <v>4.3772209999999996</v>
      </c>
      <c r="AA113" s="18">
        <v>6.4117039999999994</v>
      </c>
      <c r="AB113" s="18">
        <v>11.405434999999999</v>
      </c>
      <c r="AC113" s="18">
        <v>3.5141069999999996</v>
      </c>
      <c r="AD113" s="18">
        <v>18.4953</v>
      </c>
    </row>
    <row r="114" spans="2:30" x14ac:dyDescent="0.25">
      <c r="B114" t="s">
        <v>110</v>
      </c>
      <c r="C114" t="s">
        <v>105</v>
      </c>
      <c r="D114" t="s">
        <v>201</v>
      </c>
      <c r="E114" s="35">
        <v>0.9</v>
      </c>
      <c r="F114" s="35">
        <v>22</v>
      </c>
      <c r="G114" s="36">
        <v>0.274843</v>
      </c>
      <c r="H114" s="18">
        <v>494.71715799999998</v>
      </c>
      <c r="I114" s="16">
        <v>0</v>
      </c>
      <c r="J114" s="16"/>
      <c r="K114" s="16"/>
      <c r="L114" s="37" t="s">
        <v>107</v>
      </c>
      <c r="M114" s="37"/>
      <c r="N114" s="37">
        <v>115</v>
      </c>
      <c r="O114" s="37"/>
      <c r="P114" s="37"/>
      <c r="Q114" s="18">
        <v>3.0232730000000001</v>
      </c>
      <c r="R114" s="18">
        <v>2.0613224999999999E-2</v>
      </c>
      <c r="S114" s="18">
        <v>5.7717030000000005</v>
      </c>
      <c r="T114" s="18">
        <v>24.735870000000002</v>
      </c>
      <c r="U114" s="18">
        <v>12.367935000000001</v>
      </c>
      <c r="V114" s="18">
        <v>158.30956800000001</v>
      </c>
      <c r="W114" s="18">
        <v>148.41522000000001</v>
      </c>
      <c r="X114" s="18">
        <v>98.943480000000008</v>
      </c>
      <c r="Y114" s="18">
        <v>4.3974880000000001</v>
      </c>
      <c r="Z114" s="18">
        <v>19.513853000000001</v>
      </c>
      <c r="AA114" s="18">
        <v>28.583672</v>
      </c>
      <c r="AB114" s="18">
        <v>50.845955000000004</v>
      </c>
      <c r="AC114" s="18">
        <v>15.666051</v>
      </c>
      <c r="AD114" s="18">
        <v>82.4529</v>
      </c>
    </row>
    <row r="115" spans="2:30" x14ac:dyDescent="0.25">
      <c r="B115" t="s">
        <v>108</v>
      </c>
      <c r="C115" t="s">
        <v>105</v>
      </c>
      <c r="D115" t="s">
        <v>202</v>
      </c>
      <c r="E115" s="35">
        <v>0.9</v>
      </c>
      <c r="F115" s="35">
        <v>16</v>
      </c>
      <c r="G115" s="36">
        <v>6.8279999999999993E-2</v>
      </c>
      <c r="H115" s="18">
        <v>122.904363</v>
      </c>
      <c r="I115" s="16">
        <v>0</v>
      </c>
      <c r="J115" s="16"/>
      <c r="K115" s="16"/>
      <c r="L115" s="37" t="s">
        <v>107</v>
      </c>
      <c r="M115" s="37"/>
      <c r="N115" s="37">
        <v>116</v>
      </c>
      <c r="O115" s="37"/>
      <c r="P115" s="37"/>
      <c r="Q115" s="18">
        <v>0.75107999999999997</v>
      </c>
      <c r="R115" s="18">
        <v>5.1209999999999997E-3</v>
      </c>
      <c r="S115" s="18">
        <v>1.4338799999999998</v>
      </c>
      <c r="T115" s="18">
        <v>6.1451999999999991</v>
      </c>
      <c r="U115" s="18">
        <v>3.0725999999999996</v>
      </c>
      <c r="V115" s="18">
        <v>39.329279999999997</v>
      </c>
      <c r="W115" s="18">
        <v>36.871199999999995</v>
      </c>
      <c r="X115" s="18">
        <v>24.580799999999996</v>
      </c>
      <c r="Y115" s="18">
        <v>1.0924799999999999</v>
      </c>
      <c r="Z115" s="18">
        <v>4.84788</v>
      </c>
      <c r="AA115" s="18">
        <v>7.101119999999999</v>
      </c>
      <c r="AB115" s="18">
        <v>12.631799999999998</v>
      </c>
      <c r="AC115" s="18">
        <v>3.8919599999999996</v>
      </c>
      <c r="AD115" s="18">
        <v>20.483999999999998</v>
      </c>
    </row>
    <row r="116" spans="2:30" x14ac:dyDescent="0.25">
      <c r="B116" t="s">
        <v>108</v>
      </c>
      <c r="C116" t="s">
        <v>105</v>
      </c>
      <c r="D116" t="s">
        <v>203</v>
      </c>
      <c r="E116" s="35">
        <v>0.9</v>
      </c>
      <c r="F116" s="35">
        <v>16</v>
      </c>
      <c r="G116" s="36">
        <v>4.5651999999999998E-2</v>
      </c>
      <c r="H116" s="18">
        <v>82.173593999999994</v>
      </c>
      <c r="I116" s="16">
        <v>0</v>
      </c>
      <c r="J116" s="16"/>
      <c r="K116" s="16"/>
      <c r="L116" s="37" t="s">
        <v>107</v>
      </c>
      <c r="M116" s="37"/>
      <c r="N116" s="37">
        <v>117</v>
      </c>
      <c r="O116" s="37"/>
      <c r="P116" s="37"/>
      <c r="Q116" s="18">
        <v>0.50217199999999995</v>
      </c>
      <c r="R116" s="18">
        <v>3.4238999999999997E-3</v>
      </c>
      <c r="S116" s="18">
        <v>0.95869199999999999</v>
      </c>
      <c r="T116" s="18">
        <v>4.1086799999999997</v>
      </c>
      <c r="U116" s="18">
        <v>2.0543399999999998</v>
      </c>
      <c r="V116" s="18">
        <v>26.295552000000001</v>
      </c>
      <c r="W116" s="18">
        <v>24.652079999999998</v>
      </c>
      <c r="X116" s="18">
        <v>16.434719999999999</v>
      </c>
      <c r="Y116" s="18">
        <v>0.73043199999999997</v>
      </c>
      <c r="Z116" s="18">
        <v>3.2412920000000001</v>
      </c>
      <c r="AA116" s="18">
        <v>4.747808</v>
      </c>
      <c r="AB116" s="18">
        <v>8.4456199999999999</v>
      </c>
      <c r="AC116" s="18">
        <v>2.6021639999999997</v>
      </c>
      <c r="AD116" s="18">
        <v>13.695599999999999</v>
      </c>
    </row>
    <row r="117" spans="2:30" x14ac:dyDescent="0.25">
      <c r="B117" t="s">
        <v>108</v>
      </c>
      <c r="C117" t="s">
        <v>105</v>
      </c>
      <c r="D117" t="s">
        <v>203</v>
      </c>
      <c r="E117" s="35">
        <v>0.9</v>
      </c>
      <c r="F117" s="35">
        <v>16</v>
      </c>
      <c r="G117" s="36">
        <v>4.5651999999999998E-2</v>
      </c>
      <c r="H117" s="18">
        <v>82.173593999999994</v>
      </c>
      <c r="I117" s="16">
        <v>0</v>
      </c>
      <c r="J117" s="16"/>
      <c r="K117" s="16"/>
      <c r="L117" s="37" t="s">
        <v>107</v>
      </c>
      <c r="M117" s="37"/>
      <c r="N117" s="37">
        <v>118</v>
      </c>
      <c r="O117" s="37"/>
      <c r="P117" s="37"/>
      <c r="Q117" s="18">
        <v>0.50217199999999995</v>
      </c>
      <c r="R117" s="18">
        <v>3.4238999999999997E-3</v>
      </c>
      <c r="S117" s="18">
        <v>0.95869199999999999</v>
      </c>
      <c r="T117" s="18">
        <v>4.1086799999999997</v>
      </c>
      <c r="U117" s="18">
        <v>2.0543399999999998</v>
      </c>
      <c r="V117" s="18">
        <v>26.295552000000001</v>
      </c>
      <c r="W117" s="18">
        <v>24.652079999999998</v>
      </c>
      <c r="X117" s="18">
        <v>16.434719999999999</v>
      </c>
      <c r="Y117" s="18">
        <v>0.73043199999999997</v>
      </c>
      <c r="Z117" s="18">
        <v>3.2412920000000001</v>
      </c>
      <c r="AA117" s="18">
        <v>4.747808</v>
      </c>
      <c r="AB117" s="18">
        <v>8.4456199999999999</v>
      </c>
      <c r="AC117" s="18">
        <v>2.6021639999999997</v>
      </c>
      <c r="AD117" s="18">
        <v>13.695599999999999</v>
      </c>
    </row>
    <row r="118" spans="2:30" x14ac:dyDescent="0.25">
      <c r="B118" t="s">
        <v>166</v>
      </c>
      <c r="C118" t="s">
        <v>105</v>
      </c>
      <c r="D118" t="s">
        <v>199</v>
      </c>
      <c r="E118" s="35">
        <v>0.9</v>
      </c>
      <c r="F118" s="35">
        <v>26</v>
      </c>
      <c r="G118" s="36">
        <v>0.24127100000000001</v>
      </c>
      <c r="H118" s="18">
        <v>434.28785199999999</v>
      </c>
      <c r="I118" s="16">
        <v>0</v>
      </c>
      <c r="J118" s="16"/>
      <c r="K118" s="16"/>
      <c r="L118" s="37" t="s">
        <v>107</v>
      </c>
      <c r="M118" s="37"/>
      <c r="N118" s="37">
        <v>119</v>
      </c>
      <c r="O118" s="37"/>
      <c r="P118" s="37"/>
      <c r="Q118" s="18">
        <v>2.6539809999999999</v>
      </c>
      <c r="R118" s="18">
        <v>1.8095324999999999E-2</v>
      </c>
      <c r="S118" s="18">
        <v>5.0666910000000005</v>
      </c>
      <c r="T118" s="18">
        <v>21.714390000000002</v>
      </c>
      <c r="U118" s="18">
        <v>10.857195000000001</v>
      </c>
      <c r="V118" s="18">
        <v>138.97209600000002</v>
      </c>
      <c r="W118" s="18">
        <v>130.28634</v>
      </c>
      <c r="X118" s="18">
        <v>86.857560000000007</v>
      </c>
      <c r="Y118" s="18">
        <v>3.8603360000000002</v>
      </c>
      <c r="Z118" s="18">
        <v>17.130241000000002</v>
      </c>
      <c r="AA118" s="18">
        <v>25.092184000000003</v>
      </c>
      <c r="AB118" s="18">
        <v>44.635135000000005</v>
      </c>
      <c r="AC118" s="18">
        <v>13.752447</v>
      </c>
      <c r="AD118" s="18">
        <v>72.38130000000001</v>
      </c>
    </row>
    <row r="119" spans="2:30" x14ac:dyDescent="0.25">
      <c r="B119" t="s">
        <v>160</v>
      </c>
      <c r="C119" t="s">
        <v>105</v>
      </c>
      <c r="D119" t="s">
        <v>184</v>
      </c>
      <c r="E119" s="35">
        <v>0.9</v>
      </c>
      <c r="F119" s="35">
        <v>31</v>
      </c>
      <c r="G119" s="36">
        <v>0.44059599999999999</v>
      </c>
      <c r="H119" s="18">
        <v>793.07354499999997</v>
      </c>
      <c r="I119" s="16">
        <v>0</v>
      </c>
      <c r="J119" s="16"/>
      <c r="K119" s="16"/>
      <c r="L119" s="37" t="s">
        <v>107</v>
      </c>
      <c r="M119" s="37"/>
      <c r="N119" s="37">
        <v>120</v>
      </c>
      <c r="O119" s="37"/>
      <c r="P119" s="37"/>
      <c r="Q119" s="18">
        <v>4.8465559999999996</v>
      </c>
      <c r="R119" s="18">
        <v>3.3044699999999996E-2</v>
      </c>
      <c r="S119" s="18">
        <v>9.252516</v>
      </c>
      <c r="T119" s="18">
        <v>39.653639999999996</v>
      </c>
      <c r="U119" s="18">
        <v>19.826819999999998</v>
      </c>
      <c r="V119" s="18">
        <v>253.78329600000001</v>
      </c>
      <c r="W119" s="18">
        <v>237.92184</v>
      </c>
      <c r="X119" s="18">
        <v>158.61455999999998</v>
      </c>
      <c r="Y119" s="18">
        <v>7.0495359999999998</v>
      </c>
      <c r="Z119" s="18">
        <v>31.282315999999998</v>
      </c>
      <c r="AA119" s="18">
        <v>45.821984</v>
      </c>
      <c r="AB119" s="18">
        <v>81.510260000000002</v>
      </c>
      <c r="AC119" s="18">
        <v>25.113972</v>
      </c>
      <c r="AD119" s="18">
        <v>132.1788</v>
      </c>
    </row>
    <row r="120" spans="2:30" x14ac:dyDescent="0.25">
      <c r="B120" t="s">
        <v>108</v>
      </c>
      <c r="C120" t="s">
        <v>105</v>
      </c>
      <c r="D120" t="s">
        <v>204</v>
      </c>
      <c r="E120" s="35">
        <v>0.9</v>
      </c>
      <c r="F120" s="35">
        <v>16</v>
      </c>
      <c r="G120" s="36">
        <v>6.8386000000000002E-2</v>
      </c>
      <c r="H120" s="18">
        <v>123.094459</v>
      </c>
      <c r="I120" s="16">
        <v>0</v>
      </c>
      <c r="J120" s="16"/>
      <c r="K120" s="16"/>
      <c r="L120" s="37" t="s">
        <v>107</v>
      </c>
      <c r="M120" s="37"/>
      <c r="N120" s="37">
        <v>121</v>
      </c>
      <c r="O120" s="37"/>
      <c r="P120" s="37"/>
      <c r="Q120" s="18">
        <v>0.75224599999999997</v>
      </c>
      <c r="R120" s="18">
        <v>5.1289500000000002E-3</v>
      </c>
      <c r="S120" s="18">
        <v>1.4361060000000001</v>
      </c>
      <c r="T120" s="18">
        <v>6.1547400000000003</v>
      </c>
      <c r="U120" s="18">
        <v>3.0773700000000002</v>
      </c>
      <c r="V120" s="18">
        <v>39.390336000000005</v>
      </c>
      <c r="W120" s="18">
        <v>36.928440000000002</v>
      </c>
      <c r="X120" s="18">
        <v>24.618960000000001</v>
      </c>
      <c r="Y120" s="18">
        <v>1.094176</v>
      </c>
      <c r="Z120" s="18">
        <v>4.8554060000000003</v>
      </c>
      <c r="AA120" s="18">
        <v>7.1121440000000007</v>
      </c>
      <c r="AB120" s="18">
        <v>12.65141</v>
      </c>
      <c r="AC120" s="18">
        <v>3.898002</v>
      </c>
      <c r="AD120" s="18">
        <v>20.515800000000002</v>
      </c>
    </row>
    <row r="121" spans="2:30" x14ac:dyDescent="0.25">
      <c r="B121" t="s">
        <v>166</v>
      </c>
      <c r="C121" t="s">
        <v>105</v>
      </c>
      <c r="D121" t="s">
        <v>205</v>
      </c>
      <c r="E121" s="35">
        <v>0.9</v>
      </c>
      <c r="F121" s="35">
        <v>26</v>
      </c>
      <c r="G121" s="36">
        <v>0.30470799999999998</v>
      </c>
      <c r="H121" s="18">
        <v>548.47520499999996</v>
      </c>
      <c r="I121" s="16">
        <v>0</v>
      </c>
      <c r="J121" s="16"/>
      <c r="K121" s="16"/>
      <c r="L121" s="37" t="s">
        <v>107</v>
      </c>
      <c r="M121" s="37"/>
      <c r="N121" s="37">
        <v>122</v>
      </c>
      <c r="O121" s="37"/>
      <c r="P121" s="37"/>
      <c r="Q121" s="18">
        <v>3.351788</v>
      </c>
      <c r="R121" s="18">
        <v>2.2853099999999998E-2</v>
      </c>
      <c r="S121" s="18">
        <v>6.3988679999999993</v>
      </c>
      <c r="T121" s="18">
        <v>27.423719999999999</v>
      </c>
      <c r="U121" s="18">
        <v>13.71186</v>
      </c>
      <c r="V121" s="18">
        <v>175.51180799999997</v>
      </c>
      <c r="W121" s="18">
        <v>164.54231999999999</v>
      </c>
      <c r="X121" s="18">
        <v>109.69488</v>
      </c>
      <c r="Y121" s="18">
        <v>4.8753279999999997</v>
      </c>
      <c r="Z121" s="18">
        <v>21.634267999999999</v>
      </c>
      <c r="AA121" s="18">
        <v>31.689631999999996</v>
      </c>
      <c r="AB121" s="18">
        <v>56.370979999999996</v>
      </c>
      <c r="AC121" s="18">
        <v>17.368355999999999</v>
      </c>
      <c r="AD121" s="18">
        <v>91.412399999999991</v>
      </c>
    </row>
    <row r="122" spans="2:30" x14ac:dyDescent="0.25">
      <c r="B122" t="s">
        <v>166</v>
      </c>
      <c r="C122" t="s">
        <v>105</v>
      </c>
      <c r="D122" t="s">
        <v>189</v>
      </c>
      <c r="E122" s="35">
        <v>0.9</v>
      </c>
      <c r="F122" s="35">
        <v>26</v>
      </c>
      <c r="G122" s="36">
        <v>0.33504099999999998</v>
      </c>
      <c r="H122" s="18">
        <v>603.07298300000002</v>
      </c>
      <c r="I122" s="16">
        <v>0</v>
      </c>
      <c r="J122" s="16">
        <v>34</v>
      </c>
      <c r="K122" s="16"/>
      <c r="L122" s="37" t="s">
        <v>107</v>
      </c>
      <c r="M122" s="37"/>
      <c r="N122" s="37">
        <v>123</v>
      </c>
      <c r="O122" s="37"/>
      <c r="P122" s="37"/>
      <c r="Q122" s="18">
        <v>3.6854509999999996</v>
      </c>
      <c r="R122" s="18">
        <v>2.5128074999999996E-2</v>
      </c>
      <c r="S122" s="18">
        <v>7.0358609999999997</v>
      </c>
      <c r="T122" s="18">
        <v>30.153689999999997</v>
      </c>
      <c r="U122" s="18">
        <v>15.076844999999999</v>
      </c>
      <c r="V122" s="18">
        <v>192.98361599999998</v>
      </c>
      <c r="W122" s="18">
        <v>180.92213999999998</v>
      </c>
      <c r="X122" s="18">
        <v>120.61475999999999</v>
      </c>
      <c r="Y122" s="18">
        <v>5.3606559999999996</v>
      </c>
      <c r="Z122" s="18">
        <v>23.787910999999998</v>
      </c>
      <c r="AA122" s="18">
        <v>34.844263999999995</v>
      </c>
      <c r="AB122" s="18">
        <v>61.982584999999993</v>
      </c>
      <c r="AC122" s="18">
        <v>19.097337</v>
      </c>
      <c r="AD122" s="18">
        <v>100.5123</v>
      </c>
    </row>
    <row r="123" spans="2:30" x14ac:dyDescent="0.25">
      <c r="B123" t="s">
        <v>206</v>
      </c>
      <c r="C123" t="s">
        <v>105</v>
      </c>
      <c r="D123" t="s">
        <v>157</v>
      </c>
      <c r="E123" s="35">
        <v>1.8</v>
      </c>
      <c r="F123" s="35">
        <v>58.1</v>
      </c>
      <c r="G123" s="36">
        <v>0.80445999999999995</v>
      </c>
      <c r="H123" s="18">
        <v>2896.0577629999998</v>
      </c>
      <c r="I123" s="16"/>
      <c r="J123" s="16"/>
      <c r="K123" s="16"/>
      <c r="L123" s="37" t="s">
        <v>107</v>
      </c>
      <c r="M123" s="37"/>
      <c r="N123" s="37">
        <v>124</v>
      </c>
      <c r="O123" s="37"/>
      <c r="P123" s="37"/>
      <c r="Q123" s="18">
        <v>8.8490599999999997</v>
      </c>
      <c r="R123" s="18">
        <v>6.0334499999999992E-2</v>
      </c>
      <c r="S123" s="18">
        <v>16.893660000000001</v>
      </c>
      <c r="T123" s="18">
        <v>72.401399999999995</v>
      </c>
      <c r="U123" s="18">
        <v>36.200699999999998</v>
      </c>
      <c r="V123" s="18">
        <v>463.36895999999996</v>
      </c>
      <c r="W123" s="18">
        <v>434.40839999999997</v>
      </c>
      <c r="X123" s="18">
        <v>289.60559999999998</v>
      </c>
      <c r="Y123" s="18">
        <v>12.871359999999999</v>
      </c>
      <c r="Z123" s="18">
        <v>57.116659999999996</v>
      </c>
      <c r="AA123" s="18">
        <v>83.663839999999993</v>
      </c>
      <c r="AB123" s="18">
        <v>148.82509999999999</v>
      </c>
      <c r="AC123" s="18">
        <v>45.854219999999998</v>
      </c>
      <c r="AD123" s="18">
        <v>241.33799999999999</v>
      </c>
    </row>
    <row r="124" spans="2:30" x14ac:dyDescent="0.25">
      <c r="B124" t="s">
        <v>206</v>
      </c>
      <c r="C124" t="s">
        <v>105</v>
      </c>
      <c r="D124" t="s">
        <v>184</v>
      </c>
      <c r="E124" s="35">
        <v>1.8</v>
      </c>
      <c r="F124" s="35">
        <v>58.1</v>
      </c>
      <c r="G124" s="36">
        <v>0.82576300000000002</v>
      </c>
      <c r="H124" s="18">
        <v>2972.7466429999999</v>
      </c>
      <c r="I124" s="16"/>
      <c r="J124" s="16"/>
      <c r="K124" s="16"/>
      <c r="L124" s="37" t="s">
        <v>107</v>
      </c>
      <c r="M124" s="37"/>
      <c r="N124" s="37">
        <v>125</v>
      </c>
      <c r="O124" s="37"/>
      <c r="P124" s="37"/>
      <c r="Q124" s="18">
        <v>9.0833930000000009</v>
      </c>
      <c r="R124" s="18">
        <v>6.1932225E-2</v>
      </c>
      <c r="S124" s="18">
        <v>17.341023</v>
      </c>
      <c r="T124" s="18">
        <v>74.318669999999997</v>
      </c>
      <c r="U124" s="18">
        <v>37.159334999999999</v>
      </c>
      <c r="V124" s="18">
        <v>475.63948800000003</v>
      </c>
      <c r="W124" s="18">
        <v>445.91202000000004</v>
      </c>
      <c r="X124" s="18">
        <v>297.27467999999999</v>
      </c>
      <c r="Y124" s="18">
        <v>13.212208</v>
      </c>
      <c r="Z124" s="18">
        <v>58.629173000000002</v>
      </c>
      <c r="AA124" s="18">
        <v>85.879351999999997</v>
      </c>
      <c r="AB124" s="18">
        <v>152.766155</v>
      </c>
      <c r="AC124" s="18">
        <v>47.068491000000002</v>
      </c>
      <c r="AD124" s="18">
        <v>247.72890000000001</v>
      </c>
    </row>
    <row r="125" spans="2:30" x14ac:dyDescent="0.25">
      <c r="B125" t="s">
        <v>124</v>
      </c>
      <c r="C125" t="s">
        <v>105</v>
      </c>
      <c r="D125" t="s">
        <v>125</v>
      </c>
      <c r="E125" s="35">
        <v>0.9</v>
      </c>
      <c r="F125" s="35">
        <v>35</v>
      </c>
      <c r="G125" s="36">
        <v>0.47567100000000001</v>
      </c>
      <c r="H125" s="18">
        <v>856.20800099999997</v>
      </c>
      <c r="I125" s="16">
        <v>0</v>
      </c>
      <c r="J125" s="16"/>
      <c r="K125" s="16"/>
      <c r="L125" s="37" t="s">
        <v>107</v>
      </c>
      <c r="M125" s="37"/>
      <c r="N125" s="37">
        <v>126</v>
      </c>
      <c r="O125" s="37"/>
      <c r="P125" s="37"/>
      <c r="Q125" s="18">
        <v>5.2323810000000002</v>
      </c>
      <c r="R125" s="18">
        <v>3.5675325000000001E-2</v>
      </c>
      <c r="S125" s="18">
        <v>9.9890910000000002</v>
      </c>
      <c r="T125" s="18">
        <v>42.810389999999998</v>
      </c>
      <c r="U125" s="18">
        <v>21.405194999999999</v>
      </c>
      <c r="V125" s="18">
        <v>273.98649599999999</v>
      </c>
      <c r="W125" s="18">
        <v>256.86234000000002</v>
      </c>
      <c r="X125" s="18">
        <v>171.24155999999999</v>
      </c>
      <c r="Y125" s="18">
        <v>7.6107360000000002</v>
      </c>
      <c r="Z125" s="18">
        <v>33.772641</v>
      </c>
      <c r="AA125" s="18">
        <v>49.469784000000004</v>
      </c>
      <c r="AB125" s="18">
        <v>87.999134999999995</v>
      </c>
      <c r="AC125" s="18">
        <v>27.113247000000001</v>
      </c>
      <c r="AD125" s="18">
        <v>142.7013</v>
      </c>
    </row>
    <row r="126" spans="2:30" x14ac:dyDescent="0.25">
      <c r="B126" t="s">
        <v>108</v>
      </c>
      <c r="C126" t="s">
        <v>105</v>
      </c>
      <c r="D126" t="s">
        <v>207</v>
      </c>
      <c r="E126" s="35">
        <v>0.9</v>
      </c>
      <c r="F126" s="35">
        <v>16</v>
      </c>
      <c r="G126" s="36">
        <v>6.5598000000000004E-2</v>
      </c>
      <c r="H126" s="18">
        <v>118.076133</v>
      </c>
      <c r="I126" s="16">
        <v>0</v>
      </c>
      <c r="J126" s="16"/>
      <c r="K126" s="16"/>
      <c r="L126" s="37" t="s">
        <v>107</v>
      </c>
      <c r="M126" s="37"/>
      <c r="N126" s="37">
        <v>127</v>
      </c>
      <c r="O126" s="37"/>
      <c r="P126" s="37"/>
      <c r="Q126" s="18">
        <v>0.72157800000000005</v>
      </c>
      <c r="R126" s="18">
        <v>4.9198499999999999E-3</v>
      </c>
      <c r="S126" s="18">
        <v>1.3775580000000001</v>
      </c>
      <c r="T126" s="18">
        <v>5.9038200000000005</v>
      </c>
      <c r="U126" s="18">
        <v>2.9519100000000003</v>
      </c>
      <c r="V126" s="18">
        <v>37.784448000000005</v>
      </c>
      <c r="W126" s="18">
        <v>35.422920000000005</v>
      </c>
      <c r="X126" s="18">
        <v>23.615280000000002</v>
      </c>
      <c r="Y126" s="18">
        <v>1.0495680000000001</v>
      </c>
      <c r="Z126" s="18">
        <v>4.6574580000000001</v>
      </c>
      <c r="AA126" s="18">
        <v>6.8221920000000003</v>
      </c>
      <c r="AB126" s="18">
        <v>12.135630000000001</v>
      </c>
      <c r="AC126" s="18">
        <v>3.7390860000000004</v>
      </c>
      <c r="AD126" s="18">
        <v>19.679400000000001</v>
      </c>
    </row>
    <row r="127" spans="2:30" x14ac:dyDescent="0.25">
      <c r="B127" t="s">
        <v>108</v>
      </c>
      <c r="C127" t="s">
        <v>105</v>
      </c>
      <c r="D127" t="s">
        <v>207</v>
      </c>
      <c r="E127" s="35">
        <v>0.9</v>
      </c>
      <c r="F127" s="35">
        <v>16</v>
      </c>
      <c r="G127" s="36">
        <v>6.5598000000000004E-2</v>
      </c>
      <c r="H127" s="18">
        <v>118.076133</v>
      </c>
      <c r="I127" s="16">
        <v>0</v>
      </c>
      <c r="J127" s="16"/>
      <c r="K127" s="16"/>
      <c r="L127" s="37" t="s">
        <v>107</v>
      </c>
      <c r="M127" s="37"/>
      <c r="N127" s="37">
        <v>128</v>
      </c>
      <c r="O127" s="37"/>
      <c r="P127" s="37"/>
      <c r="Q127" s="18">
        <v>0.72157800000000005</v>
      </c>
      <c r="R127" s="18">
        <v>4.9198499999999999E-3</v>
      </c>
      <c r="S127" s="18">
        <v>1.3775580000000001</v>
      </c>
      <c r="T127" s="18">
        <v>5.9038200000000005</v>
      </c>
      <c r="U127" s="18">
        <v>2.9519100000000003</v>
      </c>
      <c r="V127" s="18">
        <v>37.784448000000005</v>
      </c>
      <c r="W127" s="18">
        <v>35.422920000000005</v>
      </c>
      <c r="X127" s="18">
        <v>23.615280000000002</v>
      </c>
      <c r="Y127" s="18">
        <v>1.0495680000000001</v>
      </c>
      <c r="Z127" s="18">
        <v>4.6574580000000001</v>
      </c>
      <c r="AA127" s="18">
        <v>6.8221920000000003</v>
      </c>
      <c r="AB127" s="18">
        <v>12.135630000000001</v>
      </c>
      <c r="AC127" s="18">
        <v>3.7390860000000004</v>
      </c>
      <c r="AD127" s="18">
        <v>19.679400000000001</v>
      </c>
    </row>
    <row r="128" spans="2:30" x14ac:dyDescent="0.25">
      <c r="B128" t="s">
        <v>124</v>
      </c>
      <c r="C128" t="s">
        <v>105</v>
      </c>
      <c r="D128" t="s">
        <v>208</v>
      </c>
      <c r="E128" s="35">
        <v>0.9</v>
      </c>
      <c r="F128" s="35">
        <v>35</v>
      </c>
      <c r="G128" s="36">
        <v>0.46548200000000001</v>
      </c>
      <c r="H128" s="18">
        <v>837.86795700000005</v>
      </c>
      <c r="I128" s="16">
        <v>0</v>
      </c>
      <c r="J128" s="16"/>
      <c r="K128" s="16"/>
      <c r="L128" s="37" t="s">
        <v>107</v>
      </c>
      <c r="M128" s="37"/>
      <c r="N128" s="37">
        <v>129</v>
      </c>
      <c r="O128" s="37"/>
      <c r="P128" s="37"/>
      <c r="Q128" s="18">
        <v>5.1203019999999997</v>
      </c>
      <c r="R128" s="18">
        <v>3.4911150000000002E-2</v>
      </c>
      <c r="S128" s="18">
        <v>9.7751219999999996</v>
      </c>
      <c r="T128" s="18">
        <v>41.893380000000001</v>
      </c>
      <c r="U128" s="18">
        <v>20.94669</v>
      </c>
      <c r="V128" s="18">
        <v>268.11763200000001</v>
      </c>
      <c r="W128" s="18">
        <v>251.36028000000002</v>
      </c>
      <c r="X128" s="18">
        <v>167.57352</v>
      </c>
      <c r="Y128" s="18">
        <v>7.4477120000000001</v>
      </c>
      <c r="Z128" s="18">
        <v>33.049222</v>
      </c>
      <c r="AA128" s="18">
        <v>48.410128</v>
      </c>
      <c r="AB128" s="18">
        <v>86.114170000000001</v>
      </c>
      <c r="AC128" s="18">
        <v>26.532474000000001</v>
      </c>
      <c r="AD128" s="18">
        <v>139.6446</v>
      </c>
    </row>
    <row r="129" spans="2:30" x14ac:dyDescent="0.25">
      <c r="B129" t="s">
        <v>119</v>
      </c>
      <c r="C129" t="s">
        <v>105</v>
      </c>
      <c r="D129" t="s">
        <v>209</v>
      </c>
      <c r="E129" s="35">
        <v>0.9</v>
      </c>
      <c r="F129" s="35">
        <v>19</v>
      </c>
      <c r="G129" s="36">
        <v>0.187586</v>
      </c>
      <c r="H129" s="18">
        <v>337.65537399999999</v>
      </c>
      <c r="I129" s="16">
        <v>0</v>
      </c>
      <c r="J129" s="16"/>
      <c r="K129" s="16"/>
      <c r="L129" s="37" t="s">
        <v>107</v>
      </c>
      <c r="M129" s="37"/>
      <c r="N129" s="37">
        <v>130</v>
      </c>
      <c r="O129" s="37"/>
      <c r="P129" s="37"/>
      <c r="Q129" s="18">
        <v>2.0634459999999999</v>
      </c>
      <c r="R129" s="18">
        <v>1.406895E-2</v>
      </c>
      <c r="S129" s="18">
        <v>3.9393060000000002</v>
      </c>
      <c r="T129" s="18">
        <v>16.882740000000002</v>
      </c>
      <c r="U129" s="18">
        <v>8.4413700000000009</v>
      </c>
      <c r="V129" s="18">
        <v>108.049536</v>
      </c>
      <c r="W129" s="18">
        <v>101.29644</v>
      </c>
      <c r="X129" s="18">
        <v>67.530960000000007</v>
      </c>
      <c r="Y129" s="18">
        <v>3.001376</v>
      </c>
      <c r="Z129" s="18">
        <v>13.318606000000001</v>
      </c>
      <c r="AA129" s="18">
        <v>19.508944</v>
      </c>
      <c r="AB129" s="18">
        <v>34.703409999999998</v>
      </c>
      <c r="AC129" s="18">
        <v>10.692402</v>
      </c>
      <c r="AD129" s="18">
        <v>56.275800000000004</v>
      </c>
    </row>
    <row r="130" spans="2:30" x14ac:dyDescent="0.25">
      <c r="B130" t="s">
        <v>206</v>
      </c>
      <c r="C130" t="s">
        <v>105</v>
      </c>
      <c r="D130" t="s">
        <v>210</v>
      </c>
      <c r="E130" s="35">
        <v>1.8</v>
      </c>
      <c r="F130" s="35">
        <v>58.1</v>
      </c>
      <c r="G130" s="36">
        <v>0.54534499999999997</v>
      </c>
      <c r="H130" s="18">
        <v>1963.242121</v>
      </c>
      <c r="I130" s="16"/>
      <c r="J130" s="16"/>
      <c r="K130" s="16"/>
      <c r="L130" s="37" t="s">
        <v>107</v>
      </c>
      <c r="M130" s="37"/>
      <c r="N130" s="37">
        <v>131</v>
      </c>
      <c r="O130" s="37"/>
      <c r="P130" s="37"/>
      <c r="Q130" s="18">
        <v>5.9987949999999994</v>
      </c>
      <c r="R130" s="18">
        <v>4.0900874999999996E-2</v>
      </c>
      <c r="S130" s="18">
        <v>11.452245</v>
      </c>
      <c r="T130" s="18">
        <v>49.081049999999998</v>
      </c>
      <c r="U130" s="18">
        <v>24.540524999999999</v>
      </c>
      <c r="V130" s="18">
        <v>314.11872</v>
      </c>
      <c r="W130" s="18">
        <v>294.48629999999997</v>
      </c>
      <c r="X130" s="18">
        <v>196.32419999999999</v>
      </c>
      <c r="Y130" s="18">
        <v>8.7255199999999995</v>
      </c>
      <c r="Z130" s="18">
        <v>38.719494999999995</v>
      </c>
      <c r="AA130" s="18">
        <v>56.715879999999999</v>
      </c>
      <c r="AB130" s="18">
        <v>100.888825</v>
      </c>
      <c r="AC130" s="18">
        <v>31.084664999999998</v>
      </c>
      <c r="AD130" s="18">
        <v>163.6035</v>
      </c>
    </row>
    <row r="131" spans="2:30" x14ac:dyDescent="0.25">
      <c r="B131" t="s">
        <v>144</v>
      </c>
      <c r="C131" t="s">
        <v>105</v>
      </c>
      <c r="D131" t="s">
        <v>211</v>
      </c>
      <c r="E131" s="35">
        <v>0.9</v>
      </c>
      <c r="F131" s="35">
        <v>40</v>
      </c>
      <c r="G131" s="36">
        <v>0.619838</v>
      </c>
      <c r="H131" s="18">
        <v>1115.707989</v>
      </c>
      <c r="I131" s="16">
        <v>0</v>
      </c>
      <c r="J131" s="16">
        <v>40</v>
      </c>
      <c r="K131" s="16"/>
      <c r="L131" s="37" t="s">
        <v>107</v>
      </c>
      <c r="M131" s="37"/>
      <c r="N131" s="37">
        <v>132</v>
      </c>
      <c r="O131" s="37"/>
      <c r="P131" s="37"/>
      <c r="Q131" s="18">
        <v>6.8182179999999999</v>
      </c>
      <c r="R131" s="18">
        <v>4.6487849999999997E-2</v>
      </c>
      <c r="S131" s="18">
        <v>13.016598</v>
      </c>
      <c r="T131" s="18">
        <v>55.785420000000002</v>
      </c>
      <c r="U131" s="18">
        <v>27.892710000000001</v>
      </c>
      <c r="V131" s="18">
        <v>357.02668799999998</v>
      </c>
      <c r="W131" s="18">
        <v>334.71251999999998</v>
      </c>
      <c r="X131" s="18">
        <v>223.14168000000001</v>
      </c>
      <c r="Y131" s="18">
        <v>9.917408</v>
      </c>
      <c r="Z131" s="18">
        <v>44.008498000000003</v>
      </c>
      <c r="AA131" s="18">
        <v>64.463151999999994</v>
      </c>
      <c r="AB131" s="18">
        <v>114.67003</v>
      </c>
      <c r="AC131" s="18">
        <v>35.330765999999997</v>
      </c>
      <c r="AD131" s="18">
        <v>185.95140000000001</v>
      </c>
    </row>
    <row r="132" spans="2:30" x14ac:dyDescent="0.25">
      <c r="B132" t="s">
        <v>112</v>
      </c>
      <c r="C132" t="s">
        <v>105</v>
      </c>
      <c r="D132" t="s">
        <v>212</v>
      </c>
      <c r="E132" s="35">
        <v>0.9</v>
      </c>
      <c r="F132" s="35">
        <v>60</v>
      </c>
      <c r="G132" s="36">
        <v>0.769729</v>
      </c>
      <c r="H132" s="18">
        <v>1385.5122719999999</v>
      </c>
      <c r="I132" s="16">
        <v>0</v>
      </c>
      <c r="J132" s="16">
        <v>32</v>
      </c>
      <c r="K132" s="16"/>
      <c r="L132" s="37" t="s">
        <v>107</v>
      </c>
      <c r="M132" s="37"/>
      <c r="N132" s="37">
        <v>133</v>
      </c>
      <c r="O132" s="37"/>
      <c r="P132" s="37"/>
      <c r="Q132" s="18">
        <v>8.4670190000000005</v>
      </c>
      <c r="R132" s="18">
        <v>5.7729674999999994E-2</v>
      </c>
      <c r="S132" s="18">
        <v>16.164308999999999</v>
      </c>
      <c r="T132" s="18">
        <v>69.27561</v>
      </c>
      <c r="U132" s="18">
        <v>34.637805</v>
      </c>
      <c r="V132" s="18">
        <v>443.36390399999999</v>
      </c>
      <c r="W132" s="18">
        <v>415.65366</v>
      </c>
      <c r="X132" s="18">
        <v>277.10244</v>
      </c>
      <c r="Y132" s="18">
        <v>12.315664</v>
      </c>
      <c r="Z132" s="18">
        <v>54.650759000000001</v>
      </c>
      <c r="AA132" s="18">
        <v>80.051816000000002</v>
      </c>
      <c r="AB132" s="18">
        <v>142.39986500000001</v>
      </c>
      <c r="AC132" s="18">
        <v>43.874552999999999</v>
      </c>
      <c r="AD132" s="18">
        <v>230.9187</v>
      </c>
    </row>
    <row r="133" spans="2:30" x14ac:dyDescent="0.25">
      <c r="B133" t="s">
        <v>133</v>
      </c>
      <c r="C133" t="s">
        <v>105</v>
      </c>
      <c r="D133" t="s">
        <v>213</v>
      </c>
      <c r="E133" s="35">
        <v>0.9</v>
      </c>
      <c r="F133" s="35">
        <v>50</v>
      </c>
      <c r="G133" s="36">
        <v>0.59231100000000003</v>
      </c>
      <c r="H133" s="18">
        <v>1066.1595460000001</v>
      </c>
      <c r="I133" s="16">
        <v>0</v>
      </c>
      <c r="J133" s="16">
        <v>30</v>
      </c>
      <c r="K133" s="16"/>
      <c r="L133" s="37" t="s">
        <v>107</v>
      </c>
      <c r="M133" s="37"/>
      <c r="N133" s="37">
        <v>134</v>
      </c>
      <c r="O133" s="37"/>
      <c r="P133" s="37"/>
      <c r="Q133" s="18">
        <v>6.5154209999999999</v>
      </c>
      <c r="R133" s="18">
        <v>4.4423325E-2</v>
      </c>
      <c r="S133" s="18">
        <v>12.438531000000001</v>
      </c>
      <c r="T133" s="18">
        <v>53.307990000000004</v>
      </c>
      <c r="U133" s="18">
        <v>26.653995000000002</v>
      </c>
      <c r="V133" s="18">
        <v>341.17113600000005</v>
      </c>
      <c r="W133" s="18">
        <v>319.84793999999999</v>
      </c>
      <c r="X133" s="18">
        <v>213.23196000000002</v>
      </c>
      <c r="Y133" s="18">
        <v>9.4769760000000005</v>
      </c>
      <c r="Z133" s="18">
        <v>42.054081000000004</v>
      </c>
      <c r="AA133" s="18">
        <v>61.600344000000007</v>
      </c>
      <c r="AB133" s="18">
        <v>109.57753500000001</v>
      </c>
      <c r="AC133" s="18">
        <v>33.761727</v>
      </c>
      <c r="AD133" s="18">
        <v>177.69330000000002</v>
      </c>
    </row>
    <row r="134" spans="2:30" x14ac:dyDescent="0.25">
      <c r="B134" t="s">
        <v>141</v>
      </c>
      <c r="C134" t="s">
        <v>105</v>
      </c>
      <c r="D134" t="s">
        <v>214</v>
      </c>
      <c r="E134" s="35">
        <v>0.9</v>
      </c>
      <c r="F134" s="35">
        <v>46</v>
      </c>
      <c r="G134" s="36">
        <v>0.54645900000000003</v>
      </c>
      <c r="H134" s="18">
        <v>983.62666999999999</v>
      </c>
      <c r="I134" s="16">
        <v>0</v>
      </c>
      <c r="J134" s="16"/>
      <c r="K134" s="16"/>
      <c r="L134" s="37" t="s">
        <v>107</v>
      </c>
      <c r="M134" s="37"/>
      <c r="N134" s="37">
        <v>135</v>
      </c>
      <c r="O134" s="37"/>
      <c r="P134" s="37"/>
      <c r="Q134" s="18">
        <v>6.0110489999999999</v>
      </c>
      <c r="R134" s="18">
        <v>4.0984424999999998E-2</v>
      </c>
      <c r="S134" s="18">
        <v>11.475639000000001</v>
      </c>
      <c r="T134" s="18">
        <v>49.181310000000003</v>
      </c>
      <c r="U134" s="18">
        <v>24.590655000000002</v>
      </c>
      <c r="V134" s="18">
        <v>314.76038400000004</v>
      </c>
      <c r="W134" s="18">
        <v>295.08786000000003</v>
      </c>
      <c r="X134" s="18">
        <v>196.72524000000001</v>
      </c>
      <c r="Y134" s="18">
        <v>8.7433440000000004</v>
      </c>
      <c r="Z134" s="18">
        <v>38.798589</v>
      </c>
      <c r="AA134" s="18">
        <v>56.831736000000006</v>
      </c>
      <c r="AB134" s="18">
        <v>101.094915</v>
      </c>
      <c r="AC134" s="18">
        <v>31.148163</v>
      </c>
      <c r="AD134" s="18">
        <v>163.93770000000001</v>
      </c>
    </row>
    <row r="135" spans="2:30" x14ac:dyDescent="0.25">
      <c r="B135" t="s">
        <v>144</v>
      </c>
      <c r="C135" t="s">
        <v>105</v>
      </c>
      <c r="D135" t="s">
        <v>215</v>
      </c>
      <c r="E135" s="35">
        <v>0.9</v>
      </c>
      <c r="F135" s="35">
        <v>40</v>
      </c>
      <c r="G135" s="36">
        <v>0.48223100000000002</v>
      </c>
      <c r="H135" s="18">
        <v>868.01529000000005</v>
      </c>
      <c r="I135" s="16">
        <v>0</v>
      </c>
      <c r="J135" s="16"/>
      <c r="K135" s="16"/>
      <c r="L135" s="37" t="s">
        <v>107</v>
      </c>
      <c r="M135" s="37"/>
      <c r="N135" s="37">
        <v>136</v>
      </c>
      <c r="O135" s="37"/>
      <c r="P135" s="37"/>
      <c r="Q135" s="18">
        <v>5.3045410000000004</v>
      </c>
      <c r="R135" s="18">
        <v>3.6167325E-2</v>
      </c>
      <c r="S135" s="18">
        <v>10.126851</v>
      </c>
      <c r="T135" s="18">
        <v>43.400790000000001</v>
      </c>
      <c r="U135" s="18">
        <v>21.700395</v>
      </c>
      <c r="V135" s="18">
        <v>277.76505600000002</v>
      </c>
      <c r="W135" s="18">
        <v>260.40474</v>
      </c>
      <c r="X135" s="18">
        <v>173.60316</v>
      </c>
      <c r="Y135" s="18">
        <v>7.7156960000000003</v>
      </c>
      <c r="Z135" s="18">
        <v>34.238401000000003</v>
      </c>
      <c r="AA135" s="18">
        <v>50.152024000000004</v>
      </c>
      <c r="AB135" s="18">
        <v>89.212735000000009</v>
      </c>
      <c r="AC135" s="18">
        <v>27.487166999999999</v>
      </c>
      <c r="AD135" s="18">
        <v>144.66929999999999</v>
      </c>
    </row>
    <row r="136" spans="2:30" x14ac:dyDescent="0.25">
      <c r="B136" t="s">
        <v>108</v>
      </c>
      <c r="C136" t="s">
        <v>105</v>
      </c>
      <c r="D136" t="s">
        <v>216</v>
      </c>
      <c r="E136" s="35">
        <v>0.9</v>
      </c>
      <c r="F136" s="35">
        <v>16</v>
      </c>
      <c r="G136" s="36">
        <v>0.11754199999999999</v>
      </c>
      <c r="H136" s="18">
        <v>211.57632799999999</v>
      </c>
      <c r="I136" s="16">
        <v>0</v>
      </c>
      <c r="J136" s="16"/>
      <c r="K136" s="16"/>
      <c r="L136" s="37" t="s">
        <v>107</v>
      </c>
      <c r="M136" s="37"/>
      <c r="N136" s="37">
        <v>137</v>
      </c>
      <c r="O136" s="37"/>
      <c r="P136" s="37"/>
      <c r="Q136" s="18">
        <v>1.2929619999999999</v>
      </c>
      <c r="R136" s="18">
        <v>8.8156499999999995E-3</v>
      </c>
      <c r="S136" s="18">
        <v>2.4683820000000001</v>
      </c>
      <c r="T136" s="18">
        <v>10.57878</v>
      </c>
      <c r="U136" s="18">
        <v>5.28939</v>
      </c>
      <c r="V136" s="18">
        <v>67.704191999999992</v>
      </c>
      <c r="W136" s="18">
        <v>63.472679999999997</v>
      </c>
      <c r="X136" s="18">
        <v>42.31512</v>
      </c>
      <c r="Y136" s="18">
        <v>1.8806719999999999</v>
      </c>
      <c r="Z136" s="18">
        <v>8.3454819999999987</v>
      </c>
      <c r="AA136" s="18">
        <v>12.224368</v>
      </c>
      <c r="AB136" s="18">
        <v>21.745269999999998</v>
      </c>
      <c r="AC136" s="18">
        <v>6.6998939999999996</v>
      </c>
      <c r="AD136" s="18">
        <v>35.262599999999999</v>
      </c>
    </row>
    <row r="137" spans="2:30" x14ac:dyDescent="0.25">
      <c r="B137" t="s">
        <v>124</v>
      </c>
      <c r="C137" t="s">
        <v>105</v>
      </c>
      <c r="D137" t="s">
        <v>208</v>
      </c>
      <c r="E137" s="35">
        <v>0.9</v>
      </c>
      <c r="F137" s="35">
        <v>35</v>
      </c>
      <c r="G137" s="36">
        <v>0.46548200000000001</v>
      </c>
      <c r="H137" s="18">
        <v>837.86795700000005</v>
      </c>
      <c r="I137" s="16">
        <v>0</v>
      </c>
      <c r="J137" s="16"/>
      <c r="K137" s="16"/>
      <c r="L137" s="37" t="s">
        <v>107</v>
      </c>
      <c r="M137" s="37"/>
      <c r="N137" s="37">
        <v>138</v>
      </c>
      <c r="O137" s="37"/>
      <c r="P137" s="37"/>
      <c r="Q137" s="18">
        <v>5.1203019999999997</v>
      </c>
      <c r="R137" s="18">
        <v>3.4911150000000002E-2</v>
      </c>
      <c r="S137" s="18">
        <v>9.7751219999999996</v>
      </c>
      <c r="T137" s="18">
        <v>41.893380000000001</v>
      </c>
      <c r="U137" s="18">
        <v>20.94669</v>
      </c>
      <c r="V137" s="18">
        <v>268.11763200000001</v>
      </c>
      <c r="W137" s="18">
        <v>251.36028000000002</v>
      </c>
      <c r="X137" s="18">
        <v>167.57352</v>
      </c>
      <c r="Y137" s="18">
        <v>7.4477120000000001</v>
      </c>
      <c r="Z137" s="18">
        <v>33.049222</v>
      </c>
      <c r="AA137" s="18">
        <v>48.410128</v>
      </c>
      <c r="AB137" s="18">
        <v>86.114170000000001</v>
      </c>
      <c r="AC137" s="18">
        <v>26.532474000000001</v>
      </c>
      <c r="AD137" s="18">
        <v>139.6446</v>
      </c>
    </row>
    <row r="138" spans="2:30" x14ac:dyDescent="0.25">
      <c r="B138" t="s">
        <v>141</v>
      </c>
      <c r="C138" t="s">
        <v>105</v>
      </c>
      <c r="D138" t="s">
        <v>217</v>
      </c>
      <c r="E138" s="35">
        <v>0.9</v>
      </c>
      <c r="F138" s="35">
        <v>46</v>
      </c>
      <c r="G138" s="36">
        <v>0.78497700000000004</v>
      </c>
      <c r="H138" s="18">
        <v>1412.9584150000001</v>
      </c>
      <c r="I138" s="16">
        <v>0</v>
      </c>
      <c r="J138" s="16">
        <v>46</v>
      </c>
      <c r="K138" s="16"/>
      <c r="L138" s="37" t="s">
        <v>107</v>
      </c>
      <c r="M138" s="37"/>
      <c r="N138" s="37">
        <v>139</v>
      </c>
      <c r="O138" s="37"/>
      <c r="P138" s="37"/>
      <c r="Q138" s="18">
        <v>8.6347470000000008</v>
      </c>
      <c r="R138" s="18">
        <v>5.8873275000000003E-2</v>
      </c>
      <c r="S138" s="18">
        <v>16.484517</v>
      </c>
      <c r="T138" s="18">
        <v>70.647930000000002</v>
      </c>
      <c r="U138" s="18">
        <v>35.323965000000001</v>
      </c>
      <c r="V138" s="18">
        <v>452.14675199999999</v>
      </c>
      <c r="W138" s="18">
        <v>423.88758000000001</v>
      </c>
      <c r="X138" s="18">
        <v>282.59172000000001</v>
      </c>
      <c r="Y138" s="18">
        <v>12.559632000000001</v>
      </c>
      <c r="Z138" s="18">
        <v>55.733367000000001</v>
      </c>
      <c r="AA138" s="18">
        <v>81.637608</v>
      </c>
      <c r="AB138" s="18">
        <v>145.22074499999999</v>
      </c>
      <c r="AC138" s="18">
        <v>44.743689000000003</v>
      </c>
      <c r="AD138" s="18">
        <v>235.4931</v>
      </c>
    </row>
    <row r="139" spans="2:30" x14ac:dyDescent="0.25">
      <c r="B139" t="s">
        <v>160</v>
      </c>
      <c r="C139" t="s">
        <v>105</v>
      </c>
      <c r="D139" t="s">
        <v>218</v>
      </c>
      <c r="E139" s="35">
        <v>0.9</v>
      </c>
      <c r="F139" s="35">
        <v>31</v>
      </c>
      <c r="G139" s="36">
        <v>0.37467200000000001</v>
      </c>
      <c r="H139" s="18">
        <v>674.41037400000005</v>
      </c>
      <c r="I139" s="16">
        <v>0</v>
      </c>
      <c r="J139" s="16"/>
      <c r="K139" s="16"/>
      <c r="L139" s="37" t="s">
        <v>107</v>
      </c>
      <c r="M139" s="37"/>
      <c r="N139" s="37">
        <v>140</v>
      </c>
      <c r="O139" s="37"/>
      <c r="P139" s="37"/>
      <c r="Q139" s="18">
        <v>4.1213920000000002</v>
      </c>
      <c r="R139" s="18">
        <v>2.8100400000000001E-2</v>
      </c>
      <c r="S139" s="18">
        <v>7.868112</v>
      </c>
      <c r="T139" s="18">
        <v>33.720480000000002</v>
      </c>
      <c r="U139" s="18">
        <v>16.860240000000001</v>
      </c>
      <c r="V139" s="18">
        <v>215.811072</v>
      </c>
      <c r="W139" s="18">
        <v>202.32288</v>
      </c>
      <c r="X139" s="18">
        <v>134.88192000000001</v>
      </c>
      <c r="Y139" s="18">
        <v>5.9947520000000001</v>
      </c>
      <c r="Z139" s="18">
        <v>26.601711999999999</v>
      </c>
      <c r="AA139" s="18">
        <v>38.965888</v>
      </c>
      <c r="AB139" s="18">
        <v>69.314319999999995</v>
      </c>
      <c r="AC139" s="18">
        <v>21.356304000000002</v>
      </c>
      <c r="AD139" s="18">
        <v>112.4016</v>
      </c>
    </row>
    <row r="140" spans="2:30" x14ac:dyDescent="0.25">
      <c r="B140" t="s">
        <v>108</v>
      </c>
      <c r="C140" t="s">
        <v>105</v>
      </c>
      <c r="D140" t="s">
        <v>219</v>
      </c>
      <c r="E140" s="35">
        <v>0.9</v>
      </c>
      <c r="F140" s="35">
        <v>16</v>
      </c>
      <c r="G140" s="36">
        <v>6.0158000000000003E-2</v>
      </c>
      <c r="H140" s="18">
        <v>108.284531</v>
      </c>
      <c r="I140" s="16">
        <v>0</v>
      </c>
      <c r="J140" s="16"/>
      <c r="K140" s="16"/>
      <c r="L140" s="37" t="s">
        <v>107</v>
      </c>
      <c r="M140" s="37"/>
      <c r="N140" s="37">
        <v>141</v>
      </c>
      <c r="O140" s="37"/>
      <c r="P140" s="37"/>
      <c r="Q140" s="18">
        <v>0.66173800000000005</v>
      </c>
      <c r="R140" s="18">
        <v>4.5118500000000004E-3</v>
      </c>
      <c r="S140" s="18">
        <v>1.2633180000000002</v>
      </c>
      <c r="T140" s="18">
        <v>5.4142200000000003</v>
      </c>
      <c r="U140" s="18">
        <v>2.7071100000000001</v>
      </c>
      <c r="V140" s="18">
        <v>34.651008000000004</v>
      </c>
      <c r="W140" s="18">
        <v>32.485320000000002</v>
      </c>
      <c r="X140" s="18">
        <v>21.656880000000001</v>
      </c>
      <c r="Y140" s="18">
        <v>0.96252800000000005</v>
      </c>
      <c r="Z140" s="18">
        <v>4.2712180000000002</v>
      </c>
      <c r="AA140" s="18">
        <v>6.2564320000000002</v>
      </c>
      <c r="AB140" s="18">
        <v>11.12923</v>
      </c>
      <c r="AC140" s="18">
        <v>3.4290060000000002</v>
      </c>
      <c r="AD140" s="18">
        <v>18.0474</v>
      </c>
    </row>
    <row r="141" spans="2:30" x14ac:dyDescent="0.25">
      <c r="B141" t="s">
        <v>108</v>
      </c>
      <c r="C141" t="s">
        <v>105</v>
      </c>
      <c r="D141" t="s">
        <v>219</v>
      </c>
      <c r="E141" s="35">
        <v>0.9</v>
      </c>
      <c r="F141" s="35">
        <v>16</v>
      </c>
      <c r="G141" s="36">
        <v>6.0158000000000003E-2</v>
      </c>
      <c r="H141" s="18">
        <v>108.284531</v>
      </c>
      <c r="I141" s="16">
        <v>0</v>
      </c>
      <c r="J141" s="16"/>
      <c r="K141" s="16"/>
      <c r="L141" s="37" t="s">
        <v>107</v>
      </c>
      <c r="M141" s="37"/>
      <c r="N141" s="37">
        <v>142</v>
      </c>
      <c r="O141" s="37"/>
      <c r="P141" s="37"/>
      <c r="Q141" s="18">
        <v>0.66173800000000005</v>
      </c>
      <c r="R141" s="18">
        <v>4.5118500000000004E-3</v>
      </c>
      <c r="S141" s="18">
        <v>1.2633180000000002</v>
      </c>
      <c r="T141" s="18">
        <v>5.4142200000000003</v>
      </c>
      <c r="U141" s="18">
        <v>2.7071100000000001</v>
      </c>
      <c r="V141" s="18">
        <v>34.651008000000004</v>
      </c>
      <c r="W141" s="18">
        <v>32.485320000000002</v>
      </c>
      <c r="X141" s="18">
        <v>21.656880000000001</v>
      </c>
      <c r="Y141" s="18">
        <v>0.96252800000000005</v>
      </c>
      <c r="Z141" s="18">
        <v>4.2712180000000002</v>
      </c>
      <c r="AA141" s="18">
        <v>6.2564320000000002</v>
      </c>
      <c r="AB141" s="18">
        <v>11.12923</v>
      </c>
      <c r="AC141" s="18">
        <v>3.4290060000000002</v>
      </c>
      <c r="AD141" s="18">
        <v>18.0474</v>
      </c>
    </row>
    <row r="142" spans="2:30" x14ac:dyDescent="0.25">
      <c r="B142" t="s">
        <v>108</v>
      </c>
      <c r="C142" t="s">
        <v>105</v>
      </c>
      <c r="D142" t="s">
        <v>220</v>
      </c>
      <c r="E142" s="35">
        <v>0.9</v>
      </c>
      <c r="F142" s="35">
        <v>16</v>
      </c>
      <c r="G142" s="36">
        <v>8.6364999999999997E-2</v>
      </c>
      <c r="H142" s="18">
        <v>155.45755600000001</v>
      </c>
      <c r="I142" s="16">
        <v>0</v>
      </c>
      <c r="J142" s="16"/>
      <c r="K142" s="16"/>
      <c r="L142" s="37" t="s">
        <v>107</v>
      </c>
      <c r="M142" s="37"/>
      <c r="N142" s="37">
        <v>143</v>
      </c>
      <c r="O142" s="37"/>
      <c r="P142" s="37"/>
      <c r="Q142" s="18">
        <v>0.95001499999999994</v>
      </c>
      <c r="R142" s="18">
        <v>6.4773749999999996E-3</v>
      </c>
      <c r="S142" s="18">
        <v>1.8136649999999999</v>
      </c>
      <c r="T142" s="18">
        <v>7.77285</v>
      </c>
      <c r="U142" s="18">
        <v>3.886425</v>
      </c>
      <c r="V142" s="18">
        <v>49.74624</v>
      </c>
      <c r="W142" s="18">
        <v>46.637099999999997</v>
      </c>
      <c r="X142" s="18">
        <v>31.0914</v>
      </c>
      <c r="Y142" s="18">
        <v>1.38184</v>
      </c>
      <c r="Z142" s="18">
        <v>6.1319150000000002</v>
      </c>
      <c r="AA142" s="18">
        <v>8.9819599999999991</v>
      </c>
      <c r="AB142" s="18">
        <v>15.977525</v>
      </c>
      <c r="AC142" s="18">
        <v>4.9228049999999994</v>
      </c>
      <c r="AD142" s="18">
        <v>25.909499999999998</v>
      </c>
    </row>
    <row r="143" spans="2:30" x14ac:dyDescent="0.25">
      <c r="B143" t="s">
        <v>124</v>
      </c>
      <c r="C143" t="s">
        <v>105</v>
      </c>
      <c r="D143" t="s">
        <v>221</v>
      </c>
      <c r="E143" s="35">
        <v>0.9</v>
      </c>
      <c r="F143" s="35">
        <v>35</v>
      </c>
      <c r="G143" s="36">
        <v>0.452183</v>
      </c>
      <c r="H143" s="18">
        <v>813.92893100000003</v>
      </c>
      <c r="I143" s="16">
        <v>0</v>
      </c>
      <c r="J143" s="16"/>
      <c r="K143" s="16"/>
      <c r="L143" s="37" t="s">
        <v>107</v>
      </c>
      <c r="M143" s="37"/>
      <c r="N143" s="37">
        <v>144</v>
      </c>
      <c r="O143" s="37"/>
      <c r="P143" s="37"/>
      <c r="Q143" s="18">
        <v>4.9740130000000002</v>
      </c>
      <c r="R143" s="18">
        <v>3.3913724999999999E-2</v>
      </c>
      <c r="S143" s="18">
        <v>9.4958430000000007</v>
      </c>
      <c r="T143" s="18">
        <v>40.696469999999998</v>
      </c>
      <c r="U143" s="18">
        <v>20.348234999999999</v>
      </c>
      <c r="V143" s="18">
        <v>260.45740799999999</v>
      </c>
      <c r="W143" s="18">
        <v>244.17882</v>
      </c>
      <c r="X143" s="18">
        <v>162.78587999999999</v>
      </c>
      <c r="Y143" s="18">
        <v>7.234928</v>
      </c>
      <c r="Z143" s="18">
        <v>32.104993</v>
      </c>
      <c r="AA143" s="18">
        <v>47.027031999999998</v>
      </c>
      <c r="AB143" s="18">
        <v>83.653855000000007</v>
      </c>
      <c r="AC143" s="18">
        <v>25.774431</v>
      </c>
      <c r="AD143" s="18">
        <v>135.6549</v>
      </c>
    </row>
    <row r="144" spans="2:30" x14ac:dyDescent="0.25">
      <c r="B144" t="s">
        <v>104</v>
      </c>
      <c r="C144" t="s">
        <v>105</v>
      </c>
      <c r="D144" t="s">
        <v>222</v>
      </c>
      <c r="E144" s="35">
        <v>0.9</v>
      </c>
      <c r="F144" s="35">
        <v>68</v>
      </c>
      <c r="G144" s="36">
        <v>1.2632270000000001</v>
      </c>
      <c r="H144" s="18">
        <v>2273.8089009999999</v>
      </c>
      <c r="I144" s="16">
        <v>0</v>
      </c>
      <c r="J144" s="16">
        <v>66</v>
      </c>
      <c r="K144" s="16"/>
      <c r="L144" s="37" t="s">
        <v>107</v>
      </c>
      <c r="M144" s="37"/>
      <c r="N144" s="37">
        <v>145</v>
      </c>
      <c r="O144" s="37"/>
      <c r="P144" s="37"/>
      <c r="Q144" s="18">
        <v>13.895497000000001</v>
      </c>
      <c r="R144" s="18">
        <v>9.4742025000000007E-2</v>
      </c>
      <c r="S144" s="18">
        <v>26.527767000000001</v>
      </c>
      <c r="T144" s="18">
        <v>113.69043000000001</v>
      </c>
      <c r="U144" s="18">
        <v>56.845215000000003</v>
      </c>
      <c r="V144" s="18">
        <v>727.61875200000009</v>
      </c>
      <c r="W144" s="18">
        <v>682.14258000000007</v>
      </c>
      <c r="X144" s="18">
        <v>454.76172000000003</v>
      </c>
      <c r="Y144" s="18">
        <v>20.211632000000002</v>
      </c>
      <c r="Z144" s="18">
        <v>89.68911700000001</v>
      </c>
      <c r="AA144" s="18">
        <v>131.375608</v>
      </c>
      <c r="AB144" s="18">
        <v>233.69699500000002</v>
      </c>
      <c r="AC144" s="18">
        <v>72.003939000000003</v>
      </c>
      <c r="AD144" s="18">
        <v>378.96810000000005</v>
      </c>
    </row>
    <row r="145" spans="2:30" x14ac:dyDescent="0.25">
      <c r="B145" t="s">
        <v>166</v>
      </c>
      <c r="C145" t="s">
        <v>105</v>
      </c>
      <c r="D145" t="s">
        <v>223</v>
      </c>
      <c r="E145" s="35">
        <v>0.9</v>
      </c>
      <c r="F145" s="35">
        <v>26</v>
      </c>
      <c r="G145" s="36">
        <v>0.30297499999999999</v>
      </c>
      <c r="H145" s="18">
        <v>545.35533199999998</v>
      </c>
      <c r="I145" s="16">
        <v>0</v>
      </c>
      <c r="J145" s="16"/>
      <c r="K145" s="16"/>
      <c r="L145" s="37" t="s">
        <v>107</v>
      </c>
      <c r="M145" s="37"/>
      <c r="N145" s="37">
        <v>146</v>
      </c>
      <c r="O145" s="37"/>
      <c r="P145" s="37"/>
      <c r="Q145" s="18">
        <v>3.3327249999999999</v>
      </c>
      <c r="R145" s="18">
        <v>2.2723125E-2</v>
      </c>
      <c r="S145" s="18">
        <v>6.3624749999999999</v>
      </c>
      <c r="T145" s="18">
        <v>27.267749999999999</v>
      </c>
      <c r="U145" s="18">
        <v>13.633875</v>
      </c>
      <c r="V145" s="18">
        <v>174.5136</v>
      </c>
      <c r="W145" s="18">
        <v>163.60649999999998</v>
      </c>
      <c r="X145" s="18">
        <v>109.071</v>
      </c>
      <c r="Y145" s="18">
        <v>4.8475999999999999</v>
      </c>
      <c r="Z145" s="18">
        <v>21.511225</v>
      </c>
      <c r="AA145" s="18">
        <v>31.509399999999999</v>
      </c>
      <c r="AB145" s="18">
        <v>56.050375000000003</v>
      </c>
      <c r="AC145" s="18">
        <v>17.269575</v>
      </c>
      <c r="AD145" s="18">
        <v>90.892499999999998</v>
      </c>
    </row>
    <row r="146" spans="2:30" x14ac:dyDescent="0.25">
      <c r="B146" t="s">
        <v>158</v>
      </c>
      <c r="C146" t="s">
        <v>105</v>
      </c>
      <c r="D146" t="s">
        <v>224</v>
      </c>
      <c r="E146" s="35">
        <v>0.9</v>
      </c>
      <c r="F146" s="35">
        <v>18</v>
      </c>
      <c r="G146" s="36">
        <v>7.1826000000000001E-2</v>
      </c>
      <c r="H146" s="18">
        <v>129.28753599999999</v>
      </c>
      <c r="I146" s="16">
        <v>0</v>
      </c>
      <c r="J146" s="16"/>
      <c r="K146" s="16"/>
      <c r="L146" s="37" t="s">
        <v>107</v>
      </c>
      <c r="M146" s="37"/>
      <c r="N146" s="37">
        <v>147</v>
      </c>
      <c r="O146" s="37"/>
      <c r="P146" s="37"/>
      <c r="Q146" s="18">
        <v>0.79008600000000007</v>
      </c>
      <c r="R146" s="18">
        <v>5.3869499999999997E-3</v>
      </c>
      <c r="S146" s="18">
        <v>1.508346</v>
      </c>
      <c r="T146" s="18">
        <v>6.46434</v>
      </c>
      <c r="U146" s="18">
        <v>3.23217</v>
      </c>
      <c r="V146" s="18">
        <v>41.371775999999997</v>
      </c>
      <c r="W146" s="18">
        <v>38.78604</v>
      </c>
      <c r="X146" s="18">
        <v>25.85736</v>
      </c>
      <c r="Y146" s="18">
        <v>1.149216</v>
      </c>
      <c r="Z146" s="18">
        <v>5.0996459999999999</v>
      </c>
      <c r="AA146" s="18">
        <v>7.4699039999999997</v>
      </c>
      <c r="AB146" s="18">
        <v>13.28781</v>
      </c>
      <c r="AC146" s="18">
        <v>4.0940820000000002</v>
      </c>
      <c r="AD146" s="18">
        <v>21.547799999999999</v>
      </c>
    </row>
    <row r="147" spans="2:30" x14ac:dyDescent="0.25">
      <c r="B147" t="s">
        <v>108</v>
      </c>
      <c r="C147" t="s">
        <v>105</v>
      </c>
      <c r="D147" t="s">
        <v>225</v>
      </c>
      <c r="E147" s="35">
        <v>0.9</v>
      </c>
      <c r="F147" s="35">
        <v>16</v>
      </c>
      <c r="G147" s="36">
        <v>1.5649E-2</v>
      </c>
      <c r="H147" s="18">
        <v>28.168275999999999</v>
      </c>
      <c r="I147" s="16">
        <v>0</v>
      </c>
      <c r="J147" s="16"/>
      <c r="K147" s="16"/>
      <c r="L147" s="37" t="s">
        <v>107</v>
      </c>
      <c r="M147" s="37"/>
      <c r="N147" s="37">
        <v>148</v>
      </c>
      <c r="O147" s="37"/>
      <c r="P147" s="37"/>
      <c r="Q147" s="18">
        <v>0.17213899999999999</v>
      </c>
      <c r="R147" s="18">
        <v>1.1736749999999999E-3</v>
      </c>
      <c r="S147" s="18">
        <v>0.328629</v>
      </c>
      <c r="T147" s="18">
        <v>1.4084099999999999</v>
      </c>
      <c r="U147" s="18">
        <v>0.70420499999999997</v>
      </c>
      <c r="V147" s="18">
        <v>9.0138239999999996</v>
      </c>
      <c r="W147" s="18">
        <v>8.4504599999999996</v>
      </c>
      <c r="X147" s="18">
        <v>5.6336399999999998</v>
      </c>
      <c r="Y147" s="18">
        <v>0.250384</v>
      </c>
      <c r="Z147" s="18">
        <v>1.1110789999999999</v>
      </c>
      <c r="AA147" s="18">
        <v>1.6274960000000001</v>
      </c>
      <c r="AB147" s="18">
        <v>2.8950649999999998</v>
      </c>
      <c r="AC147" s="18">
        <v>0.89199300000000004</v>
      </c>
      <c r="AD147" s="18">
        <v>4.6947000000000001</v>
      </c>
    </row>
    <row r="148" spans="2:30" x14ac:dyDescent="0.25">
      <c r="B148" t="s">
        <v>195</v>
      </c>
      <c r="C148" t="s">
        <v>105</v>
      </c>
      <c r="D148" t="s">
        <v>184</v>
      </c>
      <c r="E148" s="35">
        <v>0.9</v>
      </c>
      <c r="F148" s="35">
        <v>30</v>
      </c>
      <c r="G148" s="36">
        <v>0.42638399999999999</v>
      </c>
      <c r="H148" s="18">
        <v>767.49052700000004</v>
      </c>
      <c r="I148" s="16">
        <v>0</v>
      </c>
      <c r="J148" s="16"/>
      <c r="K148" s="16"/>
      <c r="L148" s="37" t="s">
        <v>107</v>
      </c>
      <c r="M148" s="37"/>
      <c r="N148" s="37">
        <v>149</v>
      </c>
      <c r="O148" s="37"/>
      <c r="P148" s="37"/>
      <c r="Q148" s="18">
        <v>4.6902239999999997</v>
      </c>
      <c r="R148" s="18">
        <v>3.1978799999999995E-2</v>
      </c>
      <c r="S148" s="18">
        <v>8.9540639999999989</v>
      </c>
      <c r="T148" s="18">
        <v>38.374559999999995</v>
      </c>
      <c r="U148" s="18">
        <v>19.187279999999998</v>
      </c>
      <c r="V148" s="18">
        <v>245.597184</v>
      </c>
      <c r="W148" s="18">
        <v>230.24735999999999</v>
      </c>
      <c r="X148" s="18">
        <v>153.49823999999998</v>
      </c>
      <c r="Y148" s="18">
        <v>6.8221439999999998</v>
      </c>
      <c r="Z148" s="18">
        <v>30.273263999999998</v>
      </c>
      <c r="AA148" s="18">
        <v>44.343935999999999</v>
      </c>
      <c r="AB148" s="18">
        <v>78.881039999999999</v>
      </c>
      <c r="AC148" s="18">
        <v>24.303888000000001</v>
      </c>
      <c r="AD148" s="18">
        <v>127.9152</v>
      </c>
    </row>
    <row r="149" spans="2:30" x14ac:dyDescent="0.25">
      <c r="B149" t="s">
        <v>108</v>
      </c>
      <c r="C149" t="s">
        <v>105</v>
      </c>
      <c r="D149" t="s">
        <v>226</v>
      </c>
      <c r="E149" s="35">
        <v>0.9</v>
      </c>
      <c r="F149" s="35">
        <v>16</v>
      </c>
      <c r="G149" s="36">
        <v>9.1410000000000005E-2</v>
      </c>
      <c r="H149" s="18">
        <v>164.538242</v>
      </c>
      <c r="I149" s="16">
        <v>0</v>
      </c>
      <c r="J149" s="16"/>
      <c r="K149" s="16"/>
      <c r="L149" s="37" t="s">
        <v>107</v>
      </c>
      <c r="M149" s="37"/>
      <c r="N149" s="37">
        <v>150</v>
      </c>
      <c r="O149" s="37"/>
      <c r="P149" s="37"/>
      <c r="Q149" s="18">
        <v>1.0055100000000001</v>
      </c>
      <c r="R149" s="18">
        <v>6.8557499999999999E-3</v>
      </c>
      <c r="S149" s="18">
        <v>1.91961</v>
      </c>
      <c r="T149" s="18">
        <v>8.2269000000000005</v>
      </c>
      <c r="U149" s="18">
        <v>4.1134500000000003</v>
      </c>
      <c r="V149" s="18">
        <v>52.652160000000002</v>
      </c>
      <c r="W149" s="18">
        <v>49.361400000000003</v>
      </c>
      <c r="X149" s="18">
        <v>32.907600000000002</v>
      </c>
      <c r="Y149" s="18">
        <v>1.4625600000000001</v>
      </c>
      <c r="Z149" s="18">
        <v>6.4901100000000005</v>
      </c>
      <c r="AA149" s="18">
        <v>9.5066400000000009</v>
      </c>
      <c r="AB149" s="18">
        <v>16.91085</v>
      </c>
      <c r="AC149" s="18">
        <v>5.2103700000000002</v>
      </c>
      <c r="AD149" s="18">
        <v>27.423000000000002</v>
      </c>
    </row>
    <row r="150" spans="2:30" x14ac:dyDescent="0.25">
      <c r="B150" t="s">
        <v>160</v>
      </c>
      <c r="C150" t="s">
        <v>105</v>
      </c>
      <c r="D150" t="s">
        <v>227</v>
      </c>
      <c r="E150" s="35">
        <v>0.9</v>
      </c>
      <c r="F150" s="35">
        <v>31</v>
      </c>
      <c r="G150" s="36">
        <v>0.45085399999999998</v>
      </c>
      <c r="H150" s="18">
        <v>811.537781</v>
      </c>
      <c r="I150" s="16">
        <v>2</v>
      </c>
      <c r="J150" s="16"/>
      <c r="K150" s="16"/>
      <c r="L150" s="37" t="s">
        <v>107</v>
      </c>
      <c r="M150" s="37"/>
      <c r="N150" s="37">
        <v>151</v>
      </c>
      <c r="O150" s="37"/>
      <c r="P150" s="37"/>
      <c r="Q150" s="18">
        <v>4.9593939999999996</v>
      </c>
      <c r="R150" s="18">
        <v>3.3814049999999998E-2</v>
      </c>
      <c r="S150" s="18">
        <v>9.4679339999999996</v>
      </c>
      <c r="T150" s="18">
        <v>40.576859999999996</v>
      </c>
      <c r="U150" s="18">
        <v>20.288429999999998</v>
      </c>
      <c r="V150" s="18">
        <v>259.69190399999997</v>
      </c>
      <c r="W150" s="18">
        <v>243.46115999999998</v>
      </c>
      <c r="X150" s="18">
        <v>162.30743999999999</v>
      </c>
      <c r="Y150" s="18">
        <v>7.2136639999999996</v>
      </c>
      <c r="Z150" s="18">
        <v>32.010633999999996</v>
      </c>
      <c r="AA150" s="18">
        <v>46.888815999999998</v>
      </c>
      <c r="AB150" s="18">
        <v>83.407989999999998</v>
      </c>
      <c r="AC150" s="18">
        <v>25.698677999999997</v>
      </c>
      <c r="AD150" s="18">
        <v>135.25620000000001</v>
      </c>
    </row>
    <row r="151" spans="2:30" x14ac:dyDescent="0.25">
      <c r="B151" t="s">
        <v>124</v>
      </c>
      <c r="C151" t="s">
        <v>105</v>
      </c>
      <c r="D151" t="s">
        <v>208</v>
      </c>
      <c r="E151" s="35">
        <v>0.9</v>
      </c>
      <c r="F151" s="35">
        <v>35</v>
      </c>
      <c r="G151" s="36">
        <v>0.46548200000000001</v>
      </c>
      <c r="H151" s="18">
        <v>837.86795700000005</v>
      </c>
      <c r="I151" s="16">
        <v>0</v>
      </c>
      <c r="J151" s="16"/>
      <c r="K151" s="16"/>
      <c r="L151" s="37" t="s">
        <v>107</v>
      </c>
      <c r="M151" s="37"/>
      <c r="N151" s="37">
        <v>152</v>
      </c>
      <c r="O151" s="37"/>
      <c r="P151" s="37"/>
      <c r="Q151" s="18">
        <v>5.1203019999999997</v>
      </c>
      <c r="R151" s="18">
        <v>3.4911150000000002E-2</v>
      </c>
      <c r="S151" s="18">
        <v>9.7751219999999996</v>
      </c>
      <c r="T151" s="18">
        <v>41.893380000000001</v>
      </c>
      <c r="U151" s="18">
        <v>20.94669</v>
      </c>
      <c r="V151" s="18">
        <v>268.11763200000001</v>
      </c>
      <c r="W151" s="18">
        <v>251.36028000000002</v>
      </c>
      <c r="X151" s="18">
        <v>167.57352</v>
      </c>
      <c r="Y151" s="18">
        <v>7.4477120000000001</v>
      </c>
      <c r="Z151" s="18">
        <v>33.049222</v>
      </c>
      <c r="AA151" s="18">
        <v>48.410128</v>
      </c>
      <c r="AB151" s="18">
        <v>86.114170000000001</v>
      </c>
      <c r="AC151" s="18">
        <v>26.532474000000001</v>
      </c>
      <c r="AD151" s="18">
        <v>139.6446</v>
      </c>
    </row>
    <row r="152" spans="2:30" x14ac:dyDescent="0.25">
      <c r="B152" t="s">
        <v>158</v>
      </c>
      <c r="C152" t="s">
        <v>105</v>
      </c>
      <c r="D152" t="s">
        <v>228</v>
      </c>
      <c r="E152" s="35">
        <v>0.9</v>
      </c>
      <c r="F152" s="35">
        <v>18</v>
      </c>
      <c r="G152" s="36">
        <v>7.8584000000000001E-2</v>
      </c>
      <c r="H152" s="18">
        <v>141.45174900000001</v>
      </c>
      <c r="I152" s="16">
        <v>0</v>
      </c>
      <c r="J152" s="16"/>
      <c r="K152" s="16"/>
      <c r="L152" s="37" t="s">
        <v>107</v>
      </c>
      <c r="M152" s="37"/>
      <c r="N152" s="37">
        <v>153</v>
      </c>
      <c r="O152" s="37"/>
      <c r="P152" s="37"/>
      <c r="Q152" s="18">
        <v>0.86442399999999997</v>
      </c>
      <c r="R152" s="18">
        <v>5.8938000000000003E-3</v>
      </c>
      <c r="S152" s="18">
        <v>1.650264</v>
      </c>
      <c r="T152" s="18">
        <v>7.0725600000000002</v>
      </c>
      <c r="U152" s="18">
        <v>3.5362800000000001</v>
      </c>
      <c r="V152" s="18">
        <v>45.264384</v>
      </c>
      <c r="W152" s="18">
        <v>42.435360000000003</v>
      </c>
      <c r="X152" s="18">
        <v>28.290240000000001</v>
      </c>
      <c r="Y152" s="18">
        <v>1.257344</v>
      </c>
      <c r="Z152" s="18">
        <v>5.5794639999999998</v>
      </c>
      <c r="AA152" s="18">
        <v>8.1727360000000004</v>
      </c>
      <c r="AB152" s="18">
        <v>14.538040000000001</v>
      </c>
      <c r="AC152" s="18">
        <v>4.4792880000000004</v>
      </c>
      <c r="AD152" s="18">
        <v>23.575199999999999</v>
      </c>
    </row>
    <row r="153" spans="2:30" x14ac:dyDescent="0.25">
      <c r="B153" t="s">
        <v>112</v>
      </c>
      <c r="C153" t="s">
        <v>105</v>
      </c>
      <c r="D153" t="s">
        <v>229</v>
      </c>
      <c r="E153" s="35">
        <v>0.9</v>
      </c>
      <c r="F153" s="35">
        <v>60</v>
      </c>
      <c r="G153" s="36">
        <v>0.87076699999999996</v>
      </c>
      <c r="H153" s="18">
        <v>1567.3797360000001</v>
      </c>
      <c r="I153" s="16">
        <v>0</v>
      </c>
      <c r="J153" s="16"/>
      <c r="K153" s="16"/>
      <c r="L153" s="37" t="s">
        <v>107</v>
      </c>
      <c r="M153" s="37"/>
      <c r="N153" s="37">
        <v>154</v>
      </c>
      <c r="O153" s="37"/>
      <c r="P153" s="37"/>
      <c r="Q153" s="18">
        <v>9.5784369999999992</v>
      </c>
      <c r="R153" s="18">
        <v>6.5307524999999991E-2</v>
      </c>
      <c r="S153" s="18">
        <v>18.286106999999998</v>
      </c>
      <c r="T153" s="18">
        <v>78.369029999999995</v>
      </c>
      <c r="U153" s="18">
        <v>39.184514999999998</v>
      </c>
      <c r="V153" s="18">
        <v>501.56179199999997</v>
      </c>
      <c r="W153" s="18">
        <v>470.21418</v>
      </c>
      <c r="X153" s="18">
        <v>313.47611999999998</v>
      </c>
      <c r="Y153" s="18">
        <v>13.932271999999999</v>
      </c>
      <c r="Z153" s="18">
        <v>61.824456999999995</v>
      </c>
      <c r="AA153" s="18">
        <v>90.559767999999991</v>
      </c>
      <c r="AB153" s="18">
        <v>161.09189499999999</v>
      </c>
      <c r="AC153" s="18">
        <v>49.633718999999999</v>
      </c>
      <c r="AD153" s="18">
        <v>261.23009999999999</v>
      </c>
    </row>
    <row r="154" spans="2:30" x14ac:dyDescent="0.25">
      <c r="B154" t="s">
        <v>166</v>
      </c>
      <c r="C154" t="s">
        <v>105</v>
      </c>
      <c r="D154" t="s">
        <v>223</v>
      </c>
      <c r="E154" s="35">
        <v>0.9</v>
      </c>
      <c r="F154" s="35">
        <v>26</v>
      </c>
      <c r="G154" s="36">
        <v>0.30297499999999999</v>
      </c>
      <c r="H154" s="18">
        <v>545.35533199999998</v>
      </c>
      <c r="I154" s="16">
        <v>0</v>
      </c>
      <c r="J154" s="16"/>
      <c r="K154" s="16"/>
      <c r="L154" s="37" t="s">
        <v>107</v>
      </c>
      <c r="M154" s="37"/>
      <c r="N154" s="37">
        <v>155</v>
      </c>
      <c r="O154" s="37"/>
      <c r="P154" s="37"/>
      <c r="Q154" s="18">
        <v>3.3327249999999999</v>
      </c>
      <c r="R154" s="18">
        <v>2.2723125E-2</v>
      </c>
      <c r="S154" s="18">
        <v>6.3624749999999999</v>
      </c>
      <c r="T154" s="18">
        <v>27.267749999999999</v>
      </c>
      <c r="U154" s="18">
        <v>13.633875</v>
      </c>
      <c r="V154" s="18">
        <v>174.5136</v>
      </c>
      <c r="W154" s="18">
        <v>163.60649999999998</v>
      </c>
      <c r="X154" s="18">
        <v>109.071</v>
      </c>
      <c r="Y154" s="18">
        <v>4.8475999999999999</v>
      </c>
      <c r="Z154" s="18">
        <v>21.511225</v>
      </c>
      <c r="AA154" s="18">
        <v>31.509399999999999</v>
      </c>
      <c r="AB154" s="18">
        <v>56.050375000000003</v>
      </c>
      <c r="AC154" s="18">
        <v>17.269575</v>
      </c>
      <c r="AD154" s="18">
        <v>90.892499999999998</v>
      </c>
    </row>
    <row r="155" spans="2:30" x14ac:dyDescent="0.25">
      <c r="B155" t="s">
        <v>206</v>
      </c>
      <c r="C155" t="s">
        <v>105</v>
      </c>
      <c r="D155" t="s">
        <v>230</v>
      </c>
      <c r="E155" s="35">
        <v>1.8</v>
      </c>
      <c r="F155" s="35">
        <v>58.1</v>
      </c>
      <c r="G155" s="36">
        <v>0.83583300000000005</v>
      </c>
      <c r="H155" s="18">
        <v>3008.9995669999998</v>
      </c>
      <c r="I155" s="16"/>
      <c r="J155" s="16"/>
      <c r="K155" s="16"/>
      <c r="L155" s="37" t="s">
        <v>107</v>
      </c>
      <c r="M155" s="37"/>
      <c r="N155" s="37">
        <v>156</v>
      </c>
      <c r="O155" s="37"/>
      <c r="P155" s="37"/>
      <c r="Q155" s="18">
        <v>9.1941629999999996</v>
      </c>
      <c r="R155" s="18">
        <v>6.2687475000000006E-2</v>
      </c>
      <c r="S155" s="18">
        <v>17.552493000000002</v>
      </c>
      <c r="T155" s="18">
        <v>75.224969999999999</v>
      </c>
      <c r="U155" s="18">
        <v>37.612485</v>
      </c>
      <c r="V155" s="18">
        <v>481.43980800000003</v>
      </c>
      <c r="W155" s="18">
        <v>451.34982000000002</v>
      </c>
      <c r="X155" s="18">
        <v>300.89988</v>
      </c>
      <c r="Y155" s="18">
        <v>13.373328000000001</v>
      </c>
      <c r="Z155" s="18">
        <v>59.344143000000003</v>
      </c>
      <c r="AA155" s="18">
        <v>86.926632000000012</v>
      </c>
      <c r="AB155" s="18">
        <v>154.62910500000001</v>
      </c>
      <c r="AC155" s="18">
        <v>47.642481000000004</v>
      </c>
      <c r="AD155" s="18">
        <v>250.74990000000003</v>
      </c>
    </row>
    <row r="156" spans="2:30" x14ac:dyDescent="0.25">
      <c r="B156" t="s">
        <v>231</v>
      </c>
      <c r="C156" t="s">
        <v>105</v>
      </c>
      <c r="D156" t="s">
        <v>232</v>
      </c>
      <c r="E156" s="35">
        <v>0.9</v>
      </c>
      <c r="F156" s="35">
        <v>50</v>
      </c>
      <c r="G156" s="36">
        <v>0.74397100000000005</v>
      </c>
      <c r="H156" s="18">
        <v>1339.1484370000001</v>
      </c>
      <c r="I156" s="16">
        <v>0</v>
      </c>
      <c r="J156" s="16"/>
      <c r="K156" s="16"/>
      <c r="L156" s="37" t="s">
        <v>107</v>
      </c>
      <c r="M156" s="37"/>
      <c r="N156" s="37">
        <v>157</v>
      </c>
      <c r="O156" s="37"/>
      <c r="P156" s="37"/>
      <c r="Q156" s="18">
        <v>8.183681</v>
      </c>
      <c r="R156" s="18">
        <v>5.5797825000000002E-2</v>
      </c>
      <c r="S156" s="18">
        <v>15.623391000000002</v>
      </c>
      <c r="T156" s="18">
        <v>66.957390000000004</v>
      </c>
      <c r="U156" s="18">
        <v>33.478695000000002</v>
      </c>
      <c r="V156" s="18">
        <v>428.52729600000004</v>
      </c>
      <c r="W156" s="18">
        <v>401.74434000000002</v>
      </c>
      <c r="X156" s="18">
        <v>267.82956000000001</v>
      </c>
      <c r="Y156" s="18">
        <v>11.903536000000001</v>
      </c>
      <c r="Z156" s="18">
        <v>52.821941000000002</v>
      </c>
      <c r="AA156" s="18">
        <v>77.372984000000002</v>
      </c>
      <c r="AB156" s="18">
        <v>137.634635</v>
      </c>
      <c r="AC156" s="18">
        <v>42.406347000000004</v>
      </c>
      <c r="AD156" s="18">
        <v>223.19130000000001</v>
      </c>
    </row>
    <row r="157" spans="2:30" x14ac:dyDescent="0.25">
      <c r="B157" t="s">
        <v>108</v>
      </c>
      <c r="C157" t="s">
        <v>105</v>
      </c>
      <c r="D157" t="s">
        <v>233</v>
      </c>
      <c r="E157" s="35">
        <v>0.9</v>
      </c>
      <c r="F157" s="35">
        <v>16</v>
      </c>
      <c r="G157" s="36">
        <v>4.2025E-2</v>
      </c>
      <c r="H157" s="18">
        <v>75.645859000000002</v>
      </c>
      <c r="I157" s="16">
        <v>0</v>
      </c>
      <c r="J157" s="16"/>
      <c r="K157" s="16"/>
      <c r="L157" s="37" t="s">
        <v>107</v>
      </c>
      <c r="M157" s="37"/>
      <c r="N157" s="37">
        <v>158</v>
      </c>
      <c r="O157" s="37"/>
      <c r="P157" s="37"/>
      <c r="Q157" s="18">
        <v>0.46227499999999999</v>
      </c>
      <c r="R157" s="18">
        <v>3.1518749999999997E-3</v>
      </c>
      <c r="S157" s="18">
        <v>0.882525</v>
      </c>
      <c r="T157" s="18">
        <v>3.7822499999999999</v>
      </c>
      <c r="U157" s="18">
        <v>1.8911249999999999</v>
      </c>
      <c r="V157" s="18">
        <v>24.206399999999999</v>
      </c>
      <c r="W157" s="18">
        <v>22.6935</v>
      </c>
      <c r="X157" s="18">
        <v>15.129</v>
      </c>
      <c r="Y157" s="18">
        <v>0.6724</v>
      </c>
      <c r="Z157" s="18">
        <v>2.9837750000000001</v>
      </c>
      <c r="AA157" s="18">
        <v>4.3705999999999996</v>
      </c>
      <c r="AB157" s="18">
        <v>7.7746250000000003</v>
      </c>
      <c r="AC157" s="18">
        <v>2.3954249999999999</v>
      </c>
      <c r="AD157" s="18">
        <v>12.6075</v>
      </c>
    </row>
    <row r="158" spans="2:30" x14ac:dyDescent="0.25">
      <c r="B158" t="s">
        <v>141</v>
      </c>
      <c r="C158" t="s">
        <v>105</v>
      </c>
      <c r="D158" t="s">
        <v>234</v>
      </c>
      <c r="E158" s="35">
        <v>0.9</v>
      </c>
      <c r="F158" s="35">
        <v>46</v>
      </c>
      <c r="G158" s="36">
        <v>0.56179199999999996</v>
      </c>
      <c r="H158" s="18">
        <v>1011.225547</v>
      </c>
      <c r="I158" s="16">
        <v>0</v>
      </c>
      <c r="J158" s="16">
        <v>36</v>
      </c>
      <c r="K158" s="16"/>
      <c r="L158" s="37" t="s">
        <v>107</v>
      </c>
      <c r="M158" s="37"/>
      <c r="N158" s="37">
        <v>159</v>
      </c>
      <c r="O158" s="37"/>
      <c r="P158" s="37"/>
      <c r="Q158" s="18">
        <v>6.1797119999999994</v>
      </c>
      <c r="R158" s="18">
        <v>4.2134399999999995E-2</v>
      </c>
      <c r="S158" s="18">
        <v>11.797631999999998</v>
      </c>
      <c r="T158" s="18">
        <v>50.561279999999996</v>
      </c>
      <c r="U158" s="18">
        <v>25.280639999999998</v>
      </c>
      <c r="V158" s="18">
        <v>323.59219199999995</v>
      </c>
      <c r="W158" s="18">
        <v>303.36767999999995</v>
      </c>
      <c r="X158" s="18">
        <v>202.24511999999999</v>
      </c>
      <c r="Y158" s="18">
        <v>8.9886719999999993</v>
      </c>
      <c r="Z158" s="18">
        <v>39.887231999999997</v>
      </c>
      <c r="AA158" s="18">
        <v>58.426367999999997</v>
      </c>
      <c r="AB158" s="18">
        <v>103.93151999999999</v>
      </c>
      <c r="AC158" s="18">
        <v>32.022143999999997</v>
      </c>
      <c r="AD158" s="18">
        <v>168.5376</v>
      </c>
    </row>
    <row r="159" spans="2:30" x14ac:dyDescent="0.25">
      <c r="B159" t="s">
        <v>160</v>
      </c>
      <c r="C159" t="s">
        <v>105</v>
      </c>
      <c r="D159" t="s">
        <v>235</v>
      </c>
      <c r="E159" s="35">
        <v>0.9</v>
      </c>
      <c r="F159" s="35">
        <v>31</v>
      </c>
      <c r="G159" s="36">
        <v>0.43584299999999998</v>
      </c>
      <c r="H159" s="18">
        <v>784.51789299999996</v>
      </c>
      <c r="I159" s="16">
        <v>0</v>
      </c>
      <c r="J159" s="16"/>
      <c r="K159" s="16"/>
      <c r="L159" s="37" t="s">
        <v>107</v>
      </c>
      <c r="M159" s="37"/>
      <c r="N159" s="37">
        <v>160</v>
      </c>
      <c r="O159" s="37"/>
      <c r="P159" s="37"/>
      <c r="Q159" s="18">
        <v>4.7942729999999996</v>
      </c>
      <c r="R159" s="18">
        <v>3.2688224999999994E-2</v>
      </c>
      <c r="S159" s="18">
        <v>9.1527029999999989</v>
      </c>
      <c r="T159" s="18">
        <v>39.22587</v>
      </c>
      <c r="U159" s="18">
        <v>19.612935</v>
      </c>
      <c r="V159" s="18">
        <v>251.045568</v>
      </c>
      <c r="W159" s="18">
        <v>235.35522</v>
      </c>
      <c r="X159" s="18">
        <v>156.90348</v>
      </c>
      <c r="Y159" s="18">
        <v>6.9734879999999997</v>
      </c>
      <c r="Z159" s="18">
        <v>30.944852999999998</v>
      </c>
      <c r="AA159" s="18">
        <v>45.327672</v>
      </c>
      <c r="AB159" s="18">
        <v>80.630955</v>
      </c>
      <c r="AC159" s="18">
        <v>24.843050999999999</v>
      </c>
      <c r="AD159" s="18">
        <v>130.75289999999998</v>
      </c>
    </row>
    <row r="160" spans="2:30" x14ac:dyDescent="0.25">
      <c r="B160" t="s">
        <v>195</v>
      </c>
      <c r="C160" t="s">
        <v>105</v>
      </c>
      <c r="D160" t="s">
        <v>236</v>
      </c>
      <c r="E160" s="35">
        <v>0.9</v>
      </c>
      <c r="F160" s="35">
        <v>30</v>
      </c>
      <c r="G160" s="36">
        <v>0.410584</v>
      </c>
      <c r="H160" s="18">
        <v>739.05168500000002</v>
      </c>
      <c r="I160" s="16">
        <v>0</v>
      </c>
      <c r="J160" s="16"/>
      <c r="K160" s="16"/>
      <c r="L160" s="37" t="s">
        <v>107</v>
      </c>
      <c r="M160" s="37"/>
      <c r="N160" s="37">
        <v>161</v>
      </c>
      <c r="O160" s="37"/>
      <c r="P160" s="37"/>
      <c r="Q160" s="18">
        <v>4.5164239999999998</v>
      </c>
      <c r="R160" s="18">
        <v>3.07938E-2</v>
      </c>
      <c r="S160" s="18">
        <v>8.6222639999999995</v>
      </c>
      <c r="T160" s="18">
        <v>36.952559999999998</v>
      </c>
      <c r="U160" s="18">
        <v>18.476279999999999</v>
      </c>
      <c r="V160" s="18">
        <v>236.49638400000001</v>
      </c>
      <c r="W160" s="18">
        <v>221.71536</v>
      </c>
      <c r="X160" s="18">
        <v>147.81023999999999</v>
      </c>
      <c r="Y160" s="18">
        <v>6.5693440000000001</v>
      </c>
      <c r="Z160" s="18">
        <v>29.151464000000001</v>
      </c>
      <c r="AA160" s="18">
        <v>42.700735999999999</v>
      </c>
      <c r="AB160" s="18">
        <v>75.958039999999997</v>
      </c>
      <c r="AC160" s="18">
        <v>23.403288</v>
      </c>
      <c r="AD160" s="18">
        <v>123.1752</v>
      </c>
    </row>
    <row r="161" spans="2:30" x14ac:dyDescent="0.25">
      <c r="B161" t="s">
        <v>108</v>
      </c>
      <c r="C161" t="s">
        <v>105</v>
      </c>
      <c r="D161" t="s">
        <v>226</v>
      </c>
      <c r="E161" s="35">
        <v>0.9</v>
      </c>
      <c r="F161" s="35">
        <v>16</v>
      </c>
      <c r="G161" s="36">
        <v>9.1410000000000005E-2</v>
      </c>
      <c r="H161" s="18">
        <v>164.538242</v>
      </c>
      <c r="I161" s="16">
        <v>0</v>
      </c>
      <c r="J161" s="16"/>
      <c r="K161" s="16"/>
      <c r="L161" s="37" t="s">
        <v>107</v>
      </c>
      <c r="M161" s="37"/>
      <c r="N161" s="37">
        <v>162</v>
      </c>
      <c r="O161" s="37"/>
      <c r="P161" s="37"/>
      <c r="Q161" s="18">
        <v>1.0055100000000001</v>
      </c>
      <c r="R161" s="18">
        <v>6.8557499999999999E-3</v>
      </c>
      <c r="S161" s="18">
        <v>1.91961</v>
      </c>
      <c r="T161" s="18">
        <v>8.2269000000000005</v>
      </c>
      <c r="U161" s="18">
        <v>4.1134500000000003</v>
      </c>
      <c r="V161" s="18">
        <v>52.652160000000002</v>
      </c>
      <c r="W161" s="18">
        <v>49.361400000000003</v>
      </c>
      <c r="X161" s="18">
        <v>32.907600000000002</v>
      </c>
      <c r="Y161" s="18">
        <v>1.4625600000000001</v>
      </c>
      <c r="Z161" s="18">
        <v>6.4901100000000005</v>
      </c>
      <c r="AA161" s="18">
        <v>9.5066400000000009</v>
      </c>
      <c r="AB161" s="18">
        <v>16.91085</v>
      </c>
      <c r="AC161" s="18">
        <v>5.2103700000000002</v>
      </c>
      <c r="AD161" s="18">
        <v>27.423000000000002</v>
      </c>
    </row>
    <row r="162" spans="2:30" x14ac:dyDescent="0.25">
      <c r="B162" t="s">
        <v>128</v>
      </c>
      <c r="C162" t="s">
        <v>105</v>
      </c>
      <c r="D162" t="s">
        <v>237</v>
      </c>
      <c r="E162" s="35">
        <v>0.9</v>
      </c>
      <c r="F162" s="35">
        <v>65</v>
      </c>
      <c r="G162" s="36">
        <v>0.95113000000000003</v>
      </c>
      <c r="H162" s="18">
        <v>1712.0341430000001</v>
      </c>
      <c r="I162" s="16">
        <v>0</v>
      </c>
      <c r="J162" s="16"/>
      <c r="K162" s="16"/>
      <c r="L162" s="37" t="s">
        <v>107</v>
      </c>
      <c r="M162" s="37"/>
      <c r="N162" s="37">
        <v>163</v>
      </c>
      <c r="O162" s="37"/>
      <c r="P162" s="37"/>
      <c r="Q162" s="18">
        <v>10.462430000000001</v>
      </c>
      <c r="R162" s="18">
        <v>7.1334750000000002E-2</v>
      </c>
      <c r="S162" s="18">
        <v>19.97373</v>
      </c>
      <c r="T162" s="18">
        <v>85.601700000000008</v>
      </c>
      <c r="U162" s="18">
        <v>42.800850000000004</v>
      </c>
      <c r="V162" s="18">
        <v>547.85087999999996</v>
      </c>
      <c r="W162" s="18">
        <v>513.61019999999996</v>
      </c>
      <c r="X162" s="18">
        <v>342.40680000000003</v>
      </c>
      <c r="Y162" s="18">
        <v>15.21808</v>
      </c>
      <c r="Z162" s="18">
        <v>67.530230000000003</v>
      </c>
      <c r="AA162" s="18">
        <v>98.917519999999996</v>
      </c>
      <c r="AB162" s="18">
        <v>175.95905000000002</v>
      </c>
      <c r="AC162" s="18">
        <v>54.214410000000001</v>
      </c>
      <c r="AD162" s="18">
        <v>285.339</v>
      </c>
    </row>
    <row r="163" spans="2:30" x14ac:dyDescent="0.25">
      <c r="B163" t="s">
        <v>112</v>
      </c>
      <c r="C163" t="s">
        <v>105</v>
      </c>
      <c r="D163" t="s">
        <v>238</v>
      </c>
      <c r="E163" s="35">
        <v>0.9</v>
      </c>
      <c r="F163" s="35">
        <v>60</v>
      </c>
      <c r="G163" s="36">
        <v>0.86076699999999995</v>
      </c>
      <c r="H163" s="18">
        <v>1549.3804689999999</v>
      </c>
      <c r="I163" s="16">
        <v>0</v>
      </c>
      <c r="J163" s="16"/>
      <c r="K163" s="16"/>
      <c r="L163" s="37" t="s">
        <v>107</v>
      </c>
      <c r="M163" s="37"/>
      <c r="N163" s="37">
        <v>164</v>
      </c>
      <c r="O163" s="37"/>
      <c r="P163" s="37"/>
      <c r="Q163" s="18">
        <v>9.4684369999999998</v>
      </c>
      <c r="R163" s="18">
        <v>6.4557524999999991E-2</v>
      </c>
      <c r="S163" s="18">
        <v>18.076107</v>
      </c>
      <c r="T163" s="18">
        <v>77.469029999999989</v>
      </c>
      <c r="U163" s="18">
        <v>38.734514999999995</v>
      </c>
      <c r="V163" s="18">
        <v>495.80179199999998</v>
      </c>
      <c r="W163" s="18">
        <v>464.81417999999996</v>
      </c>
      <c r="X163" s="18">
        <v>309.87611999999996</v>
      </c>
      <c r="Y163" s="18">
        <v>13.772271999999999</v>
      </c>
      <c r="Z163" s="18">
        <v>61.114456999999994</v>
      </c>
      <c r="AA163" s="18">
        <v>89.519767999999999</v>
      </c>
      <c r="AB163" s="18">
        <v>159.241895</v>
      </c>
      <c r="AC163" s="18">
        <v>49.063718999999999</v>
      </c>
      <c r="AD163" s="18">
        <v>258.23009999999999</v>
      </c>
    </row>
    <row r="164" spans="2:30" x14ac:dyDescent="0.25">
      <c r="B164" t="s">
        <v>108</v>
      </c>
      <c r="C164" t="s">
        <v>105</v>
      </c>
      <c r="D164" t="s">
        <v>239</v>
      </c>
      <c r="E164" s="35">
        <v>0.9</v>
      </c>
      <c r="F164" s="35">
        <v>16</v>
      </c>
      <c r="G164" s="36">
        <v>1.4933E-2</v>
      </c>
      <c r="H164" s="18">
        <v>26.878906000000001</v>
      </c>
      <c r="I164" s="16">
        <v>0</v>
      </c>
      <c r="J164" s="16"/>
      <c r="K164" s="16"/>
      <c r="L164" s="37" t="s">
        <v>107</v>
      </c>
      <c r="M164" s="37"/>
      <c r="N164" s="37">
        <v>165</v>
      </c>
      <c r="O164" s="37"/>
      <c r="P164" s="37"/>
      <c r="Q164" s="18">
        <v>0.16426299999999999</v>
      </c>
      <c r="R164" s="18">
        <v>1.1199750000000001E-3</v>
      </c>
      <c r="S164" s="18">
        <v>0.31359300000000001</v>
      </c>
      <c r="T164" s="18">
        <v>1.3439700000000001</v>
      </c>
      <c r="U164" s="18">
        <v>0.67198500000000005</v>
      </c>
      <c r="V164" s="18">
        <v>8.6014079999999993</v>
      </c>
      <c r="W164" s="18">
        <v>8.0638199999999998</v>
      </c>
      <c r="X164" s="18">
        <v>5.3758800000000004</v>
      </c>
      <c r="Y164" s="18">
        <v>0.238928</v>
      </c>
      <c r="Z164" s="18">
        <v>1.060243</v>
      </c>
      <c r="AA164" s="18">
        <v>1.553032</v>
      </c>
      <c r="AB164" s="18">
        <v>2.7626050000000002</v>
      </c>
      <c r="AC164" s="18">
        <v>0.85118099999999997</v>
      </c>
      <c r="AD164" s="18">
        <v>4.4798999999999998</v>
      </c>
    </row>
    <row r="165" spans="2:30" x14ac:dyDescent="0.25">
      <c r="B165" t="s">
        <v>122</v>
      </c>
      <c r="C165" t="s">
        <v>105</v>
      </c>
      <c r="D165" t="s">
        <v>240</v>
      </c>
      <c r="E165" s="35">
        <v>0.9</v>
      </c>
      <c r="F165" s="35">
        <v>71</v>
      </c>
      <c r="G165" s="36">
        <v>0.91908100000000004</v>
      </c>
      <c r="H165" s="18">
        <v>1654.345008</v>
      </c>
      <c r="I165" s="16">
        <v>0</v>
      </c>
      <c r="J165" s="16">
        <v>42</v>
      </c>
      <c r="K165" s="16"/>
      <c r="L165" s="37" t="s">
        <v>107</v>
      </c>
      <c r="M165" s="37"/>
      <c r="N165" s="37">
        <v>166</v>
      </c>
      <c r="O165" s="37"/>
      <c r="P165" s="37"/>
      <c r="Q165" s="18">
        <v>10.109891000000001</v>
      </c>
      <c r="R165" s="18">
        <v>6.8931074999999994E-2</v>
      </c>
      <c r="S165" s="18">
        <v>19.300701</v>
      </c>
      <c r="T165" s="18">
        <v>82.717290000000006</v>
      </c>
      <c r="U165" s="18">
        <v>41.358645000000003</v>
      </c>
      <c r="V165" s="18">
        <v>529.39065600000004</v>
      </c>
      <c r="W165" s="18">
        <v>496.30374</v>
      </c>
      <c r="X165" s="18">
        <v>330.86916000000002</v>
      </c>
      <c r="Y165" s="18">
        <v>14.705296000000001</v>
      </c>
      <c r="Z165" s="18">
        <v>65.254750999999999</v>
      </c>
      <c r="AA165" s="18">
        <v>95.584423999999999</v>
      </c>
      <c r="AB165" s="18">
        <v>170.02998500000001</v>
      </c>
      <c r="AC165" s="18">
        <v>52.387616999999999</v>
      </c>
      <c r="AD165" s="18">
        <v>275.72430000000003</v>
      </c>
    </row>
    <row r="166" spans="2:30" x14ac:dyDescent="0.25">
      <c r="B166" t="s">
        <v>124</v>
      </c>
      <c r="C166" t="s">
        <v>105</v>
      </c>
      <c r="D166" t="s">
        <v>208</v>
      </c>
      <c r="E166" s="35">
        <v>0.9</v>
      </c>
      <c r="F166" s="35">
        <v>35</v>
      </c>
      <c r="G166" s="36">
        <v>0.46548200000000001</v>
      </c>
      <c r="H166" s="18">
        <v>837.86795700000005</v>
      </c>
      <c r="I166" s="16">
        <v>0</v>
      </c>
      <c r="J166" s="16"/>
      <c r="K166" s="16"/>
      <c r="L166" s="37" t="s">
        <v>107</v>
      </c>
      <c r="M166" s="37"/>
      <c r="N166" s="37">
        <v>167</v>
      </c>
      <c r="O166" s="37"/>
      <c r="P166" s="37"/>
      <c r="Q166" s="18">
        <v>5.1203019999999997</v>
      </c>
      <c r="R166" s="18">
        <v>3.4911150000000002E-2</v>
      </c>
      <c r="S166" s="18">
        <v>9.7751219999999996</v>
      </c>
      <c r="T166" s="18">
        <v>41.893380000000001</v>
      </c>
      <c r="U166" s="18">
        <v>20.94669</v>
      </c>
      <c r="V166" s="18">
        <v>268.11763200000001</v>
      </c>
      <c r="W166" s="18">
        <v>251.36028000000002</v>
      </c>
      <c r="X166" s="18">
        <v>167.57352</v>
      </c>
      <c r="Y166" s="18">
        <v>7.4477120000000001</v>
      </c>
      <c r="Z166" s="18">
        <v>33.049222</v>
      </c>
      <c r="AA166" s="18">
        <v>48.410128</v>
      </c>
      <c r="AB166" s="18">
        <v>86.114170000000001</v>
      </c>
      <c r="AC166" s="18">
        <v>26.532474000000001</v>
      </c>
      <c r="AD166" s="18">
        <v>139.6446</v>
      </c>
    </row>
    <row r="167" spans="2:30" x14ac:dyDescent="0.25">
      <c r="B167" t="s">
        <v>158</v>
      </c>
      <c r="C167" t="s">
        <v>105</v>
      </c>
      <c r="D167" t="s">
        <v>241</v>
      </c>
      <c r="E167" s="35">
        <v>0.9</v>
      </c>
      <c r="F167" s="35">
        <v>18</v>
      </c>
      <c r="G167" s="36">
        <v>6.9286E-2</v>
      </c>
      <c r="H167" s="18">
        <v>124.71458800000001</v>
      </c>
      <c r="I167" s="16">
        <v>0</v>
      </c>
      <c r="J167" s="16"/>
      <c r="K167" s="16"/>
      <c r="L167" s="37" t="s">
        <v>107</v>
      </c>
      <c r="M167" s="37"/>
      <c r="N167" s="37">
        <v>168</v>
      </c>
      <c r="O167" s="37"/>
      <c r="P167" s="37"/>
      <c r="Q167" s="18">
        <v>0.76214599999999999</v>
      </c>
      <c r="R167" s="18">
        <v>5.19645E-3</v>
      </c>
      <c r="S167" s="18">
        <v>1.455006</v>
      </c>
      <c r="T167" s="18">
        <v>6.2357399999999998</v>
      </c>
      <c r="U167" s="18">
        <v>3.1178699999999999</v>
      </c>
      <c r="V167" s="18">
        <v>39.908735999999998</v>
      </c>
      <c r="W167" s="18">
        <v>37.414439999999999</v>
      </c>
      <c r="X167" s="18">
        <v>24.942959999999999</v>
      </c>
      <c r="Y167" s="18">
        <v>1.108576</v>
      </c>
      <c r="Z167" s="18">
        <v>4.9193059999999997</v>
      </c>
      <c r="AA167" s="18">
        <v>7.2057440000000001</v>
      </c>
      <c r="AB167" s="18">
        <v>12.817909999999999</v>
      </c>
      <c r="AC167" s="18">
        <v>3.9493019999999999</v>
      </c>
      <c r="AD167" s="18">
        <v>20.785800000000002</v>
      </c>
    </row>
    <row r="168" spans="2:30" x14ac:dyDescent="0.25">
      <c r="B168" t="s">
        <v>166</v>
      </c>
      <c r="C168" t="s">
        <v>105</v>
      </c>
      <c r="D168" t="s">
        <v>223</v>
      </c>
      <c r="E168" s="35">
        <v>0.9</v>
      </c>
      <c r="F168" s="35">
        <v>26</v>
      </c>
      <c r="G168" s="36">
        <v>0.30297499999999999</v>
      </c>
      <c r="H168" s="18">
        <v>545.35533199999998</v>
      </c>
      <c r="I168" s="16">
        <v>0</v>
      </c>
      <c r="J168" s="16"/>
      <c r="K168" s="16"/>
      <c r="L168" s="37" t="s">
        <v>107</v>
      </c>
      <c r="M168" s="37"/>
      <c r="N168" s="37">
        <v>169</v>
      </c>
      <c r="O168" s="37"/>
      <c r="P168" s="37"/>
      <c r="Q168" s="18">
        <v>3.3327249999999999</v>
      </c>
      <c r="R168" s="18">
        <v>2.2723125E-2</v>
      </c>
      <c r="S168" s="18">
        <v>6.3624749999999999</v>
      </c>
      <c r="T168" s="18">
        <v>27.267749999999999</v>
      </c>
      <c r="U168" s="18">
        <v>13.633875</v>
      </c>
      <c r="V168" s="18">
        <v>174.5136</v>
      </c>
      <c r="W168" s="18">
        <v>163.60649999999998</v>
      </c>
      <c r="X168" s="18">
        <v>109.071</v>
      </c>
      <c r="Y168" s="18">
        <v>4.8475999999999999</v>
      </c>
      <c r="Z168" s="18">
        <v>21.511225</v>
      </c>
      <c r="AA168" s="18">
        <v>31.509399999999999</v>
      </c>
      <c r="AB168" s="18">
        <v>56.050375000000003</v>
      </c>
      <c r="AC168" s="18">
        <v>17.269575</v>
      </c>
      <c r="AD168" s="18">
        <v>90.892499999999998</v>
      </c>
    </row>
    <row r="169" spans="2:30" x14ac:dyDescent="0.25">
      <c r="B169" t="s">
        <v>166</v>
      </c>
      <c r="C169" t="s">
        <v>105</v>
      </c>
      <c r="D169" t="s">
        <v>242</v>
      </c>
      <c r="E169" s="35">
        <v>0.9</v>
      </c>
      <c r="F169" s="35">
        <v>26</v>
      </c>
      <c r="G169" s="36">
        <v>0.24924399999999999</v>
      </c>
      <c r="H169" s="18">
        <v>448.63926800000002</v>
      </c>
      <c r="I169" s="16">
        <v>0</v>
      </c>
      <c r="J169" s="16"/>
      <c r="K169" s="16"/>
      <c r="L169" s="37" t="s">
        <v>107</v>
      </c>
      <c r="M169" s="37"/>
      <c r="N169" s="37">
        <v>170</v>
      </c>
      <c r="O169" s="37"/>
      <c r="P169" s="37"/>
      <c r="Q169" s="18">
        <v>2.7416839999999998</v>
      </c>
      <c r="R169" s="18">
        <v>1.8693299999999999E-2</v>
      </c>
      <c r="S169" s="18">
        <v>5.2341239999999996</v>
      </c>
      <c r="T169" s="18">
        <v>22.43196</v>
      </c>
      <c r="U169" s="18">
        <v>11.21598</v>
      </c>
      <c r="V169" s="18">
        <v>143.56454399999998</v>
      </c>
      <c r="W169" s="18">
        <v>134.59175999999999</v>
      </c>
      <c r="X169" s="18">
        <v>89.72784</v>
      </c>
      <c r="Y169" s="18">
        <v>3.9879039999999999</v>
      </c>
      <c r="Z169" s="18">
        <v>17.696324000000001</v>
      </c>
      <c r="AA169" s="18">
        <v>25.921375999999999</v>
      </c>
      <c r="AB169" s="18">
        <v>46.110140000000001</v>
      </c>
      <c r="AC169" s="18">
        <v>14.206908</v>
      </c>
      <c r="AD169" s="18">
        <v>74.773200000000003</v>
      </c>
    </row>
    <row r="170" spans="2:30" x14ac:dyDescent="0.25">
      <c r="B170" t="s">
        <v>110</v>
      </c>
      <c r="C170" t="s">
        <v>105</v>
      </c>
      <c r="D170" t="s">
        <v>243</v>
      </c>
      <c r="E170" s="35">
        <v>0.9</v>
      </c>
      <c r="F170" s="35">
        <v>22</v>
      </c>
      <c r="G170" s="36">
        <v>0.20796600000000001</v>
      </c>
      <c r="H170" s="18">
        <v>374.33805699999999</v>
      </c>
      <c r="I170" s="16">
        <v>0</v>
      </c>
      <c r="J170" s="16"/>
      <c r="K170" s="16"/>
      <c r="L170" s="37" t="s">
        <v>107</v>
      </c>
      <c r="M170" s="37"/>
      <c r="N170" s="37">
        <v>171</v>
      </c>
      <c r="O170" s="37"/>
      <c r="P170" s="37"/>
      <c r="Q170" s="18">
        <v>2.2876259999999999</v>
      </c>
      <c r="R170" s="18">
        <v>1.5597450000000001E-2</v>
      </c>
      <c r="S170" s="18">
        <v>4.367286</v>
      </c>
      <c r="T170" s="18">
        <v>18.716940000000001</v>
      </c>
      <c r="U170" s="18">
        <v>9.3584700000000005</v>
      </c>
      <c r="V170" s="18">
        <v>119.78841600000001</v>
      </c>
      <c r="W170" s="18">
        <v>112.30164000000001</v>
      </c>
      <c r="X170" s="18">
        <v>74.867760000000004</v>
      </c>
      <c r="Y170" s="18">
        <v>3.3274560000000002</v>
      </c>
      <c r="Z170" s="18">
        <v>14.765586000000001</v>
      </c>
      <c r="AA170" s="18">
        <v>21.628464000000001</v>
      </c>
      <c r="AB170" s="18">
        <v>38.473710000000004</v>
      </c>
      <c r="AC170" s="18">
        <v>11.854062000000001</v>
      </c>
      <c r="AD170" s="18">
        <v>62.389800000000001</v>
      </c>
    </row>
    <row r="171" spans="2:30" x14ac:dyDescent="0.25">
      <c r="B171" t="s">
        <v>244</v>
      </c>
      <c r="C171" t="s">
        <v>105</v>
      </c>
      <c r="D171" t="s">
        <v>245</v>
      </c>
      <c r="E171" s="35">
        <v>0.9</v>
      </c>
      <c r="F171" s="35">
        <v>36</v>
      </c>
      <c r="G171" s="36">
        <v>0.52534000000000003</v>
      </c>
      <c r="H171" s="18">
        <v>945.61163099999999</v>
      </c>
      <c r="I171" s="16">
        <v>0</v>
      </c>
      <c r="J171" s="16"/>
      <c r="K171" s="16"/>
      <c r="L171" s="37" t="s">
        <v>107</v>
      </c>
      <c r="M171" s="37"/>
      <c r="N171" s="37">
        <v>172</v>
      </c>
      <c r="O171" s="37"/>
      <c r="P171" s="37"/>
      <c r="Q171" s="18">
        <v>5.77874</v>
      </c>
      <c r="R171" s="18">
        <v>3.9400499999999998E-2</v>
      </c>
      <c r="S171" s="18">
        <v>11.03214</v>
      </c>
      <c r="T171" s="18">
        <v>47.2806</v>
      </c>
      <c r="U171" s="18">
        <v>23.6403</v>
      </c>
      <c r="V171" s="18">
        <v>302.59584000000001</v>
      </c>
      <c r="W171" s="18">
        <v>283.68360000000001</v>
      </c>
      <c r="X171" s="18">
        <v>189.1224</v>
      </c>
      <c r="Y171" s="18">
        <v>8.4054400000000005</v>
      </c>
      <c r="Z171" s="18">
        <v>37.299140000000001</v>
      </c>
      <c r="AA171" s="18">
        <v>54.635360000000006</v>
      </c>
      <c r="AB171" s="18">
        <v>97.187899999999999</v>
      </c>
      <c r="AC171" s="18">
        <v>29.944380000000002</v>
      </c>
      <c r="AD171" s="18">
        <v>157.602</v>
      </c>
    </row>
    <row r="172" spans="2:30" x14ac:dyDescent="0.25">
      <c r="B172" t="s">
        <v>246</v>
      </c>
      <c r="C172" t="s">
        <v>105</v>
      </c>
      <c r="D172" t="s">
        <v>247</v>
      </c>
      <c r="E172" s="35">
        <v>0.9</v>
      </c>
      <c r="F172" s="35">
        <v>26</v>
      </c>
      <c r="G172" s="36">
        <v>0.34214699999999998</v>
      </c>
      <c r="H172" s="18">
        <v>615.864463</v>
      </c>
      <c r="I172" s="16">
        <v>0</v>
      </c>
      <c r="J172" s="16"/>
      <c r="K172" s="16"/>
      <c r="L172" s="37" t="s">
        <v>107</v>
      </c>
      <c r="M172" s="37"/>
      <c r="N172" s="37">
        <v>173</v>
      </c>
      <c r="O172" s="37"/>
      <c r="P172" s="37"/>
      <c r="Q172" s="18">
        <v>3.763617</v>
      </c>
      <c r="R172" s="18">
        <v>2.5661024999999997E-2</v>
      </c>
      <c r="S172" s="18">
        <v>7.1850869999999993</v>
      </c>
      <c r="T172" s="18">
        <v>30.793229999999998</v>
      </c>
      <c r="U172" s="18">
        <v>15.396614999999999</v>
      </c>
      <c r="V172" s="18">
        <v>197.07667199999997</v>
      </c>
      <c r="W172" s="18">
        <v>184.75937999999999</v>
      </c>
      <c r="X172" s="18">
        <v>123.17291999999999</v>
      </c>
      <c r="Y172" s="18">
        <v>5.4743519999999997</v>
      </c>
      <c r="Z172" s="18">
        <v>24.292437</v>
      </c>
      <c r="AA172" s="18">
        <v>35.583287999999996</v>
      </c>
      <c r="AB172" s="18">
        <v>63.297194999999995</v>
      </c>
      <c r="AC172" s="18">
        <v>19.502378999999998</v>
      </c>
      <c r="AD172" s="18">
        <v>102.64409999999999</v>
      </c>
    </row>
    <row r="173" spans="2:30" x14ac:dyDescent="0.25">
      <c r="B173" t="s">
        <v>108</v>
      </c>
      <c r="C173" t="s">
        <v>105</v>
      </c>
      <c r="D173" t="s">
        <v>226</v>
      </c>
      <c r="E173" s="35">
        <v>0.9</v>
      </c>
      <c r="F173" s="35">
        <v>16</v>
      </c>
      <c r="G173" s="36">
        <v>9.1410000000000005E-2</v>
      </c>
      <c r="H173" s="18">
        <v>164.538242</v>
      </c>
      <c r="I173" s="16">
        <v>0</v>
      </c>
      <c r="J173" s="16"/>
      <c r="K173" s="16"/>
      <c r="L173" s="37" t="s">
        <v>107</v>
      </c>
      <c r="M173" s="37"/>
      <c r="N173" s="37">
        <v>174</v>
      </c>
      <c r="O173" s="37"/>
      <c r="P173" s="37"/>
      <c r="Q173" s="18">
        <v>1.0055100000000001</v>
      </c>
      <c r="R173" s="18">
        <v>6.8557499999999999E-3</v>
      </c>
      <c r="S173" s="18">
        <v>1.91961</v>
      </c>
      <c r="T173" s="18">
        <v>8.2269000000000005</v>
      </c>
      <c r="U173" s="18">
        <v>4.1134500000000003</v>
      </c>
      <c r="V173" s="18">
        <v>52.652160000000002</v>
      </c>
      <c r="W173" s="18">
        <v>49.361400000000003</v>
      </c>
      <c r="X173" s="18">
        <v>32.907600000000002</v>
      </c>
      <c r="Y173" s="18">
        <v>1.4625600000000001</v>
      </c>
      <c r="Z173" s="18">
        <v>6.4901100000000005</v>
      </c>
      <c r="AA173" s="18">
        <v>9.5066400000000009</v>
      </c>
      <c r="AB173" s="18">
        <v>16.91085</v>
      </c>
      <c r="AC173" s="18">
        <v>5.2103700000000002</v>
      </c>
      <c r="AD173" s="18">
        <v>27.423000000000002</v>
      </c>
    </row>
    <row r="174" spans="2:30" x14ac:dyDescent="0.25">
      <c r="B174" t="s">
        <v>108</v>
      </c>
      <c r="C174" t="s">
        <v>105</v>
      </c>
      <c r="D174" t="s">
        <v>239</v>
      </c>
      <c r="E174" s="35">
        <v>0.9</v>
      </c>
      <c r="F174" s="35">
        <v>16</v>
      </c>
      <c r="G174" s="36">
        <v>1.4933E-2</v>
      </c>
      <c r="H174" s="18">
        <v>26.878906000000001</v>
      </c>
      <c r="I174" s="16">
        <v>0</v>
      </c>
      <c r="J174" s="16"/>
      <c r="K174" s="16"/>
      <c r="L174" s="37" t="s">
        <v>107</v>
      </c>
      <c r="M174" s="37"/>
      <c r="N174" s="37">
        <v>175</v>
      </c>
      <c r="O174" s="37"/>
      <c r="P174" s="37"/>
      <c r="Q174" s="18">
        <v>0.16426299999999999</v>
      </c>
      <c r="R174" s="18">
        <v>1.1199750000000001E-3</v>
      </c>
      <c r="S174" s="18">
        <v>0.31359300000000001</v>
      </c>
      <c r="T174" s="18">
        <v>1.3439700000000001</v>
      </c>
      <c r="U174" s="18">
        <v>0.67198500000000005</v>
      </c>
      <c r="V174" s="18">
        <v>8.6014079999999993</v>
      </c>
      <c r="W174" s="18">
        <v>8.0638199999999998</v>
      </c>
      <c r="X174" s="18">
        <v>5.3758800000000004</v>
      </c>
      <c r="Y174" s="18">
        <v>0.238928</v>
      </c>
      <c r="Z174" s="18">
        <v>1.060243</v>
      </c>
      <c r="AA174" s="18">
        <v>1.553032</v>
      </c>
      <c r="AB174" s="18">
        <v>2.7626050000000002</v>
      </c>
      <c r="AC174" s="18">
        <v>0.85118099999999997</v>
      </c>
      <c r="AD174" s="18">
        <v>4.4798999999999998</v>
      </c>
    </row>
    <row r="175" spans="2:30" x14ac:dyDescent="0.25">
      <c r="B175" t="s">
        <v>191</v>
      </c>
      <c r="C175" t="s">
        <v>105</v>
      </c>
      <c r="D175" t="s">
        <v>248</v>
      </c>
      <c r="E175" s="35">
        <v>0.9</v>
      </c>
      <c r="F175" s="35">
        <v>8.1999999999999993</v>
      </c>
      <c r="G175" s="36">
        <v>1.6718E-2</v>
      </c>
      <c r="H175" s="18">
        <v>30.093236999999998</v>
      </c>
      <c r="I175" s="16"/>
      <c r="J175" s="16"/>
      <c r="K175" s="16"/>
      <c r="L175" s="37" t="s">
        <v>107</v>
      </c>
      <c r="M175" s="37"/>
      <c r="N175" s="37">
        <v>176</v>
      </c>
      <c r="O175" s="37"/>
      <c r="P175" s="37"/>
      <c r="Q175" s="18">
        <v>0.18389800000000001</v>
      </c>
      <c r="R175" s="18">
        <v>1.2538499999999999E-3</v>
      </c>
      <c r="S175" s="18">
        <v>0.351078</v>
      </c>
      <c r="T175" s="18">
        <v>1.5046200000000001</v>
      </c>
      <c r="U175" s="18">
        <v>0.75231000000000003</v>
      </c>
      <c r="V175" s="18">
        <v>9.6295680000000008</v>
      </c>
      <c r="W175" s="18">
        <v>9.0277200000000004</v>
      </c>
      <c r="X175" s="18">
        <v>6.0184800000000003</v>
      </c>
      <c r="Y175" s="18">
        <v>0.267488</v>
      </c>
      <c r="Z175" s="18">
        <v>1.1869780000000001</v>
      </c>
      <c r="AA175" s="18">
        <v>1.738672</v>
      </c>
      <c r="AB175" s="18">
        <v>3.0928300000000002</v>
      </c>
      <c r="AC175" s="18">
        <v>0.95292600000000005</v>
      </c>
      <c r="AD175" s="18">
        <v>5.0153999999999996</v>
      </c>
    </row>
    <row r="176" spans="2:30" x14ac:dyDescent="0.25">
      <c r="B176" t="s">
        <v>124</v>
      </c>
      <c r="C176" t="s">
        <v>105</v>
      </c>
      <c r="D176" t="s">
        <v>249</v>
      </c>
      <c r="E176" s="35">
        <v>0.9</v>
      </c>
      <c r="F176" s="35">
        <v>35</v>
      </c>
      <c r="G176" s="36">
        <v>0.45801599999999998</v>
      </c>
      <c r="H176" s="18">
        <v>824.42850299999998</v>
      </c>
      <c r="I176" s="16">
        <v>0</v>
      </c>
      <c r="J176" s="16"/>
      <c r="K176" s="16"/>
      <c r="L176" s="37" t="s">
        <v>107</v>
      </c>
      <c r="M176" s="37"/>
      <c r="N176" s="37">
        <v>177</v>
      </c>
      <c r="O176" s="37"/>
      <c r="P176" s="37"/>
      <c r="Q176" s="18">
        <v>5.038176</v>
      </c>
      <c r="R176" s="18">
        <v>3.4351199999999998E-2</v>
      </c>
      <c r="S176" s="18">
        <v>9.6183359999999993</v>
      </c>
      <c r="T176" s="18">
        <v>41.221440000000001</v>
      </c>
      <c r="U176" s="18">
        <v>20.610720000000001</v>
      </c>
      <c r="V176" s="18">
        <v>263.81721599999997</v>
      </c>
      <c r="W176" s="18">
        <v>247.32863999999998</v>
      </c>
      <c r="X176" s="18">
        <v>164.88576</v>
      </c>
      <c r="Y176" s="18">
        <v>7.3282559999999997</v>
      </c>
      <c r="Z176" s="18">
        <v>32.519135999999996</v>
      </c>
      <c r="AA176" s="18">
        <v>47.633663999999996</v>
      </c>
      <c r="AB176" s="18">
        <v>84.732959999999991</v>
      </c>
      <c r="AC176" s="18">
        <v>26.106911999999998</v>
      </c>
      <c r="AD176" s="18">
        <v>137.40479999999999</v>
      </c>
    </row>
    <row r="177" spans="2:30" x14ac:dyDescent="0.25">
      <c r="B177" t="s">
        <v>166</v>
      </c>
      <c r="C177" t="s">
        <v>105</v>
      </c>
      <c r="D177" t="s">
        <v>250</v>
      </c>
      <c r="E177" s="35">
        <v>0.9</v>
      </c>
      <c r="F177" s="35">
        <v>26</v>
      </c>
      <c r="G177" s="36">
        <v>0.31528099999999998</v>
      </c>
      <c r="H177" s="18">
        <v>567.50643100000002</v>
      </c>
      <c r="I177" s="16">
        <v>0</v>
      </c>
      <c r="J177" s="16"/>
      <c r="K177" s="16"/>
      <c r="L177" s="37" t="s">
        <v>107</v>
      </c>
      <c r="M177" s="37"/>
      <c r="N177" s="37">
        <v>178</v>
      </c>
      <c r="O177" s="37"/>
      <c r="P177" s="37"/>
      <c r="Q177" s="18">
        <v>3.4680909999999998</v>
      </c>
      <c r="R177" s="18">
        <v>2.3646074999999999E-2</v>
      </c>
      <c r="S177" s="18">
        <v>6.6209009999999999</v>
      </c>
      <c r="T177" s="18">
        <v>28.37529</v>
      </c>
      <c r="U177" s="18">
        <v>14.187645</v>
      </c>
      <c r="V177" s="18">
        <v>181.601856</v>
      </c>
      <c r="W177" s="18">
        <v>170.25173999999998</v>
      </c>
      <c r="X177" s="18">
        <v>113.50116</v>
      </c>
      <c r="Y177" s="18">
        <v>5.0444959999999996</v>
      </c>
      <c r="Z177" s="18">
        <v>22.384950999999997</v>
      </c>
      <c r="AA177" s="18">
        <v>32.789223999999997</v>
      </c>
      <c r="AB177" s="18">
        <v>58.326984999999993</v>
      </c>
      <c r="AC177" s="18">
        <v>17.971017</v>
      </c>
      <c r="AD177" s="18">
        <v>94.584299999999999</v>
      </c>
    </row>
    <row r="178" spans="2:30" x14ac:dyDescent="0.25">
      <c r="B178" t="s">
        <v>158</v>
      </c>
      <c r="C178" t="s">
        <v>105</v>
      </c>
      <c r="D178" t="s">
        <v>251</v>
      </c>
      <c r="E178" s="35">
        <v>0.9</v>
      </c>
      <c r="F178" s="35">
        <v>18</v>
      </c>
      <c r="G178" s="36">
        <v>6.8801000000000001E-2</v>
      </c>
      <c r="H178" s="18">
        <v>123.841925</v>
      </c>
      <c r="I178" s="16">
        <v>0</v>
      </c>
      <c r="J178" s="16"/>
      <c r="K178" s="16"/>
      <c r="L178" s="37" t="s">
        <v>107</v>
      </c>
      <c r="M178" s="37"/>
      <c r="N178" s="37">
        <v>179</v>
      </c>
      <c r="O178" s="37"/>
      <c r="P178" s="37"/>
      <c r="Q178" s="18">
        <v>0.75681100000000001</v>
      </c>
      <c r="R178" s="18">
        <v>5.1600750000000001E-3</v>
      </c>
      <c r="S178" s="18">
        <v>1.4448210000000001</v>
      </c>
      <c r="T178" s="18">
        <v>6.1920900000000003</v>
      </c>
      <c r="U178" s="18">
        <v>3.0960450000000002</v>
      </c>
      <c r="V178" s="18">
        <v>39.629376000000001</v>
      </c>
      <c r="W178" s="18">
        <v>37.152540000000002</v>
      </c>
      <c r="X178" s="18">
        <v>24.768360000000001</v>
      </c>
      <c r="Y178" s="18">
        <v>1.100816</v>
      </c>
      <c r="Z178" s="18">
        <v>4.8848710000000004</v>
      </c>
      <c r="AA178" s="18">
        <v>7.1553040000000001</v>
      </c>
      <c r="AB178" s="18">
        <v>12.728185</v>
      </c>
      <c r="AC178" s="18">
        <v>3.9216570000000002</v>
      </c>
      <c r="AD178" s="18">
        <v>20.6403</v>
      </c>
    </row>
    <row r="179" spans="2:30" x14ac:dyDescent="0.25">
      <c r="B179" t="s">
        <v>191</v>
      </c>
      <c r="C179" t="s">
        <v>105</v>
      </c>
      <c r="D179" t="s">
        <v>252</v>
      </c>
      <c r="E179" s="35">
        <v>0.9</v>
      </c>
      <c r="F179" s="35">
        <v>8.1999999999999993</v>
      </c>
      <c r="G179" s="36">
        <v>3.1267999999999997E-2</v>
      </c>
      <c r="H179" s="18">
        <v>56.282510000000002</v>
      </c>
      <c r="I179" s="16"/>
      <c r="J179" s="16"/>
      <c r="K179" s="16"/>
      <c r="L179" s="37" t="s">
        <v>107</v>
      </c>
      <c r="M179" s="37"/>
      <c r="N179" s="37">
        <v>180</v>
      </c>
      <c r="O179" s="37"/>
      <c r="P179" s="37"/>
      <c r="Q179" s="18">
        <v>0.34394799999999998</v>
      </c>
      <c r="R179" s="18">
        <v>2.3450999999999997E-3</v>
      </c>
      <c r="S179" s="18">
        <v>0.65662799999999999</v>
      </c>
      <c r="T179" s="18">
        <v>2.81412</v>
      </c>
      <c r="U179" s="18">
        <v>1.40706</v>
      </c>
      <c r="V179" s="18">
        <v>18.010368</v>
      </c>
      <c r="W179" s="18">
        <v>16.884719999999998</v>
      </c>
      <c r="X179" s="18">
        <v>11.25648</v>
      </c>
      <c r="Y179" s="18">
        <v>0.50028799999999995</v>
      </c>
      <c r="Z179" s="18">
        <v>2.2200279999999997</v>
      </c>
      <c r="AA179" s="18">
        <v>3.2518719999999997</v>
      </c>
      <c r="AB179" s="18">
        <v>5.7845799999999992</v>
      </c>
      <c r="AC179" s="18">
        <v>1.7822759999999997</v>
      </c>
      <c r="AD179" s="18">
        <v>9.3803999999999998</v>
      </c>
    </row>
    <row r="180" spans="2:30" x14ac:dyDescent="0.25">
      <c r="B180" t="s">
        <v>191</v>
      </c>
      <c r="C180" t="s">
        <v>105</v>
      </c>
      <c r="D180" t="s">
        <v>252</v>
      </c>
      <c r="E180" s="35">
        <v>0.9</v>
      </c>
      <c r="F180" s="35">
        <v>8.1999999999999993</v>
      </c>
      <c r="G180" s="36">
        <v>3.1267999999999997E-2</v>
      </c>
      <c r="H180" s="18">
        <v>56.282510000000002</v>
      </c>
      <c r="I180" s="16"/>
      <c r="J180" s="16"/>
      <c r="K180" s="16"/>
      <c r="L180" s="37" t="s">
        <v>107</v>
      </c>
      <c r="M180" s="37"/>
      <c r="N180" s="37">
        <v>181</v>
      </c>
      <c r="O180" s="37"/>
      <c r="P180" s="37"/>
      <c r="Q180" s="18">
        <v>0.34394799999999998</v>
      </c>
      <c r="R180" s="18">
        <v>2.3450999999999997E-3</v>
      </c>
      <c r="S180" s="18">
        <v>0.65662799999999999</v>
      </c>
      <c r="T180" s="18">
        <v>2.81412</v>
      </c>
      <c r="U180" s="18">
        <v>1.40706</v>
      </c>
      <c r="V180" s="18">
        <v>18.010368</v>
      </c>
      <c r="W180" s="18">
        <v>16.884719999999998</v>
      </c>
      <c r="X180" s="18">
        <v>11.25648</v>
      </c>
      <c r="Y180" s="18">
        <v>0.50028799999999995</v>
      </c>
      <c r="Z180" s="18">
        <v>2.2200279999999997</v>
      </c>
      <c r="AA180" s="18">
        <v>3.2518719999999997</v>
      </c>
      <c r="AB180" s="18">
        <v>5.7845799999999992</v>
      </c>
      <c r="AC180" s="18">
        <v>1.7822759999999997</v>
      </c>
      <c r="AD180" s="18">
        <v>9.3803999999999998</v>
      </c>
    </row>
    <row r="181" spans="2:30" x14ac:dyDescent="0.25">
      <c r="B181" t="s">
        <v>231</v>
      </c>
      <c r="C181" t="s">
        <v>105</v>
      </c>
      <c r="D181" t="s">
        <v>253</v>
      </c>
      <c r="E181" s="35">
        <v>0.9</v>
      </c>
      <c r="F181" s="35">
        <v>50</v>
      </c>
      <c r="G181" s="36">
        <v>0.79363499999999998</v>
      </c>
      <c r="H181" s="18">
        <v>1428.5433350000001</v>
      </c>
      <c r="I181" s="16">
        <v>2</v>
      </c>
      <c r="J181" s="16"/>
      <c r="K181" s="16"/>
      <c r="L181" s="37" t="s">
        <v>107</v>
      </c>
      <c r="M181" s="37"/>
      <c r="N181" s="37">
        <v>182</v>
      </c>
      <c r="O181" s="37"/>
      <c r="P181" s="37"/>
      <c r="Q181" s="18">
        <v>8.7299849999999992</v>
      </c>
      <c r="R181" s="18">
        <v>5.9522624999999996E-2</v>
      </c>
      <c r="S181" s="18">
        <v>16.666335</v>
      </c>
      <c r="T181" s="18">
        <v>71.427149999999997</v>
      </c>
      <c r="U181" s="18">
        <v>35.713574999999999</v>
      </c>
      <c r="V181" s="18">
        <v>457.13376</v>
      </c>
      <c r="W181" s="18">
        <v>428.56290000000001</v>
      </c>
      <c r="X181" s="18">
        <v>285.70859999999999</v>
      </c>
      <c r="Y181" s="18">
        <v>12.69816</v>
      </c>
      <c r="Z181" s="18">
        <v>56.348084999999998</v>
      </c>
      <c r="AA181" s="18">
        <v>82.538039999999995</v>
      </c>
      <c r="AB181" s="18">
        <v>146.822475</v>
      </c>
      <c r="AC181" s="18">
        <v>45.237195</v>
      </c>
      <c r="AD181" s="18">
        <v>238.09049999999999</v>
      </c>
    </row>
    <row r="182" spans="2:30" x14ac:dyDescent="0.25">
      <c r="B182" t="s">
        <v>110</v>
      </c>
      <c r="C182" t="s">
        <v>105</v>
      </c>
      <c r="D182" t="s">
        <v>254</v>
      </c>
      <c r="E182" s="35">
        <v>0.9</v>
      </c>
      <c r="F182" s="35">
        <v>22</v>
      </c>
      <c r="G182" s="36">
        <v>0.27059</v>
      </c>
      <c r="H182" s="18">
        <v>487.06146999999999</v>
      </c>
      <c r="I182" s="16">
        <v>0</v>
      </c>
      <c r="J182" s="16"/>
      <c r="K182" s="16"/>
      <c r="L182" s="37" t="s">
        <v>107</v>
      </c>
      <c r="M182" s="37"/>
      <c r="N182" s="37">
        <v>183</v>
      </c>
      <c r="O182" s="37"/>
      <c r="P182" s="37"/>
      <c r="Q182" s="18">
        <v>2.9764900000000001</v>
      </c>
      <c r="R182" s="18">
        <v>2.029425E-2</v>
      </c>
      <c r="S182" s="18">
        <v>5.6823899999999998</v>
      </c>
      <c r="T182" s="18">
        <v>24.353100000000001</v>
      </c>
      <c r="U182" s="18">
        <v>12.176550000000001</v>
      </c>
      <c r="V182" s="18">
        <v>155.85983999999999</v>
      </c>
      <c r="W182" s="18">
        <v>146.11859999999999</v>
      </c>
      <c r="X182" s="18">
        <v>97.412400000000005</v>
      </c>
      <c r="Y182" s="18">
        <v>4.32944</v>
      </c>
      <c r="Z182" s="18">
        <v>19.21189</v>
      </c>
      <c r="AA182" s="18">
        <v>28.141359999999999</v>
      </c>
      <c r="AB182" s="18">
        <v>50.059150000000002</v>
      </c>
      <c r="AC182" s="18">
        <v>15.423629999999999</v>
      </c>
      <c r="AD182" s="18">
        <v>81.176999999999992</v>
      </c>
    </row>
    <row r="183" spans="2:30" x14ac:dyDescent="0.25">
      <c r="B183" t="s">
        <v>108</v>
      </c>
      <c r="C183" t="s">
        <v>105</v>
      </c>
      <c r="D183" t="s">
        <v>255</v>
      </c>
      <c r="E183" s="35">
        <v>0.9</v>
      </c>
      <c r="F183" s="35">
        <v>16</v>
      </c>
      <c r="G183" s="36">
        <v>8.6077000000000001E-2</v>
      </c>
      <c r="H183" s="18">
        <v>154.93863300000001</v>
      </c>
      <c r="I183" s="16">
        <v>0</v>
      </c>
      <c r="J183" s="16"/>
      <c r="K183" s="16"/>
      <c r="L183" s="37" t="s">
        <v>107</v>
      </c>
      <c r="M183" s="37"/>
      <c r="N183" s="37">
        <v>184</v>
      </c>
      <c r="O183" s="37"/>
      <c r="P183" s="37"/>
      <c r="Q183" s="18">
        <v>0.94684699999999999</v>
      </c>
      <c r="R183" s="18">
        <v>6.4557749999999995E-3</v>
      </c>
      <c r="S183" s="18">
        <v>1.807617</v>
      </c>
      <c r="T183" s="18">
        <v>7.7469299999999999</v>
      </c>
      <c r="U183" s="18">
        <v>3.8734649999999999</v>
      </c>
      <c r="V183" s="18">
        <v>49.580351999999998</v>
      </c>
      <c r="W183" s="18">
        <v>46.481580000000001</v>
      </c>
      <c r="X183" s="18">
        <v>30.987719999999999</v>
      </c>
      <c r="Y183" s="18">
        <v>1.377232</v>
      </c>
      <c r="Z183" s="18">
        <v>6.1114670000000002</v>
      </c>
      <c r="AA183" s="18">
        <v>8.9520079999999993</v>
      </c>
      <c r="AB183" s="18">
        <v>15.924245000000001</v>
      </c>
      <c r="AC183" s="18">
        <v>4.9063889999999999</v>
      </c>
      <c r="AD183" s="18">
        <v>25.8231</v>
      </c>
    </row>
    <row r="184" spans="2:30" x14ac:dyDescent="0.25">
      <c r="B184" t="s">
        <v>158</v>
      </c>
      <c r="C184" t="s">
        <v>105</v>
      </c>
      <c r="D184" t="s">
        <v>256</v>
      </c>
      <c r="E184" s="35">
        <v>0.9</v>
      </c>
      <c r="F184" s="35">
        <v>18</v>
      </c>
      <c r="G184" s="36">
        <v>6.7918000000000006E-2</v>
      </c>
      <c r="H184" s="18">
        <v>122.25208000000001</v>
      </c>
      <c r="I184" s="16">
        <v>0</v>
      </c>
      <c r="J184" s="16"/>
      <c r="K184" s="16"/>
      <c r="L184" s="37" t="s">
        <v>107</v>
      </c>
      <c r="M184" s="37"/>
      <c r="N184" s="37">
        <v>185</v>
      </c>
      <c r="O184" s="37"/>
      <c r="P184" s="37"/>
      <c r="Q184" s="18">
        <v>0.74709800000000004</v>
      </c>
      <c r="R184" s="18">
        <v>5.0938500000000005E-3</v>
      </c>
      <c r="S184" s="18">
        <v>1.4262780000000002</v>
      </c>
      <c r="T184" s="18">
        <v>6.1126200000000006</v>
      </c>
      <c r="U184" s="18">
        <v>3.0563100000000003</v>
      </c>
      <c r="V184" s="18">
        <v>39.120768000000005</v>
      </c>
      <c r="W184" s="18">
        <v>36.675720000000005</v>
      </c>
      <c r="X184" s="18">
        <v>24.450480000000002</v>
      </c>
      <c r="Y184" s="18">
        <v>1.0866880000000001</v>
      </c>
      <c r="Z184" s="18">
        <v>4.8221780000000001</v>
      </c>
      <c r="AA184" s="18">
        <v>7.0634720000000009</v>
      </c>
      <c r="AB184" s="18">
        <v>12.564830000000001</v>
      </c>
      <c r="AC184" s="18">
        <v>3.8713260000000003</v>
      </c>
      <c r="AD184" s="18">
        <v>20.375400000000003</v>
      </c>
    </row>
    <row r="185" spans="2:30" x14ac:dyDescent="0.25">
      <c r="B185" t="s">
        <v>124</v>
      </c>
      <c r="C185" t="s">
        <v>105</v>
      </c>
      <c r="D185" t="s">
        <v>208</v>
      </c>
      <c r="E185" s="35">
        <v>0.9</v>
      </c>
      <c r="F185" s="35">
        <v>35</v>
      </c>
      <c r="G185" s="36">
        <v>0.46548200000000001</v>
      </c>
      <c r="H185" s="18">
        <v>837.86795700000005</v>
      </c>
      <c r="I185" s="16">
        <v>0</v>
      </c>
      <c r="J185" s="16"/>
      <c r="K185" s="16"/>
      <c r="L185" s="37" t="s">
        <v>107</v>
      </c>
      <c r="M185" s="37"/>
      <c r="N185" s="37">
        <v>186</v>
      </c>
      <c r="O185" s="37"/>
      <c r="P185" s="37"/>
      <c r="Q185" s="18">
        <v>5.1203019999999997</v>
      </c>
      <c r="R185" s="18">
        <v>3.4911150000000002E-2</v>
      </c>
      <c r="S185" s="18">
        <v>9.7751219999999996</v>
      </c>
      <c r="T185" s="18">
        <v>41.893380000000001</v>
      </c>
      <c r="U185" s="18">
        <v>20.94669</v>
      </c>
      <c r="V185" s="18">
        <v>268.11763200000001</v>
      </c>
      <c r="W185" s="18">
        <v>251.36028000000002</v>
      </c>
      <c r="X185" s="18">
        <v>167.57352</v>
      </c>
      <c r="Y185" s="18">
        <v>7.4477120000000001</v>
      </c>
      <c r="Z185" s="18">
        <v>33.049222</v>
      </c>
      <c r="AA185" s="18">
        <v>48.410128</v>
      </c>
      <c r="AB185" s="18">
        <v>86.114170000000001</v>
      </c>
      <c r="AC185" s="18">
        <v>26.532474000000001</v>
      </c>
      <c r="AD185" s="18">
        <v>139.6446</v>
      </c>
    </row>
    <row r="186" spans="2:30" x14ac:dyDescent="0.25">
      <c r="B186" t="s">
        <v>166</v>
      </c>
      <c r="C186" t="s">
        <v>105</v>
      </c>
      <c r="D186" t="s">
        <v>223</v>
      </c>
      <c r="E186" s="35">
        <v>0.9</v>
      </c>
      <c r="F186" s="35">
        <v>26</v>
      </c>
      <c r="G186" s="36">
        <v>0.30297499999999999</v>
      </c>
      <c r="H186" s="18">
        <v>545.35533199999998</v>
      </c>
      <c r="I186" s="16">
        <v>0</v>
      </c>
      <c r="J186" s="16"/>
      <c r="K186" s="16"/>
      <c r="L186" s="37" t="s">
        <v>107</v>
      </c>
      <c r="M186" s="37"/>
      <c r="N186" s="37">
        <v>187</v>
      </c>
      <c r="O186" s="37"/>
      <c r="P186" s="37"/>
      <c r="Q186" s="18">
        <v>3.3327249999999999</v>
      </c>
      <c r="R186" s="18">
        <v>2.2723125E-2</v>
      </c>
      <c r="S186" s="18">
        <v>6.3624749999999999</v>
      </c>
      <c r="T186" s="18">
        <v>27.267749999999999</v>
      </c>
      <c r="U186" s="18">
        <v>13.633875</v>
      </c>
      <c r="V186" s="18">
        <v>174.5136</v>
      </c>
      <c r="W186" s="18">
        <v>163.60649999999998</v>
      </c>
      <c r="X186" s="18">
        <v>109.071</v>
      </c>
      <c r="Y186" s="18">
        <v>4.8475999999999999</v>
      </c>
      <c r="Z186" s="18">
        <v>21.511225</v>
      </c>
      <c r="AA186" s="18">
        <v>31.509399999999999</v>
      </c>
      <c r="AB186" s="18">
        <v>56.050375000000003</v>
      </c>
      <c r="AC186" s="18">
        <v>17.269575</v>
      </c>
      <c r="AD186" s="18">
        <v>90.892499999999998</v>
      </c>
    </row>
    <row r="187" spans="2:30" x14ac:dyDescent="0.25">
      <c r="B187" t="s">
        <v>244</v>
      </c>
      <c r="C187" t="s">
        <v>105</v>
      </c>
      <c r="D187" t="s">
        <v>257</v>
      </c>
      <c r="E187" s="35">
        <v>0.9</v>
      </c>
      <c r="F187" s="35">
        <v>36</v>
      </c>
      <c r="G187" s="36">
        <v>0.54477900000000001</v>
      </c>
      <c r="H187" s="18">
        <v>980.60220700000002</v>
      </c>
      <c r="I187" s="16">
        <v>0</v>
      </c>
      <c r="J187" s="16"/>
      <c r="K187" s="16"/>
      <c r="L187" s="37" t="s">
        <v>107</v>
      </c>
      <c r="M187" s="37"/>
      <c r="N187" s="37">
        <v>188</v>
      </c>
      <c r="O187" s="37"/>
      <c r="P187" s="37"/>
      <c r="Q187" s="18">
        <v>5.9925690000000005</v>
      </c>
      <c r="R187" s="18">
        <v>4.0858424999999997E-2</v>
      </c>
      <c r="S187" s="18">
        <v>11.440359000000001</v>
      </c>
      <c r="T187" s="18">
        <v>49.030110000000001</v>
      </c>
      <c r="U187" s="18">
        <v>24.515055</v>
      </c>
      <c r="V187" s="18">
        <v>313.79270400000001</v>
      </c>
      <c r="W187" s="18">
        <v>294.18065999999999</v>
      </c>
      <c r="X187" s="18">
        <v>196.12044</v>
      </c>
      <c r="Y187" s="18">
        <v>8.7164640000000002</v>
      </c>
      <c r="Z187" s="18">
        <v>38.679309000000003</v>
      </c>
      <c r="AA187" s="18">
        <v>56.657015999999999</v>
      </c>
      <c r="AB187" s="18">
        <v>100.784115</v>
      </c>
      <c r="AC187" s="18">
        <v>31.052403000000002</v>
      </c>
      <c r="AD187" s="18">
        <v>163.43370000000002</v>
      </c>
    </row>
    <row r="188" spans="2:30" x14ac:dyDescent="0.25">
      <c r="B188" t="s">
        <v>110</v>
      </c>
      <c r="C188" t="s">
        <v>105</v>
      </c>
      <c r="D188" t="s">
        <v>258</v>
      </c>
      <c r="E188" s="35">
        <v>0.9</v>
      </c>
      <c r="F188" s="35">
        <v>22</v>
      </c>
      <c r="G188" s="36">
        <v>0.27792299999999998</v>
      </c>
      <c r="H188" s="18">
        <v>500.26093300000002</v>
      </c>
      <c r="I188" s="16">
        <v>0</v>
      </c>
      <c r="J188" s="16"/>
      <c r="K188" s="16"/>
      <c r="L188" s="37" t="s">
        <v>107</v>
      </c>
      <c r="M188" s="37"/>
      <c r="N188" s="37">
        <v>189</v>
      </c>
      <c r="O188" s="37"/>
      <c r="P188" s="37"/>
      <c r="Q188" s="18">
        <v>3.0571529999999996</v>
      </c>
      <c r="R188" s="18">
        <v>2.0844224999999997E-2</v>
      </c>
      <c r="S188" s="18">
        <v>5.8363829999999997</v>
      </c>
      <c r="T188" s="18">
        <v>25.013069999999999</v>
      </c>
      <c r="U188" s="18">
        <v>12.506535</v>
      </c>
      <c r="V188" s="18">
        <v>160.08364799999998</v>
      </c>
      <c r="W188" s="18">
        <v>150.07841999999999</v>
      </c>
      <c r="X188" s="18">
        <v>100.05228</v>
      </c>
      <c r="Y188" s="18">
        <v>4.4467679999999996</v>
      </c>
      <c r="Z188" s="18">
        <v>19.732532999999997</v>
      </c>
      <c r="AA188" s="18">
        <v>28.903991999999999</v>
      </c>
      <c r="AB188" s="18">
        <v>51.415754999999997</v>
      </c>
      <c r="AC188" s="18">
        <v>15.841610999999999</v>
      </c>
      <c r="AD188" s="18">
        <v>83.376899999999992</v>
      </c>
    </row>
    <row r="189" spans="2:30" x14ac:dyDescent="0.25">
      <c r="B189" t="s">
        <v>108</v>
      </c>
      <c r="C189" t="s">
        <v>105</v>
      </c>
      <c r="D189" t="s">
        <v>226</v>
      </c>
      <c r="E189" s="35">
        <v>0.9</v>
      </c>
      <c r="F189" s="35">
        <v>16</v>
      </c>
      <c r="G189" s="36">
        <v>9.1410000000000005E-2</v>
      </c>
      <c r="H189" s="18">
        <v>164.538242</v>
      </c>
      <c r="I189" s="16">
        <v>0</v>
      </c>
      <c r="J189" s="16"/>
      <c r="K189" s="16"/>
      <c r="L189" s="37" t="s">
        <v>107</v>
      </c>
      <c r="M189" s="37"/>
      <c r="N189" s="37">
        <v>190</v>
      </c>
      <c r="O189" s="37"/>
      <c r="P189" s="37"/>
      <c r="Q189" s="18">
        <v>1.0055100000000001</v>
      </c>
      <c r="R189" s="18">
        <v>6.8557499999999999E-3</v>
      </c>
      <c r="S189" s="18">
        <v>1.91961</v>
      </c>
      <c r="T189" s="18">
        <v>8.2269000000000005</v>
      </c>
      <c r="U189" s="18">
        <v>4.1134500000000003</v>
      </c>
      <c r="V189" s="18">
        <v>52.652160000000002</v>
      </c>
      <c r="W189" s="18">
        <v>49.361400000000003</v>
      </c>
      <c r="X189" s="18">
        <v>32.907600000000002</v>
      </c>
      <c r="Y189" s="18">
        <v>1.4625600000000001</v>
      </c>
      <c r="Z189" s="18">
        <v>6.4901100000000005</v>
      </c>
      <c r="AA189" s="18">
        <v>9.5066400000000009</v>
      </c>
      <c r="AB189" s="18">
        <v>16.91085</v>
      </c>
      <c r="AC189" s="18">
        <v>5.2103700000000002</v>
      </c>
      <c r="AD189" s="18">
        <v>27.423000000000002</v>
      </c>
    </row>
    <row r="190" spans="2:30" x14ac:dyDescent="0.25">
      <c r="B190" t="s">
        <v>108</v>
      </c>
      <c r="C190" t="s">
        <v>105</v>
      </c>
      <c r="D190" t="s">
        <v>259</v>
      </c>
      <c r="E190" s="35">
        <v>0.9</v>
      </c>
      <c r="F190" s="35">
        <v>16</v>
      </c>
      <c r="G190" s="36">
        <v>1.4506E-2</v>
      </c>
      <c r="H190" s="18">
        <v>26.110468999999998</v>
      </c>
      <c r="I190" s="16">
        <v>0</v>
      </c>
      <c r="J190" s="16"/>
      <c r="K190" s="16"/>
      <c r="L190" s="37" t="s">
        <v>107</v>
      </c>
      <c r="M190" s="37"/>
      <c r="N190" s="37">
        <v>191</v>
      </c>
      <c r="O190" s="37"/>
      <c r="P190" s="37"/>
      <c r="Q190" s="18">
        <v>0.15956599999999999</v>
      </c>
      <c r="R190" s="18">
        <v>1.0879499999999999E-3</v>
      </c>
      <c r="S190" s="18">
        <v>0.30462600000000001</v>
      </c>
      <c r="T190" s="18">
        <v>1.3055399999999999</v>
      </c>
      <c r="U190" s="18">
        <v>0.65276999999999996</v>
      </c>
      <c r="V190" s="18">
        <v>8.3554560000000002</v>
      </c>
      <c r="W190" s="18">
        <v>7.83324</v>
      </c>
      <c r="X190" s="18">
        <v>5.2221599999999997</v>
      </c>
      <c r="Y190" s="18">
        <v>0.232096</v>
      </c>
      <c r="Z190" s="18">
        <v>1.0299259999999999</v>
      </c>
      <c r="AA190" s="18">
        <v>1.508624</v>
      </c>
      <c r="AB190" s="18">
        <v>2.6836099999999998</v>
      </c>
      <c r="AC190" s="18">
        <v>0.82684199999999997</v>
      </c>
      <c r="AD190" s="18">
        <v>4.3517999999999999</v>
      </c>
    </row>
    <row r="191" spans="2:30" x14ac:dyDescent="0.25">
      <c r="B191" t="s">
        <v>141</v>
      </c>
      <c r="C191" t="s">
        <v>105</v>
      </c>
      <c r="D191" t="s">
        <v>260</v>
      </c>
      <c r="E191" s="35">
        <v>0.9</v>
      </c>
      <c r="F191" s="35">
        <v>46</v>
      </c>
      <c r="G191" s="36">
        <v>0.60226999999999997</v>
      </c>
      <c r="H191" s="18">
        <v>1084.0865819999999</v>
      </c>
      <c r="I191" s="16">
        <v>0</v>
      </c>
      <c r="J191" s="16"/>
      <c r="K191" s="16"/>
      <c r="L191" s="37" t="s">
        <v>107</v>
      </c>
      <c r="M191" s="37"/>
      <c r="N191" s="37">
        <v>192</v>
      </c>
      <c r="O191" s="37"/>
      <c r="P191" s="37"/>
      <c r="Q191" s="18">
        <v>6.6249699999999994</v>
      </c>
      <c r="R191" s="18">
        <v>4.5170249999999995E-2</v>
      </c>
      <c r="S191" s="18">
        <v>12.64767</v>
      </c>
      <c r="T191" s="18">
        <v>54.204299999999996</v>
      </c>
      <c r="U191" s="18">
        <v>27.102149999999998</v>
      </c>
      <c r="V191" s="18">
        <v>346.90751999999998</v>
      </c>
      <c r="W191" s="18">
        <v>325.22579999999999</v>
      </c>
      <c r="X191" s="18">
        <v>216.81719999999999</v>
      </c>
      <c r="Y191" s="18">
        <v>9.6363199999999996</v>
      </c>
      <c r="Z191" s="18">
        <v>42.76117</v>
      </c>
      <c r="AA191" s="18">
        <v>62.63608</v>
      </c>
      <c r="AB191" s="18">
        <v>111.41995</v>
      </c>
      <c r="AC191" s="18">
        <v>34.329389999999997</v>
      </c>
      <c r="AD191" s="18">
        <v>180.68099999999998</v>
      </c>
    </row>
    <row r="192" spans="2:30" x14ac:dyDescent="0.25">
      <c r="B192" t="s">
        <v>261</v>
      </c>
      <c r="C192" t="s">
        <v>105</v>
      </c>
      <c r="D192" t="s">
        <v>262</v>
      </c>
      <c r="E192" s="35">
        <v>0.9</v>
      </c>
      <c r="F192" s="35">
        <v>40</v>
      </c>
      <c r="G192" s="36">
        <v>0.53864599999999996</v>
      </c>
      <c r="H192" s="18">
        <v>969.56289100000004</v>
      </c>
      <c r="I192" s="16">
        <v>0</v>
      </c>
      <c r="J192" s="16"/>
      <c r="K192" s="16"/>
      <c r="L192" s="37" t="s">
        <v>107</v>
      </c>
      <c r="M192" s="37"/>
      <c r="N192" s="37">
        <v>193</v>
      </c>
      <c r="O192" s="37"/>
      <c r="P192" s="37"/>
      <c r="Q192" s="18">
        <v>5.9251059999999995</v>
      </c>
      <c r="R192" s="18">
        <v>4.0398449999999995E-2</v>
      </c>
      <c r="S192" s="18">
        <v>11.311565999999999</v>
      </c>
      <c r="T192" s="18">
        <v>48.478139999999996</v>
      </c>
      <c r="U192" s="18">
        <v>24.239069999999998</v>
      </c>
      <c r="V192" s="18">
        <v>310.26009599999998</v>
      </c>
      <c r="W192" s="18">
        <v>290.86883999999998</v>
      </c>
      <c r="X192" s="18">
        <v>193.91255999999998</v>
      </c>
      <c r="Y192" s="18">
        <v>8.6183359999999993</v>
      </c>
      <c r="Z192" s="18">
        <v>38.243865999999997</v>
      </c>
      <c r="AA192" s="18">
        <v>56.019183999999996</v>
      </c>
      <c r="AB192" s="18">
        <v>99.649509999999992</v>
      </c>
      <c r="AC192" s="18">
        <v>30.702821999999998</v>
      </c>
      <c r="AD192" s="18">
        <v>161.59379999999999</v>
      </c>
    </row>
    <row r="193" spans="2:30" x14ac:dyDescent="0.25">
      <c r="B193" t="s">
        <v>144</v>
      </c>
      <c r="C193" t="s">
        <v>105</v>
      </c>
      <c r="D193" t="s">
        <v>263</v>
      </c>
      <c r="E193" s="35">
        <v>0.9</v>
      </c>
      <c r="F193" s="35">
        <v>40</v>
      </c>
      <c r="G193" s="36">
        <v>0.52264699999999997</v>
      </c>
      <c r="H193" s="18">
        <v>940.76406299999996</v>
      </c>
      <c r="I193" s="16">
        <v>0</v>
      </c>
      <c r="J193" s="16"/>
      <c r="K193" s="16"/>
      <c r="L193" s="37" t="s">
        <v>107</v>
      </c>
      <c r="M193" s="37"/>
      <c r="N193" s="37">
        <v>194</v>
      </c>
      <c r="O193" s="37"/>
      <c r="P193" s="37"/>
      <c r="Q193" s="18">
        <v>5.749117</v>
      </c>
      <c r="R193" s="18">
        <v>3.9198524999999998E-2</v>
      </c>
      <c r="S193" s="18">
        <v>10.975586999999999</v>
      </c>
      <c r="T193" s="18">
        <v>47.038229999999999</v>
      </c>
      <c r="U193" s="18">
        <v>23.519114999999999</v>
      </c>
      <c r="V193" s="18">
        <v>301.04467199999999</v>
      </c>
      <c r="W193" s="18">
        <v>282.22937999999999</v>
      </c>
      <c r="X193" s="18">
        <v>188.15291999999999</v>
      </c>
      <c r="Y193" s="18">
        <v>8.3623519999999996</v>
      </c>
      <c r="Z193" s="18">
        <v>37.107937</v>
      </c>
      <c r="AA193" s="18">
        <v>54.355287999999994</v>
      </c>
      <c r="AB193" s="18">
        <v>96.689695</v>
      </c>
      <c r="AC193" s="18">
        <v>29.790878999999997</v>
      </c>
      <c r="AD193" s="18">
        <v>156.79409999999999</v>
      </c>
    </row>
    <row r="194" spans="2:30" x14ac:dyDescent="0.25">
      <c r="B194" t="s">
        <v>206</v>
      </c>
      <c r="C194" t="s">
        <v>105</v>
      </c>
      <c r="D194" t="s">
        <v>264</v>
      </c>
      <c r="E194" s="35">
        <v>1.8</v>
      </c>
      <c r="F194" s="35">
        <v>58.1</v>
      </c>
      <c r="G194" s="36">
        <v>0.75836999999999999</v>
      </c>
      <c r="H194" s="18">
        <v>2730.1309150000002</v>
      </c>
      <c r="I194" s="16"/>
      <c r="J194" s="16"/>
      <c r="K194" s="16"/>
      <c r="L194" s="37" t="s">
        <v>107</v>
      </c>
      <c r="M194" s="37"/>
      <c r="N194" s="37">
        <v>195</v>
      </c>
      <c r="O194" s="37"/>
      <c r="P194" s="37"/>
      <c r="Q194" s="18">
        <v>8.3420699999999997</v>
      </c>
      <c r="R194" s="18">
        <v>5.6877749999999998E-2</v>
      </c>
      <c r="S194" s="18">
        <v>15.92577</v>
      </c>
      <c r="T194" s="18">
        <v>68.253299999999996</v>
      </c>
      <c r="U194" s="18">
        <v>34.126649999999998</v>
      </c>
      <c r="V194" s="18">
        <v>436.82112000000001</v>
      </c>
      <c r="W194" s="18">
        <v>409.51979999999998</v>
      </c>
      <c r="X194" s="18">
        <v>273.01319999999998</v>
      </c>
      <c r="Y194" s="18">
        <v>12.13392</v>
      </c>
      <c r="Z194" s="18">
        <v>53.844270000000002</v>
      </c>
      <c r="AA194" s="18">
        <v>78.870480000000001</v>
      </c>
      <c r="AB194" s="18">
        <v>140.29845</v>
      </c>
      <c r="AC194" s="18">
        <v>43.227089999999997</v>
      </c>
      <c r="AD194" s="18">
        <v>227.511</v>
      </c>
    </row>
    <row r="195" spans="2:30" x14ac:dyDescent="0.25">
      <c r="B195" t="s">
        <v>158</v>
      </c>
      <c r="C195" t="s">
        <v>105</v>
      </c>
      <c r="D195" t="s">
        <v>265</v>
      </c>
      <c r="E195" s="35">
        <v>0.9</v>
      </c>
      <c r="F195" s="35">
        <v>18</v>
      </c>
      <c r="G195" s="36">
        <v>6.6358E-2</v>
      </c>
      <c r="H195" s="18">
        <v>119.444194</v>
      </c>
      <c r="I195" s="16">
        <v>0</v>
      </c>
      <c r="J195" s="16"/>
      <c r="K195" s="16"/>
      <c r="L195" s="37" t="s">
        <v>107</v>
      </c>
      <c r="M195" s="37"/>
      <c r="N195" s="37">
        <v>196</v>
      </c>
      <c r="O195" s="37"/>
      <c r="P195" s="37"/>
      <c r="Q195" s="18">
        <v>0.72993799999999998</v>
      </c>
      <c r="R195" s="18">
        <v>4.9768499999999997E-3</v>
      </c>
      <c r="S195" s="18">
        <v>1.393518</v>
      </c>
      <c r="T195" s="18">
        <v>5.9722200000000001</v>
      </c>
      <c r="U195" s="18">
        <v>2.98611</v>
      </c>
      <c r="V195" s="18">
        <v>38.222208000000002</v>
      </c>
      <c r="W195" s="18">
        <v>35.833320000000001</v>
      </c>
      <c r="X195" s="18">
        <v>23.88888</v>
      </c>
      <c r="Y195" s="18">
        <v>1.061728</v>
      </c>
      <c r="Z195" s="18">
        <v>4.7114180000000001</v>
      </c>
      <c r="AA195" s="18">
        <v>6.9012320000000003</v>
      </c>
      <c r="AB195" s="18">
        <v>12.27623</v>
      </c>
      <c r="AC195" s="18">
        <v>3.7824059999999999</v>
      </c>
      <c r="AD195" s="18">
        <v>19.907399999999999</v>
      </c>
    </row>
    <row r="196" spans="2:30" x14ac:dyDescent="0.25">
      <c r="B196" t="s">
        <v>110</v>
      </c>
      <c r="C196" t="s">
        <v>105</v>
      </c>
      <c r="D196" t="s">
        <v>266</v>
      </c>
      <c r="E196" s="35">
        <v>0.9</v>
      </c>
      <c r="F196" s="35">
        <v>22</v>
      </c>
      <c r="G196" s="36">
        <v>0.25225700000000001</v>
      </c>
      <c r="H196" s="18">
        <v>454.06281300000001</v>
      </c>
      <c r="I196" s="16">
        <v>0</v>
      </c>
      <c r="J196" s="16"/>
      <c r="K196" s="16"/>
      <c r="L196" s="37" t="s">
        <v>107</v>
      </c>
      <c r="M196" s="37"/>
      <c r="N196" s="37">
        <v>197</v>
      </c>
      <c r="O196" s="37"/>
      <c r="P196" s="37"/>
      <c r="Q196" s="18">
        <v>2.7748270000000002</v>
      </c>
      <c r="R196" s="18">
        <v>1.8919274999999999E-2</v>
      </c>
      <c r="S196" s="18">
        <v>5.2973970000000001</v>
      </c>
      <c r="T196" s="18">
        <v>22.703130000000002</v>
      </c>
      <c r="U196" s="18">
        <v>11.351565000000001</v>
      </c>
      <c r="V196" s="18">
        <v>145.30003200000002</v>
      </c>
      <c r="W196" s="18">
        <v>136.21878000000001</v>
      </c>
      <c r="X196" s="18">
        <v>90.812520000000006</v>
      </c>
      <c r="Y196" s="18">
        <v>4.0361120000000001</v>
      </c>
      <c r="Z196" s="18">
        <v>17.910247000000002</v>
      </c>
      <c r="AA196" s="18">
        <v>26.234728</v>
      </c>
      <c r="AB196" s="18">
        <v>46.667545000000004</v>
      </c>
      <c r="AC196" s="18">
        <v>14.378649000000001</v>
      </c>
      <c r="AD196" s="18">
        <v>75.677099999999996</v>
      </c>
    </row>
    <row r="197" spans="2:30" x14ac:dyDescent="0.25">
      <c r="B197" t="s">
        <v>160</v>
      </c>
      <c r="C197" t="s">
        <v>105</v>
      </c>
      <c r="D197" t="s">
        <v>266</v>
      </c>
      <c r="E197" s="35">
        <v>0.9</v>
      </c>
      <c r="F197" s="35">
        <v>31</v>
      </c>
      <c r="G197" s="36">
        <v>0.35545300000000002</v>
      </c>
      <c r="H197" s="18">
        <v>639.81578100000002</v>
      </c>
      <c r="I197" s="16">
        <v>0</v>
      </c>
      <c r="J197" s="16"/>
      <c r="K197" s="16"/>
      <c r="L197" s="37" t="s">
        <v>107</v>
      </c>
      <c r="M197" s="37"/>
      <c r="N197" s="37">
        <v>198</v>
      </c>
      <c r="O197" s="37"/>
      <c r="P197" s="37"/>
      <c r="Q197" s="18">
        <v>3.9099830000000004</v>
      </c>
      <c r="R197" s="18">
        <v>2.6658975000000001E-2</v>
      </c>
      <c r="S197" s="18">
        <v>7.4645130000000002</v>
      </c>
      <c r="T197" s="18">
        <v>31.990770000000001</v>
      </c>
      <c r="U197" s="18">
        <v>15.995385000000001</v>
      </c>
      <c r="V197" s="18">
        <v>204.740928</v>
      </c>
      <c r="W197" s="18">
        <v>191.94462000000001</v>
      </c>
      <c r="X197" s="18">
        <v>127.96308000000001</v>
      </c>
      <c r="Y197" s="18">
        <v>5.6872480000000003</v>
      </c>
      <c r="Z197" s="18">
        <v>25.237163000000002</v>
      </c>
      <c r="AA197" s="18">
        <v>36.967112</v>
      </c>
      <c r="AB197" s="18">
        <v>65.758805000000009</v>
      </c>
      <c r="AC197" s="18">
        <v>20.260821</v>
      </c>
      <c r="AD197" s="18">
        <v>106.63590000000001</v>
      </c>
    </row>
    <row r="198" spans="2:30" x14ac:dyDescent="0.25">
      <c r="B198" t="s">
        <v>133</v>
      </c>
      <c r="C198" t="s">
        <v>105</v>
      </c>
      <c r="D198" t="s">
        <v>267</v>
      </c>
      <c r="E198" s="35">
        <v>0.9</v>
      </c>
      <c r="F198" s="35">
        <v>50</v>
      </c>
      <c r="G198" s="36">
        <v>0.55264599999999997</v>
      </c>
      <c r="H198" s="18">
        <v>994.76245100000006</v>
      </c>
      <c r="I198" s="16">
        <v>0</v>
      </c>
      <c r="J198" s="16"/>
      <c r="K198" s="16"/>
      <c r="L198" s="37" t="s">
        <v>107</v>
      </c>
      <c r="M198" s="37"/>
      <c r="N198" s="37">
        <v>199</v>
      </c>
      <c r="O198" s="37"/>
      <c r="P198" s="37"/>
      <c r="Q198" s="18">
        <v>6.0791059999999995</v>
      </c>
      <c r="R198" s="18">
        <v>4.1448449999999998E-2</v>
      </c>
      <c r="S198" s="18">
        <v>11.605566</v>
      </c>
      <c r="T198" s="18">
        <v>49.738139999999994</v>
      </c>
      <c r="U198" s="18">
        <v>24.869069999999997</v>
      </c>
      <c r="V198" s="18">
        <v>318.324096</v>
      </c>
      <c r="W198" s="18">
        <v>298.42883999999998</v>
      </c>
      <c r="X198" s="18">
        <v>198.95255999999998</v>
      </c>
      <c r="Y198" s="18">
        <v>8.8423359999999995</v>
      </c>
      <c r="Z198" s="18">
        <v>39.237865999999997</v>
      </c>
      <c r="AA198" s="18">
        <v>57.475183999999999</v>
      </c>
      <c r="AB198" s="18">
        <v>102.23951</v>
      </c>
      <c r="AC198" s="18">
        <v>31.500821999999999</v>
      </c>
      <c r="AD198" s="18">
        <v>165.7938</v>
      </c>
    </row>
    <row r="199" spans="2:30" x14ac:dyDescent="0.25">
      <c r="B199" t="s">
        <v>141</v>
      </c>
      <c r="C199" t="s">
        <v>105</v>
      </c>
      <c r="D199" t="s">
        <v>266</v>
      </c>
      <c r="E199" s="35">
        <v>0.9</v>
      </c>
      <c r="F199" s="35">
        <v>46</v>
      </c>
      <c r="G199" s="36">
        <v>0.527447</v>
      </c>
      <c r="H199" s="18">
        <v>949.40406299999995</v>
      </c>
      <c r="I199" s="16">
        <v>0</v>
      </c>
      <c r="J199" s="16"/>
      <c r="K199" s="16"/>
      <c r="L199" s="37" t="s">
        <v>107</v>
      </c>
      <c r="M199" s="37"/>
      <c r="N199" s="37">
        <v>200</v>
      </c>
      <c r="O199" s="37"/>
      <c r="P199" s="37"/>
      <c r="Q199" s="18">
        <v>5.8019169999999995</v>
      </c>
      <c r="R199" s="18">
        <v>3.9558524999999997E-2</v>
      </c>
      <c r="S199" s="18">
        <v>11.076387</v>
      </c>
      <c r="T199" s="18">
        <v>47.470230000000001</v>
      </c>
      <c r="U199" s="18">
        <v>23.735115</v>
      </c>
      <c r="V199" s="18">
        <v>303.80947200000003</v>
      </c>
      <c r="W199" s="18">
        <v>284.82137999999998</v>
      </c>
      <c r="X199" s="18">
        <v>189.88092</v>
      </c>
      <c r="Y199" s="18">
        <v>8.439152</v>
      </c>
      <c r="Z199" s="18">
        <v>37.448737000000001</v>
      </c>
      <c r="AA199" s="18">
        <v>54.854488000000003</v>
      </c>
      <c r="AB199" s="18">
        <v>97.577695000000006</v>
      </c>
      <c r="AC199" s="18">
        <v>30.064478999999999</v>
      </c>
      <c r="AD199" s="18">
        <v>158.23410000000001</v>
      </c>
    </row>
    <row r="200" spans="2:30" x14ac:dyDescent="0.25">
      <c r="B200" t="s">
        <v>144</v>
      </c>
      <c r="C200" t="s">
        <v>105</v>
      </c>
      <c r="D200" t="s">
        <v>268</v>
      </c>
      <c r="E200" s="35">
        <v>0.9</v>
      </c>
      <c r="F200" s="35">
        <v>40</v>
      </c>
      <c r="G200" s="36">
        <v>0.44185000000000002</v>
      </c>
      <c r="H200" s="18">
        <v>795.32997999999998</v>
      </c>
      <c r="I200" s="16">
        <v>0</v>
      </c>
      <c r="J200" s="16"/>
      <c r="K200" s="16"/>
      <c r="L200" s="37" t="s">
        <v>107</v>
      </c>
      <c r="M200" s="37"/>
      <c r="N200" s="37">
        <v>201</v>
      </c>
      <c r="O200" s="37"/>
      <c r="P200" s="37"/>
      <c r="Q200" s="18">
        <v>4.8603500000000004</v>
      </c>
      <c r="R200" s="18">
        <v>3.3138750000000002E-2</v>
      </c>
      <c r="S200" s="18">
        <v>9.2788500000000003</v>
      </c>
      <c r="T200" s="18">
        <v>39.766500000000001</v>
      </c>
      <c r="U200" s="18">
        <v>19.88325</v>
      </c>
      <c r="V200" s="18">
        <v>254.50560000000002</v>
      </c>
      <c r="W200" s="18">
        <v>238.59900000000002</v>
      </c>
      <c r="X200" s="18">
        <v>159.066</v>
      </c>
      <c r="Y200" s="18">
        <v>7.0696000000000003</v>
      </c>
      <c r="Z200" s="18">
        <v>31.371350000000003</v>
      </c>
      <c r="AA200" s="18">
        <v>45.952400000000004</v>
      </c>
      <c r="AB200" s="18">
        <v>81.742249999999999</v>
      </c>
      <c r="AC200" s="18">
        <v>25.185449999999999</v>
      </c>
      <c r="AD200" s="18">
        <v>132.55500000000001</v>
      </c>
    </row>
    <row r="201" spans="2:30" x14ac:dyDescent="0.25">
      <c r="B201" t="s">
        <v>269</v>
      </c>
      <c r="C201" t="s">
        <v>105</v>
      </c>
      <c r="D201" t="s">
        <v>270</v>
      </c>
      <c r="E201" s="35">
        <v>0.9</v>
      </c>
      <c r="F201" s="35">
        <v>6.6</v>
      </c>
      <c r="G201" s="36">
        <v>0.25840099999999999</v>
      </c>
      <c r="H201" s="18">
        <v>465.12267300000002</v>
      </c>
      <c r="I201" s="16"/>
      <c r="J201" s="16"/>
      <c r="K201" s="16"/>
      <c r="L201" s="37" t="s">
        <v>107</v>
      </c>
      <c r="M201" s="37"/>
      <c r="N201" s="37">
        <v>202</v>
      </c>
      <c r="O201" s="37"/>
      <c r="P201" s="37"/>
      <c r="Q201" s="18">
        <v>2.8424109999999998</v>
      </c>
      <c r="R201" s="18">
        <v>1.9380075E-2</v>
      </c>
      <c r="S201" s="18">
        <v>5.4264209999999995</v>
      </c>
      <c r="T201" s="18">
        <v>23.25609</v>
      </c>
      <c r="U201" s="18">
        <v>11.628045</v>
      </c>
      <c r="V201" s="18">
        <v>148.838976</v>
      </c>
      <c r="W201" s="18">
        <v>139.53654</v>
      </c>
      <c r="X201" s="18">
        <v>93.024360000000001</v>
      </c>
      <c r="Y201" s="18">
        <v>4.1344159999999999</v>
      </c>
      <c r="Z201" s="18">
        <v>18.346471000000001</v>
      </c>
      <c r="AA201" s="18">
        <v>26.873704</v>
      </c>
      <c r="AB201" s="18">
        <v>47.804184999999997</v>
      </c>
      <c r="AC201" s="18">
        <v>14.728857</v>
      </c>
      <c r="AD201" s="18">
        <v>77.520299999999992</v>
      </c>
    </row>
    <row r="202" spans="2:30" x14ac:dyDescent="0.25">
      <c r="B202" t="s">
        <v>124</v>
      </c>
      <c r="C202" t="s">
        <v>105</v>
      </c>
      <c r="D202" t="s">
        <v>208</v>
      </c>
      <c r="E202" s="35">
        <v>0.9</v>
      </c>
      <c r="F202" s="35">
        <v>35</v>
      </c>
      <c r="G202" s="36">
        <v>0.46548200000000001</v>
      </c>
      <c r="H202" s="18">
        <v>837.86795700000005</v>
      </c>
      <c r="I202" s="16">
        <v>0</v>
      </c>
      <c r="J202" s="16"/>
      <c r="K202" s="16"/>
      <c r="L202" s="37" t="s">
        <v>107</v>
      </c>
      <c r="M202" s="37"/>
      <c r="N202" s="37">
        <v>203</v>
      </c>
      <c r="O202" s="37"/>
      <c r="P202" s="37"/>
      <c r="Q202" s="18">
        <v>5.1203019999999997</v>
      </c>
      <c r="R202" s="18">
        <v>3.4911150000000002E-2</v>
      </c>
      <c r="S202" s="18">
        <v>9.7751219999999996</v>
      </c>
      <c r="T202" s="18">
        <v>41.893380000000001</v>
      </c>
      <c r="U202" s="18">
        <v>20.94669</v>
      </c>
      <c r="V202" s="18">
        <v>268.11763200000001</v>
      </c>
      <c r="W202" s="18">
        <v>251.36028000000002</v>
      </c>
      <c r="X202" s="18">
        <v>167.57352</v>
      </c>
      <c r="Y202" s="18">
        <v>7.4477120000000001</v>
      </c>
      <c r="Z202" s="18">
        <v>33.049222</v>
      </c>
      <c r="AA202" s="18">
        <v>48.410128</v>
      </c>
      <c r="AB202" s="18">
        <v>86.114170000000001</v>
      </c>
      <c r="AC202" s="18">
        <v>26.532474000000001</v>
      </c>
      <c r="AD202" s="18">
        <v>139.6446</v>
      </c>
    </row>
    <row r="203" spans="2:30" x14ac:dyDescent="0.25">
      <c r="B203" t="s">
        <v>166</v>
      </c>
      <c r="C203" t="s">
        <v>105</v>
      </c>
      <c r="D203" t="s">
        <v>223</v>
      </c>
      <c r="E203" s="35">
        <v>0.9</v>
      </c>
      <c r="F203" s="35">
        <v>26</v>
      </c>
      <c r="G203" s="36">
        <v>0.30297499999999999</v>
      </c>
      <c r="H203" s="18">
        <v>545.35533199999998</v>
      </c>
      <c r="I203" s="16">
        <v>0</v>
      </c>
      <c r="J203" s="16"/>
      <c r="K203" s="16"/>
      <c r="L203" s="37" t="s">
        <v>107</v>
      </c>
      <c r="M203" s="37"/>
      <c r="N203" s="37">
        <v>204</v>
      </c>
      <c r="O203" s="37"/>
      <c r="P203" s="37"/>
      <c r="Q203" s="18">
        <v>3.3327249999999999</v>
      </c>
      <c r="R203" s="18">
        <v>2.2723125E-2</v>
      </c>
      <c r="S203" s="18">
        <v>6.3624749999999999</v>
      </c>
      <c r="T203" s="18">
        <v>27.267749999999999</v>
      </c>
      <c r="U203" s="18">
        <v>13.633875</v>
      </c>
      <c r="V203" s="18">
        <v>174.5136</v>
      </c>
      <c r="W203" s="18">
        <v>163.60649999999998</v>
      </c>
      <c r="X203" s="18">
        <v>109.071</v>
      </c>
      <c r="Y203" s="18">
        <v>4.8475999999999999</v>
      </c>
      <c r="Z203" s="18">
        <v>21.511225</v>
      </c>
      <c r="AA203" s="18">
        <v>31.509399999999999</v>
      </c>
      <c r="AB203" s="18">
        <v>56.050375000000003</v>
      </c>
      <c r="AC203" s="18">
        <v>17.269575</v>
      </c>
      <c r="AD203" s="18">
        <v>90.892499999999998</v>
      </c>
    </row>
    <row r="204" spans="2:30" x14ac:dyDescent="0.25">
      <c r="B204" t="s">
        <v>108</v>
      </c>
      <c r="C204" t="s">
        <v>105</v>
      </c>
      <c r="D204" t="s">
        <v>239</v>
      </c>
      <c r="E204" s="35">
        <v>0.9</v>
      </c>
      <c r="F204" s="35">
        <v>16</v>
      </c>
      <c r="G204" s="36">
        <v>1.4933E-2</v>
      </c>
      <c r="H204" s="18">
        <v>26.878906000000001</v>
      </c>
      <c r="I204" s="16">
        <v>0</v>
      </c>
      <c r="J204" s="16"/>
      <c r="K204" s="16"/>
      <c r="L204" s="37" t="s">
        <v>107</v>
      </c>
      <c r="M204" s="37"/>
      <c r="N204" s="37">
        <v>205</v>
      </c>
      <c r="O204" s="37"/>
      <c r="P204" s="37"/>
      <c r="Q204" s="18">
        <v>0.16426299999999999</v>
      </c>
      <c r="R204" s="18">
        <v>1.1199750000000001E-3</v>
      </c>
      <c r="S204" s="18">
        <v>0.31359300000000001</v>
      </c>
      <c r="T204" s="18">
        <v>1.3439700000000001</v>
      </c>
      <c r="U204" s="18">
        <v>0.67198500000000005</v>
      </c>
      <c r="V204" s="18">
        <v>8.6014079999999993</v>
      </c>
      <c r="W204" s="18">
        <v>8.0638199999999998</v>
      </c>
      <c r="X204" s="18">
        <v>5.3758800000000004</v>
      </c>
      <c r="Y204" s="18">
        <v>0.238928</v>
      </c>
      <c r="Z204" s="18">
        <v>1.060243</v>
      </c>
      <c r="AA204" s="18">
        <v>1.553032</v>
      </c>
      <c r="AB204" s="18">
        <v>2.7626050000000002</v>
      </c>
      <c r="AC204" s="18">
        <v>0.85118099999999997</v>
      </c>
      <c r="AD204" s="18">
        <v>4.4798999999999998</v>
      </c>
    </row>
    <row r="205" spans="2:30" x14ac:dyDescent="0.25">
      <c r="B205" t="s">
        <v>244</v>
      </c>
      <c r="C205" t="s">
        <v>105</v>
      </c>
      <c r="D205" t="s">
        <v>257</v>
      </c>
      <c r="E205" s="35">
        <v>0.9</v>
      </c>
      <c r="F205" s="35">
        <v>36</v>
      </c>
      <c r="G205" s="36">
        <v>0.54477900000000001</v>
      </c>
      <c r="H205" s="18">
        <v>980.60220700000002</v>
      </c>
      <c r="I205" s="16">
        <v>0</v>
      </c>
      <c r="J205" s="16"/>
      <c r="K205" s="16"/>
      <c r="L205" s="37" t="s">
        <v>107</v>
      </c>
      <c r="M205" s="37"/>
      <c r="N205" s="37">
        <v>206</v>
      </c>
      <c r="O205" s="37"/>
      <c r="P205" s="37"/>
      <c r="Q205" s="18">
        <v>5.9925690000000005</v>
      </c>
      <c r="R205" s="18">
        <v>4.0858424999999997E-2</v>
      </c>
      <c r="S205" s="18">
        <v>11.440359000000001</v>
      </c>
      <c r="T205" s="18">
        <v>49.030110000000001</v>
      </c>
      <c r="U205" s="18">
        <v>24.515055</v>
      </c>
      <c r="V205" s="18">
        <v>313.79270400000001</v>
      </c>
      <c r="W205" s="18">
        <v>294.18065999999999</v>
      </c>
      <c r="X205" s="18">
        <v>196.12044</v>
      </c>
      <c r="Y205" s="18">
        <v>8.7164640000000002</v>
      </c>
      <c r="Z205" s="18">
        <v>38.679309000000003</v>
      </c>
      <c r="AA205" s="18">
        <v>56.657015999999999</v>
      </c>
      <c r="AB205" s="18">
        <v>100.784115</v>
      </c>
      <c r="AC205" s="18">
        <v>31.052403000000002</v>
      </c>
      <c r="AD205" s="18">
        <v>163.43370000000002</v>
      </c>
    </row>
    <row r="206" spans="2:30" x14ac:dyDescent="0.25">
      <c r="B206" t="s">
        <v>110</v>
      </c>
      <c r="C206" t="s">
        <v>105</v>
      </c>
      <c r="D206" t="s">
        <v>258</v>
      </c>
      <c r="E206" s="35">
        <v>0.9</v>
      </c>
      <c r="F206" s="35">
        <v>22</v>
      </c>
      <c r="G206" s="36">
        <v>0.27792299999999998</v>
      </c>
      <c r="H206" s="18">
        <v>500.26093300000002</v>
      </c>
      <c r="I206" s="16">
        <v>0</v>
      </c>
      <c r="J206" s="16"/>
      <c r="K206" s="16"/>
      <c r="L206" s="37" t="s">
        <v>107</v>
      </c>
      <c r="M206" s="37"/>
      <c r="N206" s="37">
        <v>207</v>
      </c>
      <c r="O206" s="37"/>
      <c r="P206" s="37"/>
      <c r="Q206" s="18">
        <v>3.0571529999999996</v>
      </c>
      <c r="R206" s="18">
        <v>2.0844224999999997E-2</v>
      </c>
      <c r="S206" s="18">
        <v>5.8363829999999997</v>
      </c>
      <c r="T206" s="18">
        <v>25.013069999999999</v>
      </c>
      <c r="U206" s="18">
        <v>12.506535</v>
      </c>
      <c r="V206" s="18">
        <v>160.08364799999998</v>
      </c>
      <c r="W206" s="18">
        <v>150.07841999999999</v>
      </c>
      <c r="X206" s="18">
        <v>100.05228</v>
      </c>
      <c r="Y206" s="18">
        <v>4.4467679999999996</v>
      </c>
      <c r="Z206" s="18">
        <v>19.732532999999997</v>
      </c>
      <c r="AA206" s="18">
        <v>28.903991999999999</v>
      </c>
      <c r="AB206" s="18">
        <v>51.415754999999997</v>
      </c>
      <c r="AC206" s="18">
        <v>15.841610999999999</v>
      </c>
      <c r="AD206" s="18">
        <v>83.376899999999992</v>
      </c>
    </row>
    <row r="207" spans="2:30" x14ac:dyDescent="0.25">
      <c r="B207" t="s">
        <v>108</v>
      </c>
      <c r="C207" t="s">
        <v>105</v>
      </c>
      <c r="D207" t="s">
        <v>226</v>
      </c>
      <c r="E207" s="35">
        <v>0.9</v>
      </c>
      <c r="F207" s="35">
        <v>16</v>
      </c>
      <c r="G207" s="36">
        <v>9.1410000000000005E-2</v>
      </c>
      <c r="H207" s="18">
        <v>164.538242</v>
      </c>
      <c r="I207" s="16">
        <v>0</v>
      </c>
      <c r="J207" s="16"/>
      <c r="K207" s="16"/>
      <c r="L207" s="37" t="s">
        <v>107</v>
      </c>
      <c r="M207" s="37"/>
      <c r="N207" s="37">
        <v>208</v>
      </c>
      <c r="O207" s="37"/>
      <c r="P207" s="37"/>
      <c r="Q207" s="18">
        <v>1.0055100000000001</v>
      </c>
      <c r="R207" s="18">
        <v>6.8557499999999999E-3</v>
      </c>
      <c r="S207" s="18">
        <v>1.91961</v>
      </c>
      <c r="T207" s="18">
        <v>8.2269000000000005</v>
      </c>
      <c r="U207" s="18">
        <v>4.1134500000000003</v>
      </c>
      <c r="V207" s="18">
        <v>52.652160000000002</v>
      </c>
      <c r="W207" s="18">
        <v>49.361400000000003</v>
      </c>
      <c r="X207" s="18">
        <v>32.907600000000002</v>
      </c>
      <c r="Y207" s="18">
        <v>1.4625600000000001</v>
      </c>
      <c r="Z207" s="18">
        <v>6.4901100000000005</v>
      </c>
      <c r="AA207" s="18">
        <v>9.5066400000000009</v>
      </c>
      <c r="AB207" s="18">
        <v>16.91085</v>
      </c>
      <c r="AC207" s="18">
        <v>5.2103700000000002</v>
      </c>
      <c r="AD207" s="18">
        <v>27.423000000000002</v>
      </c>
    </row>
    <row r="208" spans="2:30" x14ac:dyDescent="0.25">
      <c r="B208" t="s">
        <v>158</v>
      </c>
      <c r="C208" t="s">
        <v>105</v>
      </c>
      <c r="D208" t="s">
        <v>256</v>
      </c>
      <c r="E208" s="35">
        <v>0.9</v>
      </c>
      <c r="F208" s="35">
        <v>18</v>
      </c>
      <c r="G208" s="36">
        <v>6.7918000000000006E-2</v>
      </c>
      <c r="H208" s="18">
        <v>122.25208000000001</v>
      </c>
      <c r="I208" s="16">
        <v>0</v>
      </c>
      <c r="J208" s="16"/>
      <c r="K208" s="16"/>
      <c r="L208" s="37" t="s">
        <v>107</v>
      </c>
      <c r="M208" s="37"/>
      <c r="N208" s="37">
        <v>209</v>
      </c>
      <c r="O208" s="37"/>
      <c r="P208" s="37"/>
      <c r="Q208" s="18">
        <v>0.74709800000000004</v>
      </c>
      <c r="R208" s="18">
        <v>5.0938500000000005E-3</v>
      </c>
      <c r="S208" s="18">
        <v>1.4262780000000002</v>
      </c>
      <c r="T208" s="18">
        <v>6.1126200000000006</v>
      </c>
      <c r="U208" s="18">
        <v>3.0563100000000003</v>
      </c>
      <c r="V208" s="18">
        <v>39.120768000000005</v>
      </c>
      <c r="W208" s="18">
        <v>36.675720000000005</v>
      </c>
      <c r="X208" s="18">
        <v>24.450480000000002</v>
      </c>
      <c r="Y208" s="18">
        <v>1.0866880000000001</v>
      </c>
      <c r="Z208" s="18">
        <v>4.8221780000000001</v>
      </c>
      <c r="AA208" s="18">
        <v>7.0634720000000009</v>
      </c>
      <c r="AB208" s="18">
        <v>12.564830000000001</v>
      </c>
      <c r="AC208" s="18">
        <v>3.8713260000000003</v>
      </c>
      <c r="AD208" s="18">
        <v>20.375400000000003</v>
      </c>
    </row>
    <row r="209" spans="2:30" x14ac:dyDescent="0.25">
      <c r="B209" t="s">
        <v>271</v>
      </c>
      <c r="C209" t="s">
        <v>105</v>
      </c>
      <c r="D209" t="s">
        <v>253</v>
      </c>
      <c r="E209" s="35">
        <v>0.9</v>
      </c>
      <c r="F209" s="35">
        <v>45</v>
      </c>
      <c r="G209" s="36">
        <v>0.71427200000000002</v>
      </c>
      <c r="H209" s="18">
        <v>1285.689001</v>
      </c>
      <c r="I209" s="16">
        <v>2</v>
      </c>
      <c r="J209" s="16"/>
      <c r="K209" s="16"/>
      <c r="L209" s="37" t="s">
        <v>107</v>
      </c>
      <c r="M209" s="37"/>
      <c r="N209" s="37">
        <v>210</v>
      </c>
      <c r="O209" s="37"/>
      <c r="P209" s="37"/>
      <c r="Q209" s="18">
        <v>7.856992</v>
      </c>
      <c r="R209" s="18">
        <v>5.3570399999999997E-2</v>
      </c>
      <c r="S209" s="18">
        <v>14.999712000000001</v>
      </c>
      <c r="T209" s="18">
        <v>64.284480000000002</v>
      </c>
      <c r="U209" s="18">
        <v>32.142240000000001</v>
      </c>
      <c r="V209" s="18">
        <v>411.42067200000002</v>
      </c>
      <c r="W209" s="18">
        <v>385.70688000000001</v>
      </c>
      <c r="X209" s="18">
        <v>257.13792000000001</v>
      </c>
      <c r="Y209" s="18">
        <v>11.428352</v>
      </c>
      <c r="Z209" s="18">
        <v>50.713312000000002</v>
      </c>
      <c r="AA209" s="18">
        <v>74.284288000000004</v>
      </c>
      <c r="AB209" s="18">
        <v>132.14032</v>
      </c>
      <c r="AC209" s="18">
        <v>40.713504</v>
      </c>
      <c r="AD209" s="18">
        <v>214.2816</v>
      </c>
    </row>
    <row r="210" spans="2:30" x14ac:dyDescent="0.25">
      <c r="B210" t="s">
        <v>110</v>
      </c>
      <c r="C210" t="s">
        <v>105</v>
      </c>
      <c r="D210" t="s">
        <v>254</v>
      </c>
      <c r="E210" s="35">
        <v>0.9</v>
      </c>
      <c r="F210" s="35">
        <v>22</v>
      </c>
      <c r="G210" s="36">
        <v>0.27059</v>
      </c>
      <c r="H210" s="18">
        <v>487.06146999999999</v>
      </c>
      <c r="I210" s="16">
        <v>0</v>
      </c>
      <c r="J210" s="16"/>
      <c r="K210" s="16"/>
      <c r="L210" s="37" t="s">
        <v>107</v>
      </c>
      <c r="M210" s="37"/>
      <c r="N210" s="37">
        <v>211</v>
      </c>
      <c r="O210" s="37"/>
      <c r="P210" s="37"/>
      <c r="Q210" s="18">
        <v>2.9764900000000001</v>
      </c>
      <c r="R210" s="18">
        <v>2.029425E-2</v>
      </c>
      <c r="S210" s="18">
        <v>5.6823899999999998</v>
      </c>
      <c r="T210" s="18">
        <v>24.353100000000001</v>
      </c>
      <c r="U210" s="18">
        <v>12.176550000000001</v>
      </c>
      <c r="V210" s="18">
        <v>155.85983999999999</v>
      </c>
      <c r="W210" s="18">
        <v>146.11859999999999</v>
      </c>
      <c r="X210" s="18">
        <v>97.412400000000005</v>
      </c>
      <c r="Y210" s="18">
        <v>4.32944</v>
      </c>
      <c r="Z210" s="18">
        <v>19.21189</v>
      </c>
      <c r="AA210" s="18">
        <v>28.141359999999999</v>
      </c>
      <c r="AB210" s="18">
        <v>50.059150000000002</v>
      </c>
      <c r="AC210" s="18">
        <v>15.423629999999999</v>
      </c>
      <c r="AD210" s="18">
        <v>81.176999999999992</v>
      </c>
    </row>
    <row r="211" spans="2:30" x14ac:dyDescent="0.25">
      <c r="B211" t="s">
        <v>108</v>
      </c>
      <c r="C211" t="s">
        <v>105</v>
      </c>
      <c r="D211" t="s">
        <v>255</v>
      </c>
      <c r="E211" s="35">
        <v>0.9</v>
      </c>
      <c r="F211" s="35">
        <v>16</v>
      </c>
      <c r="G211" s="36">
        <v>8.6077000000000001E-2</v>
      </c>
      <c r="H211" s="18">
        <v>154.93863300000001</v>
      </c>
      <c r="I211" s="16">
        <v>0</v>
      </c>
      <c r="J211" s="16"/>
      <c r="K211" s="16"/>
      <c r="L211" s="37" t="s">
        <v>107</v>
      </c>
      <c r="M211" s="37"/>
      <c r="N211" s="37">
        <v>212</v>
      </c>
      <c r="O211" s="37"/>
      <c r="P211" s="37"/>
      <c r="Q211" s="18">
        <v>0.94684699999999999</v>
      </c>
      <c r="R211" s="18">
        <v>6.4557749999999995E-3</v>
      </c>
      <c r="S211" s="18">
        <v>1.807617</v>
      </c>
      <c r="T211" s="18">
        <v>7.7469299999999999</v>
      </c>
      <c r="U211" s="18">
        <v>3.8734649999999999</v>
      </c>
      <c r="V211" s="18">
        <v>49.580351999999998</v>
      </c>
      <c r="W211" s="18">
        <v>46.481580000000001</v>
      </c>
      <c r="X211" s="18">
        <v>30.987719999999999</v>
      </c>
      <c r="Y211" s="18">
        <v>1.377232</v>
      </c>
      <c r="Z211" s="18">
        <v>6.1114670000000002</v>
      </c>
      <c r="AA211" s="18">
        <v>8.9520079999999993</v>
      </c>
      <c r="AB211" s="18">
        <v>15.924245000000001</v>
      </c>
      <c r="AC211" s="18">
        <v>4.9063889999999999</v>
      </c>
      <c r="AD211" s="18">
        <v>25.8231</v>
      </c>
    </row>
    <row r="212" spans="2:30" x14ac:dyDescent="0.25">
      <c r="B212" t="s">
        <v>124</v>
      </c>
      <c r="C212" t="s">
        <v>105</v>
      </c>
      <c r="D212" t="s">
        <v>272</v>
      </c>
      <c r="E212" s="35">
        <v>0.9</v>
      </c>
      <c r="F212" s="35">
        <v>35</v>
      </c>
      <c r="G212" s="36">
        <v>0.45964899999999997</v>
      </c>
      <c r="H212" s="18">
        <v>827.36838399999999</v>
      </c>
      <c r="I212" s="16">
        <v>0</v>
      </c>
      <c r="J212" s="16"/>
      <c r="K212" s="16"/>
      <c r="L212" s="37" t="s">
        <v>107</v>
      </c>
      <c r="M212" s="37"/>
      <c r="N212" s="37">
        <v>213</v>
      </c>
      <c r="O212" s="37"/>
      <c r="P212" s="37"/>
      <c r="Q212" s="18">
        <v>5.0561389999999999</v>
      </c>
      <c r="R212" s="18">
        <v>3.4473674999999995E-2</v>
      </c>
      <c r="S212" s="18">
        <v>9.6526289999999992</v>
      </c>
      <c r="T212" s="18">
        <v>41.368409999999997</v>
      </c>
      <c r="U212" s="18">
        <v>20.684204999999999</v>
      </c>
      <c r="V212" s="18">
        <v>264.75782399999997</v>
      </c>
      <c r="W212" s="18">
        <v>248.21045999999998</v>
      </c>
      <c r="X212" s="18">
        <v>165.47363999999999</v>
      </c>
      <c r="Y212" s="18">
        <v>7.3543839999999996</v>
      </c>
      <c r="Z212" s="18">
        <v>32.635078999999998</v>
      </c>
      <c r="AA212" s="18">
        <v>47.803495999999996</v>
      </c>
      <c r="AB212" s="18">
        <v>85.035064999999989</v>
      </c>
      <c r="AC212" s="18">
        <v>26.199992999999999</v>
      </c>
      <c r="AD212" s="18">
        <v>137.8947</v>
      </c>
    </row>
    <row r="213" spans="2:30" x14ac:dyDescent="0.25">
      <c r="B213" t="s">
        <v>166</v>
      </c>
      <c r="C213" t="s">
        <v>105</v>
      </c>
      <c r="D213" t="s">
        <v>273</v>
      </c>
      <c r="E213" s="35">
        <v>0.9</v>
      </c>
      <c r="F213" s="35">
        <v>26</v>
      </c>
      <c r="G213" s="36">
        <v>0.33711999999999998</v>
      </c>
      <c r="H213" s="18">
        <v>606.81683099999998</v>
      </c>
      <c r="I213" s="16">
        <v>0</v>
      </c>
      <c r="J213" s="16"/>
      <c r="K213" s="16"/>
      <c r="L213" s="37" t="s">
        <v>107</v>
      </c>
      <c r="M213" s="37"/>
      <c r="N213" s="37">
        <v>214</v>
      </c>
      <c r="O213" s="37"/>
      <c r="P213" s="37"/>
      <c r="Q213" s="18">
        <v>3.7083199999999996</v>
      </c>
      <c r="R213" s="18">
        <v>2.5283999999999997E-2</v>
      </c>
      <c r="S213" s="18">
        <v>7.0795199999999996</v>
      </c>
      <c r="T213" s="18">
        <v>30.340799999999998</v>
      </c>
      <c r="U213" s="18">
        <v>15.170399999999999</v>
      </c>
      <c r="V213" s="18">
        <v>194.18111999999999</v>
      </c>
      <c r="W213" s="18">
        <v>182.04479999999998</v>
      </c>
      <c r="X213" s="18">
        <v>121.36319999999999</v>
      </c>
      <c r="Y213" s="18">
        <v>5.3939199999999996</v>
      </c>
      <c r="Z213" s="18">
        <v>23.935519999999997</v>
      </c>
      <c r="AA213" s="18">
        <v>35.060479999999998</v>
      </c>
      <c r="AB213" s="18">
        <v>62.367199999999997</v>
      </c>
      <c r="AC213" s="18">
        <v>19.21584</v>
      </c>
      <c r="AD213" s="18">
        <v>101.136</v>
      </c>
    </row>
    <row r="214" spans="2:30" x14ac:dyDescent="0.25">
      <c r="B214" t="s">
        <v>133</v>
      </c>
      <c r="C214" t="s">
        <v>105</v>
      </c>
      <c r="D214" t="s">
        <v>274</v>
      </c>
      <c r="E214" s="35">
        <v>0.9</v>
      </c>
      <c r="F214" s="35">
        <v>50</v>
      </c>
      <c r="G214" s="36">
        <v>0.76697000000000004</v>
      </c>
      <c r="H214" s="18">
        <v>1380.5467530000001</v>
      </c>
      <c r="I214" s="16">
        <v>0</v>
      </c>
      <c r="J214" s="16">
        <v>40</v>
      </c>
      <c r="K214" s="16"/>
      <c r="L214" s="37" t="s">
        <v>107</v>
      </c>
      <c r="M214" s="37"/>
      <c r="N214" s="37">
        <v>215</v>
      </c>
      <c r="O214" s="37"/>
      <c r="P214" s="37"/>
      <c r="Q214" s="18">
        <v>8.4366700000000012</v>
      </c>
      <c r="R214" s="18">
        <v>5.7522749999999997E-2</v>
      </c>
      <c r="S214" s="18">
        <v>16.106370000000002</v>
      </c>
      <c r="T214" s="18">
        <v>69.027299999999997</v>
      </c>
      <c r="U214" s="18">
        <v>34.513649999999998</v>
      </c>
      <c r="V214" s="18">
        <v>441.77472</v>
      </c>
      <c r="W214" s="18">
        <v>414.16380000000004</v>
      </c>
      <c r="X214" s="18">
        <v>276.10919999999999</v>
      </c>
      <c r="Y214" s="18">
        <v>12.271520000000001</v>
      </c>
      <c r="Z214" s="18">
        <v>54.45487</v>
      </c>
      <c r="AA214" s="18">
        <v>79.764880000000005</v>
      </c>
      <c r="AB214" s="18">
        <v>141.88945000000001</v>
      </c>
      <c r="AC214" s="18">
        <v>43.717290000000006</v>
      </c>
      <c r="AD214" s="18">
        <v>230.09100000000001</v>
      </c>
    </row>
    <row r="215" spans="2:30" x14ac:dyDescent="0.25">
      <c r="B215" t="s">
        <v>166</v>
      </c>
      <c r="C215" t="s">
        <v>105</v>
      </c>
      <c r="D215" t="s">
        <v>275</v>
      </c>
      <c r="E215" s="35">
        <v>0.9</v>
      </c>
      <c r="F215" s="35">
        <v>26</v>
      </c>
      <c r="G215" s="36">
        <v>0.31649500000000003</v>
      </c>
      <c r="H215" s="18">
        <v>569.69034199999999</v>
      </c>
      <c r="I215" s="16">
        <v>0</v>
      </c>
      <c r="J215" s="16"/>
      <c r="K215" s="16"/>
      <c r="L215" s="37" t="s">
        <v>107</v>
      </c>
      <c r="M215" s="37"/>
      <c r="N215" s="37">
        <v>216</v>
      </c>
      <c r="O215" s="37"/>
      <c r="P215" s="37"/>
      <c r="Q215" s="18">
        <v>3.4814450000000003</v>
      </c>
      <c r="R215" s="18">
        <v>2.3737125000000001E-2</v>
      </c>
      <c r="S215" s="18">
        <v>6.6463950000000009</v>
      </c>
      <c r="T215" s="18">
        <v>28.484550000000002</v>
      </c>
      <c r="U215" s="18">
        <v>14.242275000000001</v>
      </c>
      <c r="V215" s="18">
        <v>182.30112000000003</v>
      </c>
      <c r="W215" s="18">
        <v>170.90730000000002</v>
      </c>
      <c r="X215" s="18">
        <v>113.93820000000001</v>
      </c>
      <c r="Y215" s="18">
        <v>5.0639200000000004</v>
      </c>
      <c r="Z215" s="18">
        <v>22.471145000000003</v>
      </c>
      <c r="AA215" s="18">
        <v>32.915480000000002</v>
      </c>
      <c r="AB215" s="18">
        <v>58.551575000000007</v>
      </c>
      <c r="AC215" s="18">
        <v>18.040215</v>
      </c>
      <c r="AD215" s="18">
        <v>94.94850000000001</v>
      </c>
    </row>
    <row r="216" spans="2:30" x14ac:dyDescent="0.25">
      <c r="B216" t="s">
        <v>191</v>
      </c>
      <c r="C216" t="s">
        <v>105</v>
      </c>
      <c r="D216" t="s">
        <v>276</v>
      </c>
      <c r="E216" s="35">
        <v>0.9</v>
      </c>
      <c r="F216" s="35">
        <v>8.1999999999999993</v>
      </c>
      <c r="G216" s="36">
        <v>1.6749E-2</v>
      </c>
      <c r="H216" s="18">
        <v>30.148672000000001</v>
      </c>
      <c r="I216" s="16"/>
      <c r="J216" s="16"/>
      <c r="K216" s="16"/>
      <c r="L216" s="37" t="s">
        <v>107</v>
      </c>
      <c r="M216" s="37"/>
      <c r="N216" s="37">
        <v>217</v>
      </c>
      <c r="O216" s="37"/>
      <c r="P216" s="37"/>
      <c r="Q216" s="18">
        <v>0.18423899999999999</v>
      </c>
      <c r="R216" s="18">
        <v>1.256175E-3</v>
      </c>
      <c r="S216" s="18">
        <v>0.35172900000000001</v>
      </c>
      <c r="T216" s="18">
        <v>1.5074099999999999</v>
      </c>
      <c r="U216" s="18">
        <v>0.75370499999999996</v>
      </c>
      <c r="V216" s="18">
        <v>9.6474240000000009</v>
      </c>
      <c r="W216" s="18">
        <v>9.0444600000000008</v>
      </c>
      <c r="X216" s="18">
        <v>6.0296399999999997</v>
      </c>
      <c r="Y216" s="18">
        <v>0.267984</v>
      </c>
      <c r="Z216" s="18">
        <v>1.189179</v>
      </c>
      <c r="AA216" s="18">
        <v>1.7418960000000001</v>
      </c>
      <c r="AB216" s="18">
        <v>3.0985649999999998</v>
      </c>
      <c r="AC216" s="18">
        <v>0.95469300000000001</v>
      </c>
      <c r="AD216" s="18">
        <v>5.0247000000000002</v>
      </c>
    </row>
    <row r="217" spans="2:30" x14ac:dyDescent="0.25">
      <c r="B217" t="s">
        <v>158</v>
      </c>
      <c r="C217" t="s">
        <v>105</v>
      </c>
      <c r="D217" t="s">
        <v>277</v>
      </c>
      <c r="E217" s="35">
        <v>0.9</v>
      </c>
      <c r="F217" s="35">
        <v>18</v>
      </c>
      <c r="G217" s="36">
        <v>5.6877999999999998E-2</v>
      </c>
      <c r="H217" s="18">
        <v>102.380889</v>
      </c>
      <c r="I217" s="16">
        <v>0</v>
      </c>
      <c r="J217" s="16"/>
      <c r="K217" s="16"/>
      <c r="L217" s="37" t="s">
        <v>107</v>
      </c>
      <c r="M217" s="37"/>
      <c r="N217" s="37">
        <v>218</v>
      </c>
      <c r="O217" s="37"/>
      <c r="P217" s="37"/>
      <c r="Q217" s="18">
        <v>0.62565799999999994</v>
      </c>
      <c r="R217" s="18">
        <v>4.2658499999999999E-3</v>
      </c>
      <c r="S217" s="18">
        <v>1.1944379999999999</v>
      </c>
      <c r="T217" s="18">
        <v>5.1190199999999999</v>
      </c>
      <c r="U217" s="18">
        <v>2.55951</v>
      </c>
      <c r="V217" s="18">
        <v>32.761727999999998</v>
      </c>
      <c r="W217" s="18">
        <v>30.714119999999998</v>
      </c>
      <c r="X217" s="18">
        <v>20.47608</v>
      </c>
      <c r="Y217" s="18">
        <v>0.91004799999999997</v>
      </c>
      <c r="Z217" s="18">
        <v>4.0383379999999995</v>
      </c>
      <c r="AA217" s="18">
        <v>5.9153120000000001</v>
      </c>
      <c r="AB217" s="18">
        <v>10.52243</v>
      </c>
      <c r="AC217" s="18">
        <v>3.2420459999999998</v>
      </c>
      <c r="AD217" s="18">
        <v>17.063399999999998</v>
      </c>
    </row>
    <row r="218" spans="2:30" x14ac:dyDescent="0.25">
      <c r="B218" t="s">
        <v>108</v>
      </c>
      <c r="C218" t="s">
        <v>105</v>
      </c>
      <c r="D218" t="s">
        <v>278</v>
      </c>
      <c r="E218" s="35">
        <v>0.9</v>
      </c>
      <c r="F218" s="35">
        <v>16</v>
      </c>
      <c r="G218" s="36">
        <v>5.1944999999999998E-2</v>
      </c>
      <c r="H218" s="18">
        <v>93.501132999999996</v>
      </c>
      <c r="I218" s="16">
        <v>0</v>
      </c>
      <c r="J218" s="16"/>
      <c r="K218" s="16"/>
      <c r="L218" s="37" t="s">
        <v>107</v>
      </c>
      <c r="M218" s="37"/>
      <c r="N218" s="37">
        <v>219</v>
      </c>
      <c r="O218" s="37"/>
      <c r="P218" s="37"/>
      <c r="Q218" s="18">
        <v>0.57139499999999999</v>
      </c>
      <c r="R218" s="18">
        <v>3.8958749999999996E-3</v>
      </c>
      <c r="S218" s="18">
        <v>1.0908450000000001</v>
      </c>
      <c r="T218" s="18">
        <v>4.6750499999999997</v>
      </c>
      <c r="U218" s="18">
        <v>2.3375249999999999</v>
      </c>
      <c r="V218" s="18">
        <v>29.92032</v>
      </c>
      <c r="W218" s="18">
        <v>28.0503</v>
      </c>
      <c r="X218" s="18">
        <v>18.700199999999999</v>
      </c>
      <c r="Y218" s="18">
        <v>0.83111999999999997</v>
      </c>
      <c r="Z218" s="18">
        <v>3.6880949999999997</v>
      </c>
      <c r="AA218" s="18">
        <v>5.4022800000000002</v>
      </c>
      <c r="AB218" s="18">
        <v>9.609824999999999</v>
      </c>
      <c r="AC218" s="18">
        <v>2.9608650000000001</v>
      </c>
      <c r="AD218" s="18">
        <v>15.583499999999999</v>
      </c>
    </row>
    <row r="219" spans="2:30" x14ac:dyDescent="0.25">
      <c r="B219" t="s">
        <v>191</v>
      </c>
      <c r="C219" t="s">
        <v>105</v>
      </c>
      <c r="D219" t="s">
        <v>279</v>
      </c>
      <c r="E219" s="35">
        <v>0.9</v>
      </c>
      <c r="F219" s="35">
        <v>8.1999999999999993</v>
      </c>
      <c r="G219" s="36">
        <v>2.6183999999999999E-2</v>
      </c>
      <c r="H219" s="18">
        <v>47.131681999999998</v>
      </c>
      <c r="I219" s="16"/>
      <c r="J219" s="16"/>
      <c r="K219" s="16"/>
      <c r="L219" s="37" t="s">
        <v>107</v>
      </c>
      <c r="M219" s="37"/>
      <c r="N219" s="37">
        <v>220</v>
      </c>
      <c r="O219" s="37"/>
      <c r="P219" s="37"/>
      <c r="Q219" s="18">
        <v>0.288024</v>
      </c>
      <c r="R219" s="18">
        <v>1.9637999999999999E-3</v>
      </c>
      <c r="S219" s="18">
        <v>0.54986400000000002</v>
      </c>
      <c r="T219" s="18">
        <v>2.35656</v>
      </c>
      <c r="U219" s="18">
        <v>1.17828</v>
      </c>
      <c r="V219" s="18">
        <v>15.081983999999999</v>
      </c>
      <c r="W219" s="18">
        <v>14.13936</v>
      </c>
      <c r="X219" s="18">
        <v>9.42624</v>
      </c>
      <c r="Y219" s="18">
        <v>0.41894399999999998</v>
      </c>
      <c r="Z219" s="18">
        <v>1.8590639999999998</v>
      </c>
      <c r="AA219" s="18">
        <v>2.7231359999999998</v>
      </c>
      <c r="AB219" s="18">
        <v>4.8440399999999997</v>
      </c>
      <c r="AC219" s="18">
        <v>1.492488</v>
      </c>
      <c r="AD219" s="18">
        <v>7.8552</v>
      </c>
    </row>
    <row r="220" spans="2:30" x14ac:dyDescent="0.25">
      <c r="B220" t="s">
        <v>191</v>
      </c>
      <c r="C220" t="s">
        <v>105</v>
      </c>
      <c r="D220" t="s">
        <v>279</v>
      </c>
      <c r="E220" s="35">
        <v>0.9</v>
      </c>
      <c r="F220" s="35">
        <v>8.1999999999999993</v>
      </c>
      <c r="G220" s="36">
        <v>2.6183999999999999E-2</v>
      </c>
      <c r="H220" s="18">
        <v>47.131681999999998</v>
      </c>
      <c r="I220" s="16"/>
      <c r="J220" s="16"/>
      <c r="K220" s="16"/>
      <c r="L220" s="37" t="s">
        <v>107</v>
      </c>
      <c r="M220" s="37"/>
      <c r="N220" s="37">
        <v>221</v>
      </c>
      <c r="O220" s="37"/>
      <c r="P220" s="37"/>
      <c r="Q220" s="18">
        <v>0.288024</v>
      </c>
      <c r="R220" s="18">
        <v>1.9637999999999999E-3</v>
      </c>
      <c r="S220" s="18">
        <v>0.54986400000000002</v>
      </c>
      <c r="T220" s="18">
        <v>2.35656</v>
      </c>
      <c r="U220" s="18">
        <v>1.17828</v>
      </c>
      <c r="V220" s="18">
        <v>15.081983999999999</v>
      </c>
      <c r="W220" s="18">
        <v>14.13936</v>
      </c>
      <c r="X220" s="18">
        <v>9.42624</v>
      </c>
      <c r="Y220" s="18">
        <v>0.41894399999999998</v>
      </c>
      <c r="Z220" s="18">
        <v>1.8590639999999998</v>
      </c>
      <c r="AA220" s="18">
        <v>2.7231359999999998</v>
      </c>
      <c r="AB220" s="18">
        <v>4.8440399999999997</v>
      </c>
      <c r="AC220" s="18">
        <v>1.492488</v>
      </c>
      <c r="AD220" s="18">
        <v>7.8552</v>
      </c>
    </row>
    <row r="221" spans="2:30" x14ac:dyDescent="0.25">
      <c r="B221" t="s">
        <v>108</v>
      </c>
      <c r="C221" t="s">
        <v>105</v>
      </c>
      <c r="D221" t="s">
        <v>278</v>
      </c>
      <c r="E221" s="35">
        <v>0.9</v>
      </c>
      <c r="F221" s="35">
        <v>16</v>
      </c>
      <c r="G221" s="36">
        <v>5.1944999999999998E-2</v>
      </c>
      <c r="H221" s="18">
        <v>93.501132999999996</v>
      </c>
      <c r="I221" s="16">
        <v>0</v>
      </c>
      <c r="J221" s="16"/>
      <c r="K221" s="16"/>
      <c r="L221" s="37" t="s">
        <v>107</v>
      </c>
      <c r="M221" s="37"/>
      <c r="N221" s="37">
        <v>222</v>
      </c>
      <c r="O221" s="37"/>
      <c r="P221" s="37"/>
      <c r="Q221" s="18">
        <v>0.57139499999999999</v>
      </c>
      <c r="R221" s="18">
        <v>3.8958749999999996E-3</v>
      </c>
      <c r="S221" s="18">
        <v>1.0908450000000001</v>
      </c>
      <c r="T221" s="18">
        <v>4.6750499999999997</v>
      </c>
      <c r="U221" s="18">
        <v>2.3375249999999999</v>
      </c>
      <c r="V221" s="18">
        <v>29.92032</v>
      </c>
      <c r="W221" s="18">
        <v>28.0503</v>
      </c>
      <c r="X221" s="18">
        <v>18.700199999999999</v>
      </c>
      <c r="Y221" s="18">
        <v>0.83111999999999997</v>
      </c>
      <c r="Z221" s="18">
        <v>3.6880949999999997</v>
      </c>
      <c r="AA221" s="18">
        <v>5.4022800000000002</v>
      </c>
      <c r="AB221" s="18">
        <v>9.609824999999999</v>
      </c>
      <c r="AC221" s="18">
        <v>2.9608650000000001</v>
      </c>
      <c r="AD221" s="18">
        <v>15.583499999999999</v>
      </c>
    </row>
    <row r="222" spans="2:30" x14ac:dyDescent="0.25">
      <c r="B222" t="s">
        <v>108</v>
      </c>
      <c r="C222" t="s">
        <v>105</v>
      </c>
      <c r="D222" t="s">
        <v>280</v>
      </c>
      <c r="E222" s="35">
        <v>0.9</v>
      </c>
      <c r="F222" s="35">
        <v>16</v>
      </c>
      <c r="G222" s="36">
        <v>5.8878E-2</v>
      </c>
      <c r="H222" s="18">
        <v>105.980625</v>
      </c>
      <c r="I222" s="16">
        <v>0</v>
      </c>
      <c r="J222" s="16"/>
      <c r="K222" s="16"/>
      <c r="L222" s="37" t="s">
        <v>107</v>
      </c>
      <c r="M222" s="37"/>
      <c r="N222" s="37">
        <v>223</v>
      </c>
      <c r="O222" s="37"/>
      <c r="P222" s="37"/>
      <c r="Q222" s="18">
        <v>0.64765799999999996</v>
      </c>
      <c r="R222" s="18">
        <v>4.4158499999999998E-3</v>
      </c>
      <c r="S222" s="18">
        <v>1.2364379999999999</v>
      </c>
      <c r="T222" s="18">
        <v>5.2990199999999996</v>
      </c>
      <c r="U222" s="18">
        <v>2.6495099999999998</v>
      </c>
      <c r="V222" s="18">
        <v>33.913727999999999</v>
      </c>
      <c r="W222" s="18">
        <v>31.794119999999999</v>
      </c>
      <c r="X222" s="18">
        <v>21.196079999999998</v>
      </c>
      <c r="Y222" s="18">
        <v>0.942048</v>
      </c>
      <c r="Z222" s="18">
        <v>4.1803379999999999</v>
      </c>
      <c r="AA222" s="18">
        <v>6.1233120000000003</v>
      </c>
      <c r="AB222" s="18">
        <v>10.892429999999999</v>
      </c>
      <c r="AC222" s="18">
        <v>3.3560460000000001</v>
      </c>
      <c r="AD222" s="18">
        <v>17.663399999999999</v>
      </c>
    </row>
    <row r="223" spans="2:30" x14ac:dyDescent="0.25">
      <c r="B223" t="s">
        <v>108</v>
      </c>
      <c r="C223" t="s">
        <v>105</v>
      </c>
      <c r="D223" t="s">
        <v>280</v>
      </c>
      <c r="E223" s="35">
        <v>0.9</v>
      </c>
      <c r="F223" s="35">
        <v>16</v>
      </c>
      <c r="G223" s="36">
        <v>5.8878E-2</v>
      </c>
      <c r="H223" s="18">
        <v>105.980625</v>
      </c>
      <c r="I223" s="16">
        <v>0</v>
      </c>
      <c r="J223" s="16"/>
      <c r="K223" s="16"/>
      <c r="L223" s="37" t="s">
        <v>107</v>
      </c>
      <c r="M223" s="37"/>
      <c r="N223" s="37">
        <v>224</v>
      </c>
      <c r="O223" s="37"/>
      <c r="P223" s="37"/>
      <c r="Q223" s="18">
        <v>0.64765799999999996</v>
      </c>
      <c r="R223" s="18">
        <v>4.4158499999999998E-3</v>
      </c>
      <c r="S223" s="18">
        <v>1.2364379999999999</v>
      </c>
      <c r="T223" s="18">
        <v>5.2990199999999996</v>
      </c>
      <c r="U223" s="18">
        <v>2.6495099999999998</v>
      </c>
      <c r="V223" s="18">
        <v>33.913727999999999</v>
      </c>
      <c r="W223" s="18">
        <v>31.794119999999999</v>
      </c>
      <c r="X223" s="18">
        <v>21.196079999999998</v>
      </c>
      <c r="Y223" s="18">
        <v>0.942048</v>
      </c>
      <c r="Z223" s="18">
        <v>4.1803379999999999</v>
      </c>
      <c r="AA223" s="18">
        <v>6.1233120000000003</v>
      </c>
      <c r="AB223" s="18">
        <v>10.892429999999999</v>
      </c>
      <c r="AC223" s="18">
        <v>3.3560460000000001</v>
      </c>
      <c r="AD223" s="18">
        <v>17.663399999999999</v>
      </c>
    </row>
    <row r="224" spans="2:30" x14ac:dyDescent="0.25">
      <c r="B224" t="s">
        <v>108</v>
      </c>
      <c r="C224" t="s">
        <v>105</v>
      </c>
      <c r="D224" t="s">
        <v>280</v>
      </c>
      <c r="E224" s="35">
        <v>0.9</v>
      </c>
      <c r="F224" s="35">
        <v>16</v>
      </c>
      <c r="G224" s="36">
        <v>5.8878E-2</v>
      </c>
      <c r="H224" s="18">
        <v>105.980625</v>
      </c>
      <c r="I224" s="16">
        <v>0</v>
      </c>
      <c r="J224" s="16"/>
      <c r="K224" s="16"/>
      <c r="L224" s="37" t="s">
        <v>107</v>
      </c>
      <c r="M224" s="37"/>
      <c r="N224" s="37">
        <v>225</v>
      </c>
      <c r="O224" s="37"/>
      <c r="P224" s="37"/>
      <c r="Q224" s="18">
        <v>0.64765799999999996</v>
      </c>
      <c r="R224" s="18">
        <v>4.4158499999999998E-3</v>
      </c>
      <c r="S224" s="18">
        <v>1.2364379999999999</v>
      </c>
      <c r="T224" s="18">
        <v>5.2990199999999996</v>
      </c>
      <c r="U224" s="18">
        <v>2.6495099999999998</v>
      </c>
      <c r="V224" s="18">
        <v>33.913727999999999</v>
      </c>
      <c r="W224" s="18">
        <v>31.794119999999999</v>
      </c>
      <c r="X224" s="18">
        <v>21.196079999999998</v>
      </c>
      <c r="Y224" s="18">
        <v>0.942048</v>
      </c>
      <c r="Z224" s="18">
        <v>4.1803379999999999</v>
      </c>
      <c r="AA224" s="18">
        <v>6.1233120000000003</v>
      </c>
      <c r="AB224" s="18">
        <v>10.892429999999999</v>
      </c>
      <c r="AC224" s="18">
        <v>3.3560460000000001</v>
      </c>
      <c r="AD224" s="18">
        <v>17.663399999999999</v>
      </c>
    </row>
    <row r="225" spans="2:30" x14ac:dyDescent="0.25">
      <c r="B225" t="s">
        <v>108</v>
      </c>
      <c r="C225" t="s">
        <v>105</v>
      </c>
      <c r="D225" t="s">
        <v>280</v>
      </c>
      <c r="E225" s="35">
        <v>0.9</v>
      </c>
      <c r="F225" s="35">
        <v>16</v>
      </c>
      <c r="G225" s="36">
        <v>5.8878E-2</v>
      </c>
      <c r="H225" s="18">
        <v>105.980625</v>
      </c>
      <c r="I225" s="16">
        <v>0</v>
      </c>
      <c r="J225" s="16"/>
      <c r="K225" s="16"/>
      <c r="L225" s="37" t="s">
        <v>107</v>
      </c>
      <c r="M225" s="37"/>
      <c r="N225" s="37">
        <v>226</v>
      </c>
      <c r="O225" s="37"/>
      <c r="P225" s="37"/>
      <c r="Q225" s="18">
        <v>0.64765799999999996</v>
      </c>
      <c r="R225" s="18">
        <v>4.4158499999999998E-3</v>
      </c>
      <c r="S225" s="18">
        <v>1.2364379999999999</v>
      </c>
      <c r="T225" s="18">
        <v>5.2990199999999996</v>
      </c>
      <c r="U225" s="18">
        <v>2.6495099999999998</v>
      </c>
      <c r="V225" s="18">
        <v>33.913727999999999</v>
      </c>
      <c r="W225" s="18">
        <v>31.794119999999999</v>
      </c>
      <c r="X225" s="18">
        <v>21.196079999999998</v>
      </c>
      <c r="Y225" s="18">
        <v>0.942048</v>
      </c>
      <c r="Z225" s="18">
        <v>4.1803379999999999</v>
      </c>
      <c r="AA225" s="18">
        <v>6.1233120000000003</v>
      </c>
      <c r="AB225" s="18">
        <v>10.892429999999999</v>
      </c>
      <c r="AC225" s="18">
        <v>3.3560460000000001</v>
      </c>
      <c r="AD225" s="18">
        <v>17.663399999999999</v>
      </c>
    </row>
    <row r="226" spans="2:30" x14ac:dyDescent="0.25">
      <c r="B226" t="s">
        <v>108</v>
      </c>
      <c r="C226" t="s">
        <v>105</v>
      </c>
      <c r="D226" t="s">
        <v>280</v>
      </c>
      <c r="E226" s="35">
        <v>0.9</v>
      </c>
      <c r="F226" s="35">
        <v>16</v>
      </c>
      <c r="G226" s="36">
        <v>5.8878E-2</v>
      </c>
      <c r="H226" s="18">
        <v>105.980625</v>
      </c>
      <c r="I226" s="16">
        <v>0</v>
      </c>
      <c r="J226" s="16"/>
      <c r="K226" s="16"/>
      <c r="L226" s="37" t="s">
        <v>107</v>
      </c>
      <c r="M226" s="37"/>
      <c r="N226" s="37">
        <v>227</v>
      </c>
      <c r="O226" s="37"/>
      <c r="P226" s="37"/>
      <c r="Q226" s="18">
        <v>0.64765799999999996</v>
      </c>
      <c r="R226" s="18">
        <v>4.4158499999999998E-3</v>
      </c>
      <c r="S226" s="18">
        <v>1.2364379999999999</v>
      </c>
      <c r="T226" s="18">
        <v>5.2990199999999996</v>
      </c>
      <c r="U226" s="18">
        <v>2.6495099999999998</v>
      </c>
      <c r="V226" s="18">
        <v>33.913727999999999</v>
      </c>
      <c r="W226" s="18">
        <v>31.794119999999999</v>
      </c>
      <c r="X226" s="18">
        <v>21.196079999999998</v>
      </c>
      <c r="Y226" s="18">
        <v>0.942048</v>
      </c>
      <c r="Z226" s="18">
        <v>4.1803379999999999</v>
      </c>
      <c r="AA226" s="18">
        <v>6.1233120000000003</v>
      </c>
      <c r="AB226" s="18">
        <v>10.892429999999999</v>
      </c>
      <c r="AC226" s="18">
        <v>3.3560460000000001</v>
      </c>
      <c r="AD226" s="18">
        <v>17.663399999999999</v>
      </c>
    </row>
    <row r="227" spans="2:30" x14ac:dyDescent="0.25">
      <c r="B227" t="s">
        <v>108</v>
      </c>
      <c r="C227" t="s">
        <v>105</v>
      </c>
      <c r="D227" t="s">
        <v>280</v>
      </c>
      <c r="E227" s="35">
        <v>0.9</v>
      </c>
      <c r="F227" s="35">
        <v>16</v>
      </c>
      <c r="G227" s="36">
        <v>5.8878E-2</v>
      </c>
      <c r="H227" s="18">
        <v>105.980625</v>
      </c>
      <c r="I227" s="16">
        <v>0</v>
      </c>
      <c r="J227" s="16"/>
      <c r="K227" s="16"/>
      <c r="L227" s="37" t="s">
        <v>107</v>
      </c>
      <c r="M227" s="37"/>
      <c r="N227" s="37">
        <v>228</v>
      </c>
      <c r="O227" s="37"/>
      <c r="P227" s="37"/>
      <c r="Q227" s="18">
        <v>0.64765799999999996</v>
      </c>
      <c r="R227" s="18">
        <v>4.4158499999999998E-3</v>
      </c>
      <c r="S227" s="18">
        <v>1.2364379999999999</v>
      </c>
      <c r="T227" s="18">
        <v>5.2990199999999996</v>
      </c>
      <c r="U227" s="18">
        <v>2.6495099999999998</v>
      </c>
      <c r="V227" s="18">
        <v>33.913727999999999</v>
      </c>
      <c r="W227" s="18">
        <v>31.794119999999999</v>
      </c>
      <c r="X227" s="18">
        <v>21.196079999999998</v>
      </c>
      <c r="Y227" s="18">
        <v>0.942048</v>
      </c>
      <c r="Z227" s="18">
        <v>4.1803379999999999</v>
      </c>
      <c r="AA227" s="18">
        <v>6.1233120000000003</v>
      </c>
      <c r="AB227" s="18">
        <v>10.892429999999999</v>
      </c>
      <c r="AC227" s="18">
        <v>3.3560460000000001</v>
      </c>
      <c r="AD227" s="18">
        <v>17.663399999999999</v>
      </c>
    </row>
    <row r="228" spans="2:30" x14ac:dyDescent="0.25">
      <c r="B228" t="s">
        <v>108</v>
      </c>
      <c r="C228" t="s">
        <v>105</v>
      </c>
      <c r="D228" t="s">
        <v>280</v>
      </c>
      <c r="E228" s="35">
        <v>0.9</v>
      </c>
      <c r="F228" s="35">
        <v>16</v>
      </c>
      <c r="G228" s="36">
        <v>5.8878E-2</v>
      </c>
      <c r="H228" s="18">
        <v>105.980625</v>
      </c>
      <c r="I228" s="16">
        <v>0</v>
      </c>
      <c r="J228" s="16"/>
      <c r="K228" s="16"/>
      <c r="L228" s="37" t="s">
        <v>107</v>
      </c>
      <c r="M228" s="37"/>
      <c r="N228" s="37">
        <v>229</v>
      </c>
      <c r="O228" s="37"/>
      <c r="P228" s="37"/>
      <c r="Q228" s="18">
        <v>0.64765799999999996</v>
      </c>
      <c r="R228" s="18">
        <v>4.4158499999999998E-3</v>
      </c>
      <c r="S228" s="18">
        <v>1.2364379999999999</v>
      </c>
      <c r="T228" s="18">
        <v>5.2990199999999996</v>
      </c>
      <c r="U228" s="18">
        <v>2.6495099999999998</v>
      </c>
      <c r="V228" s="18">
        <v>33.913727999999999</v>
      </c>
      <c r="W228" s="18">
        <v>31.794119999999999</v>
      </c>
      <c r="X228" s="18">
        <v>21.196079999999998</v>
      </c>
      <c r="Y228" s="18">
        <v>0.942048</v>
      </c>
      <c r="Z228" s="18">
        <v>4.1803379999999999</v>
      </c>
      <c r="AA228" s="18">
        <v>6.1233120000000003</v>
      </c>
      <c r="AB228" s="18">
        <v>10.892429999999999</v>
      </c>
      <c r="AC228" s="18">
        <v>3.3560460000000001</v>
      </c>
      <c r="AD228" s="18">
        <v>17.663399999999999</v>
      </c>
    </row>
    <row r="229" spans="2:30" x14ac:dyDescent="0.25">
      <c r="B229" t="s">
        <v>108</v>
      </c>
      <c r="C229" t="s">
        <v>105</v>
      </c>
      <c r="D229" t="s">
        <v>281</v>
      </c>
      <c r="E229" s="35">
        <v>0.9</v>
      </c>
      <c r="F229" s="35">
        <v>16</v>
      </c>
      <c r="G229" s="36">
        <v>6.3464999999999994E-2</v>
      </c>
      <c r="H229" s="18">
        <v>114.236289</v>
      </c>
      <c r="I229" s="16">
        <v>0</v>
      </c>
      <c r="J229" s="16"/>
      <c r="K229" s="16"/>
      <c r="L229" s="37" t="s">
        <v>107</v>
      </c>
      <c r="M229" s="37"/>
      <c r="N229" s="37">
        <v>230</v>
      </c>
      <c r="O229" s="37"/>
      <c r="P229" s="37"/>
      <c r="Q229" s="18">
        <v>0.69811499999999993</v>
      </c>
      <c r="R229" s="18">
        <v>4.7598749999999993E-3</v>
      </c>
      <c r="S229" s="18">
        <v>1.3327649999999998</v>
      </c>
      <c r="T229" s="18">
        <v>5.7118499999999992</v>
      </c>
      <c r="U229" s="18">
        <v>2.8559249999999996</v>
      </c>
      <c r="V229" s="18">
        <v>36.555839999999996</v>
      </c>
      <c r="W229" s="18">
        <v>34.271099999999997</v>
      </c>
      <c r="X229" s="18">
        <v>22.847399999999997</v>
      </c>
      <c r="Y229" s="18">
        <v>1.0154399999999999</v>
      </c>
      <c r="Z229" s="18">
        <v>4.5060149999999997</v>
      </c>
      <c r="AA229" s="18">
        <v>6.6003599999999993</v>
      </c>
      <c r="AB229" s="18">
        <v>11.741024999999999</v>
      </c>
      <c r="AC229" s="18">
        <v>3.6175049999999995</v>
      </c>
      <c r="AD229" s="18">
        <v>19.039499999999997</v>
      </c>
    </row>
    <row r="230" spans="2:30" x14ac:dyDescent="0.25">
      <c r="B230" t="s">
        <v>108</v>
      </c>
      <c r="C230" t="s">
        <v>105</v>
      </c>
      <c r="D230" t="s">
        <v>281</v>
      </c>
      <c r="E230" s="35">
        <v>0.9</v>
      </c>
      <c r="F230" s="35">
        <v>16</v>
      </c>
      <c r="G230" s="36">
        <v>6.3464999999999994E-2</v>
      </c>
      <c r="H230" s="18">
        <v>114.236289</v>
      </c>
      <c r="I230" s="16">
        <v>0</v>
      </c>
      <c r="J230" s="16"/>
      <c r="K230" s="16"/>
      <c r="L230" s="37" t="s">
        <v>107</v>
      </c>
      <c r="M230" s="37"/>
      <c r="N230" s="37">
        <v>231</v>
      </c>
      <c r="O230" s="37"/>
      <c r="P230" s="37"/>
      <c r="Q230" s="18">
        <v>0.69811499999999993</v>
      </c>
      <c r="R230" s="18">
        <v>4.7598749999999993E-3</v>
      </c>
      <c r="S230" s="18">
        <v>1.3327649999999998</v>
      </c>
      <c r="T230" s="18">
        <v>5.7118499999999992</v>
      </c>
      <c r="U230" s="18">
        <v>2.8559249999999996</v>
      </c>
      <c r="V230" s="18">
        <v>36.555839999999996</v>
      </c>
      <c r="W230" s="18">
        <v>34.271099999999997</v>
      </c>
      <c r="X230" s="18">
        <v>22.847399999999997</v>
      </c>
      <c r="Y230" s="18">
        <v>1.0154399999999999</v>
      </c>
      <c r="Z230" s="18">
        <v>4.5060149999999997</v>
      </c>
      <c r="AA230" s="18">
        <v>6.6003599999999993</v>
      </c>
      <c r="AB230" s="18">
        <v>11.741024999999999</v>
      </c>
      <c r="AC230" s="18">
        <v>3.6175049999999995</v>
      </c>
      <c r="AD230" s="18">
        <v>19.039499999999997</v>
      </c>
    </row>
    <row r="231" spans="2:30" x14ac:dyDescent="0.25">
      <c r="B231" t="s">
        <v>191</v>
      </c>
      <c r="C231" t="s">
        <v>105</v>
      </c>
      <c r="D231" t="s">
        <v>276</v>
      </c>
      <c r="E231" s="35">
        <v>0.9</v>
      </c>
      <c r="F231" s="35">
        <v>8.1999999999999993</v>
      </c>
      <c r="G231" s="36">
        <v>1.6749E-2</v>
      </c>
      <c r="H231" s="18">
        <v>30.148672000000001</v>
      </c>
      <c r="I231" s="16"/>
      <c r="J231" s="16"/>
      <c r="K231" s="16"/>
      <c r="L231" s="37" t="s">
        <v>107</v>
      </c>
      <c r="M231" s="37"/>
      <c r="N231" s="37">
        <v>232</v>
      </c>
      <c r="O231" s="37"/>
      <c r="P231" s="37"/>
      <c r="Q231" s="18">
        <v>0.18423899999999999</v>
      </c>
      <c r="R231" s="18">
        <v>1.256175E-3</v>
      </c>
      <c r="S231" s="18">
        <v>0.35172900000000001</v>
      </c>
      <c r="T231" s="18">
        <v>1.5074099999999999</v>
      </c>
      <c r="U231" s="18">
        <v>0.75370499999999996</v>
      </c>
      <c r="V231" s="18">
        <v>9.6474240000000009</v>
      </c>
      <c r="W231" s="18">
        <v>9.0444600000000008</v>
      </c>
      <c r="X231" s="18">
        <v>6.0296399999999997</v>
      </c>
      <c r="Y231" s="18">
        <v>0.267984</v>
      </c>
      <c r="Z231" s="18">
        <v>1.189179</v>
      </c>
      <c r="AA231" s="18">
        <v>1.7418960000000001</v>
      </c>
      <c r="AB231" s="18">
        <v>3.0985649999999998</v>
      </c>
      <c r="AC231" s="18">
        <v>0.95469300000000001</v>
      </c>
      <c r="AD231" s="18">
        <v>5.0247000000000002</v>
      </c>
    </row>
    <row r="232" spans="2:30" x14ac:dyDescent="0.25">
      <c r="B232" t="s">
        <v>108</v>
      </c>
      <c r="C232" t="s">
        <v>105</v>
      </c>
      <c r="D232" t="s">
        <v>282</v>
      </c>
      <c r="E232" s="35">
        <v>0.9</v>
      </c>
      <c r="F232" s="35">
        <v>16</v>
      </c>
      <c r="G232" s="36">
        <v>1.7864000000000001E-2</v>
      </c>
      <c r="H232" s="18">
        <v>32.154902999999997</v>
      </c>
      <c r="I232" s="16">
        <v>0</v>
      </c>
      <c r="J232" s="16"/>
      <c r="K232" s="16"/>
      <c r="L232" s="37" t="s">
        <v>107</v>
      </c>
      <c r="M232" s="37"/>
      <c r="N232" s="37">
        <v>233</v>
      </c>
      <c r="O232" s="37"/>
      <c r="P232" s="37"/>
      <c r="Q232" s="18">
        <v>0.19650400000000001</v>
      </c>
      <c r="R232" s="18">
        <v>1.3398000000000001E-3</v>
      </c>
      <c r="S232" s="18">
        <v>0.37514400000000003</v>
      </c>
      <c r="T232" s="18">
        <v>1.6077600000000001</v>
      </c>
      <c r="U232" s="18">
        <v>0.80388000000000004</v>
      </c>
      <c r="V232" s="18">
        <v>10.289664</v>
      </c>
      <c r="W232" s="18">
        <v>9.6465600000000009</v>
      </c>
      <c r="X232" s="18">
        <v>6.4310400000000003</v>
      </c>
      <c r="Y232" s="18">
        <v>0.28582400000000002</v>
      </c>
      <c r="Z232" s="18">
        <v>1.2683440000000001</v>
      </c>
      <c r="AA232" s="18">
        <v>1.8578560000000002</v>
      </c>
      <c r="AB232" s="18">
        <v>3.3048400000000004</v>
      </c>
      <c r="AC232" s="18">
        <v>1.018248</v>
      </c>
      <c r="AD232" s="18">
        <v>5.3592000000000004</v>
      </c>
    </row>
    <row r="233" spans="2:30" x14ac:dyDescent="0.25">
      <c r="B233" t="s">
        <v>160</v>
      </c>
      <c r="C233" t="s">
        <v>105</v>
      </c>
      <c r="D233" t="s">
        <v>257</v>
      </c>
      <c r="E233" s="35">
        <v>0.9</v>
      </c>
      <c r="F233" s="35">
        <v>31</v>
      </c>
      <c r="G233" s="36">
        <v>0.469115</v>
      </c>
      <c r="H233" s="18">
        <v>844.40745600000002</v>
      </c>
      <c r="I233" s="16">
        <v>0</v>
      </c>
      <c r="J233" s="16"/>
      <c r="K233" s="16"/>
      <c r="L233" s="37" t="s">
        <v>107</v>
      </c>
      <c r="M233" s="37"/>
      <c r="N233" s="37">
        <v>234</v>
      </c>
      <c r="O233" s="37"/>
      <c r="P233" s="37"/>
      <c r="Q233" s="18">
        <v>5.1602649999999999</v>
      </c>
      <c r="R233" s="18">
        <v>3.5183624999999996E-2</v>
      </c>
      <c r="S233" s="18">
        <v>9.8514149999999994</v>
      </c>
      <c r="T233" s="18">
        <v>42.220350000000003</v>
      </c>
      <c r="U233" s="18">
        <v>21.110175000000002</v>
      </c>
      <c r="V233" s="18">
        <v>270.21024</v>
      </c>
      <c r="W233" s="18">
        <v>253.32210000000001</v>
      </c>
      <c r="X233" s="18">
        <v>168.88140000000001</v>
      </c>
      <c r="Y233" s="18">
        <v>7.5058400000000001</v>
      </c>
      <c r="Z233" s="18">
        <v>33.307164999999998</v>
      </c>
      <c r="AA233" s="18">
        <v>48.787959999999998</v>
      </c>
      <c r="AB233" s="18">
        <v>86.786275000000003</v>
      </c>
      <c r="AC233" s="18">
        <v>26.739554999999999</v>
      </c>
      <c r="AD233" s="18">
        <v>140.7345</v>
      </c>
    </row>
    <row r="234" spans="2:30" x14ac:dyDescent="0.25">
      <c r="B234" t="s">
        <v>110</v>
      </c>
      <c r="C234" t="s">
        <v>105</v>
      </c>
      <c r="D234" t="s">
        <v>258</v>
      </c>
      <c r="E234" s="35">
        <v>0.9</v>
      </c>
      <c r="F234" s="35">
        <v>22</v>
      </c>
      <c r="G234" s="36">
        <v>0.27792299999999998</v>
      </c>
      <c r="H234" s="18">
        <v>500.26093300000002</v>
      </c>
      <c r="I234" s="16">
        <v>0</v>
      </c>
      <c r="J234" s="16"/>
      <c r="K234" s="16"/>
      <c r="L234" s="37" t="s">
        <v>107</v>
      </c>
      <c r="M234" s="37"/>
      <c r="N234" s="37">
        <v>235</v>
      </c>
      <c r="O234" s="37"/>
      <c r="P234" s="37"/>
      <c r="Q234" s="18">
        <v>3.0571529999999996</v>
      </c>
      <c r="R234" s="18">
        <v>2.0844224999999997E-2</v>
      </c>
      <c r="S234" s="18">
        <v>5.8363829999999997</v>
      </c>
      <c r="T234" s="18">
        <v>25.013069999999999</v>
      </c>
      <c r="U234" s="18">
        <v>12.506535</v>
      </c>
      <c r="V234" s="18">
        <v>160.08364799999998</v>
      </c>
      <c r="W234" s="18">
        <v>150.07841999999999</v>
      </c>
      <c r="X234" s="18">
        <v>100.05228</v>
      </c>
      <c r="Y234" s="18">
        <v>4.4467679999999996</v>
      </c>
      <c r="Z234" s="18">
        <v>19.732532999999997</v>
      </c>
      <c r="AA234" s="18">
        <v>28.903991999999999</v>
      </c>
      <c r="AB234" s="18">
        <v>51.415754999999997</v>
      </c>
      <c r="AC234" s="18">
        <v>15.841610999999999</v>
      </c>
      <c r="AD234" s="18">
        <v>83.376899999999992</v>
      </c>
    </row>
    <row r="235" spans="2:30" x14ac:dyDescent="0.25">
      <c r="B235" t="s">
        <v>108</v>
      </c>
      <c r="C235" t="s">
        <v>105</v>
      </c>
      <c r="D235" t="s">
        <v>226</v>
      </c>
      <c r="E235" s="35">
        <v>0.9</v>
      </c>
      <c r="F235" s="35">
        <v>16</v>
      </c>
      <c r="G235" s="36">
        <v>9.1410000000000005E-2</v>
      </c>
      <c r="H235" s="18">
        <v>164.538242</v>
      </c>
      <c r="I235" s="16">
        <v>0</v>
      </c>
      <c r="J235" s="16"/>
      <c r="K235" s="16"/>
      <c r="L235" s="37" t="s">
        <v>107</v>
      </c>
      <c r="M235" s="37"/>
      <c r="N235" s="37">
        <v>236</v>
      </c>
      <c r="O235" s="37"/>
      <c r="P235" s="37"/>
      <c r="Q235" s="18">
        <v>1.0055100000000001</v>
      </c>
      <c r="R235" s="18">
        <v>6.8557499999999999E-3</v>
      </c>
      <c r="S235" s="18">
        <v>1.91961</v>
      </c>
      <c r="T235" s="18">
        <v>8.2269000000000005</v>
      </c>
      <c r="U235" s="18">
        <v>4.1134500000000003</v>
      </c>
      <c r="V235" s="18">
        <v>52.652160000000002</v>
      </c>
      <c r="W235" s="18">
        <v>49.361400000000003</v>
      </c>
      <c r="X235" s="18">
        <v>32.907600000000002</v>
      </c>
      <c r="Y235" s="18">
        <v>1.4625600000000001</v>
      </c>
      <c r="Z235" s="18">
        <v>6.4901100000000005</v>
      </c>
      <c r="AA235" s="18">
        <v>9.5066400000000009</v>
      </c>
      <c r="AB235" s="18">
        <v>16.91085</v>
      </c>
      <c r="AC235" s="18">
        <v>5.2103700000000002</v>
      </c>
      <c r="AD235" s="18">
        <v>27.423000000000002</v>
      </c>
    </row>
    <row r="236" spans="2:30" x14ac:dyDescent="0.25">
      <c r="B236" t="s">
        <v>124</v>
      </c>
      <c r="C236" t="s">
        <v>105</v>
      </c>
      <c r="D236" t="s">
        <v>283</v>
      </c>
      <c r="E236" s="35">
        <v>0.9</v>
      </c>
      <c r="F236" s="35">
        <v>35</v>
      </c>
      <c r="G236" s="36">
        <v>0.476215</v>
      </c>
      <c r="H236" s="18">
        <v>857.18717000000004</v>
      </c>
      <c r="I236" s="16">
        <v>0</v>
      </c>
      <c r="J236" s="16"/>
      <c r="K236" s="16"/>
      <c r="L236" s="37" t="s">
        <v>107</v>
      </c>
      <c r="M236" s="37"/>
      <c r="N236" s="37">
        <v>237</v>
      </c>
      <c r="O236" s="37"/>
      <c r="P236" s="37"/>
      <c r="Q236" s="18">
        <v>5.2383649999999999</v>
      </c>
      <c r="R236" s="18">
        <v>3.5716125000000001E-2</v>
      </c>
      <c r="S236" s="18">
        <v>10.000515</v>
      </c>
      <c r="T236" s="18">
        <v>42.859349999999999</v>
      </c>
      <c r="U236" s="18">
        <v>21.429675</v>
      </c>
      <c r="V236" s="18">
        <v>274.29984000000002</v>
      </c>
      <c r="W236" s="18">
        <v>257.15609999999998</v>
      </c>
      <c r="X236" s="18">
        <v>171.4374</v>
      </c>
      <c r="Y236" s="18">
        <v>7.61944</v>
      </c>
      <c r="Z236" s="18">
        <v>33.811264999999999</v>
      </c>
      <c r="AA236" s="18">
        <v>49.526359999999997</v>
      </c>
      <c r="AB236" s="18">
        <v>88.099774999999994</v>
      </c>
      <c r="AC236" s="18">
        <v>27.144255000000001</v>
      </c>
      <c r="AD236" s="18">
        <v>142.86449999999999</v>
      </c>
    </row>
    <row r="237" spans="2:30" x14ac:dyDescent="0.25">
      <c r="B237" t="s">
        <v>166</v>
      </c>
      <c r="C237" t="s">
        <v>105</v>
      </c>
      <c r="D237" t="s">
        <v>284</v>
      </c>
      <c r="E237" s="35">
        <v>0.9</v>
      </c>
      <c r="F237" s="35">
        <v>26</v>
      </c>
      <c r="G237" s="36">
        <v>0.32914700000000002</v>
      </c>
      <c r="H237" s="18">
        <v>592.46541500000001</v>
      </c>
      <c r="I237" s="16">
        <v>0</v>
      </c>
      <c r="J237" s="16"/>
      <c r="K237" s="16"/>
      <c r="L237" s="37" t="s">
        <v>107</v>
      </c>
      <c r="M237" s="37"/>
      <c r="N237" s="37">
        <v>238</v>
      </c>
      <c r="O237" s="37"/>
      <c r="P237" s="37"/>
      <c r="Q237" s="18">
        <v>3.6206170000000002</v>
      </c>
      <c r="R237" s="18">
        <v>2.4686025E-2</v>
      </c>
      <c r="S237" s="18">
        <v>6.9120870000000005</v>
      </c>
      <c r="T237" s="18">
        <v>29.623230000000003</v>
      </c>
      <c r="U237" s="18">
        <v>14.811615000000002</v>
      </c>
      <c r="V237" s="18">
        <v>189.588672</v>
      </c>
      <c r="W237" s="18">
        <v>177.73938000000001</v>
      </c>
      <c r="X237" s="18">
        <v>118.49292000000001</v>
      </c>
      <c r="Y237" s="18">
        <v>5.2663520000000004</v>
      </c>
      <c r="Z237" s="18">
        <v>23.369437000000001</v>
      </c>
      <c r="AA237" s="18">
        <v>34.231287999999999</v>
      </c>
      <c r="AB237" s="18">
        <v>60.892195000000001</v>
      </c>
      <c r="AC237" s="18">
        <v>18.761379000000002</v>
      </c>
      <c r="AD237" s="18">
        <v>98.744100000000003</v>
      </c>
    </row>
    <row r="238" spans="2:30" x14ac:dyDescent="0.25">
      <c r="B238" t="s">
        <v>166</v>
      </c>
      <c r="C238" t="s">
        <v>105</v>
      </c>
      <c r="D238" t="s">
        <v>285</v>
      </c>
      <c r="E238" s="35">
        <v>0.9</v>
      </c>
      <c r="F238" s="35">
        <v>26</v>
      </c>
      <c r="G238" s="36">
        <v>0.32620100000000002</v>
      </c>
      <c r="H238" s="18">
        <v>587.16163100000006</v>
      </c>
      <c r="I238" s="16">
        <v>0</v>
      </c>
      <c r="J238" s="16"/>
      <c r="K238" s="16"/>
      <c r="L238" s="37" t="s">
        <v>107</v>
      </c>
      <c r="M238" s="37"/>
      <c r="N238" s="37">
        <v>239</v>
      </c>
      <c r="O238" s="37"/>
      <c r="P238" s="37"/>
      <c r="Q238" s="18">
        <v>3.5882110000000003</v>
      </c>
      <c r="R238" s="18">
        <v>2.4465074999999999E-2</v>
      </c>
      <c r="S238" s="18">
        <v>6.8502210000000003</v>
      </c>
      <c r="T238" s="18">
        <v>29.358090000000001</v>
      </c>
      <c r="U238" s="18">
        <v>14.679045</v>
      </c>
      <c r="V238" s="18">
        <v>187.89177600000002</v>
      </c>
      <c r="W238" s="18">
        <v>176.14854</v>
      </c>
      <c r="X238" s="18">
        <v>117.43236</v>
      </c>
      <c r="Y238" s="18">
        <v>5.2192160000000003</v>
      </c>
      <c r="Z238" s="18">
        <v>23.160271000000002</v>
      </c>
      <c r="AA238" s="18">
        <v>33.924904000000005</v>
      </c>
      <c r="AB238" s="18">
        <v>60.347185000000003</v>
      </c>
      <c r="AC238" s="18">
        <v>18.593457000000001</v>
      </c>
      <c r="AD238" s="18">
        <v>97.860300000000009</v>
      </c>
    </row>
    <row r="239" spans="2:30" x14ac:dyDescent="0.25">
      <c r="B239" t="s">
        <v>144</v>
      </c>
      <c r="C239" t="s">
        <v>105</v>
      </c>
      <c r="D239" t="s">
        <v>286</v>
      </c>
      <c r="E239" s="35">
        <v>0.9</v>
      </c>
      <c r="F239" s="35">
        <v>40</v>
      </c>
      <c r="G239" s="36">
        <v>0.64290800000000004</v>
      </c>
      <c r="H239" s="18">
        <v>1157.2352539999999</v>
      </c>
      <c r="I239" s="16">
        <v>0</v>
      </c>
      <c r="J239" s="16">
        <v>30</v>
      </c>
      <c r="K239" s="16"/>
      <c r="L239" s="37" t="s">
        <v>107</v>
      </c>
      <c r="M239" s="37"/>
      <c r="N239" s="37">
        <v>240</v>
      </c>
      <c r="O239" s="37"/>
      <c r="P239" s="37"/>
      <c r="Q239" s="18">
        <v>7.0719880000000002</v>
      </c>
      <c r="R239" s="18">
        <v>4.82181E-2</v>
      </c>
      <c r="S239" s="18">
        <v>13.501068</v>
      </c>
      <c r="T239" s="18">
        <v>57.861720000000005</v>
      </c>
      <c r="U239" s="18">
        <v>28.930860000000003</v>
      </c>
      <c r="V239" s="18">
        <v>370.31500800000003</v>
      </c>
      <c r="W239" s="18">
        <v>347.17032</v>
      </c>
      <c r="X239" s="18">
        <v>231.44688000000002</v>
      </c>
      <c r="Y239" s="18">
        <v>10.286528000000001</v>
      </c>
      <c r="Z239" s="18">
        <v>45.646468000000006</v>
      </c>
      <c r="AA239" s="18">
        <v>66.862431999999998</v>
      </c>
      <c r="AB239" s="18">
        <v>118.93798000000001</v>
      </c>
      <c r="AC239" s="18">
        <v>36.645755999999999</v>
      </c>
      <c r="AD239" s="18">
        <v>192.8724</v>
      </c>
    </row>
    <row r="240" spans="2:30" x14ac:dyDescent="0.25">
      <c r="B240" t="s">
        <v>110</v>
      </c>
      <c r="C240" t="s">
        <v>105</v>
      </c>
      <c r="D240" t="s">
        <v>287</v>
      </c>
      <c r="E240" s="35">
        <v>0.9</v>
      </c>
      <c r="F240" s="35">
        <v>22</v>
      </c>
      <c r="G240" s="36">
        <v>0.211925</v>
      </c>
      <c r="H240" s="18">
        <v>381.46576700000003</v>
      </c>
      <c r="I240" s="16">
        <v>0</v>
      </c>
      <c r="J240" s="16"/>
      <c r="K240" s="16"/>
      <c r="L240" s="37" t="s">
        <v>107</v>
      </c>
      <c r="M240" s="37"/>
      <c r="N240" s="37">
        <v>241</v>
      </c>
      <c r="O240" s="37"/>
      <c r="P240" s="37"/>
      <c r="Q240" s="18">
        <v>2.331175</v>
      </c>
      <c r="R240" s="18">
        <v>1.5894374999999999E-2</v>
      </c>
      <c r="S240" s="18">
        <v>4.4504250000000001</v>
      </c>
      <c r="T240" s="18">
        <v>19.073250000000002</v>
      </c>
      <c r="U240" s="18">
        <v>9.5366250000000008</v>
      </c>
      <c r="V240" s="18">
        <v>122.0688</v>
      </c>
      <c r="W240" s="18">
        <v>114.4395</v>
      </c>
      <c r="X240" s="18">
        <v>76.293000000000006</v>
      </c>
      <c r="Y240" s="18">
        <v>3.3908</v>
      </c>
      <c r="Z240" s="18">
        <v>15.046675</v>
      </c>
      <c r="AA240" s="18">
        <v>22.040199999999999</v>
      </c>
      <c r="AB240" s="18">
        <v>39.206125</v>
      </c>
      <c r="AC240" s="18">
        <v>12.079725</v>
      </c>
      <c r="AD240" s="18">
        <v>63.577500000000001</v>
      </c>
    </row>
    <row r="241" spans="2:30" x14ac:dyDescent="0.25">
      <c r="B241" t="s">
        <v>166</v>
      </c>
      <c r="C241" t="s">
        <v>105</v>
      </c>
      <c r="D241" t="s">
        <v>287</v>
      </c>
      <c r="E241" s="35">
        <v>0.9</v>
      </c>
      <c r="F241" s="35">
        <v>26</v>
      </c>
      <c r="G241" s="36">
        <v>0.25045699999999999</v>
      </c>
      <c r="H241" s="18">
        <v>450.82317899999998</v>
      </c>
      <c r="I241" s="16">
        <v>0</v>
      </c>
      <c r="J241" s="16"/>
      <c r="K241" s="16"/>
      <c r="L241" s="37" t="s">
        <v>107</v>
      </c>
      <c r="M241" s="37"/>
      <c r="N241" s="37">
        <v>242</v>
      </c>
      <c r="O241" s="37"/>
      <c r="P241" s="37"/>
      <c r="Q241" s="18">
        <v>2.7550269999999997</v>
      </c>
      <c r="R241" s="18">
        <v>1.8784275E-2</v>
      </c>
      <c r="S241" s="18">
        <v>5.2595969999999994</v>
      </c>
      <c r="T241" s="18">
        <v>22.541129999999999</v>
      </c>
      <c r="U241" s="18">
        <v>11.270565</v>
      </c>
      <c r="V241" s="18">
        <v>144.26323199999999</v>
      </c>
      <c r="W241" s="18">
        <v>135.24678</v>
      </c>
      <c r="X241" s="18">
        <v>90.164519999999996</v>
      </c>
      <c r="Y241" s="18">
        <v>4.0073119999999998</v>
      </c>
      <c r="Z241" s="18">
        <v>17.782446999999998</v>
      </c>
      <c r="AA241" s="18">
        <v>26.047528</v>
      </c>
      <c r="AB241" s="18">
        <v>46.334544999999999</v>
      </c>
      <c r="AC241" s="18">
        <v>14.276048999999999</v>
      </c>
      <c r="AD241" s="18">
        <v>75.13709999999999</v>
      </c>
    </row>
    <row r="242" spans="2:30" x14ac:dyDescent="0.25">
      <c r="B242" t="s">
        <v>158</v>
      </c>
      <c r="C242" t="s">
        <v>105</v>
      </c>
      <c r="D242" t="s">
        <v>288</v>
      </c>
      <c r="E242" s="35">
        <v>0.9</v>
      </c>
      <c r="F242" s="35">
        <v>18</v>
      </c>
      <c r="G242" s="36">
        <v>5.5438000000000001E-2</v>
      </c>
      <c r="H242" s="18">
        <v>99.788994000000002</v>
      </c>
      <c r="I242" s="16">
        <v>0</v>
      </c>
      <c r="J242" s="16"/>
      <c r="K242" s="16"/>
      <c r="L242" s="37" t="s">
        <v>107</v>
      </c>
      <c r="M242" s="37"/>
      <c r="N242" s="37">
        <v>243</v>
      </c>
      <c r="O242" s="37"/>
      <c r="P242" s="37"/>
      <c r="Q242" s="18">
        <v>0.60981799999999997</v>
      </c>
      <c r="R242" s="18">
        <v>4.1578500000000003E-3</v>
      </c>
      <c r="S242" s="18">
        <v>1.1641980000000001</v>
      </c>
      <c r="T242" s="18">
        <v>4.98942</v>
      </c>
      <c r="U242" s="18">
        <v>2.49471</v>
      </c>
      <c r="V242" s="18">
        <v>31.932288</v>
      </c>
      <c r="W242" s="18">
        <v>29.936520000000002</v>
      </c>
      <c r="X242" s="18">
        <v>19.95768</v>
      </c>
      <c r="Y242" s="18">
        <v>0.88700800000000002</v>
      </c>
      <c r="Z242" s="18">
        <v>3.9360979999999999</v>
      </c>
      <c r="AA242" s="18">
        <v>5.7655520000000005</v>
      </c>
      <c r="AB242" s="18">
        <v>10.256030000000001</v>
      </c>
      <c r="AC242" s="18">
        <v>3.1599660000000003</v>
      </c>
      <c r="AD242" s="18">
        <v>16.631399999999999</v>
      </c>
    </row>
    <row r="243" spans="2:30" x14ac:dyDescent="0.25">
      <c r="B243" t="s">
        <v>112</v>
      </c>
      <c r="C243" t="s">
        <v>105</v>
      </c>
      <c r="D243" t="s">
        <v>289</v>
      </c>
      <c r="E243" s="35">
        <v>0.9</v>
      </c>
      <c r="F243" s="35">
        <v>60</v>
      </c>
      <c r="G243" s="36">
        <v>0.63317599999999996</v>
      </c>
      <c r="H243" s="18">
        <v>1139.7171390000001</v>
      </c>
      <c r="I243" s="16">
        <v>0</v>
      </c>
      <c r="J243" s="16"/>
      <c r="K243" s="16"/>
      <c r="L243" s="37" t="s">
        <v>107</v>
      </c>
      <c r="M243" s="37"/>
      <c r="N243" s="37">
        <v>244</v>
      </c>
      <c r="O243" s="37"/>
      <c r="P243" s="37"/>
      <c r="Q243" s="18">
        <v>6.9649359999999998</v>
      </c>
      <c r="R243" s="18">
        <v>4.7488199999999994E-2</v>
      </c>
      <c r="S243" s="18">
        <v>13.296695999999999</v>
      </c>
      <c r="T243" s="18">
        <v>56.985839999999996</v>
      </c>
      <c r="U243" s="18">
        <v>28.492919999999998</v>
      </c>
      <c r="V243" s="18">
        <v>364.70937599999996</v>
      </c>
      <c r="W243" s="18">
        <v>341.91503999999998</v>
      </c>
      <c r="X243" s="18">
        <v>227.94335999999998</v>
      </c>
      <c r="Y243" s="18">
        <v>10.130815999999999</v>
      </c>
      <c r="Z243" s="18">
        <v>44.955495999999997</v>
      </c>
      <c r="AA243" s="18">
        <v>65.850303999999994</v>
      </c>
      <c r="AB243" s="18">
        <v>117.13755999999999</v>
      </c>
      <c r="AC243" s="18">
        <v>36.091031999999998</v>
      </c>
      <c r="AD243" s="18">
        <v>189.9528</v>
      </c>
    </row>
    <row r="244" spans="2:30" x14ac:dyDescent="0.25">
      <c r="B244" t="s">
        <v>141</v>
      </c>
      <c r="C244" t="s">
        <v>105</v>
      </c>
      <c r="D244" t="s">
        <v>290</v>
      </c>
      <c r="E244" s="35">
        <v>0.9</v>
      </c>
      <c r="F244" s="35">
        <v>46</v>
      </c>
      <c r="G244" s="36">
        <v>0.485184</v>
      </c>
      <c r="H244" s="18">
        <v>873.33196199999998</v>
      </c>
      <c r="I244" s="16">
        <v>0</v>
      </c>
      <c r="J244" s="16">
        <v>24</v>
      </c>
      <c r="K244" s="16"/>
      <c r="L244" s="37" t="s">
        <v>107</v>
      </c>
      <c r="M244" s="37"/>
      <c r="N244" s="37">
        <v>245</v>
      </c>
      <c r="O244" s="37"/>
      <c r="P244" s="37"/>
      <c r="Q244" s="18">
        <v>5.3370240000000004</v>
      </c>
      <c r="R244" s="18">
        <v>3.6388799999999999E-2</v>
      </c>
      <c r="S244" s="18">
        <v>10.188864000000001</v>
      </c>
      <c r="T244" s="18">
        <v>43.666559999999997</v>
      </c>
      <c r="U244" s="18">
        <v>21.833279999999998</v>
      </c>
      <c r="V244" s="18">
        <v>279.46598399999999</v>
      </c>
      <c r="W244" s="18">
        <v>261.99936000000002</v>
      </c>
      <c r="X244" s="18">
        <v>174.66623999999999</v>
      </c>
      <c r="Y244" s="18">
        <v>7.7629440000000001</v>
      </c>
      <c r="Z244" s="18">
        <v>34.448064000000002</v>
      </c>
      <c r="AA244" s="18">
        <v>50.459136000000001</v>
      </c>
      <c r="AB244" s="18">
        <v>89.759039999999999</v>
      </c>
      <c r="AC244" s="18">
        <v>27.655488000000002</v>
      </c>
      <c r="AD244" s="18">
        <v>145.55520000000001</v>
      </c>
    </row>
    <row r="245" spans="2:30" x14ac:dyDescent="0.25">
      <c r="B245" t="s">
        <v>124</v>
      </c>
      <c r="C245" t="s">
        <v>105</v>
      </c>
      <c r="D245" t="s">
        <v>291</v>
      </c>
      <c r="E245" s="35">
        <v>0.9</v>
      </c>
      <c r="F245" s="35">
        <v>35</v>
      </c>
      <c r="G245" s="36">
        <v>0.36818600000000001</v>
      </c>
      <c r="H245" s="18">
        <v>662.73508300000003</v>
      </c>
      <c r="I245" s="16">
        <v>0</v>
      </c>
      <c r="J245" s="16"/>
      <c r="K245" s="16"/>
      <c r="L245" s="37" t="s">
        <v>107</v>
      </c>
      <c r="M245" s="37"/>
      <c r="N245" s="37">
        <v>246</v>
      </c>
      <c r="O245" s="37"/>
      <c r="P245" s="37"/>
      <c r="Q245" s="18">
        <v>4.050046</v>
      </c>
      <c r="R245" s="18">
        <v>2.7613950000000002E-2</v>
      </c>
      <c r="S245" s="18">
        <v>7.7319060000000004</v>
      </c>
      <c r="T245" s="18">
        <v>33.136740000000003</v>
      </c>
      <c r="U245" s="18">
        <v>16.568370000000002</v>
      </c>
      <c r="V245" s="18">
        <v>212.07513600000001</v>
      </c>
      <c r="W245" s="18">
        <v>198.82044000000002</v>
      </c>
      <c r="X245" s="18">
        <v>132.54696000000001</v>
      </c>
      <c r="Y245" s="18">
        <v>5.8909760000000002</v>
      </c>
      <c r="Z245" s="18">
        <v>26.141206</v>
      </c>
      <c r="AA245" s="18">
        <v>38.291344000000002</v>
      </c>
      <c r="AB245" s="18">
        <v>68.114410000000007</v>
      </c>
      <c r="AC245" s="18">
        <v>20.986602000000001</v>
      </c>
      <c r="AD245" s="18">
        <v>110.45580000000001</v>
      </c>
    </row>
    <row r="246" spans="2:30" x14ac:dyDescent="0.25">
      <c r="B246" t="s">
        <v>133</v>
      </c>
      <c r="C246" t="s">
        <v>105</v>
      </c>
      <c r="D246" t="s">
        <v>290</v>
      </c>
      <c r="E246" s="35">
        <v>0.9</v>
      </c>
      <c r="F246" s="35">
        <v>50</v>
      </c>
      <c r="G246" s="36">
        <v>0.52733399999999997</v>
      </c>
      <c r="H246" s="18">
        <v>949.20144500000004</v>
      </c>
      <c r="I246" s="16">
        <v>0</v>
      </c>
      <c r="J246" s="16">
        <v>42</v>
      </c>
      <c r="K246" s="16"/>
      <c r="L246" s="37" t="s">
        <v>107</v>
      </c>
      <c r="M246" s="37"/>
      <c r="N246" s="37">
        <v>247</v>
      </c>
      <c r="O246" s="37"/>
      <c r="P246" s="37"/>
      <c r="Q246" s="18">
        <v>5.8006739999999999</v>
      </c>
      <c r="R246" s="18">
        <v>3.9550049999999996E-2</v>
      </c>
      <c r="S246" s="18">
        <v>11.074014</v>
      </c>
      <c r="T246" s="18">
        <v>47.460059999999999</v>
      </c>
      <c r="U246" s="18">
        <v>23.730029999999999</v>
      </c>
      <c r="V246" s="18">
        <v>303.74438399999997</v>
      </c>
      <c r="W246" s="18">
        <v>284.76035999999999</v>
      </c>
      <c r="X246" s="18">
        <v>189.84023999999999</v>
      </c>
      <c r="Y246" s="18">
        <v>8.4373439999999995</v>
      </c>
      <c r="Z246" s="18">
        <v>37.440714</v>
      </c>
      <c r="AA246" s="18">
        <v>54.842735999999995</v>
      </c>
      <c r="AB246" s="18">
        <v>97.556789999999992</v>
      </c>
      <c r="AC246" s="18">
        <v>30.058038</v>
      </c>
      <c r="AD246" s="18">
        <v>158.2002</v>
      </c>
    </row>
    <row r="247" spans="2:30" x14ac:dyDescent="0.25">
      <c r="B247" t="s">
        <v>133</v>
      </c>
      <c r="C247" t="s">
        <v>105</v>
      </c>
      <c r="D247" t="s">
        <v>289</v>
      </c>
      <c r="E247" s="35">
        <v>0.9</v>
      </c>
      <c r="F247" s="35">
        <v>50</v>
      </c>
      <c r="G247" s="36">
        <v>0.52764699999999998</v>
      </c>
      <c r="H247" s="18">
        <v>949.76428199999998</v>
      </c>
      <c r="I247" s="16">
        <v>0</v>
      </c>
      <c r="J247" s="16"/>
      <c r="K247" s="16"/>
      <c r="L247" s="37" t="s">
        <v>107</v>
      </c>
      <c r="M247" s="37"/>
      <c r="N247" s="37">
        <v>248</v>
      </c>
      <c r="O247" s="37"/>
      <c r="P247" s="37"/>
      <c r="Q247" s="18">
        <v>5.8041169999999997</v>
      </c>
      <c r="R247" s="18">
        <v>3.9573524999999998E-2</v>
      </c>
      <c r="S247" s="18">
        <v>11.080587</v>
      </c>
      <c r="T247" s="18">
        <v>47.488230000000001</v>
      </c>
      <c r="U247" s="18">
        <v>23.744115000000001</v>
      </c>
      <c r="V247" s="18">
        <v>303.92467199999999</v>
      </c>
      <c r="W247" s="18">
        <v>284.92937999999998</v>
      </c>
      <c r="X247" s="18">
        <v>189.95292000000001</v>
      </c>
      <c r="Y247" s="18">
        <v>8.4423519999999996</v>
      </c>
      <c r="Z247" s="18">
        <v>37.462936999999997</v>
      </c>
      <c r="AA247" s="18">
        <v>54.875287999999998</v>
      </c>
      <c r="AB247" s="18">
        <v>97.614694999999998</v>
      </c>
      <c r="AC247" s="18">
        <v>30.075879</v>
      </c>
      <c r="AD247" s="18">
        <v>158.29409999999999</v>
      </c>
    </row>
    <row r="248" spans="2:30" x14ac:dyDescent="0.25">
      <c r="B248" t="s">
        <v>124</v>
      </c>
      <c r="C248" t="s">
        <v>105</v>
      </c>
      <c r="D248" t="s">
        <v>292</v>
      </c>
      <c r="E248" s="35">
        <v>0.9</v>
      </c>
      <c r="F248" s="35">
        <v>35</v>
      </c>
      <c r="G248" s="36">
        <v>0.37425199999999997</v>
      </c>
      <c r="H248" s="18">
        <v>673.65361299999995</v>
      </c>
      <c r="I248" s="16">
        <v>0</v>
      </c>
      <c r="J248" s="16"/>
      <c r="K248" s="16"/>
      <c r="L248" s="37" t="s">
        <v>107</v>
      </c>
      <c r="M248" s="37"/>
      <c r="N248" s="37">
        <v>249</v>
      </c>
      <c r="O248" s="37"/>
      <c r="P248" s="37"/>
      <c r="Q248" s="18">
        <v>4.1167720000000001</v>
      </c>
      <c r="R248" s="18">
        <v>2.8068899999999997E-2</v>
      </c>
      <c r="S248" s="18">
        <v>7.8592919999999991</v>
      </c>
      <c r="T248" s="18">
        <v>33.682679999999998</v>
      </c>
      <c r="U248" s="18">
        <v>16.841339999999999</v>
      </c>
      <c r="V248" s="18">
        <v>215.56915199999997</v>
      </c>
      <c r="W248" s="18">
        <v>202.09607999999997</v>
      </c>
      <c r="X248" s="18">
        <v>134.73071999999999</v>
      </c>
      <c r="Y248" s="18">
        <v>5.9880319999999996</v>
      </c>
      <c r="Z248" s="18">
        <v>26.571891999999998</v>
      </c>
      <c r="AA248" s="18">
        <v>38.922207999999998</v>
      </c>
      <c r="AB248" s="18">
        <v>69.236620000000002</v>
      </c>
      <c r="AC248" s="18">
        <v>21.332363999999998</v>
      </c>
      <c r="AD248" s="18">
        <v>112.2756</v>
      </c>
    </row>
    <row r="249" spans="2:30" x14ac:dyDescent="0.25">
      <c r="B249" t="s">
        <v>144</v>
      </c>
      <c r="C249" t="s">
        <v>105</v>
      </c>
      <c r="D249" t="s">
        <v>293</v>
      </c>
      <c r="E249" s="35">
        <v>0.9</v>
      </c>
      <c r="F249" s="35">
        <v>40</v>
      </c>
      <c r="G249" s="36">
        <v>0.428784</v>
      </c>
      <c r="H249" s="18">
        <v>771.81093799999996</v>
      </c>
      <c r="I249" s="16">
        <v>0</v>
      </c>
      <c r="J249" s="16"/>
      <c r="K249" s="16"/>
      <c r="L249" s="37" t="s">
        <v>107</v>
      </c>
      <c r="M249" s="37"/>
      <c r="N249" s="37">
        <v>250</v>
      </c>
      <c r="O249" s="37"/>
      <c r="P249" s="37"/>
      <c r="Q249" s="18">
        <v>4.7166240000000004</v>
      </c>
      <c r="R249" s="18">
        <v>3.2158800000000001E-2</v>
      </c>
      <c r="S249" s="18">
        <v>9.0044640000000005</v>
      </c>
      <c r="T249" s="18">
        <v>38.590559999999996</v>
      </c>
      <c r="U249" s="18">
        <v>19.295279999999998</v>
      </c>
      <c r="V249" s="18">
        <v>246.97958399999999</v>
      </c>
      <c r="W249" s="18">
        <v>231.54336000000001</v>
      </c>
      <c r="X249" s="18">
        <v>154.36223999999999</v>
      </c>
      <c r="Y249" s="18">
        <v>6.860544</v>
      </c>
      <c r="Z249" s="18">
        <v>30.443663999999998</v>
      </c>
      <c r="AA249" s="18">
        <v>44.593536</v>
      </c>
      <c r="AB249" s="18">
        <v>79.325040000000001</v>
      </c>
      <c r="AC249" s="18">
        <v>24.440688000000002</v>
      </c>
      <c r="AD249" s="18">
        <v>128.6352</v>
      </c>
    </row>
    <row r="250" spans="2:30" x14ac:dyDescent="0.25">
      <c r="B250" t="s">
        <v>108</v>
      </c>
      <c r="C250" t="s">
        <v>105</v>
      </c>
      <c r="D250" t="s">
        <v>282</v>
      </c>
      <c r="E250" s="35">
        <v>0.9</v>
      </c>
      <c r="F250" s="35">
        <v>16</v>
      </c>
      <c r="G250" s="36">
        <v>1.7864000000000001E-2</v>
      </c>
      <c r="H250" s="18">
        <v>32.154902999999997</v>
      </c>
      <c r="I250" s="16">
        <v>0</v>
      </c>
      <c r="J250" s="16"/>
      <c r="K250" s="16"/>
      <c r="L250" s="37" t="s">
        <v>107</v>
      </c>
      <c r="M250" s="37"/>
      <c r="N250" s="37">
        <v>251</v>
      </c>
      <c r="O250" s="37"/>
      <c r="P250" s="37"/>
      <c r="Q250" s="18">
        <v>0.19650400000000001</v>
      </c>
      <c r="R250" s="18">
        <v>1.3398000000000001E-3</v>
      </c>
      <c r="S250" s="18">
        <v>0.37514400000000003</v>
      </c>
      <c r="T250" s="18">
        <v>1.6077600000000001</v>
      </c>
      <c r="U250" s="18">
        <v>0.80388000000000004</v>
      </c>
      <c r="V250" s="18">
        <v>10.289664</v>
      </c>
      <c r="W250" s="18">
        <v>9.6465600000000009</v>
      </c>
      <c r="X250" s="18">
        <v>6.4310400000000003</v>
      </c>
      <c r="Y250" s="18">
        <v>0.28582400000000002</v>
      </c>
      <c r="Z250" s="18">
        <v>1.2683440000000001</v>
      </c>
      <c r="AA250" s="18">
        <v>1.8578560000000002</v>
      </c>
      <c r="AB250" s="18">
        <v>3.3048400000000004</v>
      </c>
      <c r="AC250" s="18">
        <v>1.018248</v>
      </c>
      <c r="AD250" s="18">
        <v>5.3592000000000004</v>
      </c>
    </row>
    <row r="251" spans="2:30" x14ac:dyDescent="0.25">
      <c r="B251" t="s">
        <v>160</v>
      </c>
      <c r="C251" t="s">
        <v>105</v>
      </c>
      <c r="D251" t="s">
        <v>257</v>
      </c>
      <c r="E251" s="35">
        <v>0.9</v>
      </c>
      <c r="F251" s="35">
        <v>31</v>
      </c>
      <c r="G251" s="36">
        <v>0.469115</v>
      </c>
      <c r="H251" s="18">
        <v>844.40745600000002</v>
      </c>
      <c r="I251" s="16">
        <v>0</v>
      </c>
      <c r="J251" s="16"/>
      <c r="K251" s="16"/>
      <c r="L251" s="37" t="s">
        <v>107</v>
      </c>
      <c r="M251" s="37"/>
      <c r="N251" s="37">
        <v>252</v>
      </c>
      <c r="O251" s="37"/>
      <c r="P251" s="37"/>
      <c r="Q251" s="18">
        <v>5.1602649999999999</v>
      </c>
      <c r="R251" s="18">
        <v>3.5183624999999996E-2</v>
      </c>
      <c r="S251" s="18">
        <v>9.8514149999999994</v>
      </c>
      <c r="T251" s="18">
        <v>42.220350000000003</v>
      </c>
      <c r="U251" s="18">
        <v>21.110175000000002</v>
      </c>
      <c r="V251" s="18">
        <v>270.21024</v>
      </c>
      <c r="W251" s="18">
        <v>253.32210000000001</v>
      </c>
      <c r="X251" s="18">
        <v>168.88140000000001</v>
      </c>
      <c r="Y251" s="18">
        <v>7.5058400000000001</v>
      </c>
      <c r="Z251" s="18">
        <v>33.307164999999998</v>
      </c>
      <c r="AA251" s="18">
        <v>48.787959999999998</v>
      </c>
      <c r="AB251" s="18">
        <v>86.786275000000003</v>
      </c>
      <c r="AC251" s="18">
        <v>26.739554999999999</v>
      </c>
      <c r="AD251" s="18">
        <v>140.7345</v>
      </c>
    </row>
    <row r="252" spans="2:30" x14ac:dyDescent="0.25">
      <c r="B252" t="s">
        <v>294</v>
      </c>
      <c r="C252" t="s">
        <v>105</v>
      </c>
      <c r="D252" t="s">
        <v>295</v>
      </c>
      <c r="E252" s="35">
        <v>1.8</v>
      </c>
      <c r="F252" s="35">
        <v>32.58</v>
      </c>
      <c r="G252" s="36">
        <v>0.18743599999999999</v>
      </c>
      <c r="H252" s="18">
        <v>674.76950199999999</v>
      </c>
      <c r="I252" s="16"/>
      <c r="J252" s="16"/>
      <c r="K252" s="16"/>
      <c r="L252" s="37" t="s">
        <v>107</v>
      </c>
      <c r="M252" s="37"/>
      <c r="N252" s="37">
        <v>253</v>
      </c>
      <c r="O252" s="37"/>
      <c r="P252" s="37"/>
      <c r="Q252" s="18">
        <v>2.0617959999999997</v>
      </c>
      <c r="R252" s="18">
        <v>1.4057699999999999E-2</v>
      </c>
      <c r="S252" s="18">
        <v>3.936156</v>
      </c>
      <c r="T252" s="18">
        <v>16.869239999999998</v>
      </c>
      <c r="U252" s="18">
        <v>8.4346199999999989</v>
      </c>
      <c r="V252" s="18">
        <v>107.96313599999999</v>
      </c>
      <c r="W252" s="18">
        <v>101.21544</v>
      </c>
      <c r="X252" s="18">
        <v>67.476959999999991</v>
      </c>
      <c r="Y252" s="18">
        <v>2.9989759999999999</v>
      </c>
      <c r="Z252" s="18">
        <v>13.307955999999999</v>
      </c>
      <c r="AA252" s="18">
        <v>19.493344</v>
      </c>
      <c r="AB252" s="18">
        <v>34.675660000000001</v>
      </c>
      <c r="AC252" s="18">
        <v>10.683852</v>
      </c>
      <c r="AD252" s="18">
        <v>56.230799999999995</v>
      </c>
    </row>
    <row r="253" spans="2:30" x14ac:dyDescent="0.25">
      <c r="B253" t="s">
        <v>110</v>
      </c>
      <c r="C253" t="s">
        <v>105</v>
      </c>
      <c r="D253" t="s">
        <v>258</v>
      </c>
      <c r="E253" s="35">
        <v>0.9</v>
      </c>
      <c r="F253" s="35">
        <v>22</v>
      </c>
      <c r="G253" s="36">
        <v>0.27792299999999998</v>
      </c>
      <c r="H253" s="18">
        <v>500.26093300000002</v>
      </c>
      <c r="I253" s="16">
        <v>0</v>
      </c>
      <c r="J253" s="16"/>
      <c r="K253" s="16"/>
      <c r="L253" s="37" t="s">
        <v>107</v>
      </c>
      <c r="M253" s="37"/>
      <c r="N253" s="37">
        <v>254</v>
      </c>
      <c r="O253" s="37"/>
      <c r="P253" s="37"/>
      <c r="Q253" s="18">
        <v>3.0571529999999996</v>
      </c>
      <c r="R253" s="18">
        <v>2.0844224999999997E-2</v>
      </c>
      <c r="S253" s="18">
        <v>5.8363829999999997</v>
      </c>
      <c r="T253" s="18">
        <v>25.013069999999999</v>
      </c>
      <c r="U253" s="18">
        <v>12.506535</v>
      </c>
      <c r="V253" s="18">
        <v>160.08364799999998</v>
      </c>
      <c r="W253" s="18">
        <v>150.07841999999999</v>
      </c>
      <c r="X253" s="18">
        <v>100.05228</v>
      </c>
      <c r="Y253" s="18">
        <v>4.4467679999999996</v>
      </c>
      <c r="Z253" s="18">
        <v>19.732532999999997</v>
      </c>
      <c r="AA253" s="18">
        <v>28.903991999999999</v>
      </c>
      <c r="AB253" s="18">
        <v>51.415754999999997</v>
      </c>
      <c r="AC253" s="18">
        <v>15.841610999999999</v>
      </c>
      <c r="AD253" s="18">
        <v>83.376899999999992</v>
      </c>
    </row>
    <row r="254" spans="2:30" x14ac:dyDescent="0.25">
      <c r="B254" t="s">
        <v>108</v>
      </c>
      <c r="C254" t="s">
        <v>105</v>
      </c>
      <c r="D254" t="s">
        <v>226</v>
      </c>
      <c r="E254" s="35">
        <v>0.9</v>
      </c>
      <c r="F254" s="35">
        <v>16</v>
      </c>
      <c r="G254" s="36">
        <v>9.1410000000000005E-2</v>
      </c>
      <c r="H254" s="18">
        <v>164.538242</v>
      </c>
      <c r="I254" s="16">
        <v>0</v>
      </c>
      <c r="J254" s="16"/>
      <c r="K254" s="16"/>
      <c r="L254" s="37" t="s">
        <v>107</v>
      </c>
      <c r="M254" s="37"/>
      <c r="N254" s="37">
        <v>255</v>
      </c>
      <c r="O254" s="37"/>
      <c r="P254" s="37"/>
      <c r="Q254" s="18">
        <v>1.0055100000000001</v>
      </c>
      <c r="R254" s="18">
        <v>6.8557499999999999E-3</v>
      </c>
      <c r="S254" s="18">
        <v>1.91961</v>
      </c>
      <c r="T254" s="18">
        <v>8.2269000000000005</v>
      </c>
      <c r="U254" s="18">
        <v>4.1134500000000003</v>
      </c>
      <c r="V254" s="18">
        <v>52.652160000000002</v>
      </c>
      <c r="W254" s="18">
        <v>49.361400000000003</v>
      </c>
      <c r="X254" s="18">
        <v>32.907600000000002</v>
      </c>
      <c r="Y254" s="18">
        <v>1.4625600000000001</v>
      </c>
      <c r="Z254" s="18">
        <v>6.4901100000000005</v>
      </c>
      <c r="AA254" s="18">
        <v>9.5066400000000009</v>
      </c>
      <c r="AB254" s="18">
        <v>16.91085</v>
      </c>
      <c r="AC254" s="18">
        <v>5.2103700000000002</v>
      </c>
      <c r="AD254" s="18">
        <v>27.423000000000002</v>
      </c>
    </row>
    <row r="255" spans="2:30" x14ac:dyDescent="0.25">
      <c r="B255" t="s">
        <v>124</v>
      </c>
      <c r="C255" t="s">
        <v>105</v>
      </c>
      <c r="D255" t="s">
        <v>296</v>
      </c>
      <c r="E255" s="35">
        <v>0.9</v>
      </c>
      <c r="F255" s="35">
        <v>35</v>
      </c>
      <c r="G255" s="36">
        <v>0.48671500000000001</v>
      </c>
      <c r="H255" s="18">
        <v>876.08640100000002</v>
      </c>
      <c r="I255" s="16">
        <v>0</v>
      </c>
      <c r="J255" s="16"/>
      <c r="K255" s="16"/>
      <c r="L255" s="37" t="s">
        <v>107</v>
      </c>
      <c r="M255" s="37"/>
      <c r="N255" s="37">
        <v>256</v>
      </c>
      <c r="O255" s="37"/>
      <c r="P255" s="37"/>
      <c r="Q255" s="18">
        <v>5.3538649999999999</v>
      </c>
      <c r="R255" s="18">
        <v>3.6503624999999998E-2</v>
      </c>
      <c r="S255" s="18">
        <v>10.221015</v>
      </c>
      <c r="T255" s="18">
        <v>43.804349999999999</v>
      </c>
      <c r="U255" s="18">
        <v>21.902175</v>
      </c>
      <c r="V255" s="18">
        <v>280.34784000000002</v>
      </c>
      <c r="W255" s="18">
        <v>262.8261</v>
      </c>
      <c r="X255" s="18">
        <v>175.2174</v>
      </c>
      <c r="Y255" s="18">
        <v>7.7874400000000001</v>
      </c>
      <c r="Z255" s="18">
        <v>34.556764999999999</v>
      </c>
      <c r="AA255" s="18">
        <v>50.618360000000003</v>
      </c>
      <c r="AB255" s="18">
        <v>90.042275000000004</v>
      </c>
      <c r="AC255" s="18">
        <v>27.742754999999999</v>
      </c>
      <c r="AD255" s="18">
        <v>146.0145</v>
      </c>
    </row>
    <row r="256" spans="2:30" x14ac:dyDescent="0.25">
      <c r="B256" t="s">
        <v>166</v>
      </c>
      <c r="C256" t="s">
        <v>105</v>
      </c>
      <c r="D256" t="s">
        <v>297</v>
      </c>
      <c r="E256" s="35">
        <v>0.9</v>
      </c>
      <c r="F256" s="35">
        <v>26</v>
      </c>
      <c r="G256" s="36">
        <v>0.31250800000000001</v>
      </c>
      <c r="H256" s="18">
        <v>562.514634</v>
      </c>
      <c r="I256" s="16">
        <v>0</v>
      </c>
      <c r="J256" s="16"/>
      <c r="K256" s="16"/>
      <c r="L256" s="37" t="s">
        <v>107</v>
      </c>
      <c r="M256" s="37"/>
      <c r="N256" s="37">
        <v>257</v>
      </c>
      <c r="O256" s="37"/>
      <c r="P256" s="37"/>
      <c r="Q256" s="18">
        <v>3.4375879999999999</v>
      </c>
      <c r="R256" s="18">
        <v>2.34381E-2</v>
      </c>
      <c r="S256" s="18">
        <v>6.5626680000000004</v>
      </c>
      <c r="T256" s="18">
        <v>28.125720000000001</v>
      </c>
      <c r="U256" s="18">
        <v>14.062860000000001</v>
      </c>
      <c r="V256" s="18">
        <v>180.00460800000002</v>
      </c>
      <c r="W256" s="18">
        <v>168.75432000000001</v>
      </c>
      <c r="X256" s="18">
        <v>112.50288</v>
      </c>
      <c r="Y256" s="18">
        <v>5.0001280000000001</v>
      </c>
      <c r="Z256" s="18">
        <v>22.188068000000001</v>
      </c>
      <c r="AA256" s="18">
        <v>32.500832000000003</v>
      </c>
      <c r="AB256" s="18">
        <v>57.813980000000001</v>
      </c>
      <c r="AC256" s="18">
        <v>17.812956</v>
      </c>
      <c r="AD256" s="18">
        <v>93.752400000000009</v>
      </c>
    </row>
    <row r="257" spans="2:30" x14ac:dyDescent="0.25">
      <c r="B257" t="s">
        <v>166</v>
      </c>
      <c r="C257" t="s">
        <v>105</v>
      </c>
      <c r="D257" t="s">
        <v>285</v>
      </c>
      <c r="E257" s="35">
        <v>0.9</v>
      </c>
      <c r="F257" s="35">
        <v>26</v>
      </c>
      <c r="G257" s="36">
        <v>0.32620100000000002</v>
      </c>
      <c r="H257" s="18">
        <v>587.16163100000006</v>
      </c>
      <c r="I257" s="16">
        <v>0</v>
      </c>
      <c r="J257" s="16"/>
      <c r="K257" s="16"/>
      <c r="L257" s="37" t="s">
        <v>107</v>
      </c>
      <c r="M257" s="37"/>
      <c r="N257" s="37">
        <v>258</v>
      </c>
      <c r="O257" s="37"/>
      <c r="P257" s="37"/>
      <c r="Q257" s="18">
        <v>3.5882110000000003</v>
      </c>
      <c r="R257" s="18">
        <v>2.4465074999999999E-2</v>
      </c>
      <c r="S257" s="18">
        <v>6.8502210000000003</v>
      </c>
      <c r="T257" s="18">
        <v>29.358090000000001</v>
      </c>
      <c r="U257" s="18">
        <v>14.679045</v>
      </c>
      <c r="V257" s="18">
        <v>187.89177600000002</v>
      </c>
      <c r="W257" s="18">
        <v>176.14854</v>
      </c>
      <c r="X257" s="18">
        <v>117.43236</v>
      </c>
      <c r="Y257" s="18">
        <v>5.2192160000000003</v>
      </c>
      <c r="Z257" s="18">
        <v>23.160271000000002</v>
      </c>
      <c r="AA257" s="18">
        <v>33.924904000000005</v>
      </c>
      <c r="AB257" s="18">
        <v>60.347185000000003</v>
      </c>
      <c r="AC257" s="18">
        <v>18.593457000000001</v>
      </c>
      <c r="AD257" s="18">
        <v>97.860300000000009</v>
      </c>
    </row>
    <row r="258" spans="2:30" x14ac:dyDescent="0.25">
      <c r="B258" t="s">
        <v>141</v>
      </c>
      <c r="C258" t="s">
        <v>105</v>
      </c>
      <c r="D258" t="s">
        <v>298</v>
      </c>
      <c r="E258" s="35">
        <v>0.9</v>
      </c>
      <c r="F258" s="35">
        <v>46</v>
      </c>
      <c r="G258" s="36">
        <v>0.75406399999999996</v>
      </c>
      <c r="H258" s="18">
        <v>1357.315464</v>
      </c>
      <c r="I258" s="16">
        <v>0</v>
      </c>
      <c r="J258" s="16">
        <v>44</v>
      </c>
      <c r="K258" s="16"/>
      <c r="L258" s="37" t="s">
        <v>107</v>
      </c>
      <c r="M258" s="37"/>
      <c r="N258" s="37">
        <v>259</v>
      </c>
      <c r="O258" s="37"/>
      <c r="P258" s="37"/>
      <c r="Q258" s="18">
        <v>8.2947039999999994</v>
      </c>
      <c r="R258" s="18">
        <v>5.6554799999999995E-2</v>
      </c>
      <c r="S258" s="18">
        <v>15.835343999999999</v>
      </c>
      <c r="T258" s="18">
        <v>67.865759999999995</v>
      </c>
      <c r="U258" s="18">
        <v>33.932879999999997</v>
      </c>
      <c r="V258" s="18">
        <v>434.34086399999995</v>
      </c>
      <c r="W258" s="18">
        <v>407.19455999999997</v>
      </c>
      <c r="X258" s="18">
        <v>271.46303999999998</v>
      </c>
      <c r="Y258" s="18">
        <v>12.065023999999999</v>
      </c>
      <c r="Z258" s="18">
        <v>53.538543999999995</v>
      </c>
      <c r="AA258" s="18">
        <v>78.422655999999989</v>
      </c>
      <c r="AB258" s="18">
        <v>139.50183999999999</v>
      </c>
      <c r="AC258" s="18">
        <v>42.981648</v>
      </c>
      <c r="AD258" s="18">
        <v>226.2192</v>
      </c>
    </row>
    <row r="259" spans="2:30" x14ac:dyDescent="0.25">
      <c r="B259" t="s">
        <v>191</v>
      </c>
      <c r="C259" t="s">
        <v>105</v>
      </c>
      <c r="D259" t="s">
        <v>299</v>
      </c>
      <c r="E259" s="35">
        <v>0.9</v>
      </c>
      <c r="F259" s="35">
        <v>8.1999999999999993</v>
      </c>
      <c r="G259" s="36">
        <v>1.1582E-2</v>
      </c>
      <c r="H259" s="18">
        <v>20.847486</v>
      </c>
      <c r="I259" s="16"/>
      <c r="J259" s="16"/>
      <c r="K259" s="16"/>
      <c r="L259" s="37" t="s">
        <v>107</v>
      </c>
      <c r="M259" s="37"/>
      <c r="N259" s="37">
        <v>260</v>
      </c>
      <c r="O259" s="37"/>
      <c r="P259" s="37"/>
      <c r="Q259" s="18">
        <v>0.12740200000000002</v>
      </c>
      <c r="R259" s="18">
        <v>8.6865E-4</v>
      </c>
      <c r="S259" s="18">
        <v>0.24322199999999999</v>
      </c>
      <c r="T259" s="18">
        <v>1.0423800000000001</v>
      </c>
      <c r="U259" s="18">
        <v>0.52119000000000004</v>
      </c>
      <c r="V259" s="18">
        <v>6.6712319999999998</v>
      </c>
      <c r="W259" s="18">
        <v>6.2542800000000005</v>
      </c>
      <c r="X259" s="18">
        <v>4.1695200000000003</v>
      </c>
      <c r="Y259" s="18">
        <v>0.185312</v>
      </c>
      <c r="Z259" s="18">
        <v>0.822322</v>
      </c>
      <c r="AA259" s="18">
        <v>1.204528</v>
      </c>
      <c r="AB259" s="18">
        <v>2.1426699999999999</v>
      </c>
      <c r="AC259" s="18">
        <v>0.66017400000000004</v>
      </c>
      <c r="AD259" s="18">
        <v>3.4746000000000001</v>
      </c>
    </row>
    <row r="260" spans="2:30" x14ac:dyDescent="0.25">
      <c r="B260" t="s">
        <v>158</v>
      </c>
      <c r="C260" t="s">
        <v>105</v>
      </c>
      <c r="D260" t="s">
        <v>300</v>
      </c>
      <c r="E260" s="35">
        <v>0.9</v>
      </c>
      <c r="F260" s="35">
        <v>18</v>
      </c>
      <c r="G260" s="36">
        <v>5.4958E-2</v>
      </c>
      <c r="H260" s="18">
        <v>98.925028999999995</v>
      </c>
      <c r="I260" s="16">
        <v>0</v>
      </c>
      <c r="J260" s="16"/>
      <c r="K260" s="16"/>
      <c r="L260" s="37" t="s">
        <v>107</v>
      </c>
      <c r="M260" s="37"/>
      <c r="N260" s="37">
        <v>261</v>
      </c>
      <c r="O260" s="37"/>
      <c r="P260" s="37"/>
      <c r="Q260" s="18">
        <v>0.60453800000000002</v>
      </c>
      <c r="R260" s="18">
        <v>4.1218499999999998E-3</v>
      </c>
      <c r="S260" s="18">
        <v>1.154118</v>
      </c>
      <c r="T260" s="18">
        <v>4.9462200000000003</v>
      </c>
      <c r="U260" s="18">
        <v>2.4731100000000001</v>
      </c>
      <c r="V260" s="18">
        <v>31.655808</v>
      </c>
      <c r="W260" s="18">
        <v>29.677320000000002</v>
      </c>
      <c r="X260" s="18">
        <v>19.784880000000001</v>
      </c>
      <c r="Y260" s="18">
        <v>0.879328</v>
      </c>
      <c r="Z260" s="18">
        <v>3.902018</v>
      </c>
      <c r="AA260" s="18">
        <v>5.7156320000000003</v>
      </c>
      <c r="AB260" s="18">
        <v>10.16723</v>
      </c>
      <c r="AC260" s="18">
        <v>3.132606</v>
      </c>
      <c r="AD260" s="18">
        <v>16.487400000000001</v>
      </c>
    </row>
    <row r="261" spans="2:30" x14ac:dyDescent="0.25">
      <c r="B261" t="s">
        <v>108</v>
      </c>
      <c r="C261" t="s">
        <v>105</v>
      </c>
      <c r="D261" t="s">
        <v>301</v>
      </c>
      <c r="E261" s="35">
        <v>0.9</v>
      </c>
      <c r="F261" s="35">
        <v>16</v>
      </c>
      <c r="G261" s="36">
        <v>4.5012000000000003E-2</v>
      </c>
      <c r="H261" s="18">
        <v>81.021641000000002</v>
      </c>
      <c r="I261" s="16">
        <v>0</v>
      </c>
      <c r="J261" s="16"/>
      <c r="K261" s="16"/>
      <c r="L261" s="37" t="s">
        <v>107</v>
      </c>
      <c r="M261" s="37"/>
      <c r="N261" s="37">
        <v>262</v>
      </c>
      <c r="O261" s="37"/>
      <c r="P261" s="37"/>
      <c r="Q261" s="18">
        <v>0.49513200000000002</v>
      </c>
      <c r="R261" s="18">
        <v>3.3759000000000003E-3</v>
      </c>
      <c r="S261" s="18">
        <v>0.94525200000000009</v>
      </c>
      <c r="T261" s="18">
        <v>4.0510800000000007</v>
      </c>
      <c r="U261" s="18">
        <v>2.0255400000000003</v>
      </c>
      <c r="V261" s="18">
        <v>25.926912000000002</v>
      </c>
      <c r="W261" s="18">
        <v>24.306480000000001</v>
      </c>
      <c r="X261" s="18">
        <v>16.204320000000003</v>
      </c>
      <c r="Y261" s="18">
        <v>0.72019200000000005</v>
      </c>
      <c r="Z261" s="18">
        <v>3.1958520000000004</v>
      </c>
      <c r="AA261" s="18">
        <v>4.6812480000000001</v>
      </c>
      <c r="AB261" s="18">
        <v>8.3272200000000005</v>
      </c>
      <c r="AC261" s="18">
        <v>2.5656840000000001</v>
      </c>
      <c r="AD261" s="18">
        <v>13.5036</v>
      </c>
    </row>
    <row r="262" spans="2:30" x14ac:dyDescent="0.25">
      <c r="B262" t="s">
        <v>108</v>
      </c>
      <c r="C262" t="s">
        <v>105</v>
      </c>
      <c r="D262" t="s">
        <v>278</v>
      </c>
      <c r="E262" s="35">
        <v>0.9</v>
      </c>
      <c r="F262" s="35">
        <v>16</v>
      </c>
      <c r="G262" s="36">
        <v>5.1944999999999998E-2</v>
      </c>
      <c r="H262" s="18">
        <v>93.501132999999996</v>
      </c>
      <c r="I262" s="16">
        <v>0</v>
      </c>
      <c r="J262" s="16"/>
      <c r="K262" s="16"/>
      <c r="L262" s="37" t="s">
        <v>107</v>
      </c>
      <c r="M262" s="37"/>
      <c r="N262" s="37">
        <v>263</v>
      </c>
      <c r="O262" s="37"/>
      <c r="P262" s="37"/>
      <c r="Q262" s="18">
        <v>0.57139499999999999</v>
      </c>
      <c r="R262" s="18">
        <v>3.8958749999999996E-3</v>
      </c>
      <c r="S262" s="18">
        <v>1.0908450000000001</v>
      </c>
      <c r="T262" s="18">
        <v>4.6750499999999997</v>
      </c>
      <c r="U262" s="18">
        <v>2.3375249999999999</v>
      </c>
      <c r="V262" s="18">
        <v>29.92032</v>
      </c>
      <c r="W262" s="18">
        <v>28.0503</v>
      </c>
      <c r="X262" s="18">
        <v>18.700199999999999</v>
      </c>
      <c r="Y262" s="18">
        <v>0.83111999999999997</v>
      </c>
      <c r="Z262" s="18">
        <v>3.6880949999999997</v>
      </c>
      <c r="AA262" s="18">
        <v>5.4022800000000002</v>
      </c>
      <c r="AB262" s="18">
        <v>9.609824999999999</v>
      </c>
      <c r="AC262" s="18">
        <v>2.9608650000000001</v>
      </c>
      <c r="AD262" s="18">
        <v>15.583499999999999</v>
      </c>
    </row>
    <row r="263" spans="2:30" x14ac:dyDescent="0.25">
      <c r="B263" t="s">
        <v>191</v>
      </c>
      <c r="C263" t="s">
        <v>105</v>
      </c>
      <c r="D263" t="s">
        <v>302</v>
      </c>
      <c r="E263" s="35">
        <v>0.9</v>
      </c>
      <c r="F263" s="35">
        <v>8.1999999999999993</v>
      </c>
      <c r="G263" s="36">
        <v>2.9683000000000001E-2</v>
      </c>
      <c r="H263" s="18">
        <v>53.429026</v>
      </c>
      <c r="I263" s="16"/>
      <c r="J263" s="16"/>
      <c r="K263" s="16"/>
      <c r="L263" s="37" t="s">
        <v>107</v>
      </c>
      <c r="M263" s="37"/>
      <c r="N263" s="37">
        <v>264</v>
      </c>
      <c r="O263" s="37"/>
      <c r="P263" s="37"/>
      <c r="Q263" s="18">
        <v>0.326513</v>
      </c>
      <c r="R263" s="18">
        <v>2.2262250000000001E-3</v>
      </c>
      <c r="S263" s="18">
        <v>0.62334299999999998</v>
      </c>
      <c r="T263" s="18">
        <v>2.6714700000000002</v>
      </c>
      <c r="U263" s="18">
        <v>1.3357350000000001</v>
      </c>
      <c r="V263" s="18">
        <v>17.097408000000001</v>
      </c>
      <c r="W263" s="18">
        <v>16.02882</v>
      </c>
      <c r="X263" s="18">
        <v>10.685880000000001</v>
      </c>
      <c r="Y263" s="18">
        <v>0.47492800000000002</v>
      </c>
      <c r="Z263" s="18">
        <v>2.1074930000000003</v>
      </c>
      <c r="AA263" s="18">
        <v>3.0870320000000002</v>
      </c>
      <c r="AB263" s="18">
        <v>5.4913550000000004</v>
      </c>
      <c r="AC263" s="18">
        <v>1.6919310000000001</v>
      </c>
      <c r="AD263" s="18">
        <v>8.9048999999999996</v>
      </c>
    </row>
    <row r="264" spans="2:30" x14ac:dyDescent="0.25">
      <c r="B264" t="s">
        <v>191</v>
      </c>
      <c r="C264" t="s">
        <v>105</v>
      </c>
      <c r="D264" t="s">
        <v>302</v>
      </c>
      <c r="E264" s="35">
        <v>0.9</v>
      </c>
      <c r="F264" s="35">
        <v>8.1999999999999993</v>
      </c>
      <c r="G264" s="36">
        <v>2.9683000000000001E-2</v>
      </c>
      <c r="H264" s="18">
        <v>53.429026</v>
      </c>
      <c r="I264" s="16"/>
      <c r="J264" s="16"/>
      <c r="K264" s="16"/>
      <c r="L264" s="37" t="s">
        <v>107</v>
      </c>
      <c r="M264" s="37"/>
      <c r="N264" s="37">
        <v>265</v>
      </c>
      <c r="O264" s="37"/>
      <c r="P264" s="37"/>
      <c r="Q264" s="18">
        <v>0.326513</v>
      </c>
      <c r="R264" s="18">
        <v>2.2262250000000001E-3</v>
      </c>
      <c r="S264" s="18">
        <v>0.62334299999999998</v>
      </c>
      <c r="T264" s="18">
        <v>2.6714700000000002</v>
      </c>
      <c r="U264" s="18">
        <v>1.3357350000000001</v>
      </c>
      <c r="V264" s="18">
        <v>17.097408000000001</v>
      </c>
      <c r="W264" s="18">
        <v>16.02882</v>
      </c>
      <c r="X264" s="18">
        <v>10.685880000000001</v>
      </c>
      <c r="Y264" s="18">
        <v>0.47492800000000002</v>
      </c>
      <c r="Z264" s="18">
        <v>2.1074930000000003</v>
      </c>
      <c r="AA264" s="18">
        <v>3.0870320000000002</v>
      </c>
      <c r="AB264" s="18">
        <v>5.4913550000000004</v>
      </c>
      <c r="AC264" s="18">
        <v>1.6919310000000001</v>
      </c>
      <c r="AD264" s="18">
        <v>8.9048999999999996</v>
      </c>
    </row>
    <row r="265" spans="2:30" x14ac:dyDescent="0.25">
      <c r="B265" t="s">
        <v>108</v>
      </c>
      <c r="C265" t="s">
        <v>105</v>
      </c>
      <c r="D265" t="s">
        <v>303</v>
      </c>
      <c r="E265" s="35">
        <v>0.9</v>
      </c>
      <c r="F265" s="35">
        <v>16</v>
      </c>
      <c r="G265" s="36">
        <v>5.8770999999999997E-2</v>
      </c>
      <c r="H265" s="18">
        <v>105.788633</v>
      </c>
      <c r="I265" s="16">
        <v>0</v>
      </c>
      <c r="J265" s="16"/>
      <c r="K265" s="16"/>
      <c r="L265" s="37" t="s">
        <v>107</v>
      </c>
      <c r="M265" s="37"/>
      <c r="N265" s="37">
        <v>266</v>
      </c>
      <c r="O265" s="37"/>
      <c r="P265" s="37"/>
      <c r="Q265" s="18">
        <v>0.64648099999999997</v>
      </c>
      <c r="R265" s="18">
        <v>4.4078249999999998E-3</v>
      </c>
      <c r="S265" s="18">
        <v>1.234191</v>
      </c>
      <c r="T265" s="18">
        <v>5.28939</v>
      </c>
      <c r="U265" s="18">
        <v>2.644695</v>
      </c>
      <c r="V265" s="18">
        <v>33.852095999999996</v>
      </c>
      <c r="W265" s="18">
        <v>31.736339999999998</v>
      </c>
      <c r="X265" s="18">
        <v>21.15756</v>
      </c>
      <c r="Y265" s="18">
        <v>0.94033599999999995</v>
      </c>
      <c r="Z265" s="18">
        <v>4.1727409999999994</v>
      </c>
      <c r="AA265" s="18">
        <v>6.1121840000000001</v>
      </c>
      <c r="AB265" s="18">
        <v>10.872634999999999</v>
      </c>
      <c r="AC265" s="18">
        <v>3.3499469999999998</v>
      </c>
      <c r="AD265" s="18">
        <v>17.6313</v>
      </c>
    </row>
    <row r="266" spans="2:30" x14ac:dyDescent="0.25">
      <c r="B266" t="s">
        <v>304</v>
      </c>
      <c r="C266" t="s">
        <v>105</v>
      </c>
      <c r="D266" t="s">
        <v>305</v>
      </c>
      <c r="E266" s="35">
        <v>0.9</v>
      </c>
      <c r="F266" s="35">
        <v>57</v>
      </c>
      <c r="G266" s="36">
        <v>0.91424399999999995</v>
      </c>
      <c r="H266" s="18">
        <v>1645.638706</v>
      </c>
      <c r="I266" s="16">
        <v>2</v>
      </c>
      <c r="J266" s="16"/>
      <c r="K266" s="16"/>
      <c r="L266" s="37" t="s">
        <v>107</v>
      </c>
      <c r="M266" s="37"/>
      <c r="N266" s="37">
        <v>267</v>
      </c>
      <c r="O266" s="37"/>
      <c r="P266" s="37"/>
      <c r="Q266" s="18">
        <v>10.056683999999999</v>
      </c>
      <c r="R266" s="18">
        <v>6.8568299999999999E-2</v>
      </c>
      <c r="S266" s="18">
        <v>19.199123999999998</v>
      </c>
      <c r="T266" s="18">
        <v>82.281959999999998</v>
      </c>
      <c r="U266" s="18">
        <v>41.140979999999999</v>
      </c>
      <c r="V266" s="18">
        <v>526.60454399999992</v>
      </c>
      <c r="W266" s="18">
        <v>493.69175999999999</v>
      </c>
      <c r="X266" s="18">
        <v>329.12783999999999</v>
      </c>
      <c r="Y266" s="18">
        <v>14.627903999999999</v>
      </c>
      <c r="Z266" s="18">
        <v>64.911323999999993</v>
      </c>
      <c r="AA266" s="18">
        <v>95.081375999999992</v>
      </c>
      <c r="AB266" s="18">
        <v>169.13513999999998</v>
      </c>
      <c r="AC266" s="18">
        <v>52.111908</v>
      </c>
      <c r="AD266" s="18">
        <v>274.27319999999997</v>
      </c>
    </row>
    <row r="267" spans="2:30" x14ac:dyDescent="0.25">
      <c r="B267" t="s">
        <v>191</v>
      </c>
      <c r="C267" t="s">
        <v>105</v>
      </c>
      <c r="D267" t="s">
        <v>299</v>
      </c>
      <c r="E267" s="35">
        <v>0.9</v>
      </c>
      <c r="F267" s="35">
        <v>8.1999999999999993</v>
      </c>
      <c r="G267" s="36">
        <v>1.1582E-2</v>
      </c>
      <c r="H267" s="18">
        <v>20.847486</v>
      </c>
      <c r="I267" s="16"/>
      <c r="J267" s="16"/>
      <c r="K267" s="16"/>
      <c r="L267" s="37" t="s">
        <v>107</v>
      </c>
      <c r="M267" s="37"/>
      <c r="N267" s="37">
        <v>268</v>
      </c>
      <c r="O267" s="37"/>
      <c r="P267" s="37"/>
      <c r="Q267" s="18">
        <v>0.12740200000000002</v>
      </c>
      <c r="R267" s="18">
        <v>8.6865E-4</v>
      </c>
      <c r="S267" s="18">
        <v>0.24322199999999999</v>
      </c>
      <c r="T267" s="18">
        <v>1.0423800000000001</v>
      </c>
      <c r="U267" s="18">
        <v>0.52119000000000004</v>
      </c>
      <c r="V267" s="18">
        <v>6.6712319999999998</v>
      </c>
      <c r="W267" s="18">
        <v>6.2542800000000005</v>
      </c>
      <c r="X267" s="18">
        <v>4.1695200000000003</v>
      </c>
      <c r="Y267" s="18">
        <v>0.185312</v>
      </c>
      <c r="Z267" s="18">
        <v>0.822322</v>
      </c>
      <c r="AA267" s="18">
        <v>1.204528</v>
      </c>
      <c r="AB267" s="18">
        <v>2.1426699999999999</v>
      </c>
      <c r="AC267" s="18">
        <v>0.66017400000000004</v>
      </c>
      <c r="AD267" s="18">
        <v>3.4746000000000001</v>
      </c>
    </row>
    <row r="268" spans="2:30" x14ac:dyDescent="0.25">
      <c r="B268" t="s">
        <v>110</v>
      </c>
      <c r="C268" t="s">
        <v>105</v>
      </c>
      <c r="D268" t="s">
        <v>306</v>
      </c>
      <c r="E268" s="35">
        <v>0.9</v>
      </c>
      <c r="F268" s="35">
        <v>22</v>
      </c>
      <c r="G268" s="36">
        <v>0.27835399999999999</v>
      </c>
      <c r="H268" s="18">
        <v>501.03727199999997</v>
      </c>
      <c r="I268" s="16">
        <v>0</v>
      </c>
      <c r="J268" s="16"/>
      <c r="K268" s="16"/>
      <c r="L268" s="37" t="s">
        <v>107</v>
      </c>
      <c r="M268" s="37"/>
      <c r="N268" s="37">
        <v>269</v>
      </c>
      <c r="O268" s="37"/>
      <c r="P268" s="37"/>
      <c r="Q268" s="18">
        <v>3.0618939999999997</v>
      </c>
      <c r="R268" s="18">
        <v>2.0876549999999997E-2</v>
      </c>
      <c r="S268" s="18">
        <v>5.845434</v>
      </c>
      <c r="T268" s="18">
        <v>25.051859999999998</v>
      </c>
      <c r="U268" s="18">
        <v>12.525929999999999</v>
      </c>
      <c r="V268" s="18">
        <v>160.33190400000001</v>
      </c>
      <c r="W268" s="18">
        <v>150.31116</v>
      </c>
      <c r="X268" s="18">
        <v>100.20743999999999</v>
      </c>
      <c r="Y268" s="18">
        <v>4.4536639999999998</v>
      </c>
      <c r="Z268" s="18">
        <v>19.763134000000001</v>
      </c>
      <c r="AA268" s="18">
        <v>28.948816000000001</v>
      </c>
      <c r="AB268" s="18">
        <v>51.495489999999997</v>
      </c>
      <c r="AC268" s="18">
        <v>15.866178</v>
      </c>
      <c r="AD268" s="18">
        <v>83.506199999999993</v>
      </c>
    </row>
    <row r="269" spans="2:30" x14ac:dyDescent="0.25">
      <c r="B269" t="s">
        <v>108</v>
      </c>
      <c r="C269" t="s">
        <v>105</v>
      </c>
      <c r="D269" t="s">
        <v>307</v>
      </c>
      <c r="E269" s="35">
        <v>0.9</v>
      </c>
      <c r="F269" s="35">
        <v>16</v>
      </c>
      <c r="G269" s="36">
        <v>2.0586E-2</v>
      </c>
      <c r="H269" s="18">
        <v>37.054492000000003</v>
      </c>
      <c r="I269" s="16">
        <v>0</v>
      </c>
      <c r="J269" s="16"/>
      <c r="K269" s="16"/>
      <c r="L269" s="37" t="s">
        <v>107</v>
      </c>
      <c r="M269" s="37"/>
      <c r="N269" s="37">
        <v>270</v>
      </c>
      <c r="O269" s="37"/>
      <c r="P269" s="37"/>
      <c r="Q269" s="18">
        <v>0.22644600000000001</v>
      </c>
      <c r="R269" s="18">
        <v>1.5439499999999999E-3</v>
      </c>
      <c r="S269" s="18">
        <v>0.43230600000000002</v>
      </c>
      <c r="T269" s="18">
        <v>1.8527400000000001</v>
      </c>
      <c r="U269" s="18">
        <v>0.92637000000000003</v>
      </c>
      <c r="V269" s="18">
        <v>11.857536</v>
      </c>
      <c r="W269" s="18">
        <v>11.116440000000001</v>
      </c>
      <c r="X269" s="18">
        <v>7.4109600000000002</v>
      </c>
      <c r="Y269" s="18">
        <v>0.329376</v>
      </c>
      <c r="Z269" s="18">
        <v>1.461606</v>
      </c>
      <c r="AA269" s="18">
        <v>2.1409440000000002</v>
      </c>
      <c r="AB269" s="18">
        <v>3.8084099999999999</v>
      </c>
      <c r="AC269" s="18">
        <v>1.1734020000000001</v>
      </c>
      <c r="AD269" s="18">
        <v>6.1757999999999997</v>
      </c>
    </row>
    <row r="270" spans="2:30" x14ac:dyDescent="0.25">
      <c r="B270" t="s">
        <v>294</v>
      </c>
      <c r="C270" t="s">
        <v>105</v>
      </c>
      <c r="D270" t="s">
        <v>308</v>
      </c>
      <c r="E270" s="35">
        <v>1.8</v>
      </c>
      <c r="F270" s="35">
        <v>32.58</v>
      </c>
      <c r="G270" s="36">
        <v>0.21393400000000001</v>
      </c>
      <c r="H270" s="18">
        <v>770.163679</v>
      </c>
      <c r="I270" s="16"/>
      <c r="J270" s="16"/>
      <c r="K270" s="16"/>
      <c r="L270" s="37" t="s">
        <v>107</v>
      </c>
      <c r="M270" s="37"/>
      <c r="N270" s="37">
        <v>271</v>
      </c>
      <c r="O270" s="37"/>
      <c r="P270" s="37"/>
      <c r="Q270" s="18">
        <v>2.3532740000000003</v>
      </c>
      <c r="R270" s="18">
        <v>1.6045050000000002E-2</v>
      </c>
      <c r="S270" s="18">
        <v>4.4926140000000006</v>
      </c>
      <c r="T270" s="18">
        <v>19.254060000000003</v>
      </c>
      <c r="U270" s="18">
        <v>9.6270300000000013</v>
      </c>
      <c r="V270" s="18">
        <v>123.22598400000001</v>
      </c>
      <c r="W270" s="18">
        <v>115.52436</v>
      </c>
      <c r="X270" s="18">
        <v>77.01624000000001</v>
      </c>
      <c r="Y270" s="18">
        <v>3.4229440000000002</v>
      </c>
      <c r="Z270" s="18">
        <v>15.189314000000001</v>
      </c>
      <c r="AA270" s="18">
        <v>22.249136</v>
      </c>
      <c r="AB270" s="18">
        <v>39.57779</v>
      </c>
      <c r="AC270" s="18">
        <v>12.194238</v>
      </c>
      <c r="AD270" s="18">
        <v>64.180199999999999</v>
      </c>
    </row>
    <row r="271" spans="2:30" x14ac:dyDescent="0.25">
      <c r="B271" t="s">
        <v>309</v>
      </c>
      <c r="C271" t="s">
        <v>105</v>
      </c>
      <c r="D271" t="s">
        <v>310</v>
      </c>
      <c r="E271" s="35">
        <v>0.9</v>
      </c>
      <c r="F271" s="35">
        <v>55</v>
      </c>
      <c r="G271" s="36">
        <v>0.70837300000000003</v>
      </c>
      <c r="H271" s="18">
        <v>1275.071338</v>
      </c>
      <c r="I271" s="16">
        <v>0</v>
      </c>
      <c r="J271" s="16">
        <v>40</v>
      </c>
      <c r="K271" s="16"/>
      <c r="L271" s="37" t="s">
        <v>107</v>
      </c>
      <c r="M271" s="37"/>
      <c r="N271" s="37">
        <v>272</v>
      </c>
      <c r="O271" s="37"/>
      <c r="P271" s="37"/>
      <c r="Q271" s="18">
        <v>7.792103</v>
      </c>
      <c r="R271" s="18">
        <v>5.3127975000000001E-2</v>
      </c>
      <c r="S271" s="18">
        <v>14.875833</v>
      </c>
      <c r="T271" s="18">
        <v>63.753570000000003</v>
      </c>
      <c r="U271" s="18">
        <v>31.876785000000002</v>
      </c>
      <c r="V271" s="18">
        <v>408.02284800000001</v>
      </c>
      <c r="W271" s="18">
        <v>382.52142000000003</v>
      </c>
      <c r="X271" s="18">
        <v>255.01428000000001</v>
      </c>
      <c r="Y271" s="18">
        <v>11.333968</v>
      </c>
      <c r="Z271" s="18">
        <v>50.294483</v>
      </c>
      <c r="AA271" s="18">
        <v>73.670792000000006</v>
      </c>
      <c r="AB271" s="18">
        <v>131.04900499999999</v>
      </c>
      <c r="AC271" s="18">
        <v>40.377261000000004</v>
      </c>
      <c r="AD271" s="18">
        <v>212.5119</v>
      </c>
    </row>
    <row r="272" spans="2:30" x14ac:dyDescent="0.25">
      <c r="B272" t="s">
        <v>108</v>
      </c>
      <c r="C272" t="s">
        <v>105</v>
      </c>
      <c r="D272" t="s">
        <v>226</v>
      </c>
      <c r="E272" s="35">
        <v>0.9</v>
      </c>
      <c r="F272" s="35">
        <v>16</v>
      </c>
      <c r="G272" s="36">
        <v>9.1410000000000005E-2</v>
      </c>
      <c r="H272" s="18">
        <v>164.538242</v>
      </c>
      <c r="I272" s="16">
        <v>0</v>
      </c>
      <c r="J272" s="16"/>
      <c r="K272" s="16"/>
      <c r="L272" s="37" t="s">
        <v>107</v>
      </c>
      <c r="M272" s="37"/>
      <c r="N272" s="37">
        <v>273</v>
      </c>
      <c r="O272" s="37"/>
      <c r="P272" s="37"/>
      <c r="Q272" s="18">
        <v>1.0055100000000001</v>
      </c>
      <c r="R272" s="18">
        <v>6.8557499999999999E-3</v>
      </c>
      <c r="S272" s="18">
        <v>1.91961</v>
      </c>
      <c r="T272" s="18">
        <v>8.2269000000000005</v>
      </c>
      <c r="U272" s="18">
        <v>4.1134500000000003</v>
      </c>
      <c r="V272" s="18">
        <v>52.652160000000002</v>
      </c>
      <c r="W272" s="18">
        <v>49.361400000000003</v>
      </c>
      <c r="X272" s="18">
        <v>32.907600000000002</v>
      </c>
      <c r="Y272" s="18">
        <v>1.4625600000000001</v>
      </c>
      <c r="Z272" s="18">
        <v>6.4901100000000005</v>
      </c>
      <c r="AA272" s="18">
        <v>9.5066400000000009</v>
      </c>
      <c r="AB272" s="18">
        <v>16.91085</v>
      </c>
      <c r="AC272" s="18">
        <v>5.2103700000000002</v>
      </c>
      <c r="AD272" s="18">
        <v>27.423000000000002</v>
      </c>
    </row>
    <row r="273" spans="2:30" x14ac:dyDescent="0.25">
      <c r="B273" t="s">
        <v>124</v>
      </c>
      <c r="C273" t="s">
        <v>105</v>
      </c>
      <c r="D273" t="s">
        <v>311</v>
      </c>
      <c r="E273" s="35">
        <v>0.9</v>
      </c>
      <c r="F273" s="35">
        <v>35</v>
      </c>
      <c r="G273" s="36">
        <v>0.491614</v>
      </c>
      <c r="H273" s="18">
        <v>884.90604199999996</v>
      </c>
      <c r="I273" s="16">
        <v>0</v>
      </c>
      <c r="J273" s="16"/>
      <c r="K273" s="16"/>
      <c r="L273" s="37" t="s">
        <v>107</v>
      </c>
      <c r="M273" s="37"/>
      <c r="N273" s="37">
        <v>274</v>
      </c>
      <c r="O273" s="37"/>
      <c r="P273" s="37"/>
      <c r="Q273" s="18">
        <v>5.4077539999999997</v>
      </c>
      <c r="R273" s="18">
        <v>3.6871049999999995E-2</v>
      </c>
      <c r="S273" s="18">
        <v>10.323893999999999</v>
      </c>
      <c r="T273" s="18">
        <v>44.245260000000002</v>
      </c>
      <c r="U273" s="18">
        <v>22.122630000000001</v>
      </c>
      <c r="V273" s="18">
        <v>283.16966400000001</v>
      </c>
      <c r="W273" s="18">
        <v>265.47156000000001</v>
      </c>
      <c r="X273" s="18">
        <v>176.98104000000001</v>
      </c>
      <c r="Y273" s="18">
        <v>7.8658239999999999</v>
      </c>
      <c r="Z273" s="18">
        <v>34.904594000000003</v>
      </c>
      <c r="AA273" s="18">
        <v>51.127856000000001</v>
      </c>
      <c r="AB273" s="18">
        <v>90.948589999999996</v>
      </c>
      <c r="AC273" s="18">
        <v>28.021998</v>
      </c>
      <c r="AD273" s="18">
        <v>147.48419999999999</v>
      </c>
    </row>
    <row r="274" spans="2:30" x14ac:dyDescent="0.25">
      <c r="B274" t="s">
        <v>166</v>
      </c>
      <c r="C274" t="s">
        <v>105</v>
      </c>
      <c r="D274" t="s">
        <v>312</v>
      </c>
      <c r="E274" s="35">
        <v>0.9</v>
      </c>
      <c r="F274" s="35">
        <v>26</v>
      </c>
      <c r="G274" s="36">
        <v>0.286163</v>
      </c>
      <c r="H274" s="18">
        <v>515.09256300000004</v>
      </c>
      <c r="I274" s="16">
        <v>0</v>
      </c>
      <c r="J274" s="16"/>
      <c r="K274" s="16"/>
      <c r="L274" s="37" t="s">
        <v>107</v>
      </c>
      <c r="M274" s="37"/>
      <c r="N274" s="37">
        <v>275</v>
      </c>
      <c r="O274" s="37"/>
      <c r="P274" s="37"/>
      <c r="Q274" s="18">
        <v>3.1477930000000001</v>
      </c>
      <c r="R274" s="18">
        <v>2.1462224999999998E-2</v>
      </c>
      <c r="S274" s="18">
        <v>6.009423</v>
      </c>
      <c r="T274" s="18">
        <v>25.754670000000001</v>
      </c>
      <c r="U274" s="18">
        <v>12.877335</v>
      </c>
      <c r="V274" s="18">
        <v>164.82988800000001</v>
      </c>
      <c r="W274" s="18">
        <v>154.52802</v>
      </c>
      <c r="X274" s="18">
        <v>103.01868</v>
      </c>
      <c r="Y274" s="18">
        <v>4.578608</v>
      </c>
      <c r="Z274" s="18">
        <v>20.317572999999999</v>
      </c>
      <c r="AA274" s="18">
        <v>29.760952</v>
      </c>
      <c r="AB274" s="18">
        <v>52.940154999999997</v>
      </c>
      <c r="AC274" s="18">
        <v>16.311291000000001</v>
      </c>
      <c r="AD274" s="18">
        <v>85.8489</v>
      </c>
    </row>
    <row r="275" spans="2:30" x14ac:dyDescent="0.25">
      <c r="B275" t="s">
        <v>141</v>
      </c>
      <c r="C275" t="s">
        <v>105</v>
      </c>
      <c r="D275" t="s">
        <v>313</v>
      </c>
      <c r="E275" s="35">
        <v>0.9</v>
      </c>
      <c r="F275" s="35">
        <v>46</v>
      </c>
      <c r="G275" s="36">
        <v>0.75161100000000003</v>
      </c>
      <c r="H275" s="18">
        <v>1352.8996440000001</v>
      </c>
      <c r="I275" s="16">
        <v>0</v>
      </c>
      <c r="J275" s="16">
        <v>44</v>
      </c>
      <c r="K275" s="16"/>
      <c r="L275" s="37" t="s">
        <v>107</v>
      </c>
      <c r="M275" s="37"/>
      <c r="N275" s="37">
        <v>276</v>
      </c>
      <c r="O275" s="37"/>
      <c r="P275" s="37"/>
      <c r="Q275" s="18">
        <v>8.2677209999999999</v>
      </c>
      <c r="R275" s="18">
        <v>5.6370824999999999E-2</v>
      </c>
      <c r="S275" s="18">
        <v>15.783831000000001</v>
      </c>
      <c r="T275" s="18">
        <v>67.644990000000007</v>
      </c>
      <c r="U275" s="18">
        <v>33.822495000000004</v>
      </c>
      <c r="V275" s="18">
        <v>432.92793600000005</v>
      </c>
      <c r="W275" s="18">
        <v>405.86994000000004</v>
      </c>
      <c r="X275" s="18">
        <v>270.57996000000003</v>
      </c>
      <c r="Y275" s="18">
        <v>12.025776</v>
      </c>
      <c r="Z275" s="18">
        <v>53.364381000000002</v>
      </c>
      <c r="AA275" s="18">
        <v>78.167544000000007</v>
      </c>
      <c r="AB275" s="18">
        <v>139.048035</v>
      </c>
      <c r="AC275" s="18">
        <v>42.841827000000002</v>
      </c>
      <c r="AD275" s="18">
        <v>225.48330000000001</v>
      </c>
    </row>
    <row r="276" spans="2:30" x14ac:dyDescent="0.25">
      <c r="B276" t="s">
        <v>166</v>
      </c>
      <c r="C276" t="s">
        <v>105</v>
      </c>
      <c r="D276" t="s">
        <v>234</v>
      </c>
      <c r="E276" s="35">
        <v>0.9</v>
      </c>
      <c r="F276" s="35">
        <v>26</v>
      </c>
      <c r="G276" s="36">
        <v>0.31753500000000001</v>
      </c>
      <c r="H276" s="18">
        <v>571.56226600000002</v>
      </c>
      <c r="I276" s="16">
        <v>0</v>
      </c>
      <c r="J276" s="16"/>
      <c r="K276" s="16"/>
      <c r="L276" s="37" t="s">
        <v>107</v>
      </c>
      <c r="M276" s="37"/>
      <c r="N276" s="37">
        <v>277</v>
      </c>
      <c r="O276" s="37"/>
      <c r="P276" s="37"/>
      <c r="Q276" s="18">
        <v>3.4928850000000002</v>
      </c>
      <c r="R276" s="18">
        <v>2.3815124999999999E-2</v>
      </c>
      <c r="S276" s="18">
        <v>6.6682350000000001</v>
      </c>
      <c r="T276" s="18">
        <v>28.578150000000001</v>
      </c>
      <c r="U276" s="18">
        <v>14.289075</v>
      </c>
      <c r="V276" s="18">
        <v>182.90016</v>
      </c>
      <c r="W276" s="18">
        <v>171.46890000000002</v>
      </c>
      <c r="X276" s="18">
        <v>114.3126</v>
      </c>
      <c r="Y276" s="18">
        <v>5.0805600000000002</v>
      </c>
      <c r="Z276" s="18">
        <v>22.544985</v>
      </c>
      <c r="AA276" s="18">
        <v>33.02364</v>
      </c>
      <c r="AB276" s="18">
        <v>58.743974999999999</v>
      </c>
      <c r="AC276" s="18">
        <v>18.099495000000001</v>
      </c>
      <c r="AD276" s="18">
        <v>95.260500000000008</v>
      </c>
    </row>
    <row r="277" spans="2:30" x14ac:dyDescent="0.25">
      <c r="B277" t="s">
        <v>108</v>
      </c>
      <c r="C277" t="s">
        <v>105</v>
      </c>
      <c r="D277" t="s">
        <v>314</v>
      </c>
      <c r="E277" s="35">
        <v>0.9</v>
      </c>
      <c r="F277" s="35">
        <v>16</v>
      </c>
      <c r="G277" s="36">
        <v>6.4104999999999995E-2</v>
      </c>
      <c r="H277" s="18">
        <v>115.38824200000001</v>
      </c>
      <c r="I277" s="16">
        <v>0</v>
      </c>
      <c r="J277" s="16"/>
      <c r="K277" s="16"/>
      <c r="L277" s="37" t="s">
        <v>107</v>
      </c>
      <c r="M277" s="37"/>
      <c r="N277" s="37">
        <v>278</v>
      </c>
      <c r="O277" s="37"/>
      <c r="P277" s="37"/>
      <c r="Q277" s="18">
        <v>0.70515499999999998</v>
      </c>
      <c r="R277" s="18">
        <v>4.8078749999999996E-3</v>
      </c>
      <c r="S277" s="18">
        <v>1.3462049999999999</v>
      </c>
      <c r="T277" s="18">
        <v>5.76945</v>
      </c>
      <c r="U277" s="18">
        <v>2.884725</v>
      </c>
      <c r="V277" s="18">
        <v>36.924479999999996</v>
      </c>
      <c r="W277" s="18">
        <v>34.616699999999994</v>
      </c>
      <c r="X277" s="18">
        <v>23.0778</v>
      </c>
      <c r="Y277" s="18">
        <v>1.0256799999999999</v>
      </c>
      <c r="Z277" s="18">
        <v>4.5514549999999998</v>
      </c>
      <c r="AA277" s="18">
        <v>6.6669199999999993</v>
      </c>
      <c r="AB277" s="18">
        <v>11.859425</v>
      </c>
      <c r="AC277" s="18">
        <v>3.6539849999999996</v>
      </c>
      <c r="AD277" s="18">
        <v>19.231499999999997</v>
      </c>
    </row>
    <row r="278" spans="2:30" x14ac:dyDescent="0.25">
      <c r="B278" t="s">
        <v>108</v>
      </c>
      <c r="C278" t="s">
        <v>105</v>
      </c>
      <c r="D278" t="s">
        <v>314</v>
      </c>
      <c r="E278" s="35">
        <v>0.9</v>
      </c>
      <c r="F278" s="35">
        <v>16</v>
      </c>
      <c r="G278" s="36">
        <v>6.4104999999999995E-2</v>
      </c>
      <c r="H278" s="18">
        <v>115.38824200000001</v>
      </c>
      <c r="I278" s="16">
        <v>0</v>
      </c>
      <c r="J278" s="16"/>
      <c r="K278" s="16"/>
      <c r="L278" s="37" t="s">
        <v>107</v>
      </c>
      <c r="M278" s="37"/>
      <c r="N278" s="37">
        <v>279</v>
      </c>
      <c r="O278" s="37"/>
      <c r="P278" s="37"/>
      <c r="Q278" s="18">
        <v>0.70515499999999998</v>
      </c>
      <c r="R278" s="18">
        <v>4.8078749999999996E-3</v>
      </c>
      <c r="S278" s="18">
        <v>1.3462049999999999</v>
      </c>
      <c r="T278" s="18">
        <v>5.76945</v>
      </c>
      <c r="U278" s="18">
        <v>2.884725</v>
      </c>
      <c r="V278" s="18">
        <v>36.924479999999996</v>
      </c>
      <c r="W278" s="18">
        <v>34.616699999999994</v>
      </c>
      <c r="X278" s="18">
        <v>23.0778</v>
      </c>
      <c r="Y278" s="18">
        <v>1.0256799999999999</v>
      </c>
      <c r="Z278" s="18">
        <v>4.5514549999999998</v>
      </c>
      <c r="AA278" s="18">
        <v>6.6669199999999993</v>
      </c>
      <c r="AB278" s="18">
        <v>11.859425</v>
      </c>
      <c r="AC278" s="18">
        <v>3.6539849999999996</v>
      </c>
      <c r="AD278" s="18">
        <v>19.231499999999997</v>
      </c>
    </row>
    <row r="279" spans="2:30" x14ac:dyDescent="0.25">
      <c r="B279" t="s">
        <v>108</v>
      </c>
      <c r="C279" t="s">
        <v>105</v>
      </c>
      <c r="D279" t="s">
        <v>314</v>
      </c>
      <c r="E279" s="35">
        <v>0.9</v>
      </c>
      <c r="F279" s="35">
        <v>16</v>
      </c>
      <c r="G279" s="36">
        <v>6.4104999999999995E-2</v>
      </c>
      <c r="H279" s="18">
        <v>115.38824200000001</v>
      </c>
      <c r="I279" s="16">
        <v>0</v>
      </c>
      <c r="J279" s="16"/>
      <c r="K279" s="16"/>
      <c r="L279" s="37" t="s">
        <v>107</v>
      </c>
      <c r="M279" s="37"/>
      <c r="N279" s="37">
        <v>280</v>
      </c>
      <c r="O279" s="37"/>
      <c r="P279" s="37"/>
      <c r="Q279" s="18">
        <v>0.70515499999999998</v>
      </c>
      <c r="R279" s="18">
        <v>4.8078749999999996E-3</v>
      </c>
      <c r="S279" s="18">
        <v>1.3462049999999999</v>
      </c>
      <c r="T279" s="18">
        <v>5.76945</v>
      </c>
      <c r="U279" s="18">
        <v>2.884725</v>
      </c>
      <c r="V279" s="18">
        <v>36.924479999999996</v>
      </c>
      <c r="W279" s="18">
        <v>34.616699999999994</v>
      </c>
      <c r="X279" s="18">
        <v>23.0778</v>
      </c>
      <c r="Y279" s="18">
        <v>1.0256799999999999</v>
      </c>
      <c r="Z279" s="18">
        <v>4.5514549999999998</v>
      </c>
      <c r="AA279" s="18">
        <v>6.6669199999999993</v>
      </c>
      <c r="AB279" s="18">
        <v>11.859425</v>
      </c>
      <c r="AC279" s="18">
        <v>3.6539849999999996</v>
      </c>
      <c r="AD279" s="18">
        <v>19.231499999999997</v>
      </c>
    </row>
    <row r="280" spans="2:30" x14ac:dyDescent="0.25">
      <c r="B280" t="s">
        <v>108</v>
      </c>
      <c r="C280" t="s">
        <v>105</v>
      </c>
      <c r="D280" t="s">
        <v>314</v>
      </c>
      <c r="E280" s="35">
        <v>0.9</v>
      </c>
      <c r="F280" s="35">
        <v>16</v>
      </c>
      <c r="G280" s="36">
        <v>6.4104999999999995E-2</v>
      </c>
      <c r="H280" s="18">
        <v>115.38824200000001</v>
      </c>
      <c r="I280" s="16">
        <v>0</v>
      </c>
      <c r="J280" s="16"/>
      <c r="K280" s="16"/>
      <c r="L280" s="37" t="s">
        <v>107</v>
      </c>
      <c r="M280" s="37"/>
      <c r="N280" s="37">
        <v>281</v>
      </c>
      <c r="O280" s="37"/>
      <c r="P280" s="37"/>
      <c r="Q280" s="18">
        <v>0.70515499999999998</v>
      </c>
      <c r="R280" s="18">
        <v>4.8078749999999996E-3</v>
      </c>
      <c r="S280" s="18">
        <v>1.3462049999999999</v>
      </c>
      <c r="T280" s="18">
        <v>5.76945</v>
      </c>
      <c r="U280" s="18">
        <v>2.884725</v>
      </c>
      <c r="V280" s="18">
        <v>36.924479999999996</v>
      </c>
      <c r="W280" s="18">
        <v>34.616699999999994</v>
      </c>
      <c r="X280" s="18">
        <v>23.0778</v>
      </c>
      <c r="Y280" s="18">
        <v>1.0256799999999999</v>
      </c>
      <c r="Z280" s="18">
        <v>4.5514549999999998</v>
      </c>
      <c r="AA280" s="18">
        <v>6.6669199999999993</v>
      </c>
      <c r="AB280" s="18">
        <v>11.859425</v>
      </c>
      <c r="AC280" s="18">
        <v>3.6539849999999996</v>
      </c>
      <c r="AD280" s="18">
        <v>19.231499999999997</v>
      </c>
    </row>
    <row r="281" spans="2:30" x14ac:dyDescent="0.25">
      <c r="B281" t="s">
        <v>108</v>
      </c>
      <c r="C281" t="s">
        <v>105</v>
      </c>
      <c r="D281" t="s">
        <v>314</v>
      </c>
      <c r="E281" s="35">
        <v>0.9</v>
      </c>
      <c r="F281" s="35">
        <v>16</v>
      </c>
      <c r="G281" s="36">
        <v>6.4104999999999995E-2</v>
      </c>
      <c r="H281" s="18">
        <v>115.38824200000001</v>
      </c>
      <c r="I281" s="16">
        <v>0</v>
      </c>
      <c r="J281" s="16"/>
      <c r="K281" s="16"/>
      <c r="L281" s="37" t="s">
        <v>107</v>
      </c>
      <c r="M281" s="37"/>
      <c r="N281" s="37">
        <v>282</v>
      </c>
      <c r="O281" s="37"/>
      <c r="P281" s="37"/>
      <c r="Q281" s="18">
        <v>0.70515499999999998</v>
      </c>
      <c r="R281" s="18">
        <v>4.8078749999999996E-3</v>
      </c>
      <c r="S281" s="18">
        <v>1.3462049999999999</v>
      </c>
      <c r="T281" s="18">
        <v>5.76945</v>
      </c>
      <c r="U281" s="18">
        <v>2.884725</v>
      </c>
      <c r="V281" s="18">
        <v>36.924479999999996</v>
      </c>
      <c r="W281" s="18">
        <v>34.616699999999994</v>
      </c>
      <c r="X281" s="18">
        <v>23.0778</v>
      </c>
      <c r="Y281" s="18">
        <v>1.0256799999999999</v>
      </c>
      <c r="Z281" s="18">
        <v>4.5514549999999998</v>
      </c>
      <c r="AA281" s="18">
        <v>6.6669199999999993</v>
      </c>
      <c r="AB281" s="18">
        <v>11.859425</v>
      </c>
      <c r="AC281" s="18">
        <v>3.6539849999999996</v>
      </c>
      <c r="AD281" s="18">
        <v>19.231499999999997</v>
      </c>
    </row>
    <row r="282" spans="2:30" x14ac:dyDescent="0.25">
      <c r="B282" t="s">
        <v>108</v>
      </c>
      <c r="C282" t="s">
        <v>105</v>
      </c>
      <c r="D282" t="s">
        <v>314</v>
      </c>
      <c r="E282" s="35">
        <v>0.9</v>
      </c>
      <c r="F282" s="35">
        <v>16</v>
      </c>
      <c r="G282" s="36">
        <v>6.4104999999999995E-2</v>
      </c>
      <c r="H282" s="18">
        <v>115.38824200000001</v>
      </c>
      <c r="I282" s="16">
        <v>0</v>
      </c>
      <c r="J282" s="16"/>
      <c r="K282" s="16"/>
      <c r="L282" s="37" t="s">
        <v>107</v>
      </c>
      <c r="M282" s="37"/>
      <c r="N282" s="37">
        <v>283</v>
      </c>
      <c r="O282" s="37"/>
      <c r="P282" s="37"/>
      <c r="Q282" s="18">
        <v>0.70515499999999998</v>
      </c>
      <c r="R282" s="18">
        <v>4.8078749999999996E-3</v>
      </c>
      <c r="S282" s="18">
        <v>1.3462049999999999</v>
      </c>
      <c r="T282" s="18">
        <v>5.76945</v>
      </c>
      <c r="U282" s="18">
        <v>2.884725</v>
      </c>
      <c r="V282" s="18">
        <v>36.924479999999996</v>
      </c>
      <c r="W282" s="18">
        <v>34.616699999999994</v>
      </c>
      <c r="X282" s="18">
        <v>23.0778</v>
      </c>
      <c r="Y282" s="18">
        <v>1.0256799999999999</v>
      </c>
      <c r="Z282" s="18">
        <v>4.5514549999999998</v>
      </c>
      <c r="AA282" s="18">
        <v>6.6669199999999993</v>
      </c>
      <c r="AB282" s="18">
        <v>11.859425</v>
      </c>
      <c r="AC282" s="18">
        <v>3.6539849999999996</v>
      </c>
      <c r="AD282" s="18">
        <v>19.231499999999997</v>
      </c>
    </row>
    <row r="283" spans="2:30" x14ac:dyDescent="0.25">
      <c r="B283" t="s">
        <v>108</v>
      </c>
      <c r="C283" t="s">
        <v>105</v>
      </c>
      <c r="D283" t="s">
        <v>314</v>
      </c>
      <c r="E283" s="35">
        <v>0.9</v>
      </c>
      <c r="F283" s="35">
        <v>16</v>
      </c>
      <c r="G283" s="36">
        <v>6.4104999999999995E-2</v>
      </c>
      <c r="H283" s="18">
        <v>115.38824200000001</v>
      </c>
      <c r="I283" s="16">
        <v>0</v>
      </c>
      <c r="J283" s="16"/>
      <c r="K283" s="16"/>
      <c r="L283" s="37" t="s">
        <v>107</v>
      </c>
      <c r="M283" s="37"/>
      <c r="N283" s="37">
        <v>284</v>
      </c>
      <c r="O283" s="37"/>
      <c r="P283" s="37"/>
      <c r="Q283" s="18">
        <v>0.70515499999999998</v>
      </c>
      <c r="R283" s="18">
        <v>4.8078749999999996E-3</v>
      </c>
      <c r="S283" s="18">
        <v>1.3462049999999999</v>
      </c>
      <c r="T283" s="18">
        <v>5.76945</v>
      </c>
      <c r="U283" s="18">
        <v>2.884725</v>
      </c>
      <c r="V283" s="18">
        <v>36.924479999999996</v>
      </c>
      <c r="W283" s="18">
        <v>34.616699999999994</v>
      </c>
      <c r="X283" s="18">
        <v>23.0778</v>
      </c>
      <c r="Y283" s="18">
        <v>1.0256799999999999</v>
      </c>
      <c r="Z283" s="18">
        <v>4.5514549999999998</v>
      </c>
      <c r="AA283" s="18">
        <v>6.6669199999999993</v>
      </c>
      <c r="AB283" s="18">
        <v>11.859425</v>
      </c>
      <c r="AC283" s="18">
        <v>3.6539849999999996</v>
      </c>
      <c r="AD283" s="18">
        <v>19.231499999999997</v>
      </c>
    </row>
    <row r="284" spans="2:30" x14ac:dyDescent="0.25">
      <c r="B284" t="s">
        <v>166</v>
      </c>
      <c r="C284" t="s">
        <v>105</v>
      </c>
      <c r="D284" t="s">
        <v>285</v>
      </c>
      <c r="E284" s="35">
        <v>0.9</v>
      </c>
      <c r="F284" s="35">
        <v>26</v>
      </c>
      <c r="G284" s="36">
        <v>0.32620100000000002</v>
      </c>
      <c r="H284" s="18">
        <v>587.16163100000006</v>
      </c>
      <c r="I284" s="16">
        <v>0</v>
      </c>
      <c r="J284" s="16"/>
      <c r="K284" s="16"/>
      <c r="L284" s="37" t="s">
        <v>107</v>
      </c>
      <c r="M284" s="37"/>
      <c r="N284" s="37">
        <v>285</v>
      </c>
      <c r="O284" s="37"/>
      <c r="P284" s="37"/>
      <c r="Q284" s="18">
        <v>3.5882110000000003</v>
      </c>
      <c r="R284" s="18">
        <v>2.4465074999999999E-2</v>
      </c>
      <c r="S284" s="18">
        <v>6.8502210000000003</v>
      </c>
      <c r="T284" s="18">
        <v>29.358090000000001</v>
      </c>
      <c r="U284" s="18">
        <v>14.679045</v>
      </c>
      <c r="V284" s="18">
        <v>187.89177600000002</v>
      </c>
      <c r="W284" s="18">
        <v>176.14854</v>
      </c>
      <c r="X284" s="18">
        <v>117.43236</v>
      </c>
      <c r="Y284" s="18">
        <v>5.2192160000000003</v>
      </c>
      <c r="Z284" s="18">
        <v>23.160271000000002</v>
      </c>
      <c r="AA284" s="18">
        <v>33.924904000000005</v>
      </c>
      <c r="AB284" s="18">
        <v>60.347185000000003</v>
      </c>
      <c r="AC284" s="18">
        <v>18.593457000000001</v>
      </c>
      <c r="AD284" s="18">
        <v>97.860300000000009</v>
      </c>
    </row>
    <row r="285" spans="2:30" x14ac:dyDescent="0.25">
      <c r="B285" t="s">
        <v>124</v>
      </c>
      <c r="C285" t="s">
        <v>105</v>
      </c>
      <c r="D285" t="s">
        <v>184</v>
      </c>
      <c r="E285" s="35">
        <v>0.9</v>
      </c>
      <c r="F285" s="35">
        <v>35</v>
      </c>
      <c r="G285" s="36">
        <v>0.497448</v>
      </c>
      <c r="H285" s="18">
        <v>895.40561500000001</v>
      </c>
      <c r="I285" s="16">
        <v>0</v>
      </c>
      <c r="J285" s="16"/>
      <c r="K285" s="16"/>
      <c r="L285" s="37" t="s">
        <v>107</v>
      </c>
      <c r="M285" s="37"/>
      <c r="N285" s="37">
        <v>286</v>
      </c>
      <c r="O285" s="37"/>
      <c r="P285" s="37"/>
      <c r="Q285" s="18">
        <v>5.4719280000000001</v>
      </c>
      <c r="R285" s="18">
        <v>3.7308599999999997E-2</v>
      </c>
      <c r="S285" s="18">
        <v>10.446408</v>
      </c>
      <c r="T285" s="18">
        <v>44.770319999999998</v>
      </c>
      <c r="U285" s="18">
        <v>22.385159999999999</v>
      </c>
      <c r="V285" s="18">
        <v>286.53004800000002</v>
      </c>
      <c r="W285" s="18">
        <v>268.62191999999999</v>
      </c>
      <c r="X285" s="18">
        <v>179.08127999999999</v>
      </c>
      <c r="Y285" s="18">
        <v>7.959168</v>
      </c>
      <c r="Z285" s="18">
        <v>35.318807999999997</v>
      </c>
      <c r="AA285" s="18">
        <v>51.734591999999999</v>
      </c>
      <c r="AB285" s="18">
        <v>92.027879999999996</v>
      </c>
      <c r="AC285" s="18">
        <v>28.354536</v>
      </c>
      <c r="AD285" s="18">
        <v>149.23439999999999</v>
      </c>
    </row>
    <row r="286" spans="2:30" x14ac:dyDescent="0.25">
      <c r="B286" t="s">
        <v>166</v>
      </c>
      <c r="C286" t="s">
        <v>105</v>
      </c>
      <c r="D286" t="s">
        <v>315</v>
      </c>
      <c r="E286" s="35">
        <v>0.9</v>
      </c>
      <c r="F286" s="35">
        <v>26</v>
      </c>
      <c r="G286" s="36">
        <v>0.29586899999999999</v>
      </c>
      <c r="H286" s="18">
        <v>532.56385299999999</v>
      </c>
      <c r="I286" s="16">
        <v>0</v>
      </c>
      <c r="J286" s="16"/>
      <c r="K286" s="16"/>
      <c r="L286" s="37" t="s">
        <v>107</v>
      </c>
      <c r="M286" s="37"/>
      <c r="N286" s="37">
        <v>287</v>
      </c>
      <c r="O286" s="37"/>
      <c r="P286" s="37"/>
      <c r="Q286" s="18">
        <v>3.254559</v>
      </c>
      <c r="R286" s="18">
        <v>2.2190174999999999E-2</v>
      </c>
      <c r="S286" s="18">
        <v>6.2132490000000002</v>
      </c>
      <c r="T286" s="18">
        <v>26.628209999999999</v>
      </c>
      <c r="U286" s="18">
        <v>13.314105</v>
      </c>
      <c r="V286" s="18">
        <v>170.42054400000001</v>
      </c>
      <c r="W286" s="18">
        <v>159.76926</v>
      </c>
      <c r="X286" s="18">
        <v>106.51284</v>
      </c>
      <c r="Y286" s="18">
        <v>4.7339039999999999</v>
      </c>
      <c r="Z286" s="18">
        <v>21.006699000000001</v>
      </c>
      <c r="AA286" s="18">
        <v>30.770375999999999</v>
      </c>
      <c r="AB286" s="18">
        <v>54.735765000000001</v>
      </c>
      <c r="AC286" s="18">
        <v>16.864532999999998</v>
      </c>
      <c r="AD286" s="18">
        <v>88.7607</v>
      </c>
    </row>
    <row r="287" spans="2:30" x14ac:dyDescent="0.25">
      <c r="B287" t="s">
        <v>141</v>
      </c>
      <c r="C287" t="s">
        <v>105</v>
      </c>
      <c r="D287" t="s">
        <v>316</v>
      </c>
      <c r="E287" s="35">
        <v>0.9</v>
      </c>
      <c r="F287" s="35">
        <v>46</v>
      </c>
      <c r="G287" s="36">
        <v>0.76878400000000002</v>
      </c>
      <c r="H287" s="18">
        <v>1383.8103860000001</v>
      </c>
      <c r="I287" s="16">
        <v>0</v>
      </c>
      <c r="J287" s="16">
        <v>44</v>
      </c>
      <c r="K287" s="16"/>
      <c r="L287" s="37" t="s">
        <v>107</v>
      </c>
      <c r="M287" s="37"/>
      <c r="N287" s="37">
        <v>288</v>
      </c>
      <c r="O287" s="37"/>
      <c r="P287" s="37"/>
      <c r="Q287" s="18">
        <v>8.4566239999999997</v>
      </c>
      <c r="R287" s="18">
        <v>5.7658799999999996E-2</v>
      </c>
      <c r="S287" s="18">
        <v>16.144463999999999</v>
      </c>
      <c r="T287" s="18">
        <v>69.190560000000005</v>
      </c>
      <c r="U287" s="18">
        <v>34.595280000000002</v>
      </c>
      <c r="V287" s="18">
        <v>442.81958400000002</v>
      </c>
      <c r="W287" s="18">
        <v>415.14336000000003</v>
      </c>
      <c r="X287" s="18">
        <v>276.76224000000002</v>
      </c>
      <c r="Y287" s="18">
        <v>12.300544</v>
      </c>
      <c r="Z287" s="18">
        <v>54.583663999999999</v>
      </c>
      <c r="AA287" s="18">
        <v>79.953536</v>
      </c>
      <c r="AB287" s="18">
        <v>142.22504000000001</v>
      </c>
      <c r="AC287" s="18">
        <v>43.820688000000004</v>
      </c>
      <c r="AD287" s="18">
        <v>230.6352</v>
      </c>
    </row>
    <row r="288" spans="2:30" x14ac:dyDescent="0.25">
      <c r="B288" t="s">
        <v>108</v>
      </c>
      <c r="C288" t="s">
        <v>105</v>
      </c>
      <c r="D288" t="s">
        <v>317</v>
      </c>
      <c r="E288" s="35">
        <v>0.9</v>
      </c>
      <c r="F288" s="35">
        <v>16</v>
      </c>
      <c r="G288" s="36">
        <v>6.5490999999999994E-2</v>
      </c>
      <c r="H288" s="18">
        <v>117.883672</v>
      </c>
      <c r="I288" s="16">
        <v>0</v>
      </c>
      <c r="J288" s="16"/>
      <c r="K288" s="16"/>
      <c r="L288" s="37" t="s">
        <v>107</v>
      </c>
      <c r="M288" s="37"/>
      <c r="N288" s="37">
        <v>289</v>
      </c>
      <c r="O288" s="37"/>
      <c r="P288" s="37"/>
      <c r="Q288" s="18">
        <v>0.72040099999999996</v>
      </c>
      <c r="R288" s="18">
        <v>4.911824999999999E-3</v>
      </c>
      <c r="S288" s="18">
        <v>1.375311</v>
      </c>
      <c r="T288" s="18">
        <v>5.8941899999999992</v>
      </c>
      <c r="U288" s="18">
        <v>2.9470949999999996</v>
      </c>
      <c r="V288" s="18">
        <v>37.722815999999995</v>
      </c>
      <c r="W288" s="18">
        <v>35.365139999999997</v>
      </c>
      <c r="X288" s="18">
        <v>23.576759999999997</v>
      </c>
      <c r="Y288" s="18">
        <v>1.0478559999999999</v>
      </c>
      <c r="Z288" s="18">
        <v>4.6498609999999996</v>
      </c>
      <c r="AA288" s="18">
        <v>6.8110639999999991</v>
      </c>
      <c r="AB288" s="18">
        <v>12.115834999999999</v>
      </c>
      <c r="AC288" s="18">
        <v>3.7329869999999996</v>
      </c>
      <c r="AD288" s="18">
        <v>19.647299999999998</v>
      </c>
    </row>
    <row r="289" spans="2:30" x14ac:dyDescent="0.25">
      <c r="B289" t="s">
        <v>108</v>
      </c>
      <c r="C289" t="s">
        <v>105</v>
      </c>
      <c r="D289" t="s">
        <v>317</v>
      </c>
      <c r="E289" s="35">
        <v>0.9</v>
      </c>
      <c r="F289" s="35">
        <v>16</v>
      </c>
      <c r="G289" s="36">
        <v>6.5490999999999994E-2</v>
      </c>
      <c r="H289" s="18">
        <v>117.883672</v>
      </c>
      <c r="I289" s="16">
        <v>0</v>
      </c>
      <c r="J289" s="16"/>
      <c r="K289" s="16"/>
      <c r="L289" s="37" t="s">
        <v>107</v>
      </c>
      <c r="M289" s="37"/>
      <c r="N289" s="37">
        <v>290</v>
      </c>
      <c r="O289" s="37"/>
      <c r="P289" s="37"/>
      <c r="Q289" s="18">
        <v>0.72040099999999996</v>
      </c>
      <c r="R289" s="18">
        <v>4.911824999999999E-3</v>
      </c>
      <c r="S289" s="18">
        <v>1.375311</v>
      </c>
      <c r="T289" s="18">
        <v>5.8941899999999992</v>
      </c>
      <c r="U289" s="18">
        <v>2.9470949999999996</v>
      </c>
      <c r="V289" s="18">
        <v>37.722815999999995</v>
      </c>
      <c r="W289" s="18">
        <v>35.365139999999997</v>
      </c>
      <c r="X289" s="18">
        <v>23.576759999999997</v>
      </c>
      <c r="Y289" s="18">
        <v>1.0478559999999999</v>
      </c>
      <c r="Z289" s="18">
        <v>4.6498609999999996</v>
      </c>
      <c r="AA289" s="18">
        <v>6.8110639999999991</v>
      </c>
      <c r="AB289" s="18">
        <v>12.115834999999999</v>
      </c>
      <c r="AC289" s="18">
        <v>3.7329869999999996</v>
      </c>
      <c r="AD289" s="18">
        <v>19.647299999999998</v>
      </c>
    </row>
    <row r="290" spans="2:30" x14ac:dyDescent="0.25">
      <c r="B290" t="s">
        <v>144</v>
      </c>
      <c r="C290" t="s">
        <v>105</v>
      </c>
      <c r="D290" t="s">
        <v>318</v>
      </c>
      <c r="E290" s="35">
        <v>0.9</v>
      </c>
      <c r="F290" s="35">
        <v>40</v>
      </c>
      <c r="G290" s="36">
        <v>0.47678199999999998</v>
      </c>
      <c r="H290" s="18">
        <v>858.20742199999995</v>
      </c>
      <c r="I290" s="16">
        <v>0</v>
      </c>
      <c r="J290" s="16"/>
      <c r="K290" s="16"/>
      <c r="L290" s="37" t="s">
        <v>107</v>
      </c>
      <c r="M290" s="37"/>
      <c r="N290" s="37">
        <v>291</v>
      </c>
      <c r="O290" s="37"/>
      <c r="P290" s="37"/>
      <c r="Q290" s="18">
        <v>5.2446019999999995</v>
      </c>
      <c r="R290" s="18">
        <v>3.5758649999999996E-2</v>
      </c>
      <c r="S290" s="18">
        <v>10.012421999999999</v>
      </c>
      <c r="T290" s="18">
        <v>42.910379999999996</v>
      </c>
      <c r="U290" s="18">
        <v>21.455189999999998</v>
      </c>
      <c r="V290" s="18">
        <v>274.62643199999997</v>
      </c>
      <c r="W290" s="18">
        <v>257.46227999999996</v>
      </c>
      <c r="X290" s="18">
        <v>171.64151999999999</v>
      </c>
      <c r="Y290" s="18">
        <v>7.6285119999999997</v>
      </c>
      <c r="Z290" s="18">
        <v>33.851521999999996</v>
      </c>
      <c r="AA290" s="18">
        <v>49.585327999999997</v>
      </c>
      <c r="AB290" s="18">
        <v>88.204669999999993</v>
      </c>
      <c r="AC290" s="18">
        <v>27.176573999999999</v>
      </c>
      <c r="AD290" s="18">
        <v>143.03459999999998</v>
      </c>
    </row>
    <row r="291" spans="2:30" x14ac:dyDescent="0.25">
      <c r="B291" t="s">
        <v>128</v>
      </c>
      <c r="C291" t="s">
        <v>105</v>
      </c>
      <c r="D291" t="s">
        <v>319</v>
      </c>
      <c r="E291" s="35">
        <v>0.9</v>
      </c>
      <c r="F291" s="35">
        <v>65</v>
      </c>
      <c r="G291" s="36">
        <v>0.74790500000000004</v>
      </c>
      <c r="H291" s="18">
        <v>1346.229028</v>
      </c>
      <c r="I291" s="16">
        <v>0</v>
      </c>
      <c r="J291" s="16">
        <v>46</v>
      </c>
      <c r="K291" s="16"/>
      <c r="L291" s="37" t="s">
        <v>107</v>
      </c>
      <c r="M291" s="37"/>
      <c r="N291" s="37">
        <v>292</v>
      </c>
      <c r="O291" s="37"/>
      <c r="P291" s="37"/>
      <c r="Q291" s="18">
        <v>8.2269550000000002</v>
      </c>
      <c r="R291" s="18">
        <v>5.6092875E-2</v>
      </c>
      <c r="S291" s="18">
        <v>15.706005000000001</v>
      </c>
      <c r="T291" s="18">
        <v>67.311450000000008</v>
      </c>
      <c r="U291" s="18">
        <v>33.655725000000004</v>
      </c>
      <c r="V291" s="18">
        <v>430.79328000000004</v>
      </c>
      <c r="W291" s="18">
        <v>403.86870000000005</v>
      </c>
      <c r="X291" s="18">
        <v>269.24580000000003</v>
      </c>
      <c r="Y291" s="18">
        <v>11.966480000000001</v>
      </c>
      <c r="Z291" s="18">
        <v>53.101255000000002</v>
      </c>
      <c r="AA291" s="18">
        <v>77.782120000000006</v>
      </c>
      <c r="AB291" s="18">
        <v>138.362425</v>
      </c>
      <c r="AC291" s="18">
        <v>42.630585000000004</v>
      </c>
      <c r="AD291" s="18">
        <v>224.37150000000003</v>
      </c>
    </row>
    <row r="292" spans="2:30" x14ac:dyDescent="0.25">
      <c r="B292" t="s">
        <v>112</v>
      </c>
      <c r="C292" t="s">
        <v>105</v>
      </c>
      <c r="D292" t="s">
        <v>319</v>
      </c>
      <c r="E292" s="35">
        <v>0.9</v>
      </c>
      <c r="F292" s="35">
        <v>60</v>
      </c>
      <c r="G292" s="36">
        <v>0.69037400000000004</v>
      </c>
      <c r="H292" s="18">
        <v>1242.672949</v>
      </c>
      <c r="I292" s="16">
        <v>0</v>
      </c>
      <c r="J292" s="16">
        <v>32</v>
      </c>
      <c r="K292" s="16"/>
      <c r="L292" s="37" t="s">
        <v>107</v>
      </c>
      <c r="M292" s="37"/>
      <c r="N292" s="37">
        <v>293</v>
      </c>
      <c r="O292" s="37"/>
      <c r="P292" s="37"/>
      <c r="Q292" s="18">
        <v>7.5941140000000003</v>
      </c>
      <c r="R292" s="18">
        <v>5.1778049999999999E-2</v>
      </c>
      <c r="S292" s="18">
        <v>14.497854</v>
      </c>
      <c r="T292" s="18">
        <v>62.133660000000006</v>
      </c>
      <c r="U292" s="18">
        <v>31.066830000000003</v>
      </c>
      <c r="V292" s="18">
        <v>397.65542400000004</v>
      </c>
      <c r="W292" s="18">
        <v>372.80196000000001</v>
      </c>
      <c r="X292" s="18">
        <v>248.53464000000002</v>
      </c>
      <c r="Y292" s="18">
        <v>11.045984000000001</v>
      </c>
      <c r="Z292" s="18">
        <v>49.016554000000006</v>
      </c>
      <c r="AA292" s="18">
        <v>71.798895999999999</v>
      </c>
      <c r="AB292" s="18">
        <v>127.71919000000001</v>
      </c>
      <c r="AC292" s="18">
        <v>39.351317999999999</v>
      </c>
      <c r="AD292" s="18">
        <v>207.1122</v>
      </c>
    </row>
    <row r="293" spans="2:30" x14ac:dyDescent="0.25">
      <c r="B293" t="s">
        <v>124</v>
      </c>
      <c r="C293" t="s">
        <v>105</v>
      </c>
      <c r="D293" t="s">
        <v>320</v>
      </c>
      <c r="E293" s="35">
        <v>0.9</v>
      </c>
      <c r="F293" s="35">
        <v>35</v>
      </c>
      <c r="G293" s="36">
        <v>0.40458499999999997</v>
      </c>
      <c r="H293" s="18">
        <v>728.25241700000004</v>
      </c>
      <c r="I293" s="16">
        <v>0</v>
      </c>
      <c r="J293" s="16"/>
      <c r="K293" s="16"/>
      <c r="L293" s="37" t="s">
        <v>107</v>
      </c>
      <c r="M293" s="37"/>
      <c r="N293" s="37">
        <v>294</v>
      </c>
      <c r="O293" s="37"/>
      <c r="P293" s="37"/>
      <c r="Q293" s="18">
        <v>4.4504349999999997</v>
      </c>
      <c r="R293" s="18">
        <v>3.0343874999999996E-2</v>
      </c>
      <c r="S293" s="18">
        <v>8.4962850000000003</v>
      </c>
      <c r="T293" s="18">
        <v>36.412649999999999</v>
      </c>
      <c r="U293" s="18">
        <v>18.206325</v>
      </c>
      <c r="V293" s="18">
        <v>233.04095999999998</v>
      </c>
      <c r="W293" s="18">
        <v>218.4759</v>
      </c>
      <c r="X293" s="18">
        <v>145.6506</v>
      </c>
      <c r="Y293" s="18">
        <v>6.4733599999999996</v>
      </c>
      <c r="Z293" s="18">
        <v>28.725534999999997</v>
      </c>
      <c r="AA293" s="18">
        <v>42.076839999999997</v>
      </c>
      <c r="AB293" s="18">
        <v>74.848224999999999</v>
      </c>
      <c r="AC293" s="18">
        <v>23.061344999999999</v>
      </c>
      <c r="AD293" s="18">
        <v>121.37549999999999</v>
      </c>
    </row>
    <row r="294" spans="2:30" x14ac:dyDescent="0.25">
      <c r="B294" t="s">
        <v>187</v>
      </c>
      <c r="C294" t="s">
        <v>105</v>
      </c>
      <c r="D294" t="s">
        <v>321</v>
      </c>
      <c r="E294" s="35">
        <v>0.9</v>
      </c>
      <c r="F294" s="35">
        <v>55</v>
      </c>
      <c r="G294" s="36">
        <v>0.63504300000000002</v>
      </c>
      <c r="H294" s="18">
        <v>1143.0767089999999</v>
      </c>
      <c r="I294" s="16">
        <v>0</v>
      </c>
      <c r="J294" s="16">
        <v>26</v>
      </c>
      <c r="K294" s="16"/>
      <c r="L294" s="37" t="s">
        <v>107</v>
      </c>
      <c r="M294" s="37"/>
      <c r="N294" s="37">
        <v>295</v>
      </c>
      <c r="O294" s="37"/>
      <c r="P294" s="37"/>
      <c r="Q294" s="18">
        <v>6.9854730000000007</v>
      </c>
      <c r="R294" s="18">
        <v>4.7628225000000003E-2</v>
      </c>
      <c r="S294" s="18">
        <v>13.335903</v>
      </c>
      <c r="T294" s="18">
        <v>57.153870000000005</v>
      </c>
      <c r="U294" s="18">
        <v>28.576935000000002</v>
      </c>
      <c r="V294" s="18">
        <v>365.78476799999999</v>
      </c>
      <c r="W294" s="18">
        <v>342.92322000000001</v>
      </c>
      <c r="X294" s="18">
        <v>228.61548000000002</v>
      </c>
      <c r="Y294" s="18">
        <v>10.160688</v>
      </c>
      <c r="Z294" s="18">
        <v>45.088053000000002</v>
      </c>
      <c r="AA294" s="18">
        <v>66.044471999999999</v>
      </c>
      <c r="AB294" s="18">
        <v>117.482955</v>
      </c>
      <c r="AC294" s="18">
        <v>36.197451000000001</v>
      </c>
      <c r="AD294" s="18">
        <v>190.5129</v>
      </c>
    </row>
    <row r="295" spans="2:30" x14ac:dyDescent="0.25">
      <c r="B295" t="s">
        <v>108</v>
      </c>
      <c r="C295" t="s">
        <v>105</v>
      </c>
      <c r="D295" t="s">
        <v>322</v>
      </c>
      <c r="E295" s="35">
        <v>0.9</v>
      </c>
      <c r="F295" s="35">
        <v>16</v>
      </c>
      <c r="G295" s="36">
        <v>3.8825999999999999E-2</v>
      </c>
      <c r="H295" s="18">
        <v>69.886094</v>
      </c>
      <c r="I295" s="16">
        <v>0</v>
      </c>
      <c r="J295" s="16"/>
      <c r="K295" s="16"/>
      <c r="L295" s="37" t="s">
        <v>107</v>
      </c>
      <c r="M295" s="37"/>
      <c r="N295" s="37">
        <v>296</v>
      </c>
      <c r="O295" s="37"/>
      <c r="P295" s="37"/>
      <c r="Q295" s="18">
        <v>0.42708599999999997</v>
      </c>
      <c r="R295" s="18">
        <v>2.91195E-3</v>
      </c>
      <c r="S295" s="18">
        <v>0.81534600000000002</v>
      </c>
      <c r="T295" s="18">
        <v>3.4943399999999998</v>
      </c>
      <c r="U295" s="18">
        <v>1.7471699999999999</v>
      </c>
      <c r="V295" s="18">
        <v>22.363776000000001</v>
      </c>
      <c r="W295" s="18">
        <v>20.96604</v>
      </c>
      <c r="X295" s="18">
        <v>13.977359999999999</v>
      </c>
      <c r="Y295" s="18">
        <v>0.62121599999999999</v>
      </c>
      <c r="Z295" s="18">
        <v>2.7566459999999999</v>
      </c>
      <c r="AA295" s="18">
        <v>4.0379040000000002</v>
      </c>
      <c r="AB295" s="18">
        <v>7.1828099999999999</v>
      </c>
      <c r="AC295" s="18">
        <v>2.213082</v>
      </c>
      <c r="AD295" s="18">
        <v>11.6478</v>
      </c>
    </row>
    <row r="296" spans="2:30" x14ac:dyDescent="0.25">
      <c r="B296" t="s">
        <v>166</v>
      </c>
      <c r="C296" t="s">
        <v>105</v>
      </c>
      <c r="D296" t="s">
        <v>285</v>
      </c>
      <c r="E296" s="35">
        <v>0.9</v>
      </c>
      <c r="F296" s="35">
        <v>26</v>
      </c>
      <c r="G296" s="36">
        <v>0.32620100000000002</v>
      </c>
      <c r="H296" s="18">
        <v>587.16163100000006</v>
      </c>
      <c r="I296" s="16">
        <v>0</v>
      </c>
      <c r="J296" s="16"/>
      <c r="K296" s="16"/>
      <c r="L296" s="37" t="s">
        <v>107</v>
      </c>
      <c r="M296" s="37"/>
      <c r="N296" s="37">
        <v>297</v>
      </c>
      <c r="O296" s="37"/>
      <c r="P296" s="37"/>
      <c r="Q296" s="18">
        <v>3.5882110000000003</v>
      </c>
      <c r="R296" s="18">
        <v>2.4465074999999999E-2</v>
      </c>
      <c r="S296" s="18">
        <v>6.8502210000000003</v>
      </c>
      <c r="T296" s="18">
        <v>29.358090000000001</v>
      </c>
      <c r="U296" s="18">
        <v>14.679045</v>
      </c>
      <c r="V296" s="18">
        <v>187.89177600000002</v>
      </c>
      <c r="W296" s="18">
        <v>176.14854</v>
      </c>
      <c r="X296" s="18">
        <v>117.43236</v>
      </c>
      <c r="Y296" s="18">
        <v>5.2192160000000003</v>
      </c>
      <c r="Z296" s="18">
        <v>23.160271000000002</v>
      </c>
      <c r="AA296" s="18">
        <v>33.924904000000005</v>
      </c>
      <c r="AB296" s="18">
        <v>60.347185000000003</v>
      </c>
      <c r="AC296" s="18">
        <v>18.593457000000001</v>
      </c>
      <c r="AD296" s="18">
        <v>97.860300000000009</v>
      </c>
    </row>
    <row r="297" spans="2:30" x14ac:dyDescent="0.25">
      <c r="B297" t="s">
        <v>124</v>
      </c>
      <c r="C297" t="s">
        <v>105</v>
      </c>
      <c r="D297" t="s">
        <v>184</v>
      </c>
      <c r="E297" s="35">
        <v>0.9</v>
      </c>
      <c r="F297" s="35">
        <v>35</v>
      </c>
      <c r="G297" s="36">
        <v>0.497448</v>
      </c>
      <c r="H297" s="18">
        <v>895.40561500000001</v>
      </c>
      <c r="I297" s="16">
        <v>0</v>
      </c>
      <c r="J297" s="16"/>
      <c r="K297" s="16"/>
      <c r="L297" s="37" t="s">
        <v>107</v>
      </c>
      <c r="M297" s="37"/>
      <c r="N297" s="37">
        <v>298</v>
      </c>
      <c r="O297" s="37"/>
      <c r="P297" s="37"/>
      <c r="Q297" s="18">
        <v>5.4719280000000001</v>
      </c>
      <c r="R297" s="18">
        <v>3.7308599999999997E-2</v>
      </c>
      <c r="S297" s="18">
        <v>10.446408</v>
      </c>
      <c r="T297" s="18">
        <v>44.770319999999998</v>
      </c>
      <c r="U297" s="18">
        <v>22.385159999999999</v>
      </c>
      <c r="V297" s="18">
        <v>286.53004800000002</v>
      </c>
      <c r="W297" s="18">
        <v>268.62191999999999</v>
      </c>
      <c r="X297" s="18">
        <v>179.08127999999999</v>
      </c>
      <c r="Y297" s="18">
        <v>7.959168</v>
      </c>
      <c r="Z297" s="18">
        <v>35.318807999999997</v>
      </c>
      <c r="AA297" s="18">
        <v>51.734591999999999</v>
      </c>
      <c r="AB297" s="18">
        <v>92.027879999999996</v>
      </c>
      <c r="AC297" s="18">
        <v>28.354536</v>
      </c>
      <c r="AD297" s="18">
        <v>149.23439999999999</v>
      </c>
    </row>
    <row r="298" spans="2:30" x14ac:dyDescent="0.25">
      <c r="B298" t="s">
        <v>166</v>
      </c>
      <c r="C298" t="s">
        <v>105</v>
      </c>
      <c r="D298" t="s">
        <v>315</v>
      </c>
      <c r="E298" s="35">
        <v>0.9</v>
      </c>
      <c r="F298" s="35">
        <v>26</v>
      </c>
      <c r="G298" s="36">
        <v>0.29586899999999999</v>
      </c>
      <c r="H298" s="18">
        <v>532.56385299999999</v>
      </c>
      <c r="I298" s="16">
        <v>0</v>
      </c>
      <c r="J298" s="16"/>
      <c r="K298" s="16"/>
      <c r="L298" s="37" t="s">
        <v>107</v>
      </c>
      <c r="M298" s="37"/>
      <c r="N298" s="37">
        <v>299</v>
      </c>
      <c r="O298" s="37"/>
      <c r="P298" s="37"/>
      <c r="Q298" s="18">
        <v>3.254559</v>
      </c>
      <c r="R298" s="18">
        <v>2.2190174999999999E-2</v>
      </c>
      <c r="S298" s="18">
        <v>6.2132490000000002</v>
      </c>
      <c r="T298" s="18">
        <v>26.628209999999999</v>
      </c>
      <c r="U298" s="18">
        <v>13.314105</v>
      </c>
      <c r="V298" s="18">
        <v>170.42054400000001</v>
      </c>
      <c r="W298" s="18">
        <v>159.76926</v>
      </c>
      <c r="X298" s="18">
        <v>106.51284</v>
      </c>
      <c r="Y298" s="18">
        <v>4.7339039999999999</v>
      </c>
      <c r="Z298" s="18">
        <v>21.006699000000001</v>
      </c>
      <c r="AA298" s="18">
        <v>30.770375999999999</v>
      </c>
      <c r="AB298" s="18">
        <v>54.735765000000001</v>
      </c>
      <c r="AC298" s="18">
        <v>16.864532999999998</v>
      </c>
      <c r="AD298" s="18">
        <v>88.7607</v>
      </c>
    </row>
    <row r="299" spans="2:30" x14ac:dyDescent="0.25">
      <c r="B299" t="s">
        <v>141</v>
      </c>
      <c r="C299" t="s">
        <v>105</v>
      </c>
      <c r="D299" t="s">
        <v>316</v>
      </c>
      <c r="E299" s="35">
        <v>0.9</v>
      </c>
      <c r="F299" s="35">
        <v>46</v>
      </c>
      <c r="G299" s="36">
        <v>0.76878400000000002</v>
      </c>
      <c r="H299" s="18">
        <v>1383.8103860000001</v>
      </c>
      <c r="I299" s="16">
        <v>0</v>
      </c>
      <c r="J299" s="16">
        <v>44</v>
      </c>
      <c r="K299" s="16"/>
      <c r="L299" s="37" t="s">
        <v>107</v>
      </c>
      <c r="M299" s="37"/>
      <c r="N299" s="37">
        <v>300</v>
      </c>
      <c r="O299" s="37"/>
      <c r="P299" s="37"/>
      <c r="Q299" s="18">
        <v>8.4566239999999997</v>
      </c>
      <c r="R299" s="18">
        <v>5.7658799999999996E-2</v>
      </c>
      <c r="S299" s="18">
        <v>16.144463999999999</v>
      </c>
      <c r="T299" s="18">
        <v>69.190560000000005</v>
      </c>
      <c r="U299" s="18">
        <v>34.595280000000002</v>
      </c>
      <c r="V299" s="18">
        <v>442.81958400000002</v>
      </c>
      <c r="W299" s="18">
        <v>415.14336000000003</v>
      </c>
      <c r="X299" s="18">
        <v>276.76224000000002</v>
      </c>
      <c r="Y299" s="18">
        <v>12.300544</v>
      </c>
      <c r="Z299" s="18">
        <v>54.583663999999999</v>
      </c>
      <c r="AA299" s="18">
        <v>79.953536</v>
      </c>
      <c r="AB299" s="18">
        <v>142.22504000000001</v>
      </c>
      <c r="AC299" s="18">
        <v>43.820688000000004</v>
      </c>
      <c r="AD299" s="18">
        <v>230.6352</v>
      </c>
    </row>
    <row r="300" spans="2:30" x14ac:dyDescent="0.25">
      <c r="B300" t="s">
        <v>108</v>
      </c>
      <c r="C300" t="s">
        <v>105</v>
      </c>
      <c r="D300" t="s">
        <v>317</v>
      </c>
      <c r="E300" s="35">
        <v>0.9</v>
      </c>
      <c r="F300" s="35">
        <v>16</v>
      </c>
      <c r="G300" s="36">
        <v>6.5490999999999994E-2</v>
      </c>
      <c r="H300" s="18">
        <v>117.883672</v>
      </c>
      <c r="I300" s="16">
        <v>0</v>
      </c>
      <c r="J300" s="16"/>
      <c r="K300" s="16"/>
      <c r="L300" s="37" t="s">
        <v>107</v>
      </c>
      <c r="M300" s="37"/>
      <c r="N300" s="37">
        <v>301</v>
      </c>
      <c r="O300" s="37"/>
      <c r="P300" s="37"/>
      <c r="Q300" s="18">
        <v>0.72040099999999996</v>
      </c>
      <c r="R300" s="18">
        <v>4.911824999999999E-3</v>
      </c>
      <c r="S300" s="18">
        <v>1.375311</v>
      </c>
      <c r="T300" s="18">
        <v>5.8941899999999992</v>
      </c>
      <c r="U300" s="18">
        <v>2.9470949999999996</v>
      </c>
      <c r="V300" s="18">
        <v>37.722815999999995</v>
      </c>
      <c r="W300" s="18">
        <v>35.365139999999997</v>
      </c>
      <c r="X300" s="18">
        <v>23.576759999999997</v>
      </c>
      <c r="Y300" s="18">
        <v>1.0478559999999999</v>
      </c>
      <c r="Z300" s="18">
        <v>4.6498609999999996</v>
      </c>
      <c r="AA300" s="18">
        <v>6.8110639999999991</v>
      </c>
      <c r="AB300" s="18">
        <v>12.115834999999999</v>
      </c>
      <c r="AC300" s="18">
        <v>3.7329869999999996</v>
      </c>
      <c r="AD300" s="18">
        <v>19.647299999999998</v>
      </c>
    </row>
    <row r="301" spans="2:30" x14ac:dyDescent="0.25">
      <c r="B301" t="s">
        <v>108</v>
      </c>
      <c r="C301" t="s">
        <v>105</v>
      </c>
      <c r="D301" t="s">
        <v>317</v>
      </c>
      <c r="E301" s="35">
        <v>0.9</v>
      </c>
      <c r="F301" s="35">
        <v>16</v>
      </c>
      <c r="G301" s="36">
        <v>6.5490999999999994E-2</v>
      </c>
      <c r="H301" s="18">
        <v>117.883672</v>
      </c>
      <c r="I301" s="16">
        <v>0</v>
      </c>
      <c r="J301" s="16"/>
      <c r="K301" s="16"/>
      <c r="L301" s="37" t="s">
        <v>107</v>
      </c>
      <c r="M301" s="37"/>
      <c r="N301" s="37">
        <v>302</v>
      </c>
      <c r="O301" s="37"/>
      <c r="P301" s="37"/>
      <c r="Q301" s="18">
        <v>0.72040099999999996</v>
      </c>
      <c r="R301" s="18">
        <v>4.911824999999999E-3</v>
      </c>
      <c r="S301" s="18">
        <v>1.375311</v>
      </c>
      <c r="T301" s="18">
        <v>5.8941899999999992</v>
      </c>
      <c r="U301" s="18">
        <v>2.9470949999999996</v>
      </c>
      <c r="V301" s="18">
        <v>37.722815999999995</v>
      </c>
      <c r="W301" s="18">
        <v>35.365139999999997</v>
      </c>
      <c r="X301" s="18">
        <v>23.576759999999997</v>
      </c>
      <c r="Y301" s="18">
        <v>1.0478559999999999</v>
      </c>
      <c r="Z301" s="18">
        <v>4.6498609999999996</v>
      </c>
      <c r="AA301" s="18">
        <v>6.8110639999999991</v>
      </c>
      <c r="AB301" s="18">
        <v>12.115834999999999</v>
      </c>
      <c r="AC301" s="18">
        <v>3.7329869999999996</v>
      </c>
      <c r="AD301" s="18">
        <v>19.647299999999998</v>
      </c>
    </row>
    <row r="302" spans="2:30" x14ac:dyDescent="0.25">
      <c r="B302" t="s">
        <v>108</v>
      </c>
      <c r="C302" t="s">
        <v>105</v>
      </c>
      <c r="D302" t="s">
        <v>314</v>
      </c>
      <c r="E302" s="35">
        <v>0.9</v>
      </c>
      <c r="F302" s="35">
        <v>16</v>
      </c>
      <c r="G302" s="36">
        <v>6.4104999999999995E-2</v>
      </c>
      <c r="H302" s="18">
        <v>115.38824200000001</v>
      </c>
      <c r="I302" s="16">
        <v>0</v>
      </c>
      <c r="J302" s="16"/>
      <c r="K302" s="16"/>
      <c r="L302" s="37" t="s">
        <v>107</v>
      </c>
      <c r="M302" s="37"/>
      <c r="N302" s="37">
        <v>303</v>
      </c>
      <c r="O302" s="37"/>
      <c r="P302" s="37"/>
      <c r="Q302" s="18">
        <v>0.70515499999999998</v>
      </c>
      <c r="R302" s="18">
        <v>4.8078749999999996E-3</v>
      </c>
      <c r="S302" s="18">
        <v>1.3462049999999999</v>
      </c>
      <c r="T302" s="18">
        <v>5.76945</v>
      </c>
      <c r="U302" s="18">
        <v>2.884725</v>
      </c>
      <c r="V302" s="18">
        <v>36.924479999999996</v>
      </c>
      <c r="W302" s="18">
        <v>34.616699999999994</v>
      </c>
      <c r="X302" s="18">
        <v>23.0778</v>
      </c>
      <c r="Y302" s="18">
        <v>1.0256799999999999</v>
      </c>
      <c r="Z302" s="18">
        <v>4.5514549999999998</v>
      </c>
      <c r="AA302" s="18">
        <v>6.6669199999999993</v>
      </c>
      <c r="AB302" s="18">
        <v>11.859425</v>
      </c>
      <c r="AC302" s="18">
        <v>3.6539849999999996</v>
      </c>
      <c r="AD302" s="18">
        <v>19.231499999999997</v>
      </c>
    </row>
    <row r="303" spans="2:30" x14ac:dyDescent="0.25">
      <c r="B303" t="s">
        <v>108</v>
      </c>
      <c r="C303" t="s">
        <v>105</v>
      </c>
      <c r="D303" t="s">
        <v>314</v>
      </c>
      <c r="E303" s="35">
        <v>0.9</v>
      </c>
      <c r="F303" s="35">
        <v>16</v>
      </c>
      <c r="G303" s="36">
        <v>6.4104999999999995E-2</v>
      </c>
      <c r="H303" s="18">
        <v>115.38824200000001</v>
      </c>
      <c r="I303" s="16">
        <v>0</v>
      </c>
      <c r="J303" s="16"/>
      <c r="K303" s="16"/>
      <c r="L303" s="37" t="s">
        <v>107</v>
      </c>
      <c r="M303" s="37"/>
      <c r="N303" s="37">
        <v>304</v>
      </c>
      <c r="O303" s="37"/>
      <c r="P303" s="37"/>
      <c r="Q303" s="18">
        <v>0.70515499999999998</v>
      </c>
      <c r="R303" s="18">
        <v>4.8078749999999996E-3</v>
      </c>
      <c r="S303" s="18">
        <v>1.3462049999999999</v>
      </c>
      <c r="T303" s="18">
        <v>5.76945</v>
      </c>
      <c r="U303" s="18">
        <v>2.884725</v>
      </c>
      <c r="V303" s="18">
        <v>36.924479999999996</v>
      </c>
      <c r="W303" s="18">
        <v>34.616699999999994</v>
      </c>
      <c r="X303" s="18">
        <v>23.0778</v>
      </c>
      <c r="Y303" s="18">
        <v>1.0256799999999999</v>
      </c>
      <c r="Z303" s="18">
        <v>4.5514549999999998</v>
      </c>
      <c r="AA303" s="18">
        <v>6.6669199999999993</v>
      </c>
      <c r="AB303" s="18">
        <v>11.859425</v>
      </c>
      <c r="AC303" s="18">
        <v>3.6539849999999996</v>
      </c>
      <c r="AD303" s="18">
        <v>19.231499999999997</v>
      </c>
    </row>
    <row r="304" spans="2:30" x14ac:dyDescent="0.25">
      <c r="B304" t="s">
        <v>108</v>
      </c>
      <c r="C304" t="s">
        <v>105</v>
      </c>
      <c r="D304" t="s">
        <v>314</v>
      </c>
      <c r="E304" s="35">
        <v>0.9</v>
      </c>
      <c r="F304" s="35">
        <v>16</v>
      </c>
      <c r="G304" s="36">
        <v>6.4104999999999995E-2</v>
      </c>
      <c r="H304" s="18">
        <v>115.38824200000001</v>
      </c>
      <c r="I304" s="16">
        <v>0</v>
      </c>
      <c r="J304" s="16"/>
      <c r="K304" s="16"/>
      <c r="L304" s="37" t="s">
        <v>107</v>
      </c>
      <c r="M304" s="37"/>
      <c r="N304" s="37">
        <v>305</v>
      </c>
      <c r="O304" s="37"/>
      <c r="P304" s="37"/>
      <c r="Q304" s="18">
        <v>0.70515499999999998</v>
      </c>
      <c r="R304" s="18">
        <v>4.8078749999999996E-3</v>
      </c>
      <c r="S304" s="18">
        <v>1.3462049999999999</v>
      </c>
      <c r="T304" s="18">
        <v>5.76945</v>
      </c>
      <c r="U304" s="18">
        <v>2.884725</v>
      </c>
      <c r="V304" s="18">
        <v>36.924479999999996</v>
      </c>
      <c r="W304" s="18">
        <v>34.616699999999994</v>
      </c>
      <c r="X304" s="18">
        <v>23.0778</v>
      </c>
      <c r="Y304" s="18">
        <v>1.0256799999999999</v>
      </c>
      <c r="Z304" s="18">
        <v>4.5514549999999998</v>
      </c>
      <c r="AA304" s="18">
        <v>6.6669199999999993</v>
      </c>
      <c r="AB304" s="18">
        <v>11.859425</v>
      </c>
      <c r="AC304" s="18">
        <v>3.6539849999999996</v>
      </c>
      <c r="AD304" s="18">
        <v>19.231499999999997</v>
      </c>
    </row>
    <row r="305" spans="2:30" x14ac:dyDescent="0.25">
      <c r="B305" t="s">
        <v>108</v>
      </c>
      <c r="C305" t="s">
        <v>105</v>
      </c>
      <c r="D305" t="s">
        <v>314</v>
      </c>
      <c r="E305" s="35">
        <v>0.9</v>
      </c>
      <c r="F305" s="35">
        <v>16</v>
      </c>
      <c r="G305" s="36">
        <v>6.4104999999999995E-2</v>
      </c>
      <c r="H305" s="18">
        <v>115.38824200000001</v>
      </c>
      <c r="I305" s="16">
        <v>0</v>
      </c>
      <c r="J305" s="16"/>
      <c r="K305" s="16"/>
      <c r="L305" s="37" t="s">
        <v>107</v>
      </c>
      <c r="M305" s="37"/>
      <c r="N305" s="37">
        <v>306</v>
      </c>
      <c r="O305" s="37"/>
      <c r="P305" s="37"/>
      <c r="Q305" s="18">
        <v>0.70515499999999998</v>
      </c>
      <c r="R305" s="18">
        <v>4.8078749999999996E-3</v>
      </c>
      <c r="S305" s="18">
        <v>1.3462049999999999</v>
      </c>
      <c r="T305" s="18">
        <v>5.76945</v>
      </c>
      <c r="U305" s="18">
        <v>2.884725</v>
      </c>
      <c r="V305" s="18">
        <v>36.924479999999996</v>
      </c>
      <c r="W305" s="18">
        <v>34.616699999999994</v>
      </c>
      <c r="X305" s="18">
        <v>23.0778</v>
      </c>
      <c r="Y305" s="18">
        <v>1.0256799999999999</v>
      </c>
      <c r="Z305" s="18">
        <v>4.5514549999999998</v>
      </c>
      <c r="AA305" s="18">
        <v>6.6669199999999993</v>
      </c>
      <c r="AB305" s="18">
        <v>11.859425</v>
      </c>
      <c r="AC305" s="18">
        <v>3.6539849999999996</v>
      </c>
      <c r="AD305" s="18">
        <v>19.231499999999997</v>
      </c>
    </row>
    <row r="306" spans="2:30" x14ac:dyDescent="0.25">
      <c r="B306" t="s">
        <v>108</v>
      </c>
      <c r="C306" t="s">
        <v>105</v>
      </c>
      <c r="D306" t="s">
        <v>314</v>
      </c>
      <c r="E306" s="35">
        <v>0.9</v>
      </c>
      <c r="F306" s="35">
        <v>16</v>
      </c>
      <c r="G306" s="36">
        <v>6.4104999999999995E-2</v>
      </c>
      <c r="H306" s="18">
        <v>115.38824200000001</v>
      </c>
      <c r="I306" s="16">
        <v>0</v>
      </c>
      <c r="J306" s="16"/>
      <c r="K306" s="16"/>
      <c r="L306" s="37" t="s">
        <v>107</v>
      </c>
      <c r="M306" s="37"/>
      <c r="N306" s="37">
        <v>307</v>
      </c>
      <c r="O306" s="37"/>
      <c r="P306" s="37"/>
      <c r="Q306" s="18">
        <v>0.70515499999999998</v>
      </c>
      <c r="R306" s="18">
        <v>4.8078749999999996E-3</v>
      </c>
      <c r="S306" s="18">
        <v>1.3462049999999999</v>
      </c>
      <c r="T306" s="18">
        <v>5.76945</v>
      </c>
      <c r="U306" s="18">
        <v>2.884725</v>
      </c>
      <c r="V306" s="18">
        <v>36.924479999999996</v>
      </c>
      <c r="W306" s="18">
        <v>34.616699999999994</v>
      </c>
      <c r="X306" s="18">
        <v>23.0778</v>
      </c>
      <c r="Y306" s="18">
        <v>1.0256799999999999</v>
      </c>
      <c r="Z306" s="18">
        <v>4.5514549999999998</v>
      </c>
      <c r="AA306" s="18">
        <v>6.6669199999999993</v>
      </c>
      <c r="AB306" s="18">
        <v>11.859425</v>
      </c>
      <c r="AC306" s="18">
        <v>3.6539849999999996</v>
      </c>
      <c r="AD306" s="18">
        <v>19.231499999999997</v>
      </c>
    </row>
    <row r="307" spans="2:30" x14ac:dyDescent="0.25">
      <c r="B307" t="s">
        <v>108</v>
      </c>
      <c r="C307" t="s">
        <v>105</v>
      </c>
      <c r="D307" t="s">
        <v>314</v>
      </c>
      <c r="E307" s="35">
        <v>0.9</v>
      </c>
      <c r="F307" s="35">
        <v>16</v>
      </c>
      <c r="G307" s="36">
        <v>6.4104999999999995E-2</v>
      </c>
      <c r="H307" s="18">
        <v>115.38824200000001</v>
      </c>
      <c r="I307" s="16">
        <v>0</v>
      </c>
      <c r="J307" s="16"/>
      <c r="K307" s="16"/>
      <c r="L307" s="37" t="s">
        <v>107</v>
      </c>
      <c r="M307" s="37"/>
      <c r="N307" s="37">
        <v>308</v>
      </c>
      <c r="O307" s="37"/>
      <c r="P307" s="37"/>
      <c r="Q307" s="18">
        <v>0.70515499999999998</v>
      </c>
      <c r="R307" s="18">
        <v>4.8078749999999996E-3</v>
      </c>
      <c r="S307" s="18">
        <v>1.3462049999999999</v>
      </c>
      <c r="T307" s="18">
        <v>5.76945</v>
      </c>
      <c r="U307" s="18">
        <v>2.884725</v>
      </c>
      <c r="V307" s="18">
        <v>36.924479999999996</v>
      </c>
      <c r="W307" s="18">
        <v>34.616699999999994</v>
      </c>
      <c r="X307" s="18">
        <v>23.0778</v>
      </c>
      <c r="Y307" s="18">
        <v>1.0256799999999999</v>
      </c>
      <c r="Z307" s="18">
        <v>4.5514549999999998</v>
      </c>
      <c r="AA307" s="18">
        <v>6.6669199999999993</v>
      </c>
      <c r="AB307" s="18">
        <v>11.859425</v>
      </c>
      <c r="AC307" s="18">
        <v>3.6539849999999996</v>
      </c>
      <c r="AD307" s="18">
        <v>19.231499999999997</v>
      </c>
    </row>
    <row r="308" spans="2:30" x14ac:dyDescent="0.25">
      <c r="B308" t="s">
        <v>166</v>
      </c>
      <c r="C308" t="s">
        <v>105</v>
      </c>
      <c r="D308" t="s">
        <v>323</v>
      </c>
      <c r="E308" s="35">
        <v>0.9</v>
      </c>
      <c r="F308" s="35">
        <v>26</v>
      </c>
      <c r="G308" s="36">
        <v>0.36415900000000001</v>
      </c>
      <c r="H308" s="18">
        <v>655.486851</v>
      </c>
      <c r="I308" s="16">
        <v>0</v>
      </c>
      <c r="J308" s="16"/>
      <c r="K308" s="16"/>
      <c r="L308" s="37" t="s">
        <v>107</v>
      </c>
      <c r="M308" s="37"/>
      <c r="N308" s="37">
        <v>309</v>
      </c>
      <c r="O308" s="37"/>
      <c r="P308" s="37"/>
      <c r="Q308" s="18">
        <v>4.0057489999999998</v>
      </c>
      <c r="R308" s="18">
        <v>2.7311925000000001E-2</v>
      </c>
      <c r="S308" s="18">
        <v>7.6473390000000006</v>
      </c>
      <c r="T308" s="18">
        <v>32.77431</v>
      </c>
      <c r="U308" s="18">
        <v>16.387155</v>
      </c>
      <c r="V308" s="18">
        <v>209.755584</v>
      </c>
      <c r="W308" s="18">
        <v>196.64586</v>
      </c>
      <c r="X308" s="18">
        <v>131.09724</v>
      </c>
      <c r="Y308" s="18">
        <v>5.8265440000000002</v>
      </c>
      <c r="Z308" s="18">
        <v>25.855288999999999</v>
      </c>
      <c r="AA308" s="18">
        <v>37.872536000000004</v>
      </c>
      <c r="AB308" s="18">
        <v>67.369415000000004</v>
      </c>
      <c r="AC308" s="18">
        <v>20.757063000000002</v>
      </c>
      <c r="AD308" s="18">
        <v>109.24770000000001</v>
      </c>
    </row>
    <row r="309" spans="2:30" x14ac:dyDescent="0.25">
      <c r="B309" t="s">
        <v>195</v>
      </c>
      <c r="C309" t="s">
        <v>105</v>
      </c>
      <c r="D309" t="s">
        <v>324</v>
      </c>
      <c r="E309" s="35">
        <v>0.9</v>
      </c>
      <c r="F309" s="35">
        <v>30</v>
      </c>
      <c r="G309" s="36">
        <v>0.328988</v>
      </c>
      <c r="H309" s="18">
        <v>592.17766099999994</v>
      </c>
      <c r="I309" s="16">
        <v>0</v>
      </c>
      <c r="J309" s="16"/>
      <c r="K309" s="16"/>
      <c r="L309" s="37" t="s">
        <v>107</v>
      </c>
      <c r="M309" s="37"/>
      <c r="N309" s="37">
        <v>310</v>
      </c>
      <c r="O309" s="37"/>
      <c r="P309" s="37"/>
      <c r="Q309" s="18">
        <v>3.618868</v>
      </c>
      <c r="R309" s="18">
        <v>2.4674100000000001E-2</v>
      </c>
      <c r="S309" s="18">
        <v>6.9087480000000001</v>
      </c>
      <c r="T309" s="18">
        <v>29.608920000000001</v>
      </c>
      <c r="U309" s="18">
        <v>14.804460000000001</v>
      </c>
      <c r="V309" s="18">
        <v>189.49708799999999</v>
      </c>
      <c r="W309" s="18">
        <v>177.65352000000001</v>
      </c>
      <c r="X309" s="18">
        <v>118.43568</v>
      </c>
      <c r="Y309" s="18">
        <v>5.263808</v>
      </c>
      <c r="Z309" s="18">
        <v>23.358148</v>
      </c>
      <c r="AA309" s="18">
        <v>34.214751999999997</v>
      </c>
      <c r="AB309" s="18">
        <v>60.862780000000001</v>
      </c>
      <c r="AC309" s="18">
        <v>18.752316</v>
      </c>
      <c r="AD309" s="18">
        <v>98.696399999999997</v>
      </c>
    </row>
    <row r="310" spans="2:30" x14ac:dyDescent="0.25">
      <c r="B310" t="s">
        <v>133</v>
      </c>
      <c r="C310" t="s">
        <v>105</v>
      </c>
      <c r="D310" t="s">
        <v>313</v>
      </c>
      <c r="E310" s="35">
        <v>0.9</v>
      </c>
      <c r="F310" s="35">
        <v>50</v>
      </c>
      <c r="G310" s="36">
        <v>0.81696800000000003</v>
      </c>
      <c r="H310" s="18">
        <v>1470.543091</v>
      </c>
      <c r="I310" s="16">
        <v>0</v>
      </c>
      <c r="J310" s="16">
        <v>40</v>
      </c>
      <c r="K310" s="16"/>
      <c r="L310" s="37" t="s">
        <v>107</v>
      </c>
      <c r="M310" s="37"/>
      <c r="N310" s="37">
        <v>311</v>
      </c>
      <c r="O310" s="37"/>
      <c r="P310" s="37"/>
      <c r="Q310" s="18">
        <v>8.9866480000000006</v>
      </c>
      <c r="R310" s="18">
        <v>6.1272599999999997E-2</v>
      </c>
      <c r="S310" s="18">
        <v>17.156328000000002</v>
      </c>
      <c r="T310" s="18">
        <v>73.527119999999996</v>
      </c>
      <c r="U310" s="18">
        <v>36.763559999999998</v>
      </c>
      <c r="V310" s="18">
        <v>470.57356800000002</v>
      </c>
      <c r="W310" s="18">
        <v>441.16272000000004</v>
      </c>
      <c r="X310" s="18">
        <v>294.10847999999999</v>
      </c>
      <c r="Y310" s="18">
        <v>13.071488</v>
      </c>
      <c r="Z310" s="18">
        <v>58.004728</v>
      </c>
      <c r="AA310" s="18">
        <v>84.964672000000007</v>
      </c>
      <c r="AB310" s="18">
        <v>151.13908000000001</v>
      </c>
      <c r="AC310" s="18">
        <v>46.567176000000003</v>
      </c>
      <c r="AD310" s="18">
        <v>245.09040000000002</v>
      </c>
    </row>
    <row r="311" spans="2:30" x14ac:dyDescent="0.25">
      <c r="B311" t="s">
        <v>166</v>
      </c>
      <c r="C311" t="s">
        <v>105</v>
      </c>
      <c r="D311" t="s">
        <v>325</v>
      </c>
      <c r="E311" s="35">
        <v>0.9</v>
      </c>
      <c r="F311" s="35">
        <v>26</v>
      </c>
      <c r="G311" s="36">
        <v>0.31666800000000001</v>
      </c>
      <c r="H311" s="18">
        <v>570.00232900000003</v>
      </c>
      <c r="I311" s="16">
        <v>0</v>
      </c>
      <c r="J311" s="16"/>
      <c r="K311" s="16"/>
      <c r="L311" s="37" t="s">
        <v>107</v>
      </c>
      <c r="M311" s="37"/>
      <c r="N311" s="37">
        <v>312</v>
      </c>
      <c r="O311" s="37"/>
      <c r="P311" s="37"/>
      <c r="Q311" s="18">
        <v>3.4833479999999999</v>
      </c>
      <c r="R311" s="18">
        <v>2.37501E-2</v>
      </c>
      <c r="S311" s="18">
        <v>6.6500279999999998</v>
      </c>
      <c r="T311" s="18">
        <v>28.500119999999999</v>
      </c>
      <c r="U311" s="18">
        <v>14.25006</v>
      </c>
      <c r="V311" s="18">
        <v>182.400768</v>
      </c>
      <c r="W311" s="18">
        <v>171.00072</v>
      </c>
      <c r="X311" s="18">
        <v>114.00048</v>
      </c>
      <c r="Y311" s="18">
        <v>5.0666880000000001</v>
      </c>
      <c r="Z311" s="18">
        <v>22.483428</v>
      </c>
      <c r="AA311" s="18">
        <v>32.933472000000002</v>
      </c>
      <c r="AB311" s="18">
        <v>58.583579999999998</v>
      </c>
      <c r="AC311" s="18">
        <v>18.050076000000001</v>
      </c>
      <c r="AD311" s="18">
        <v>95.000399999999999</v>
      </c>
    </row>
    <row r="312" spans="2:30" x14ac:dyDescent="0.25">
      <c r="B312" t="s">
        <v>124</v>
      </c>
      <c r="C312" t="s">
        <v>326</v>
      </c>
      <c r="D312" t="s">
        <v>327</v>
      </c>
      <c r="E312" s="35">
        <v>0.9</v>
      </c>
      <c r="F312" s="35">
        <v>35</v>
      </c>
      <c r="G312" s="36">
        <v>0.75223700000000004</v>
      </c>
      <c r="H312" s="18">
        <v>1354.026953</v>
      </c>
      <c r="I312" s="16">
        <v>0</v>
      </c>
      <c r="J312" s="16">
        <v>32</v>
      </c>
      <c r="K312" s="16" t="s">
        <v>130</v>
      </c>
      <c r="L312" s="37" t="s">
        <v>107</v>
      </c>
      <c r="M312" s="37"/>
      <c r="N312" s="37">
        <v>313</v>
      </c>
      <c r="O312" s="37"/>
      <c r="P312" s="37"/>
      <c r="Q312" s="18">
        <v>8.2746069999999996</v>
      </c>
      <c r="R312" s="18">
        <v>5.6417775000000003E-2</v>
      </c>
      <c r="S312" s="18">
        <v>15.796977000000002</v>
      </c>
      <c r="T312" s="18">
        <v>67.701329999999999</v>
      </c>
      <c r="U312" s="18">
        <v>33.850664999999999</v>
      </c>
      <c r="V312" s="18">
        <v>433.28851200000003</v>
      </c>
      <c r="W312" s="18">
        <v>406.20798000000002</v>
      </c>
      <c r="X312" s="18">
        <v>270.80531999999999</v>
      </c>
      <c r="Y312" s="18">
        <v>12.035792000000001</v>
      </c>
      <c r="Z312" s="18">
        <v>53.408827000000002</v>
      </c>
      <c r="AA312" s="18">
        <v>78.232648000000012</v>
      </c>
      <c r="AB312" s="18">
        <v>139.16384500000001</v>
      </c>
      <c r="AC312" s="18">
        <v>42.877509000000003</v>
      </c>
      <c r="AD312" s="18">
        <v>225.67110000000002</v>
      </c>
    </row>
    <row r="313" spans="2:30" x14ac:dyDescent="0.25">
      <c r="B313" t="s">
        <v>158</v>
      </c>
      <c r="C313" t="s">
        <v>326</v>
      </c>
      <c r="D313" t="s">
        <v>328</v>
      </c>
      <c r="E313" s="35">
        <v>0.9</v>
      </c>
      <c r="F313" s="35">
        <v>18</v>
      </c>
      <c r="G313" s="36">
        <v>0.153834</v>
      </c>
      <c r="H313" s="18">
        <v>276.90178700000001</v>
      </c>
      <c r="I313" s="16">
        <v>0</v>
      </c>
      <c r="J313" s="16"/>
      <c r="K313" s="16"/>
      <c r="L313" s="37" t="s">
        <v>107</v>
      </c>
      <c r="M313" s="37"/>
      <c r="N313" s="37">
        <v>314</v>
      </c>
      <c r="O313" s="37"/>
      <c r="P313" s="37"/>
      <c r="Q313" s="18">
        <v>1.6921740000000001</v>
      </c>
      <c r="R313" s="18">
        <v>1.1537549999999999E-2</v>
      </c>
      <c r="S313" s="18">
        <v>3.2305139999999999</v>
      </c>
      <c r="T313" s="18">
        <v>13.84506</v>
      </c>
      <c r="U313" s="18">
        <v>6.9225300000000001</v>
      </c>
      <c r="V313" s="18">
        <v>88.608384000000001</v>
      </c>
      <c r="W313" s="18">
        <v>83.070359999999994</v>
      </c>
      <c r="X313" s="18">
        <v>55.380240000000001</v>
      </c>
      <c r="Y313" s="18">
        <v>2.461344</v>
      </c>
      <c r="Z313" s="18">
        <v>10.922214</v>
      </c>
      <c r="AA313" s="18">
        <v>15.998735999999999</v>
      </c>
      <c r="AB313" s="18">
        <v>28.459289999999999</v>
      </c>
      <c r="AC313" s="18">
        <v>8.7685379999999995</v>
      </c>
      <c r="AD313" s="18">
        <v>46.150199999999998</v>
      </c>
    </row>
    <row r="314" spans="2:30" x14ac:dyDescent="0.25">
      <c r="B314" t="s">
        <v>108</v>
      </c>
      <c r="C314" t="s">
        <v>326</v>
      </c>
      <c r="D314" t="s">
        <v>329</v>
      </c>
      <c r="E314" s="35">
        <v>0.9</v>
      </c>
      <c r="F314" s="35">
        <v>16</v>
      </c>
      <c r="G314" s="36">
        <v>4.7999E-2</v>
      </c>
      <c r="H314" s="18">
        <v>86.397422000000006</v>
      </c>
      <c r="I314" s="16">
        <v>0</v>
      </c>
      <c r="J314" s="16"/>
      <c r="K314" s="16"/>
      <c r="L314" s="37" t="s">
        <v>107</v>
      </c>
      <c r="M314" s="37"/>
      <c r="N314" s="37">
        <v>315</v>
      </c>
      <c r="O314" s="37"/>
      <c r="P314" s="37"/>
      <c r="Q314" s="18">
        <v>0.52798900000000004</v>
      </c>
      <c r="R314" s="18">
        <v>3.5999249999999999E-3</v>
      </c>
      <c r="S314" s="18">
        <v>1.007979</v>
      </c>
      <c r="T314" s="18">
        <v>4.3199100000000001</v>
      </c>
      <c r="U314" s="18">
        <v>2.1599550000000001</v>
      </c>
      <c r="V314" s="18">
        <v>27.647424000000001</v>
      </c>
      <c r="W314" s="18">
        <v>25.919460000000001</v>
      </c>
      <c r="X314" s="18">
        <v>17.279640000000001</v>
      </c>
      <c r="Y314" s="18">
        <v>0.767984</v>
      </c>
      <c r="Z314" s="18">
        <v>3.4079290000000002</v>
      </c>
      <c r="AA314" s="18">
        <v>4.9918959999999997</v>
      </c>
      <c r="AB314" s="18">
        <v>8.8798150000000007</v>
      </c>
      <c r="AC314" s="18">
        <v>2.7359429999999998</v>
      </c>
      <c r="AD314" s="18">
        <v>14.399699999999999</v>
      </c>
    </row>
    <row r="315" spans="2:30" x14ac:dyDescent="0.25">
      <c r="B315" t="s">
        <v>108</v>
      </c>
      <c r="C315" t="s">
        <v>326</v>
      </c>
      <c r="D315" t="s">
        <v>330</v>
      </c>
      <c r="E315" s="35">
        <v>0.9</v>
      </c>
      <c r="F315" s="35">
        <v>16</v>
      </c>
      <c r="G315" s="36">
        <v>4.4585E-2</v>
      </c>
      <c r="H315" s="18">
        <v>80.253671999999995</v>
      </c>
      <c r="I315" s="16">
        <v>0</v>
      </c>
      <c r="J315" s="16"/>
      <c r="K315" s="16"/>
      <c r="L315" s="37" t="s">
        <v>107</v>
      </c>
      <c r="M315" s="37"/>
      <c r="N315" s="37">
        <v>316</v>
      </c>
      <c r="O315" s="37"/>
      <c r="P315" s="37"/>
      <c r="Q315" s="18">
        <v>0.49043500000000001</v>
      </c>
      <c r="R315" s="18">
        <v>3.3438750000000001E-3</v>
      </c>
      <c r="S315" s="18">
        <v>0.93628500000000003</v>
      </c>
      <c r="T315" s="18">
        <v>4.0126499999999998</v>
      </c>
      <c r="U315" s="18">
        <v>2.0063249999999999</v>
      </c>
      <c r="V315" s="18">
        <v>25.680959999999999</v>
      </c>
      <c r="W315" s="18">
        <v>24.075900000000001</v>
      </c>
      <c r="X315" s="18">
        <v>16.050599999999999</v>
      </c>
      <c r="Y315" s="18">
        <v>0.71335999999999999</v>
      </c>
      <c r="Z315" s="18">
        <v>3.1655349999999998</v>
      </c>
      <c r="AA315" s="18">
        <v>4.6368400000000003</v>
      </c>
      <c r="AB315" s="18">
        <v>8.2482249999999997</v>
      </c>
      <c r="AC315" s="18">
        <v>2.5413450000000002</v>
      </c>
      <c r="AD315" s="18">
        <v>13.375500000000001</v>
      </c>
    </row>
    <row r="316" spans="2:30" x14ac:dyDescent="0.25">
      <c r="B316" t="s">
        <v>294</v>
      </c>
      <c r="C316" t="s">
        <v>326</v>
      </c>
      <c r="D316" t="s">
        <v>331</v>
      </c>
      <c r="E316" s="35">
        <v>1.8</v>
      </c>
      <c r="F316" s="35">
        <v>32.58</v>
      </c>
      <c r="G316" s="36">
        <v>0.30754399999999998</v>
      </c>
      <c r="H316" s="18">
        <v>1107.1574860000001</v>
      </c>
      <c r="I316" s="16"/>
      <c r="J316" s="16"/>
      <c r="K316" s="16"/>
      <c r="L316" s="37" t="s">
        <v>107</v>
      </c>
      <c r="M316" s="37"/>
      <c r="N316" s="37">
        <v>317</v>
      </c>
      <c r="O316" s="37"/>
      <c r="P316" s="37"/>
      <c r="Q316" s="18">
        <v>3.382984</v>
      </c>
      <c r="R316" s="18">
        <v>2.3065799999999997E-2</v>
      </c>
      <c r="S316" s="18">
        <v>6.4584239999999999</v>
      </c>
      <c r="T316" s="18">
        <v>27.67896</v>
      </c>
      <c r="U316" s="18">
        <v>13.83948</v>
      </c>
      <c r="V316" s="18">
        <v>177.14534399999999</v>
      </c>
      <c r="W316" s="18">
        <v>166.07375999999999</v>
      </c>
      <c r="X316" s="18">
        <v>110.71584</v>
      </c>
      <c r="Y316" s="18">
        <v>4.9207039999999997</v>
      </c>
      <c r="Z316" s="18">
        <v>21.835623999999999</v>
      </c>
      <c r="AA316" s="18">
        <v>31.984575999999997</v>
      </c>
      <c r="AB316" s="18">
        <v>56.89564</v>
      </c>
      <c r="AC316" s="18">
        <v>17.530007999999999</v>
      </c>
      <c r="AD316" s="18">
        <v>92.263199999999998</v>
      </c>
    </row>
    <row r="317" spans="2:30" x14ac:dyDescent="0.25">
      <c r="B317" t="s">
        <v>108</v>
      </c>
      <c r="C317" t="s">
        <v>326</v>
      </c>
      <c r="D317" t="s">
        <v>332</v>
      </c>
      <c r="E317" s="35">
        <v>0.9</v>
      </c>
      <c r="F317" s="35">
        <v>16</v>
      </c>
      <c r="G317" s="36">
        <v>8.2664000000000001E-2</v>
      </c>
      <c r="H317" s="18">
        <v>148.794883</v>
      </c>
      <c r="I317" s="16">
        <v>0</v>
      </c>
      <c r="J317" s="16"/>
      <c r="K317" s="16"/>
      <c r="L317" s="37" t="s">
        <v>107</v>
      </c>
      <c r="M317" s="37"/>
      <c r="N317" s="37">
        <v>318</v>
      </c>
      <c r="O317" s="37"/>
      <c r="P317" s="37"/>
      <c r="Q317" s="18">
        <v>0.909304</v>
      </c>
      <c r="R317" s="18">
        <v>6.1998000000000001E-3</v>
      </c>
      <c r="S317" s="18">
        <v>1.7359439999999999</v>
      </c>
      <c r="T317" s="18">
        <v>7.4397599999999997</v>
      </c>
      <c r="U317" s="18">
        <v>3.7198799999999999</v>
      </c>
      <c r="V317" s="18">
        <v>47.614463999999998</v>
      </c>
      <c r="W317" s="18">
        <v>44.638559999999998</v>
      </c>
      <c r="X317" s="18">
        <v>29.759039999999999</v>
      </c>
      <c r="Y317" s="18">
        <v>1.322624</v>
      </c>
      <c r="Z317" s="18">
        <v>5.8691440000000004</v>
      </c>
      <c r="AA317" s="18">
        <v>8.5970560000000003</v>
      </c>
      <c r="AB317" s="18">
        <v>15.29284</v>
      </c>
      <c r="AC317" s="18">
        <v>4.7118479999999998</v>
      </c>
      <c r="AD317" s="18">
        <v>24.799199999999999</v>
      </c>
    </row>
    <row r="318" spans="2:30" x14ac:dyDescent="0.25">
      <c r="B318" t="s">
        <v>119</v>
      </c>
      <c r="C318" t="s">
        <v>326</v>
      </c>
      <c r="D318" t="s">
        <v>333</v>
      </c>
      <c r="E318" s="35">
        <v>0.9</v>
      </c>
      <c r="F318" s="35">
        <v>19</v>
      </c>
      <c r="G318" s="36">
        <v>0.15756800000000001</v>
      </c>
      <c r="H318" s="18">
        <v>283.62157200000001</v>
      </c>
      <c r="I318" s="16">
        <v>0</v>
      </c>
      <c r="J318" s="16"/>
      <c r="K318" s="16"/>
      <c r="L318" s="37" t="s">
        <v>107</v>
      </c>
      <c r="M318" s="37"/>
      <c r="N318" s="37">
        <v>319</v>
      </c>
      <c r="O318" s="37"/>
      <c r="P318" s="37"/>
      <c r="Q318" s="18">
        <v>1.7332480000000001</v>
      </c>
      <c r="R318" s="18">
        <v>1.1817600000000001E-2</v>
      </c>
      <c r="S318" s="18">
        <v>3.3089280000000003</v>
      </c>
      <c r="T318" s="18">
        <v>14.181120000000002</v>
      </c>
      <c r="U318" s="18">
        <v>7.0905600000000009</v>
      </c>
      <c r="V318" s="18">
        <v>90.759168000000003</v>
      </c>
      <c r="W318" s="18">
        <v>85.086720000000014</v>
      </c>
      <c r="X318" s="18">
        <v>56.724480000000007</v>
      </c>
      <c r="Y318" s="18">
        <v>2.5210880000000002</v>
      </c>
      <c r="Z318" s="18">
        <v>11.187328000000001</v>
      </c>
      <c r="AA318" s="18">
        <v>16.387072</v>
      </c>
      <c r="AB318" s="18">
        <v>29.150080000000003</v>
      </c>
      <c r="AC318" s="18">
        <v>8.9813760000000009</v>
      </c>
      <c r="AD318" s="18">
        <v>47.270400000000002</v>
      </c>
    </row>
    <row r="319" spans="2:30" x14ac:dyDescent="0.25">
      <c r="B319" t="s">
        <v>141</v>
      </c>
      <c r="C319" t="s">
        <v>326</v>
      </c>
      <c r="D319" t="s">
        <v>334</v>
      </c>
      <c r="E319" s="35">
        <v>0.9</v>
      </c>
      <c r="F319" s="35">
        <v>46</v>
      </c>
      <c r="G319" s="36">
        <v>0.79944899999999997</v>
      </c>
      <c r="H319" s="18">
        <v>1439.0081399999999</v>
      </c>
      <c r="I319" s="16">
        <v>0</v>
      </c>
      <c r="J319" s="16"/>
      <c r="K319" s="16"/>
      <c r="L319" s="37" t="s">
        <v>107</v>
      </c>
      <c r="M319" s="37"/>
      <c r="N319" s="37">
        <v>320</v>
      </c>
      <c r="O319" s="37"/>
      <c r="P319" s="37"/>
      <c r="Q319" s="18">
        <v>8.793939</v>
      </c>
      <c r="R319" s="18">
        <v>5.9958674999999996E-2</v>
      </c>
      <c r="S319" s="18">
        <v>16.788429000000001</v>
      </c>
      <c r="T319" s="18">
        <v>71.950409999999991</v>
      </c>
      <c r="U319" s="18">
        <v>35.975204999999995</v>
      </c>
      <c r="V319" s="18">
        <v>460.48262399999999</v>
      </c>
      <c r="W319" s="18">
        <v>431.70245999999997</v>
      </c>
      <c r="X319" s="18">
        <v>287.80163999999996</v>
      </c>
      <c r="Y319" s="18">
        <v>12.791183999999999</v>
      </c>
      <c r="Z319" s="18">
        <v>56.760878999999996</v>
      </c>
      <c r="AA319" s="18">
        <v>83.142696000000001</v>
      </c>
      <c r="AB319" s="18">
        <v>147.898065</v>
      </c>
      <c r="AC319" s="18">
        <v>45.568593</v>
      </c>
      <c r="AD319" s="18">
        <v>239.8347</v>
      </c>
    </row>
    <row r="320" spans="2:30" x14ac:dyDescent="0.25">
      <c r="B320" t="s">
        <v>158</v>
      </c>
      <c r="C320" t="s">
        <v>326</v>
      </c>
      <c r="D320" t="s">
        <v>328</v>
      </c>
      <c r="E320" s="35">
        <v>0.9</v>
      </c>
      <c r="F320" s="35">
        <v>18</v>
      </c>
      <c r="G320" s="36">
        <v>0.153834</v>
      </c>
      <c r="H320" s="18">
        <v>276.90178700000001</v>
      </c>
      <c r="I320" s="16">
        <v>0</v>
      </c>
      <c r="J320" s="16"/>
      <c r="K320" s="16"/>
      <c r="L320" s="37" t="s">
        <v>107</v>
      </c>
      <c r="M320" s="37"/>
      <c r="N320" s="37">
        <v>321</v>
      </c>
      <c r="O320" s="37"/>
      <c r="P320" s="37"/>
      <c r="Q320" s="18">
        <v>1.6921740000000001</v>
      </c>
      <c r="R320" s="18">
        <v>1.1537549999999999E-2</v>
      </c>
      <c r="S320" s="18">
        <v>3.2305139999999999</v>
      </c>
      <c r="T320" s="18">
        <v>13.84506</v>
      </c>
      <c r="U320" s="18">
        <v>6.9225300000000001</v>
      </c>
      <c r="V320" s="18">
        <v>88.608384000000001</v>
      </c>
      <c r="W320" s="18">
        <v>83.070359999999994</v>
      </c>
      <c r="X320" s="18">
        <v>55.380240000000001</v>
      </c>
      <c r="Y320" s="18">
        <v>2.461344</v>
      </c>
      <c r="Z320" s="18">
        <v>10.922214</v>
      </c>
      <c r="AA320" s="18">
        <v>15.998735999999999</v>
      </c>
      <c r="AB320" s="18">
        <v>28.459289999999999</v>
      </c>
      <c r="AC320" s="18">
        <v>8.7685379999999995</v>
      </c>
      <c r="AD320" s="18">
        <v>46.150199999999998</v>
      </c>
    </row>
    <row r="321" spans="2:30" x14ac:dyDescent="0.25">
      <c r="B321" t="s">
        <v>112</v>
      </c>
      <c r="C321" t="s">
        <v>326</v>
      </c>
      <c r="D321" t="s">
        <v>335</v>
      </c>
      <c r="E321" s="35">
        <v>0.9</v>
      </c>
      <c r="F321" s="35">
        <v>60</v>
      </c>
      <c r="G321" s="36">
        <v>0.68837400000000004</v>
      </c>
      <c r="H321" s="18">
        <v>1239.0730960000001</v>
      </c>
      <c r="I321" s="16">
        <v>0</v>
      </c>
      <c r="J321" s="16"/>
      <c r="K321" s="16"/>
      <c r="L321" s="37" t="s">
        <v>107</v>
      </c>
      <c r="M321" s="37"/>
      <c r="N321" s="37">
        <v>322</v>
      </c>
      <c r="O321" s="37"/>
      <c r="P321" s="37"/>
      <c r="Q321" s="18">
        <v>7.5721140000000009</v>
      </c>
      <c r="R321" s="18">
        <v>5.1628050000000002E-2</v>
      </c>
      <c r="S321" s="18">
        <v>14.455854</v>
      </c>
      <c r="T321" s="18">
        <v>61.953660000000006</v>
      </c>
      <c r="U321" s="18">
        <v>30.976830000000003</v>
      </c>
      <c r="V321" s="18">
        <v>396.503424</v>
      </c>
      <c r="W321" s="18">
        <v>371.72196000000002</v>
      </c>
      <c r="X321" s="18">
        <v>247.81464000000003</v>
      </c>
      <c r="Y321" s="18">
        <v>11.013984000000001</v>
      </c>
      <c r="Z321" s="18">
        <v>48.874554000000003</v>
      </c>
      <c r="AA321" s="18">
        <v>71.590896000000001</v>
      </c>
      <c r="AB321" s="18">
        <v>127.34919000000001</v>
      </c>
      <c r="AC321" s="18">
        <v>39.237318000000002</v>
      </c>
      <c r="AD321" s="18">
        <v>206.51220000000001</v>
      </c>
    </row>
    <row r="322" spans="2:30" x14ac:dyDescent="0.25">
      <c r="B322" t="s">
        <v>141</v>
      </c>
      <c r="C322" t="s">
        <v>326</v>
      </c>
      <c r="D322" t="s">
        <v>336</v>
      </c>
      <c r="E322" s="35">
        <v>0.9</v>
      </c>
      <c r="F322" s="35">
        <v>46</v>
      </c>
      <c r="G322" s="36">
        <v>0.62342900000000001</v>
      </c>
      <c r="H322" s="18">
        <v>1122.1730319999999</v>
      </c>
      <c r="I322" s="16">
        <v>0</v>
      </c>
      <c r="J322" s="16"/>
      <c r="K322" s="16"/>
      <c r="L322" s="37" t="s">
        <v>107</v>
      </c>
      <c r="M322" s="37"/>
      <c r="N322" s="37">
        <v>323</v>
      </c>
      <c r="O322" s="37"/>
      <c r="P322" s="37"/>
      <c r="Q322" s="18">
        <v>6.8577190000000003</v>
      </c>
      <c r="R322" s="18">
        <v>4.6757174999999998E-2</v>
      </c>
      <c r="S322" s="18">
        <v>13.092009000000001</v>
      </c>
      <c r="T322" s="18">
        <v>56.108609999999999</v>
      </c>
      <c r="U322" s="18">
        <v>28.054304999999999</v>
      </c>
      <c r="V322" s="18">
        <v>359.09510399999999</v>
      </c>
      <c r="W322" s="18">
        <v>336.65165999999999</v>
      </c>
      <c r="X322" s="18">
        <v>224.43444</v>
      </c>
      <c r="Y322" s="18">
        <v>9.9748640000000002</v>
      </c>
      <c r="Z322" s="18">
        <v>44.263458999999997</v>
      </c>
      <c r="AA322" s="18">
        <v>64.836616000000006</v>
      </c>
      <c r="AB322" s="18">
        <v>115.33436500000001</v>
      </c>
      <c r="AC322" s="18">
        <v>35.535453000000004</v>
      </c>
      <c r="AD322" s="18">
        <v>187.02870000000001</v>
      </c>
    </row>
    <row r="323" spans="2:30" x14ac:dyDescent="0.25">
      <c r="B323" t="s">
        <v>337</v>
      </c>
      <c r="C323" t="s">
        <v>326</v>
      </c>
      <c r="D323" t="s">
        <v>338</v>
      </c>
      <c r="E323" s="35">
        <v>0.9</v>
      </c>
      <c r="F323" s="35">
        <v>26</v>
      </c>
      <c r="G323" s="36">
        <v>0.14823900000000001</v>
      </c>
      <c r="H323" s="18">
        <v>266.82932199999999</v>
      </c>
      <c r="I323" s="16">
        <v>2</v>
      </c>
      <c r="J323" s="16"/>
      <c r="K323" s="16"/>
      <c r="L323" s="37" t="s">
        <v>107</v>
      </c>
      <c r="M323" s="37"/>
      <c r="N323" s="37">
        <v>324</v>
      </c>
      <c r="O323" s="37"/>
      <c r="P323" s="37"/>
      <c r="Q323" s="18">
        <v>1.6306290000000001</v>
      </c>
      <c r="R323" s="18">
        <v>1.1117925000000001E-2</v>
      </c>
      <c r="S323" s="18">
        <v>3.1130190000000004</v>
      </c>
      <c r="T323" s="18">
        <v>13.341510000000001</v>
      </c>
      <c r="U323" s="18">
        <v>6.6707550000000007</v>
      </c>
      <c r="V323" s="18">
        <v>85.385664000000006</v>
      </c>
      <c r="W323" s="18">
        <v>80.049060000000011</v>
      </c>
      <c r="X323" s="18">
        <v>53.366040000000005</v>
      </c>
      <c r="Y323" s="18">
        <v>2.3718240000000002</v>
      </c>
      <c r="Z323" s="18">
        <v>10.524969</v>
      </c>
      <c r="AA323" s="18">
        <v>15.416856000000001</v>
      </c>
      <c r="AB323" s="18">
        <v>27.424215</v>
      </c>
      <c r="AC323" s="18">
        <v>8.4496230000000008</v>
      </c>
      <c r="AD323" s="18">
        <v>44.471700000000006</v>
      </c>
    </row>
    <row r="324" spans="2:30" x14ac:dyDescent="0.25">
      <c r="B324" t="s">
        <v>339</v>
      </c>
      <c r="C324" t="s">
        <v>326</v>
      </c>
      <c r="D324" t="s">
        <v>340</v>
      </c>
      <c r="E324" s="35">
        <v>1.8</v>
      </c>
      <c r="F324" s="35">
        <v>62.46</v>
      </c>
      <c r="G324" s="36">
        <v>1.043728</v>
      </c>
      <c r="H324" s="18">
        <v>3757.4202049999999</v>
      </c>
      <c r="I324" s="16"/>
      <c r="J324" s="16"/>
      <c r="K324" s="16"/>
      <c r="L324" s="37" t="s">
        <v>107</v>
      </c>
      <c r="M324" s="37"/>
      <c r="N324" s="37">
        <v>325</v>
      </c>
      <c r="O324" s="37"/>
      <c r="P324" s="37"/>
      <c r="Q324" s="18">
        <v>11.481007999999999</v>
      </c>
      <c r="R324" s="18">
        <v>7.8279599999999991E-2</v>
      </c>
      <c r="S324" s="18">
        <v>21.918288</v>
      </c>
      <c r="T324" s="18">
        <v>93.935519999999997</v>
      </c>
      <c r="U324" s="18">
        <v>46.967759999999998</v>
      </c>
      <c r="V324" s="18">
        <v>601.18732799999998</v>
      </c>
      <c r="W324" s="18">
        <v>563.61311999999998</v>
      </c>
      <c r="X324" s="18">
        <v>375.74207999999999</v>
      </c>
      <c r="Y324" s="18">
        <v>16.699648</v>
      </c>
      <c r="Z324" s="18">
        <v>74.104687999999996</v>
      </c>
      <c r="AA324" s="18">
        <v>108.547712</v>
      </c>
      <c r="AB324" s="18">
        <v>193.08967999999999</v>
      </c>
      <c r="AC324" s="18">
        <v>59.492496000000003</v>
      </c>
      <c r="AD324" s="18">
        <v>313.11840000000001</v>
      </c>
    </row>
    <row r="325" spans="2:30" x14ac:dyDescent="0.25">
      <c r="B325" t="s">
        <v>195</v>
      </c>
      <c r="C325" t="s">
        <v>326</v>
      </c>
      <c r="D325" t="s">
        <v>341</v>
      </c>
      <c r="E325" s="35">
        <v>0.9</v>
      </c>
      <c r="F325" s="35">
        <v>30</v>
      </c>
      <c r="G325" s="36">
        <v>0.16841400000000001</v>
      </c>
      <c r="H325" s="18">
        <v>303.14482199999998</v>
      </c>
      <c r="I325" s="16">
        <v>0</v>
      </c>
      <c r="J325" s="16"/>
      <c r="K325" s="16"/>
      <c r="L325" s="37" t="s">
        <v>107</v>
      </c>
      <c r="M325" s="37"/>
      <c r="N325" s="37">
        <v>326</v>
      </c>
      <c r="O325" s="37"/>
      <c r="P325" s="37"/>
      <c r="Q325" s="18">
        <v>1.852554</v>
      </c>
      <c r="R325" s="18">
        <v>1.263105E-2</v>
      </c>
      <c r="S325" s="18">
        <v>3.5366940000000002</v>
      </c>
      <c r="T325" s="18">
        <v>15.157260000000001</v>
      </c>
      <c r="U325" s="18">
        <v>7.5786300000000004</v>
      </c>
      <c r="V325" s="18">
        <v>97.006464000000008</v>
      </c>
      <c r="W325" s="18">
        <v>90.943560000000005</v>
      </c>
      <c r="X325" s="18">
        <v>60.629040000000003</v>
      </c>
      <c r="Y325" s="18">
        <v>2.6946240000000001</v>
      </c>
      <c r="Z325" s="18">
        <v>11.957394000000001</v>
      </c>
      <c r="AA325" s="18">
        <v>17.515056000000001</v>
      </c>
      <c r="AB325" s="18">
        <v>31.156590000000001</v>
      </c>
      <c r="AC325" s="18">
        <v>9.5995980000000003</v>
      </c>
      <c r="AD325" s="18">
        <v>50.5242</v>
      </c>
    </row>
    <row r="326" spans="2:30" x14ac:dyDescent="0.25">
      <c r="B326" t="s">
        <v>141</v>
      </c>
      <c r="C326" t="s">
        <v>326</v>
      </c>
      <c r="D326" t="s">
        <v>342</v>
      </c>
      <c r="E326" s="35">
        <v>0.9</v>
      </c>
      <c r="F326" s="35">
        <v>46</v>
      </c>
      <c r="G326" s="36">
        <v>0.89021799999999995</v>
      </c>
      <c r="H326" s="18">
        <v>1602.3921439999999</v>
      </c>
      <c r="I326" s="16">
        <v>2</v>
      </c>
      <c r="J326" s="16">
        <v>40</v>
      </c>
      <c r="K326" s="16"/>
      <c r="L326" s="37" t="s">
        <v>107</v>
      </c>
      <c r="M326" s="37"/>
      <c r="N326" s="37">
        <v>327</v>
      </c>
      <c r="O326" s="37"/>
      <c r="P326" s="37"/>
      <c r="Q326" s="18">
        <v>9.7923979999999986</v>
      </c>
      <c r="R326" s="18">
        <v>6.6766349999999988E-2</v>
      </c>
      <c r="S326" s="18">
        <v>18.694578</v>
      </c>
      <c r="T326" s="18">
        <v>80.119619999999998</v>
      </c>
      <c r="U326" s="18">
        <v>40.059809999999999</v>
      </c>
      <c r="V326" s="18">
        <v>512.76556800000003</v>
      </c>
      <c r="W326" s="18">
        <v>480.71771999999999</v>
      </c>
      <c r="X326" s="18">
        <v>320.47847999999999</v>
      </c>
      <c r="Y326" s="18">
        <v>14.243487999999999</v>
      </c>
      <c r="Z326" s="18">
        <v>63.205477999999999</v>
      </c>
      <c r="AA326" s="18">
        <v>92.582672000000002</v>
      </c>
      <c r="AB326" s="18">
        <v>164.69032999999999</v>
      </c>
      <c r="AC326" s="18">
        <v>50.742425999999995</v>
      </c>
      <c r="AD326" s="18">
        <v>267.06540000000001</v>
      </c>
    </row>
    <row r="327" spans="2:30" x14ac:dyDescent="0.25">
      <c r="B327" t="s">
        <v>158</v>
      </c>
      <c r="C327" t="s">
        <v>326</v>
      </c>
      <c r="D327" t="s">
        <v>343</v>
      </c>
      <c r="E327" s="35">
        <v>0.9</v>
      </c>
      <c r="F327" s="35">
        <v>18</v>
      </c>
      <c r="G327" s="36">
        <v>0.150834</v>
      </c>
      <c r="H327" s="18">
        <v>271.50200699999999</v>
      </c>
      <c r="I327" s="16">
        <v>0</v>
      </c>
      <c r="J327" s="16"/>
      <c r="K327" s="16"/>
      <c r="L327" s="37" t="s">
        <v>107</v>
      </c>
      <c r="M327" s="37"/>
      <c r="N327" s="37">
        <v>328</v>
      </c>
      <c r="O327" s="37"/>
      <c r="P327" s="37"/>
      <c r="Q327" s="18">
        <v>1.6591739999999999</v>
      </c>
      <c r="R327" s="18">
        <v>1.1312549999999999E-2</v>
      </c>
      <c r="S327" s="18">
        <v>3.1675139999999997</v>
      </c>
      <c r="T327" s="18">
        <v>13.575059999999999</v>
      </c>
      <c r="U327" s="18">
        <v>6.7875299999999994</v>
      </c>
      <c r="V327" s="18">
        <v>86.880383999999992</v>
      </c>
      <c r="W327" s="18">
        <v>81.450360000000003</v>
      </c>
      <c r="X327" s="18">
        <v>54.300239999999995</v>
      </c>
      <c r="Y327" s="18">
        <v>2.4133439999999999</v>
      </c>
      <c r="Z327" s="18">
        <v>10.709213999999999</v>
      </c>
      <c r="AA327" s="18">
        <v>15.686736</v>
      </c>
      <c r="AB327" s="18">
        <v>27.90429</v>
      </c>
      <c r="AC327" s="18">
        <v>8.5975380000000001</v>
      </c>
      <c r="AD327" s="18">
        <v>45.2502</v>
      </c>
    </row>
    <row r="328" spans="2:30" x14ac:dyDescent="0.25">
      <c r="B328" t="s">
        <v>108</v>
      </c>
      <c r="C328" t="s">
        <v>326</v>
      </c>
      <c r="D328" t="s">
        <v>344</v>
      </c>
      <c r="E328" s="35">
        <v>0.9</v>
      </c>
      <c r="F328" s="35">
        <v>16</v>
      </c>
      <c r="G328" s="36">
        <v>8.1277000000000002E-2</v>
      </c>
      <c r="H328" s="18">
        <v>146.29898399999999</v>
      </c>
      <c r="I328" s="16">
        <v>0</v>
      </c>
      <c r="J328" s="16"/>
      <c r="K328" s="16"/>
      <c r="L328" s="37" t="s">
        <v>107</v>
      </c>
      <c r="M328" s="37"/>
      <c r="N328" s="37">
        <v>329</v>
      </c>
      <c r="O328" s="37"/>
      <c r="P328" s="37"/>
      <c r="Q328" s="18">
        <v>0.89404700000000004</v>
      </c>
      <c r="R328" s="18">
        <v>6.0957750000000003E-3</v>
      </c>
      <c r="S328" s="18">
        <v>1.706817</v>
      </c>
      <c r="T328" s="18">
        <v>7.3149300000000004</v>
      </c>
      <c r="U328" s="18">
        <v>3.6574650000000002</v>
      </c>
      <c r="V328" s="18">
        <v>46.815552000000004</v>
      </c>
      <c r="W328" s="18">
        <v>43.889580000000002</v>
      </c>
      <c r="X328" s="18">
        <v>29.259720000000002</v>
      </c>
      <c r="Y328" s="18">
        <v>1.300432</v>
      </c>
      <c r="Z328" s="18">
        <v>5.7706670000000004</v>
      </c>
      <c r="AA328" s="18">
        <v>8.452808000000001</v>
      </c>
      <c r="AB328" s="18">
        <v>15.036245000000001</v>
      </c>
      <c r="AC328" s="18">
        <v>4.6327889999999998</v>
      </c>
      <c r="AD328" s="18">
        <v>24.383099999999999</v>
      </c>
    </row>
    <row r="329" spans="2:30" x14ac:dyDescent="0.25">
      <c r="B329" t="s">
        <v>108</v>
      </c>
      <c r="C329" t="s">
        <v>326</v>
      </c>
      <c r="D329" t="s">
        <v>344</v>
      </c>
      <c r="E329" s="35">
        <v>0.9</v>
      </c>
      <c r="F329" s="35">
        <v>16</v>
      </c>
      <c r="G329" s="36">
        <v>8.1277000000000002E-2</v>
      </c>
      <c r="H329" s="18">
        <v>146.29898399999999</v>
      </c>
      <c r="I329" s="16">
        <v>0</v>
      </c>
      <c r="J329" s="16"/>
      <c r="K329" s="16"/>
      <c r="L329" s="37" t="s">
        <v>107</v>
      </c>
      <c r="M329" s="37"/>
      <c r="N329" s="37">
        <v>330</v>
      </c>
      <c r="O329" s="37"/>
      <c r="P329" s="37"/>
      <c r="Q329" s="18">
        <v>0.89404700000000004</v>
      </c>
      <c r="R329" s="18">
        <v>6.0957750000000003E-3</v>
      </c>
      <c r="S329" s="18">
        <v>1.706817</v>
      </c>
      <c r="T329" s="18">
        <v>7.3149300000000004</v>
      </c>
      <c r="U329" s="18">
        <v>3.6574650000000002</v>
      </c>
      <c r="V329" s="18">
        <v>46.815552000000004</v>
      </c>
      <c r="W329" s="18">
        <v>43.889580000000002</v>
      </c>
      <c r="X329" s="18">
        <v>29.259720000000002</v>
      </c>
      <c r="Y329" s="18">
        <v>1.300432</v>
      </c>
      <c r="Z329" s="18">
        <v>5.7706670000000004</v>
      </c>
      <c r="AA329" s="18">
        <v>8.452808000000001</v>
      </c>
      <c r="AB329" s="18">
        <v>15.036245000000001</v>
      </c>
      <c r="AC329" s="18">
        <v>4.6327889999999998</v>
      </c>
      <c r="AD329" s="18">
        <v>24.383099999999999</v>
      </c>
    </row>
    <row r="330" spans="2:30" x14ac:dyDescent="0.25">
      <c r="B330" t="s">
        <v>158</v>
      </c>
      <c r="C330" t="s">
        <v>326</v>
      </c>
      <c r="D330" t="s">
        <v>345</v>
      </c>
      <c r="E330" s="35">
        <v>0.9</v>
      </c>
      <c r="F330" s="35">
        <v>18</v>
      </c>
      <c r="G330" s="36">
        <v>0.15323400000000001</v>
      </c>
      <c r="H330" s="18">
        <v>275.82183099999997</v>
      </c>
      <c r="I330" s="16">
        <v>0</v>
      </c>
      <c r="J330" s="16"/>
      <c r="K330" s="16"/>
      <c r="L330" s="37" t="s">
        <v>107</v>
      </c>
      <c r="M330" s="37"/>
      <c r="N330" s="37">
        <v>331</v>
      </c>
      <c r="O330" s="37"/>
      <c r="P330" s="37"/>
      <c r="Q330" s="18">
        <v>1.6855740000000001</v>
      </c>
      <c r="R330" s="18">
        <v>1.1492550000000001E-2</v>
      </c>
      <c r="S330" s="18">
        <v>3.2179140000000004</v>
      </c>
      <c r="T330" s="18">
        <v>13.791060000000002</v>
      </c>
      <c r="U330" s="18">
        <v>6.8955300000000008</v>
      </c>
      <c r="V330" s="18">
        <v>88.262784000000011</v>
      </c>
      <c r="W330" s="18">
        <v>82.74636000000001</v>
      </c>
      <c r="X330" s="18">
        <v>55.164240000000007</v>
      </c>
      <c r="Y330" s="18">
        <v>2.4517440000000001</v>
      </c>
      <c r="Z330" s="18">
        <v>10.879614</v>
      </c>
      <c r="AA330" s="18">
        <v>15.936336000000001</v>
      </c>
      <c r="AB330" s="18">
        <v>28.348290000000002</v>
      </c>
      <c r="AC330" s="18">
        <v>8.734338000000001</v>
      </c>
      <c r="AD330" s="18">
        <v>45.970200000000006</v>
      </c>
    </row>
    <row r="331" spans="2:30" x14ac:dyDescent="0.25">
      <c r="B331" t="s">
        <v>346</v>
      </c>
      <c r="C331" t="s">
        <v>326</v>
      </c>
      <c r="D331" t="s">
        <v>347</v>
      </c>
      <c r="E331" s="35">
        <v>1.8</v>
      </c>
      <c r="F331" s="35">
        <v>58.1</v>
      </c>
      <c r="G331" s="36">
        <v>0.51790800000000004</v>
      </c>
      <c r="H331" s="18">
        <v>1864.470069</v>
      </c>
      <c r="I331" s="16"/>
      <c r="J331" s="16"/>
      <c r="K331" s="16"/>
      <c r="L331" s="37" t="s">
        <v>107</v>
      </c>
      <c r="M331" s="37"/>
      <c r="N331" s="37">
        <v>332</v>
      </c>
      <c r="O331" s="37"/>
      <c r="P331" s="37"/>
      <c r="Q331" s="18">
        <v>5.6969880000000002</v>
      </c>
      <c r="R331" s="18">
        <v>3.8843099999999998E-2</v>
      </c>
      <c r="S331" s="18">
        <v>10.876068</v>
      </c>
      <c r="T331" s="18">
        <v>46.611720000000005</v>
      </c>
      <c r="U331" s="18">
        <v>23.305860000000003</v>
      </c>
      <c r="V331" s="18">
        <v>298.31500800000003</v>
      </c>
      <c r="W331" s="18">
        <v>279.67032</v>
      </c>
      <c r="X331" s="18">
        <v>186.44688000000002</v>
      </c>
      <c r="Y331" s="18">
        <v>8.2865280000000006</v>
      </c>
      <c r="Z331" s="18">
        <v>36.771468000000006</v>
      </c>
      <c r="AA331" s="18">
        <v>53.862432000000005</v>
      </c>
      <c r="AB331" s="18">
        <v>95.81298000000001</v>
      </c>
      <c r="AC331" s="18">
        <v>29.520756000000002</v>
      </c>
      <c r="AD331" s="18">
        <v>155.3724</v>
      </c>
    </row>
    <row r="332" spans="2:30" x14ac:dyDescent="0.25">
      <c r="B332" t="s">
        <v>110</v>
      </c>
      <c r="C332" t="s">
        <v>326</v>
      </c>
      <c r="D332" t="s">
        <v>348</v>
      </c>
      <c r="E332" s="35">
        <v>0.9</v>
      </c>
      <c r="F332" s="35">
        <v>22</v>
      </c>
      <c r="G332" s="36">
        <v>0.109996</v>
      </c>
      <c r="H332" s="18">
        <v>197.99323200000001</v>
      </c>
      <c r="I332" s="16">
        <v>0</v>
      </c>
      <c r="J332" s="16"/>
      <c r="K332" s="16"/>
      <c r="L332" s="37" t="s">
        <v>107</v>
      </c>
      <c r="M332" s="37"/>
      <c r="N332" s="37">
        <v>333</v>
      </c>
      <c r="O332" s="37"/>
      <c r="P332" s="37"/>
      <c r="Q332" s="18">
        <v>1.209956</v>
      </c>
      <c r="R332" s="18">
        <v>8.2496999999999987E-3</v>
      </c>
      <c r="S332" s="18">
        <v>2.3099159999999999</v>
      </c>
      <c r="T332" s="18">
        <v>9.8996399999999998</v>
      </c>
      <c r="U332" s="18">
        <v>4.9498199999999999</v>
      </c>
      <c r="V332" s="18">
        <v>63.357695999999997</v>
      </c>
      <c r="W332" s="18">
        <v>59.397839999999995</v>
      </c>
      <c r="X332" s="18">
        <v>39.598559999999999</v>
      </c>
      <c r="Y332" s="18">
        <v>1.7599359999999999</v>
      </c>
      <c r="Z332" s="18">
        <v>7.8097159999999999</v>
      </c>
      <c r="AA332" s="18">
        <v>11.439584</v>
      </c>
      <c r="AB332" s="18">
        <v>20.349260000000001</v>
      </c>
      <c r="AC332" s="18">
        <v>6.2697719999999997</v>
      </c>
      <c r="AD332" s="18">
        <v>32.998799999999996</v>
      </c>
    </row>
    <row r="333" spans="2:30" x14ac:dyDescent="0.25">
      <c r="B333" t="s">
        <v>339</v>
      </c>
      <c r="C333" t="s">
        <v>326</v>
      </c>
      <c r="D333" t="s">
        <v>349</v>
      </c>
      <c r="E333" s="35">
        <v>1.8</v>
      </c>
      <c r="F333" s="35">
        <v>62.46</v>
      </c>
      <c r="G333" s="36">
        <v>1.0946709999999999</v>
      </c>
      <c r="H333" s="18">
        <v>3940.8139900000001</v>
      </c>
      <c r="I333" s="16"/>
      <c r="J333" s="16"/>
      <c r="K333" s="16"/>
      <c r="L333" s="37" t="s">
        <v>107</v>
      </c>
      <c r="M333" s="37"/>
      <c r="N333" s="37">
        <v>334</v>
      </c>
      <c r="O333" s="37"/>
      <c r="P333" s="37"/>
      <c r="Q333" s="18">
        <v>12.041380999999999</v>
      </c>
      <c r="R333" s="18">
        <v>8.2100324999999988E-2</v>
      </c>
      <c r="S333" s="18">
        <v>22.988090999999997</v>
      </c>
      <c r="T333" s="18">
        <v>98.520389999999992</v>
      </c>
      <c r="U333" s="18">
        <v>49.260194999999996</v>
      </c>
      <c r="V333" s="18">
        <v>630.53049599999997</v>
      </c>
      <c r="W333" s="18">
        <v>591.12234000000001</v>
      </c>
      <c r="X333" s="18">
        <v>394.08155999999997</v>
      </c>
      <c r="Y333" s="18">
        <v>17.514735999999999</v>
      </c>
      <c r="Z333" s="18">
        <v>77.721640999999991</v>
      </c>
      <c r="AA333" s="18">
        <v>113.84578399999999</v>
      </c>
      <c r="AB333" s="18">
        <v>202.51413499999998</v>
      </c>
      <c r="AC333" s="18">
        <v>62.396246999999995</v>
      </c>
      <c r="AD333" s="18">
        <v>328.40129999999999</v>
      </c>
    </row>
    <row r="334" spans="2:30" x14ac:dyDescent="0.25">
      <c r="B334" t="s">
        <v>108</v>
      </c>
      <c r="C334" t="s">
        <v>326</v>
      </c>
      <c r="D334" t="s">
        <v>350</v>
      </c>
      <c r="E334" s="35">
        <v>0.9</v>
      </c>
      <c r="F334" s="35">
        <v>16</v>
      </c>
      <c r="G334" s="36">
        <v>3.1572000000000003E-2</v>
      </c>
      <c r="H334" s="18">
        <v>56.829219000000002</v>
      </c>
      <c r="I334" s="16">
        <v>0</v>
      </c>
      <c r="J334" s="16"/>
      <c r="K334" s="16"/>
      <c r="L334" s="37" t="s">
        <v>107</v>
      </c>
      <c r="M334" s="37"/>
      <c r="N334" s="37">
        <v>335</v>
      </c>
      <c r="O334" s="37"/>
      <c r="P334" s="37"/>
      <c r="Q334" s="18">
        <v>0.34729200000000005</v>
      </c>
      <c r="R334" s="18">
        <v>2.3679E-3</v>
      </c>
      <c r="S334" s="18">
        <v>0.66301200000000005</v>
      </c>
      <c r="T334" s="18">
        <v>2.8414800000000002</v>
      </c>
      <c r="U334" s="18">
        <v>1.4207400000000001</v>
      </c>
      <c r="V334" s="18">
        <v>18.185472000000001</v>
      </c>
      <c r="W334" s="18">
        <v>17.04888</v>
      </c>
      <c r="X334" s="18">
        <v>11.365920000000001</v>
      </c>
      <c r="Y334" s="18">
        <v>0.50515200000000005</v>
      </c>
      <c r="Z334" s="18">
        <v>2.2416120000000004</v>
      </c>
      <c r="AA334" s="18">
        <v>3.2834880000000002</v>
      </c>
      <c r="AB334" s="18">
        <v>5.8408200000000008</v>
      </c>
      <c r="AC334" s="18">
        <v>1.7996040000000002</v>
      </c>
      <c r="AD334" s="18">
        <v>9.4716000000000005</v>
      </c>
    </row>
    <row r="335" spans="2:30" x14ac:dyDescent="0.25">
      <c r="B335" t="s">
        <v>187</v>
      </c>
      <c r="C335" t="s">
        <v>326</v>
      </c>
      <c r="D335" t="s">
        <v>351</v>
      </c>
      <c r="E335" s="35">
        <v>0.9</v>
      </c>
      <c r="F335" s="35">
        <v>55</v>
      </c>
      <c r="G335" s="36">
        <v>1.007927</v>
      </c>
      <c r="H335" s="18">
        <v>1814.269397</v>
      </c>
      <c r="I335" s="16">
        <v>0</v>
      </c>
      <c r="J335" s="16">
        <v>66</v>
      </c>
      <c r="K335" s="16" t="s">
        <v>114</v>
      </c>
      <c r="L335" s="37" t="s">
        <v>107</v>
      </c>
      <c r="M335" s="37"/>
      <c r="N335" s="37">
        <v>336</v>
      </c>
      <c r="O335" s="37"/>
      <c r="P335" s="37"/>
      <c r="Q335" s="18">
        <v>11.087197</v>
      </c>
      <c r="R335" s="18">
        <v>7.5594524999999996E-2</v>
      </c>
      <c r="S335" s="18">
        <v>21.166467000000001</v>
      </c>
      <c r="T335" s="18">
        <v>90.713430000000002</v>
      </c>
      <c r="U335" s="18">
        <v>45.356715000000001</v>
      </c>
      <c r="V335" s="18">
        <v>580.56595200000004</v>
      </c>
      <c r="W335" s="18">
        <v>544.28057999999999</v>
      </c>
      <c r="X335" s="18">
        <v>362.85372000000001</v>
      </c>
      <c r="Y335" s="18">
        <v>16.126832</v>
      </c>
      <c r="Z335" s="18">
        <v>71.562816999999995</v>
      </c>
      <c r="AA335" s="18">
        <v>104.82440800000001</v>
      </c>
      <c r="AB335" s="18">
        <v>186.46649500000001</v>
      </c>
      <c r="AC335" s="18">
        <v>57.451839</v>
      </c>
      <c r="AD335" s="18">
        <v>302.37810000000002</v>
      </c>
    </row>
    <row r="336" spans="2:30" x14ac:dyDescent="0.25">
      <c r="B336" t="s">
        <v>158</v>
      </c>
      <c r="C336" t="s">
        <v>326</v>
      </c>
      <c r="D336" t="s">
        <v>352</v>
      </c>
      <c r="E336" s="35">
        <v>0.9</v>
      </c>
      <c r="F336" s="35">
        <v>18</v>
      </c>
      <c r="G336" s="36">
        <v>0.136795</v>
      </c>
      <c r="H336" s="18">
        <v>246.23103499999999</v>
      </c>
      <c r="I336" s="16">
        <v>0</v>
      </c>
      <c r="J336" s="16"/>
      <c r="K336" s="16"/>
      <c r="L336" s="37" t="s">
        <v>107</v>
      </c>
      <c r="M336" s="37"/>
      <c r="N336" s="37">
        <v>337</v>
      </c>
      <c r="O336" s="37"/>
      <c r="P336" s="37"/>
      <c r="Q336" s="18">
        <v>1.504745</v>
      </c>
      <c r="R336" s="18">
        <v>1.0259625E-2</v>
      </c>
      <c r="S336" s="18">
        <v>2.8726950000000002</v>
      </c>
      <c r="T336" s="18">
        <v>12.31155</v>
      </c>
      <c r="U336" s="18">
        <v>6.1557750000000002</v>
      </c>
      <c r="V336" s="18">
        <v>78.79392</v>
      </c>
      <c r="W336" s="18">
        <v>73.869299999999996</v>
      </c>
      <c r="X336" s="18">
        <v>49.246200000000002</v>
      </c>
      <c r="Y336" s="18">
        <v>2.18872</v>
      </c>
      <c r="Z336" s="18">
        <v>9.7124450000000007</v>
      </c>
      <c r="AA336" s="18">
        <v>14.22668</v>
      </c>
      <c r="AB336" s="18">
        <v>25.307075000000001</v>
      </c>
      <c r="AC336" s="18">
        <v>7.7973150000000002</v>
      </c>
      <c r="AD336" s="18">
        <v>41.038499999999999</v>
      </c>
    </row>
    <row r="337" spans="2:30" x14ac:dyDescent="0.25">
      <c r="B337" t="s">
        <v>110</v>
      </c>
      <c r="C337" t="s">
        <v>326</v>
      </c>
      <c r="D337" t="s">
        <v>257</v>
      </c>
      <c r="E337" s="35">
        <v>0.9</v>
      </c>
      <c r="F337" s="35">
        <v>22</v>
      </c>
      <c r="G337" s="36">
        <v>0.33292100000000002</v>
      </c>
      <c r="H337" s="18">
        <v>599.25690399999996</v>
      </c>
      <c r="I337" s="16">
        <v>0</v>
      </c>
      <c r="J337" s="16"/>
      <c r="K337" s="16"/>
      <c r="L337" s="37" t="s">
        <v>107</v>
      </c>
      <c r="M337" s="37"/>
      <c r="N337" s="37">
        <v>338</v>
      </c>
      <c r="O337" s="37"/>
      <c r="P337" s="37"/>
      <c r="Q337" s="18">
        <v>3.6621310000000005</v>
      </c>
      <c r="R337" s="18">
        <v>2.4969075E-2</v>
      </c>
      <c r="S337" s="18">
        <v>6.9913410000000002</v>
      </c>
      <c r="T337" s="18">
        <v>29.962890000000002</v>
      </c>
      <c r="U337" s="18">
        <v>14.981445000000001</v>
      </c>
      <c r="V337" s="18">
        <v>191.762496</v>
      </c>
      <c r="W337" s="18">
        <v>179.77734000000001</v>
      </c>
      <c r="X337" s="18">
        <v>119.85156000000001</v>
      </c>
      <c r="Y337" s="18">
        <v>5.3267360000000004</v>
      </c>
      <c r="Z337" s="18">
        <v>23.637391000000001</v>
      </c>
      <c r="AA337" s="18">
        <v>34.623784000000001</v>
      </c>
      <c r="AB337" s="18">
        <v>61.590385000000005</v>
      </c>
      <c r="AC337" s="18">
        <v>18.976497000000002</v>
      </c>
      <c r="AD337" s="18">
        <v>99.876300000000001</v>
      </c>
    </row>
    <row r="338" spans="2:30" x14ac:dyDescent="0.25">
      <c r="B338" t="s">
        <v>353</v>
      </c>
      <c r="C338" t="s">
        <v>326</v>
      </c>
      <c r="D338" t="s">
        <v>354</v>
      </c>
      <c r="E338" s="35">
        <v>0.9</v>
      </c>
      <c r="F338" s="35">
        <v>62</v>
      </c>
      <c r="G338" s="36">
        <v>0.912192</v>
      </c>
      <c r="H338" s="18">
        <v>1641.9448190000001</v>
      </c>
      <c r="I338" s="16">
        <v>0</v>
      </c>
      <c r="J338" s="16">
        <v>50</v>
      </c>
      <c r="K338" s="16"/>
      <c r="L338" s="37" t="s">
        <v>107</v>
      </c>
      <c r="M338" s="37"/>
      <c r="N338" s="37">
        <v>339</v>
      </c>
      <c r="O338" s="37"/>
      <c r="P338" s="37"/>
      <c r="Q338" s="18">
        <v>10.034112</v>
      </c>
      <c r="R338" s="18">
        <v>6.84144E-2</v>
      </c>
      <c r="S338" s="18">
        <v>19.156032</v>
      </c>
      <c r="T338" s="18">
        <v>82.097279999999998</v>
      </c>
      <c r="U338" s="18">
        <v>41.048639999999999</v>
      </c>
      <c r="V338" s="18">
        <v>525.42259200000001</v>
      </c>
      <c r="W338" s="18">
        <v>492.58368000000002</v>
      </c>
      <c r="X338" s="18">
        <v>328.38911999999999</v>
      </c>
      <c r="Y338" s="18">
        <v>14.595072</v>
      </c>
      <c r="Z338" s="18">
        <v>64.765631999999997</v>
      </c>
      <c r="AA338" s="18">
        <v>94.867968000000005</v>
      </c>
      <c r="AB338" s="18">
        <v>168.75551999999999</v>
      </c>
      <c r="AC338" s="18">
        <v>51.994943999999997</v>
      </c>
      <c r="AD338" s="18">
        <v>273.6576</v>
      </c>
    </row>
    <row r="339" spans="2:30" x14ac:dyDescent="0.25">
      <c r="B339" t="s">
        <v>355</v>
      </c>
      <c r="C339" t="s">
        <v>326</v>
      </c>
      <c r="D339" t="s">
        <v>232</v>
      </c>
      <c r="E339" s="35">
        <v>0.9</v>
      </c>
      <c r="F339" s="35">
        <v>62</v>
      </c>
      <c r="G339" s="36">
        <v>0.92246099999999998</v>
      </c>
      <c r="H339" s="18">
        <v>1660.4302789999999</v>
      </c>
      <c r="I339" s="16">
        <v>0</v>
      </c>
      <c r="J339" s="16">
        <v>66</v>
      </c>
      <c r="K339" s="16"/>
      <c r="L339" s="37" t="s">
        <v>107</v>
      </c>
      <c r="M339" s="37"/>
      <c r="N339" s="37">
        <v>340</v>
      </c>
      <c r="O339" s="37"/>
      <c r="P339" s="37"/>
      <c r="Q339" s="18">
        <v>10.147071</v>
      </c>
      <c r="R339" s="18">
        <v>6.9184574999999998E-2</v>
      </c>
      <c r="S339" s="18">
        <v>19.371680999999999</v>
      </c>
      <c r="T339" s="18">
        <v>83.02149</v>
      </c>
      <c r="U339" s="18">
        <v>41.510745</v>
      </c>
      <c r="V339" s="18">
        <v>531.337536</v>
      </c>
      <c r="W339" s="18">
        <v>498.12894</v>
      </c>
      <c r="X339" s="18">
        <v>332.08596</v>
      </c>
      <c r="Y339" s="18">
        <v>14.759376</v>
      </c>
      <c r="Z339" s="18">
        <v>65.494731000000002</v>
      </c>
      <c r="AA339" s="18">
        <v>95.935943999999992</v>
      </c>
      <c r="AB339" s="18">
        <v>170.65528499999999</v>
      </c>
      <c r="AC339" s="18">
        <v>52.580276999999995</v>
      </c>
      <c r="AD339" s="18">
        <v>276.73829999999998</v>
      </c>
    </row>
    <row r="340" spans="2:30" x14ac:dyDescent="0.25">
      <c r="B340" t="s">
        <v>206</v>
      </c>
      <c r="C340" t="s">
        <v>326</v>
      </c>
      <c r="D340" t="s">
        <v>356</v>
      </c>
      <c r="E340" s="35">
        <v>1.8</v>
      </c>
      <c r="F340" s="35">
        <v>58.1</v>
      </c>
      <c r="G340" s="36">
        <v>0.43650899999999998</v>
      </c>
      <c r="H340" s="18">
        <v>1571.4316650000001</v>
      </c>
      <c r="I340" s="16"/>
      <c r="J340" s="16"/>
      <c r="K340" s="16"/>
      <c r="L340" s="37" t="s">
        <v>107</v>
      </c>
      <c r="M340" s="37"/>
      <c r="N340" s="37">
        <v>341</v>
      </c>
      <c r="O340" s="37"/>
      <c r="P340" s="37"/>
      <c r="Q340" s="18">
        <v>4.8015989999999995</v>
      </c>
      <c r="R340" s="18">
        <v>3.2738174999999994E-2</v>
      </c>
      <c r="S340" s="18">
        <v>9.1666889999999999</v>
      </c>
      <c r="T340" s="18">
        <v>39.285809999999998</v>
      </c>
      <c r="U340" s="18">
        <v>19.642904999999999</v>
      </c>
      <c r="V340" s="18">
        <v>251.42918399999999</v>
      </c>
      <c r="W340" s="18">
        <v>235.71485999999999</v>
      </c>
      <c r="X340" s="18">
        <v>157.14323999999999</v>
      </c>
      <c r="Y340" s="18">
        <v>6.9841439999999997</v>
      </c>
      <c r="Z340" s="18">
        <v>30.992138999999998</v>
      </c>
      <c r="AA340" s="18">
        <v>45.396935999999997</v>
      </c>
      <c r="AB340" s="18">
        <v>80.754165</v>
      </c>
      <c r="AC340" s="18">
        <v>24.881012999999999</v>
      </c>
      <c r="AD340" s="18">
        <v>130.95269999999999</v>
      </c>
    </row>
    <row r="341" spans="2:30" x14ac:dyDescent="0.25">
      <c r="B341" t="s">
        <v>158</v>
      </c>
      <c r="C341" t="s">
        <v>326</v>
      </c>
      <c r="D341" t="s">
        <v>357</v>
      </c>
      <c r="E341" s="35">
        <v>0.9</v>
      </c>
      <c r="F341" s="35">
        <v>18</v>
      </c>
      <c r="G341" s="36">
        <v>0.130435</v>
      </c>
      <c r="H341" s="18">
        <v>234.783501</v>
      </c>
      <c r="I341" s="16">
        <v>0</v>
      </c>
      <c r="J341" s="16"/>
      <c r="K341" s="16"/>
      <c r="L341" s="37" t="s">
        <v>107</v>
      </c>
      <c r="M341" s="37"/>
      <c r="N341" s="37">
        <v>342</v>
      </c>
      <c r="O341" s="37"/>
      <c r="P341" s="37"/>
      <c r="Q341" s="18">
        <v>1.434785</v>
      </c>
      <c r="R341" s="18">
        <v>9.7826249999999997E-3</v>
      </c>
      <c r="S341" s="18">
        <v>2.7391350000000001</v>
      </c>
      <c r="T341" s="18">
        <v>11.73915</v>
      </c>
      <c r="U341" s="18">
        <v>5.8695750000000002</v>
      </c>
      <c r="V341" s="18">
        <v>75.130560000000003</v>
      </c>
      <c r="W341" s="18">
        <v>70.434899999999999</v>
      </c>
      <c r="X341" s="18">
        <v>46.956600000000002</v>
      </c>
      <c r="Y341" s="18">
        <v>2.0869599999999999</v>
      </c>
      <c r="Z341" s="18">
        <v>9.260885</v>
      </c>
      <c r="AA341" s="18">
        <v>13.565239999999999</v>
      </c>
      <c r="AB341" s="18">
        <v>24.130475000000001</v>
      </c>
      <c r="AC341" s="18">
        <v>7.4347949999999994</v>
      </c>
      <c r="AD341" s="18">
        <v>39.130499999999998</v>
      </c>
    </row>
    <row r="342" spans="2:30" x14ac:dyDescent="0.25">
      <c r="B342" t="s">
        <v>108</v>
      </c>
      <c r="C342" t="s">
        <v>326</v>
      </c>
      <c r="D342" t="s">
        <v>350</v>
      </c>
      <c r="E342" s="35">
        <v>0.9</v>
      </c>
      <c r="F342" s="35">
        <v>16</v>
      </c>
      <c r="G342" s="36">
        <v>3.1572000000000003E-2</v>
      </c>
      <c r="H342" s="18">
        <v>56.829219000000002</v>
      </c>
      <c r="I342" s="16">
        <v>0</v>
      </c>
      <c r="J342" s="16"/>
      <c r="K342" s="16"/>
      <c r="L342" s="37" t="s">
        <v>107</v>
      </c>
      <c r="M342" s="37"/>
      <c r="N342" s="37">
        <v>343</v>
      </c>
      <c r="O342" s="37"/>
      <c r="P342" s="37"/>
      <c r="Q342" s="18">
        <v>0.34729200000000005</v>
      </c>
      <c r="R342" s="18">
        <v>2.3679E-3</v>
      </c>
      <c r="S342" s="18">
        <v>0.66301200000000005</v>
      </c>
      <c r="T342" s="18">
        <v>2.8414800000000002</v>
      </c>
      <c r="U342" s="18">
        <v>1.4207400000000001</v>
      </c>
      <c r="V342" s="18">
        <v>18.185472000000001</v>
      </c>
      <c r="W342" s="18">
        <v>17.04888</v>
      </c>
      <c r="X342" s="18">
        <v>11.365920000000001</v>
      </c>
      <c r="Y342" s="18">
        <v>0.50515200000000005</v>
      </c>
      <c r="Z342" s="18">
        <v>2.2416120000000004</v>
      </c>
      <c r="AA342" s="18">
        <v>3.2834880000000002</v>
      </c>
      <c r="AB342" s="18">
        <v>5.8408200000000008</v>
      </c>
      <c r="AC342" s="18">
        <v>1.7996040000000002</v>
      </c>
      <c r="AD342" s="18">
        <v>9.4716000000000005</v>
      </c>
    </row>
    <row r="343" spans="2:30" x14ac:dyDescent="0.25">
      <c r="B343" t="s">
        <v>187</v>
      </c>
      <c r="C343" t="s">
        <v>326</v>
      </c>
      <c r="D343" t="s">
        <v>358</v>
      </c>
      <c r="E343" s="35">
        <v>0.9</v>
      </c>
      <c r="F343" s="35">
        <v>55</v>
      </c>
      <c r="G343" s="36">
        <v>1.050826</v>
      </c>
      <c r="H343" s="18">
        <v>1891.486255</v>
      </c>
      <c r="I343" s="16">
        <v>0</v>
      </c>
      <c r="J343" s="16">
        <v>64</v>
      </c>
      <c r="K343" s="16" t="s">
        <v>114</v>
      </c>
      <c r="L343" s="37" t="s">
        <v>107</v>
      </c>
      <c r="M343" s="37"/>
      <c r="N343" s="37">
        <v>344</v>
      </c>
      <c r="O343" s="37"/>
      <c r="P343" s="37"/>
      <c r="Q343" s="18">
        <v>11.559086000000001</v>
      </c>
      <c r="R343" s="18">
        <v>7.8811950000000006E-2</v>
      </c>
      <c r="S343" s="18">
        <v>22.067346000000001</v>
      </c>
      <c r="T343" s="18">
        <v>94.574340000000007</v>
      </c>
      <c r="U343" s="18">
        <v>47.287170000000003</v>
      </c>
      <c r="V343" s="18">
        <v>605.27577600000006</v>
      </c>
      <c r="W343" s="18">
        <v>567.44604000000004</v>
      </c>
      <c r="X343" s="18">
        <v>378.29736000000003</v>
      </c>
      <c r="Y343" s="18">
        <v>16.813216000000001</v>
      </c>
      <c r="Z343" s="18">
        <v>74.608646000000007</v>
      </c>
      <c r="AA343" s="18">
        <v>109.285904</v>
      </c>
      <c r="AB343" s="18">
        <v>194.40281000000002</v>
      </c>
      <c r="AC343" s="18">
        <v>59.897082000000005</v>
      </c>
      <c r="AD343" s="18">
        <v>315.24779999999998</v>
      </c>
    </row>
    <row r="344" spans="2:30" x14ac:dyDescent="0.25">
      <c r="B344" t="s">
        <v>124</v>
      </c>
      <c r="C344" t="s">
        <v>326</v>
      </c>
      <c r="D344" t="s">
        <v>359</v>
      </c>
      <c r="E344" s="35">
        <v>0.9</v>
      </c>
      <c r="F344" s="35">
        <v>35</v>
      </c>
      <c r="G344" s="36">
        <v>0.33738699999999999</v>
      </c>
      <c r="H344" s="18">
        <v>607.29733899999997</v>
      </c>
      <c r="I344" s="16">
        <v>0</v>
      </c>
      <c r="J344" s="16"/>
      <c r="K344" s="16"/>
      <c r="L344" s="37" t="s">
        <v>107</v>
      </c>
      <c r="M344" s="37"/>
      <c r="N344" s="37">
        <v>345</v>
      </c>
      <c r="O344" s="37"/>
      <c r="P344" s="37"/>
      <c r="Q344" s="18">
        <v>3.7112569999999998</v>
      </c>
      <c r="R344" s="18">
        <v>2.5304024999999997E-2</v>
      </c>
      <c r="S344" s="18">
        <v>7.085127</v>
      </c>
      <c r="T344" s="18">
        <v>30.364829999999998</v>
      </c>
      <c r="U344" s="18">
        <v>15.182414999999999</v>
      </c>
      <c r="V344" s="18">
        <v>194.334912</v>
      </c>
      <c r="W344" s="18">
        <v>182.18897999999999</v>
      </c>
      <c r="X344" s="18">
        <v>121.45931999999999</v>
      </c>
      <c r="Y344" s="18">
        <v>5.3981919999999999</v>
      </c>
      <c r="Z344" s="18">
        <v>23.954477000000001</v>
      </c>
      <c r="AA344" s="18">
        <v>35.088248</v>
      </c>
      <c r="AB344" s="18">
        <v>62.416595000000001</v>
      </c>
      <c r="AC344" s="18">
        <v>19.231058999999998</v>
      </c>
      <c r="AD344" s="18">
        <v>101.2161</v>
      </c>
    </row>
    <row r="345" spans="2:30" x14ac:dyDescent="0.25">
      <c r="B345" t="s">
        <v>158</v>
      </c>
      <c r="C345" t="s">
        <v>326</v>
      </c>
      <c r="D345" t="s">
        <v>360</v>
      </c>
      <c r="E345" s="35">
        <v>0.9</v>
      </c>
      <c r="F345" s="35">
        <v>18</v>
      </c>
      <c r="G345" s="36">
        <v>0.121076</v>
      </c>
      <c r="H345" s="18">
        <v>217.93618699999999</v>
      </c>
      <c r="I345" s="16">
        <v>0</v>
      </c>
      <c r="J345" s="16"/>
      <c r="K345" s="16"/>
      <c r="L345" s="37" t="s">
        <v>107</v>
      </c>
      <c r="M345" s="37"/>
      <c r="N345" s="37">
        <v>346</v>
      </c>
      <c r="O345" s="37"/>
      <c r="P345" s="37"/>
      <c r="Q345" s="18">
        <v>1.331836</v>
      </c>
      <c r="R345" s="18">
        <v>9.0807000000000006E-3</v>
      </c>
      <c r="S345" s="18">
        <v>2.5425960000000001</v>
      </c>
      <c r="T345" s="18">
        <v>10.896840000000001</v>
      </c>
      <c r="U345" s="18">
        <v>5.4484200000000005</v>
      </c>
      <c r="V345" s="18">
        <v>69.739776000000006</v>
      </c>
      <c r="W345" s="18">
        <v>65.381039999999999</v>
      </c>
      <c r="X345" s="18">
        <v>43.587360000000004</v>
      </c>
      <c r="Y345" s="18">
        <v>1.937216</v>
      </c>
      <c r="Z345" s="18">
        <v>8.5963960000000004</v>
      </c>
      <c r="AA345" s="18">
        <v>12.591904</v>
      </c>
      <c r="AB345" s="18">
        <v>22.399060000000002</v>
      </c>
      <c r="AC345" s="18">
        <v>6.901332</v>
      </c>
      <c r="AD345" s="18">
        <v>36.322800000000001</v>
      </c>
    </row>
    <row r="346" spans="2:30" x14ac:dyDescent="0.25">
      <c r="B346" t="s">
        <v>158</v>
      </c>
      <c r="C346" t="s">
        <v>326</v>
      </c>
      <c r="D346" t="s">
        <v>361</v>
      </c>
      <c r="E346" s="35">
        <v>0.9</v>
      </c>
      <c r="F346" s="35">
        <v>18</v>
      </c>
      <c r="G346" s="36">
        <v>0.105116</v>
      </c>
      <c r="H346" s="18">
        <v>189.20935499999999</v>
      </c>
      <c r="I346" s="16">
        <v>0</v>
      </c>
      <c r="J346" s="16"/>
      <c r="K346" s="16"/>
      <c r="L346" s="37" t="s">
        <v>107</v>
      </c>
      <c r="M346" s="37"/>
      <c r="N346" s="37">
        <v>347</v>
      </c>
      <c r="O346" s="37"/>
      <c r="P346" s="37"/>
      <c r="Q346" s="18">
        <v>1.1562760000000001</v>
      </c>
      <c r="R346" s="18">
        <v>7.8837000000000004E-3</v>
      </c>
      <c r="S346" s="18">
        <v>2.207436</v>
      </c>
      <c r="T346" s="18">
        <v>9.4604400000000002</v>
      </c>
      <c r="U346" s="18">
        <v>4.7302200000000001</v>
      </c>
      <c r="V346" s="18">
        <v>60.546816</v>
      </c>
      <c r="W346" s="18">
        <v>56.762639999999998</v>
      </c>
      <c r="X346" s="18">
        <v>37.841760000000001</v>
      </c>
      <c r="Y346" s="18">
        <v>1.681856</v>
      </c>
      <c r="Z346" s="18">
        <v>7.4632360000000002</v>
      </c>
      <c r="AA346" s="18">
        <v>10.932064</v>
      </c>
      <c r="AB346" s="18">
        <v>19.446460000000002</v>
      </c>
      <c r="AC346" s="18">
        <v>5.9916119999999999</v>
      </c>
      <c r="AD346" s="18">
        <v>31.534800000000001</v>
      </c>
    </row>
    <row r="347" spans="2:30" x14ac:dyDescent="0.25">
      <c r="B347" t="s">
        <v>104</v>
      </c>
      <c r="C347" t="s">
        <v>326</v>
      </c>
      <c r="D347" t="s">
        <v>362</v>
      </c>
      <c r="E347" s="35">
        <v>0.9</v>
      </c>
      <c r="F347" s="35">
        <v>68</v>
      </c>
      <c r="G347" s="36">
        <v>1.4719150000000001</v>
      </c>
      <c r="H347" s="18">
        <v>2649.447314</v>
      </c>
      <c r="I347" s="16">
        <v>2</v>
      </c>
      <c r="J347" s="16">
        <v>94</v>
      </c>
      <c r="K347" s="16"/>
      <c r="L347" s="37" t="s">
        <v>107</v>
      </c>
      <c r="M347" s="37"/>
      <c r="N347" s="37">
        <v>348</v>
      </c>
      <c r="O347" s="37"/>
      <c r="P347" s="37"/>
      <c r="Q347" s="18">
        <v>16.191065000000002</v>
      </c>
      <c r="R347" s="18">
        <v>0.11039362500000001</v>
      </c>
      <c r="S347" s="18">
        <v>30.910215000000001</v>
      </c>
      <c r="T347" s="18">
        <v>132.47235000000001</v>
      </c>
      <c r="U347" s="18">
        <v>66.236175000000003</v>
      </c>
      <c r="V347" s="18">
        <v>847.82303999999999</v>
      </c>
      <c r="W347" s="18">
        <v>794.83410000000003</v>
      </c>
      <c r="X347" s="18">
        <v>529.88940000000002</v>
      </c>
      <c r="Y347" s="18">
        <v>23.550640000000001</v>
      </c>
      <c r="Z347" s="18">
        <v>104.505965</v>
      </c>
      <c r="AA347" s="18">
        <v>153.07916</v>
      </c>
      <c r="AB347" s="18">
        <v>272.30427500000002</v>
      </c>
      <c r="AC347" s="18">
        <v>83.899155000000007</v>
      </c>
      <c r="AD347" s="18">
        <v>441.5745</v>
      </c>
    </row>
    <row r="348" spans="2:30" x14ac:dyDescent="0.25">
      <c r="B348" t="s">
        <v>363</v>
      </c>
      <c r="C348" t="s">
        <v>326</v>
      </c>
      <c r="D348" t="s">
        <v>364</v>
      </c>
      <c r="E348" s="35">
        <v>0.9</v>
      </c>
      <c r="F348" s="35">
        <v>9.1</v>
      </c>
      <c r="G348" s="36">
        <v>0.116476</v>
      </c>
      <c r="H348" s="18">
        <v>209.656002</v>
      </c>
      <c r="I348" s="16"/>
      <c r="J348" s="16"/>
      <c r="K348" s="16"/>
      <c r="L348" s="37" t="s">
        <v>107</v>
      </c>
      <c r="M348" s="37"/>
      <c r="N348" s="37">
        <v>349</v>
      </c>
      <c r="O348" s="37"/>
      <c r="P348" s="37"/>
      <c r="Q348" s="18">
        <v>1.281236</v>
      </c>
      <c r="R348" s="18">
        <v>8.735699999999999E-3</v>
      </c>
      <c r="S348" s="18">
        <v>2.4459960000000001</v>
      </c>
      <c r="T348" s="18">
        <v>10.482839999999999</v>
      </c>
      <c r="U348" s="18">
        <v>5.2414199999999997</v>
      </c>
      <c r="V348" s="18">
        <v>67.090176</v>
      </c>
      <c r="W348" s="18">
        <v>62.897039999999997</v>
      </c>
      <c r="X348" s="18">
        <v>41.931359999999998</v>
      </c>
      <c r="Y348" s="18">
        <v>1.8636159999999999</v>
      </c>
      <c r="Z348" s="18">
        <v>8.2697959999999995</v>
      </c>
      <c r="AA348" s="18">
        <v>12.113503999999999</v>
      </c>
      <c r="AB348" s="18">
        <v>21.54806</v>
      </c>
      <c r="AC348" s="18">
        <v>6.639132</v>
      </c>
      <c r="AD348" s="18">
        <v>34.942799999999998</v>
      </c>
    </row>
    <row r="349" spans="2:30" x14ac:dyDescent="0.25">
      <c r="B349" t="s">
        <v>365</v>
      </c>
      <c r="C349" t="s">
        <v>326</v>
      </c>
      <c r="D349" t="s">
        <v>366</v>
      </c>
      <c r="E349" s="35">
        <v>1.8</v>
      </c>
      <c r="F349" s="35">
        <v>27.48</v>
      </c>
      <c r="G349" s="36">
        <v>0.39990999999999999</v>
      </c>
      <c r="H349" s="18">
        <v>1439.6767970000001</v>
      </c>
      <c r="I349" s="16"/>
      <c r="J349" s="16"/>
      <c r="K349" s="16"/>
      <c r="L349" s="37" t="s">
        <v>107</v>
      </c>
      <c r="M349" s="37"/>
      <c r="N349" s="37">
        <v>350</v>
      </c>
      <c r="O349" s="37"/>
      <c r="P349" s="37"/>
      <c r="Q349" s="18">
        <v>4.3990099999999996</v>
      </c>
      <c r="R349" s="18">
        <v>2.9993249999999999E-2</v>
      </c>
      <c r="S349" s="18">
        <v>8.3981099999999991</v>
      </c>
      <c r="T349" s="18">
        <v>35.991900000000001</v>
      </c>
      <c r="U349" s="18">
        <v>17.995950000000001</v>
      </c>
      <c r="V349" s="18">
        <v>230.34816000000001</v>
      </c>
      <c r="W349" s="18">
        <v>215.95140000000001</v>
      </c>
      <c r="X349" s="18">
        <v>143.9676</v>
      </c>
      <c r="Y349" s="18">
        <v>6.3985599999999998</v>
      </c>
      <c r="Z349" s="18">
        <v>28.393609999999999</v>
      </c>
      <c r="AA349" s="18">
        <v>41.59064</v>
      </c>
      <c r="AB349" s="18">
        <v>73.983350000000002</v>
      </c>
      <c r="AC349" s="18">
        <v>22.79487</v>
      </c>
      <c r="AD349" s="18">
        <v>119.973</v>
      </c>
    </row>
    <row r="350" spans="2:30" x14ac:dyDescent="0.25">
      <c r="B350" t="s">
        <v>367</v>
      </c>
      <c r="C350" t="s">
        <v>326</v>
      </c>
      <c r="D350" t="s">
        <v>366</v>
      </c>
      <c r="E350" s="35">
        <v>1.8</v>
      </c>
      <c r="F350" s="35">
        <v>55.66</v>
      </c>
      <c r="G350" s="36">
        <v>0.81000700000000003</v>
      </c>
      <c r="H350" s="18">
        <v>2916.0265850000001</v>
      </c>
      <c r="I350" s="16"/>
      <c r="J350" s="16"/>
      <c r="K350" s="16"/>
      <c r="L350" s="37" t="s">
        <v>107</v>
      </c>
      <c r="M350" s="37"/>
      <c r="N350" s="37">
        <v>351</v>
      </c>
      <c r="O350" s="37"/>
      <c r="P350" s="37"/>
      <c r="Q350" s="18">
        <v>8.9100770000000011</v>
      </c>
      <c r="R350" s="18">
        <v>6.0750525E-2</v>
      </c>
      <c r="S350" s="18">
        <v>17.010147</v>
      </c>
      <c r="T350" s="18">
        <v>72.900630000000007</v>
      </c>
      <c r="U350" s="18">
        <v>36.450315000000003</v>
      </c>
      <c r="V350" s="18">
        <v>466.564032</v>
      </c>
      <c r="W350" s="18">
        <v>437.40378000000004</v>
      </c>
      <c r="X350" s="18">
        <v>291.60252000000003</v>
      </c>
      <c r="Y350" s="18">
        <v>12.960112000000001</v>
      </c>
      <c r="Z350" s="18">
        <v>57.510497000000001</v>
      </c>
      <c r="AA350" s="18">
        <v>84.240728000000004</v>
      </c>
      <c r="AB350" s="18">
        <v>149.85129499999999</v>
      </c>
      <c r="AC350" s="18">
        <v>46.170399000000003</v>
      </c>
      <c r="AD350" s="18">
        <v>243.00210000000001</v>
      </c>
    </row>
    <row r="351" spans="2:30" x14ac:dyDescent="0.25">
      <c r="B351" t="s">
        <v>112</v>
      </c>
      <c r="C351" t="s">
        <v>326</v>
      </c>
      <c r="D351" t="s">
        <v>368</v>
      </c>
      <c r="E351" s="35">
        <v>0.9</v>
      </c>
      <c r="F351" s="35">
        <v>60</v>
      </c>
      <c r="G351" s="36">
        <v>1.192753</v>
      </c>
      <c r="H351" s="18">
        <v>2146.9561520000002</v>
      </c>
      <c r="I351" s="16">
        <v>0</v>
      </c>
      <c r="J351" s="16">
        <v>68</v>
      </c>
      <c r="K351" s="16" t="s">
        <v>114</v>
      </c>
      <c r="L351" s="37" t="s">
        <v>107</v>
      </c>
      <c r="M351" s="37"/>
      <c r="N351" s="37">
        <v>352</v>
      </c>
      <c r="O351" s="37"/>
      <c r="P351" s="37"/>
      <c r="Q351" s="18">
        <v>13.120282999999999</v>
      </c>
      <c r="R351" s="18">
        <v>8.9456474999999994E-2</v>
      </c>
      <c r="S351" s="18">
        <v>25.047812999999998</v>
      </c>
      <c r="T351" s="18">
        <v>107.34777</v>
      </c>
      <c r="U351" s="18">
        <v>53.673884999999999</v>
      </c>
      <c r="V351" s="18">
        <v>687.02572799999996</v>
      </c>
      <c r="W351" s="18">
        <v>644.08661999999993</v>
      </c>
      <c r="X351" s="18">
        <v>429.39107999999999</v>
      </c>
      <c r="Y351" s="18">
        <v>19.084047999999999</v>
      </c>
      <c r="Z351" s="18">
        <v>84.685462999999999</v>
      </c>
      <c r="AA351" s="18">
        <v>124.046312</v>
      </c>
      <c r="AB351" s="18">
        <v>220.65930499999999</v>
      </c>
      <c r="AC351" s="18">
        <v>67.986920999999995</v>
      </c>
      <c r="AD351" s="18">
        <v>357.82589999999999</v>
      </c>
    </row>
    <row r="352" spans="2:30" x14ac:dyDescent="0.25">
      <c r="B352" t="s">
        <v>108</v>
      </c>
      <c r="C352" t="s">
        <v>326</v>
      </c>
      <c r="D352" t="s">
        <v>350</v>
      </c>
      <c r="E352" s="35">
        <v>0.9</v>
      </c>
      <c r="F352" s="35">
        <v>16</v>
      </c>
      <c r="G352" s="36">
        <v>3.1572000000000003E-2</v>
      </c>
      <c r="H352" s="18">
        <v>56.829219000000002</v>
      </c>
      <c r="I352" s="16">
        <v>0</v>
      </c>
      <c r="J352" s="16"/>
      <c r="K352" s="16"/>
      <c r="L352" s="37" t="s">
        <v>107</v>
      </c>
      <c r="M352" s="37"/>
      <c r="N352" s="37">
        <v>353</v>
      </c>
      <c r="O352" s="37"/>
      <c r="P352" s="37"/>
      <c r="Q352" s="18">
        <v>0.34729200000000005</v>
      </c>
      <c r="R352" s="18">
        <v>2.3679E-3</v>
      </c>
      <c r="S352" s="18">
        <v>0.66301200000000005</v>
      </c>
      <c r="T352" s="18">
        <v>2.8414800000000002</v>
      </c>
      <c r="U352" s="18">
        <v>1.4207400000000001</v>
      </c>
      <c r="V352" s="18">
        <v>18.185472000000001</v>
      </c>
      <c r="W352" s="18">
        <v>17.04888</v>
      </c>
      <c r="X352" s="18">
        <v>11.365920000000001</v>
      </c>
      <c r="Y352" s="18">
        <v>0.50515200000000005</v>
      </c>
      <c r="Z352" s="18">
        <v>2.2416120000000004</v>
      </c>
      <c r="AA352" s="18">
        <v>3.2834880000000002</v>
      </c>
      <c r="AB352" s="18">
        <v>5.8408200000000008</v>
      </c>
      <c r="AC352" s="18">
        <v>1.7996040000000002</v>
      </c>
      <c r="AD352" s="18">
        <v>9.4716000000000005</v>
      </c>
    </row>
    <row r="353" spans="2:30" x14ac:dyDescent="0.25">
      <c r="B353" t="s">
        <v>108</v>
      </c>
      <c r="C353" t="s">
        <v>326</v>
      </c>
      <c r="D353" t="s">
        <v>369</v>
      </c>
      <c r="E353" s="35">
        <v>0.9</v>
      </c>
      <c r="F353" s="35">
        <v>16</v>
      </c>
      <c r="G353" s="36">
        <v>9.9409999999999998E-2</v>
      </c>
      <c r="H353" s="18">
        <v>178.937656</v>
      </c>
      <c r="I353" s="16">
        <v>0</v>
      </c>
      <c r="J353" s="16"/>
      <c r="K353" s="16"/>
      <c r="L353" s="37" t="s">
        <v>107</v>
      </c>
      <c r="M353" s="37"/>
      <c r="N353" s="37">
        <v>354</v>
      </c>
      <c r="O353" s="37"/>
      <c r="P353" s="37"/>
      <c r="Q353" s="18">
        <v>1.09351</v>
      </c>
      <c r="R353" s="18">
        <v>7.4557499999999997E-3</v>
      </c>
      <c r="S353" s="18">
        <v>2.0876099999999997</v>
      </c>
      <c r="T353" s="18">
        <v>8.9468999999999994</v>
      </c>
      <c r="U353" s="18">
        <v>4.4734499999999997</v>
      </c>
      <c r="V353" s="18">
        <v>57.260159999999999</v>
      </c>
      <c r="W353" s="18">
        <v>53.681399999999996</v>
      </c>
      <c r="X353" s="18">
        <v>35.787599999999998</v>
      </c>
      <c r="Y353" s="18">
        <v>1.59056</v>
      </c>
      <c r="Z353" s="18">
        <v>7.0581100000000001</v>
      </c>
      <c r="AA353" s="18">
        <v>10.33864</v>
      </c>
      <c r="AB353" s="18">
        <v>18.39085</v>
      </c>
      <c r="AC353" s="18">
        <v>5.6663699999999997</v>
      </c>
      <c r="AD353" s="18">
        <v>29.823</v>
      </c>
    </row>
    <row r="354" spans="2:30" x14ac:dyDescent="0.25">
      <c r="B354" t="s">
        <v>110</v>
      </c>
      <c r="C354" t="s">
        <v>326</v>
      </c>
      <c r="D354" t="s">
        <v>370</v>
      </c>
      <c r="E354" s="35">
        <v>0.9</v>
      </c>
      <c r="F354" s="35">
        <v>22</v>
      </c>
      <c r="G354" s="36">
        <v>0.32925399999999999</v>
      </c>
      <c r="H354" s="18">
        <v>592.65717299999994</v>
      </c>
      <c r="I354" s="16">
        <v>0</v>
      </c>
      <c r="J354" s="16"/>
      <c r="K354" s="16"/>
      <c r="L354" s="37" t="s">
        <v>107</v>
      </c>
      <c r="M354" s="37"/>
      <c r="N354" s="37">
        <v>355</v>
      </c>
      <c r="O354" s="37"/>
      <c r="P354" s="37"/>
      <c r="Q354" s="18">
        <v>3.621794</v>
      </c>
      <c r="R354" s="18">
        <v>2.4694049999999999E-2</v>
      </c>
      <c r="S354" s="18">
        <v>6.9143340000000002</v>
      </c>
      <c r="T354" s="18">
        <v>29.632860000000001</v>
      </c>
      <c r="U354" s="18">
        <v>14.81643</v>
      </c>
      <c r="V354" s="18">
        <v>189.65030400000001</v>
      </c>
      <c r="W354" s="18">
        <v>177.79715999999999</v>
      </c>
      <c r="X354" s="18">
        <v>118.53144</v>
      </c>
      <c r="Y354" s="18">
        <v>5.2680639999999999</v>
      </c>
      <c r="Z354" s="18">
        <v>23.377033999999998</v>
      </c>
      <c r="AA354" s="18">
        <v>34.242415999999999</v>
      </c>
      <c r="AB354" s="18">
        <v>60.911989999999996</v>
      </c>
      <c r="AC354" s="18">
        <v>18.767478000000001</v>
      </c>
      <c r="AD354" s="18">
        <v>98.776200000000003</v>
      </c>
    </row>
    <row r="355" spans="2:30" x14ac:dyDescent="0.25">
      <c r="B355" t="s">
        <v>353</v>
      </c>
      <c r="C355" t="s">
        <v>326</v>
      </c>
      <c r="D355" t="s">
        <v>366</v>
      </c>
      <c r="E355" s="35">
        <v>0.9</v>
      </c>
      <c r="F355" s="35">
        <v>62</v>
      </c>
      <c r="G355" s="36">
        <v>0.90227199999999996</v>
      </c>
      <c r="H355" s="18">
        <v>1624.0895459999999</v>
      </c>
      <c r="I355" s="16">
        <v>0</v>
      </c>
      <c r="J355" s="16">
        <v>22</v>
      </c>
      <c r="K355" s="16"/>
      <c r="L355" s="37" t="s">
        <v>107</v>
      </c>
      <c r="M355" s="37"/>
      <c r="N355" s="37">
        <v>356</v>
      </c>
      <c r="O355" s="37"/>
      <c r="P355" s="37"/>
      <c r="Q355" s="18">
        <v>9.9249919999999996</v>
      </c>
      <c r="R355" s="18">
        <v>6.7670399999999992E-2</v>
      </c>
      <c r="S355" s="18">
        <v>18.947711999999999</v>
      </c>
      <c r="T355" s="18">
        <v>81.20447999999999</v>
      </c>
      <c r="U355" s="18">
        <v>40.602239999999995</v>
      </c>
      <c r="V355" s="18">
        <v>519.70867199999998</v>
      </c>
      <c r="W355" s="18">
        <v>487.22687999999999</v>
      </c>
      <c r="X355" s="18">
        <v>324.81791999999996</v>
      </c>
      <c r="Y355" s="18">
        <v>14.436351999999999</v>
      </c>
      <c r="Z355" s="18">
        <v>64.061312000000001</v>
      </c>
      <c r="AA355" s="18">
        <v>93.836287999999996</v>
      </c>
      <c r="AB355" s="18">
        <v>166.92032</v>
      </c>
      <c r="AC355" s="18">
        <v>51.429503999999994</v>
      </c>
      <c r="AD355" s="18">
        <v>270.6816</v>
      </c>
    </row>
    <row r="356" spans="2:30" x14ac:dyDescent="0.25">
      <c r="B356" t="s">
        <v>371</v>
      </c>
      <c r="C356" t="s">
        <v>326</v>
      </c>
      <c r="D356" t="s">
        <v>366</v>
      </c>
      <c r="E356" s="35">
        <v>0.9</v>
      </c>
      <c r="F356" s="35">
        <v>55</v>
      </c>
      <c r="G356" s="36">
        <v>0.80040299999999998</v>
      </c>
      <c r="H356" s="18">
        <v>1440.7245969999999</v>
      </c>
      <c r="I356" s="16">
        <v>0</v>
      </c>
      <c r="J356" s="16">
        <v>46</v>
      </c>
      <c r="K356" s="16"/>
      <c r="L356" s="37" t="s">
        <v>107</v>
      </c>
      <c r="M356" s="37"/>
      <c r="N356" s="37">
        <v>357</v>
      </c>
      <c r="O356" s="37"/>
      <c r="P356" s="37"/>
      <c r="Q356" s="18">
        <v>8.8044329999999995</v>
      </c>
      <c r="R356" s="18">
        <v>6.0030224999999993E-2</v>
      </c>
      <c r="S356" s="18">
        <v>16.808463</v>
      </c>
      <c r="T356" s="18">
        <v>72.036270000000002</v>
      </c>
      <c r="U356" s="18">
        <v>36.018135000000001</v>
      </c>
      <c r="V356" s="18">
        <v>461.032128</v>
      </c>
      <c r="W356" s="18">
        <v>432.21762000000001</v>
      </c>
      <c r="X356" s="18">
        <v>288.14508000000001</v>
      </c>
      <c r="Y356" s="18">
        <v>12.806448</v>
      </c>
      <c r="Z356" s="18">
        <v>56.828612999999997</v>
      </c>
      <c r="AA356" s="18">
        <v>83.241911999999999</v>
      </c>
      <c r="AB356" s="18">
        <v>148.074555</v>
      </c>
      <c r="AC356" s="18">
        <v>45.622971</v>
      </c>
      <c r="AD356" s="18">
        <v>240.12090000000001</v>
      </c>
    </row>
    <row r="357" spans="2:30" x14ac:dyDescent="0.25">
      <c r="B357" t="s">
        <v>124</v>
      </c>
      <c r="C357" t="s">
        <v>326</v>
      </c>
      <c r="D357" t="s">
        <v>366</v>
      </c>
      <c r="E357" s="35">
        <v>0.9</v>
      </c>
      <c r="F357" s="35">
        <v>35</v>
      </c>
      <c r="G357" s="36">
        <v>0.50934699999999999</v>
      </c>
      <c r="H357" s="18">
        <v>916.82474400000001</v>
      </c>
      <c r="I357" s="16">
        <v>0</v>
      </c>
      <c r="J357" s="16">
        <v>38</v>
      </c>
      <c r="K357" s="16"/>
      <c r="L357" s="37" t="s">
        <v>107</v>
      </c>
      <c r="M357" s="37"/>
      <c r="N357" s="37">
        <v>358</v>
      </c>
      <c r="O357" s="37"/>
      <c r="P357" s="37"/>
      <c r="Q357" s="18">
        <v>5.6028169999999999</v>
      </c>
      <c r="R357" s="18">
        <v>3.8201025E-2</v>
      </c>
      <c r="S357" s="18">
        <v>10.696287</v>
      </c>
      <c r="T357" s="18">
        <v>45.841229999999996</v>
      </c>
      <c r="U357" s="18">
        <v>22.920614999999998</v>
      </c>
      <c r="V357" s="18">
        <v>293.383872</v>
      </c>
      <c r="W357" s="18">
        <v>275.04737999999998</v>
      </c>
      <c r="X357" s="18">
        <v>183.36491999999998</v>
      </c>
      <c r="Y357" s="18">
        <v>8.1495519999999999</v>
      </c>
      <c r="Z357" s="18">
        <v>36.163637000000001</v>
      </c>
      <c r="AA357" s="18">
        <v>52.972087999999999</v>
      </c>
      <c r="AB357" s="18">
        <v>94.229195000000004</v>
      </c>
      <c r="AC357" s="18">
        <v>29.032778999999998</v>
      </c>
      <c r="AD357" s="18">
        <v>152.80410000000001</v>
      </c>
    </row>
    <row r="358" spans="2:30" x14ac:dyDescent="0.25">
      <c r="B358" t="s">
        <v>108</v>
      </c>
      <c r="C358" t="s">
        <v>326</v>
      </c>
      <c r="D358" t="s">
        <v>350</v>
      </c>
      <c r="E358" s="35">
        <v>0.9</v>
      </c>
      <c r="F358" s="35">
        <v>16</v>
      </c>
      <c r="G358" s="36">
        <v>3.1572000000000003E-2</v>
      </c>
      <c r="H358" s="18">
        <v>56.829219000000002</v>
      </c>
      <c r="I358" s="16">
        <v>0</v>
      </c>
      <c r="J358" s="16"/>
      <c r="K358" s="16"/>
      <c r="L358" s="37" t="s">
        <v>107</v>
      </c>
      <c r="M358" s="37"/>
      <c r="N358" s="37">
        <v>359</v>
      </c>
      <c r="O358" s="37"/>
      <c r="P358" s="37"/>
      <c r="Q358" s="18">
        <v>0.34729200000000005</v>
      </c>
      <c r="R358" s="18">
        <v>2.3679E-3</v>
      </c>
      <c r="S358" s="18">
        <v>0.66301200000000005</v>
      </c>
      <c r="T358" s="18">
        <v>2.8414800000000002</v>
      </c>
      <c r="U358" s="18">
        <v>1.4207400000000001</v>
      </c>
      <c r="V358" s="18">
        <v>18.185472000000001</v>
      </c>
      <c r="W358" s="18">
        <v>17.04888</v>
      </c>
      <c r="X358" s="18">
        <v>11.365920000000001</v>
      </c>
      <c r="Y358" s="18">
        <v>0.50515200000000005</v>
      </c>
      <c r="Z358" s="18">
        <v>2.2416120000000004</v>
      </c>
      <c r="AA358" s="18">
        <v>3.2834880000000002</v>
      </c>
      <c r="AB358" s="18">
        <v>5.8408200000000008</v>
      </c>
      <c r="AC358" s="18">
        <v>1.7996040000000002</v>
      </c>
      <c r="AD358" s="18">
        <v>9.4716000000000005</v>
      </c>
    </row>
    <row r="359" spans="2:30" x14ac:dyDescent="0.25">
      <c r="B359" t="s">
        <v>112</v>
      </c>
      <c r="C359" t="s">
        <v>326</v>
      </c>
      <c r="D359" t="s">
        <v>368</v>
      </c>
      <c r="E359" s="35">
        <v>0.9</v>
      </c>
      <c r="F359" s="35">
        <v>60</v>
      </c>
      <c r="G359" s="36">
        <v>1.192753</v>
      </c>
      <c r="H359" s="18">
        <v>2146.9561520000002</v>
      </c>
      <c r="I359" s="16">
        <v>0</v>
      </c>
      <c r="J359" s="16">
        <v>50</v>
      </c>
      <c r="K359" s="16" t="s">
        <v>114</v>
      </c>
      <c r="L359" s="37" t="s">
        <v>107</v>
      </c>
      <c r="M359" s="37"/>
      <c r="N359" s="37">
        <v>360</v>
      </c>
      <c r="O359" s="37"/>
      <c r="P359" s="37"/>
      <c r="Q359" s="18">
        <v>13.120282999999999</v>
      </c>
      <c r="R359" s="18">
        <v>8.9456474999999994E-2</v>
      </c>
      <c r="S359" s="18">
        <v>25.047812999999998</v>
      </c>
      <c r="T359" s="18">
        <v>107.34777</v>
      </c>
      <c r="U359" s="18">
        <v>53.673884999999999</v>
      </c>
      <c r="V359" s="18">
        <v>687.02572799999996</v>
      </c>
      <c r="W359" s="18">
        <v>644.08661999999993</v>
      </c>
      <c r="X359" s="18">
        <v>429.39107999999999</v>
      </c>
      <c r="Y359" s="18">
        <v>19.084047999999999</v>
      </c>
      <c r="Z359" s="18">
        <v>84.685462999999999</v>
      </c>
      <c r="AA359" s="18">
        <v>124.046312</v>
      </c>
      <c r="AB359" s="18">
        <v>220.65930499999999</v>
      </c>
      <c r="AC359" s="18">
        <v>67.986920999999995</v>
      </c>
      <c r="AD359" s="18">
        <v>357.82589999999999</v>
      </c>
    </row>
    <row r="360" spans="2:30" x14ac:dyDescent="0.25">
      <c r="B360" t="s">
        <v>108</v>
      </c>
      <c r="C360" t="s">
        <v>326</v>
      </c>
      <c r="D360" t="s">
        <v>369</v>
      </c>
      <c r="E360" s="35">
        <v>0.9</v>
      </c>
      <c r="F360" s="35">
        <v>16</v>
      </c>
      <c r="G360" s="36">
        <v>9.9409999999999998E-2</v>
      </c>
      <c r="H360" s="18">
        <v>178.937656</v>
      </c>
      <c r="I360" s="16">
        <v>0</v>
      </c>
      <c r="J360" s="16"/>
      <c r="K360" s="16"/>
      <c r="L360" s="37" t="s">
        <v>107</v>
      </c>
      <c r="M360" s="37"/>
      <c r="N360" s="37">
        <v>361</v>
      </c>
      <c r="O360" s="37"/>
      <c r="P360" s="37"/>
      <c r="Q360" s="18">
        <v>1.09351</v>
      </c>
      <c r="R360" s="18">
        <v>7.4557499999999997E-3</v>
      </c>
      <c r="S360" s="18">
        <v>2.0876099999999997</v>
      </c>
      <c r="T360" s="18">
        <v>8.9468999999999994</v>
      </c>
      <c r="U360" s="18">
        <v>4.4734499999999997</v>
      </c>
      <c r="V360" s="18">
        <v>57.260159999999999</v>
      </c>
      <c r="W360" s="18">
        <v>53.681399999999996</v>
      </c>
      <c r="X360" s="18">
        <v>35.787599999999998</v>
      </c>
      <c r="Y360" s="18">
        <v>1.59056</v>
      </c>
      <c r="Z360" s="18">
        <v>7.0581100000000001</v>
      </c>
      <c r="AA360" s="18">
        <v>10.33864</v>
      </c>
      <c r="AB360" s="18">
        <v>18.39085</v>
      </c>
      <c r="AC360" s="18">
        <v>5.6663699999999997</v>
      </c>
      <c r="AD360" s="18">
        <v>29.823</v>
      </c>
    </row>
    <row r="361" spans="2:30" x14ac:dyDescent="0.25">
      <c r="B361" t="s">
        <v>166</v>
      </c>
      <c r="C361" t="s">
        <v>326</v>
      </c>
      <c r="D361" t="s">
        <v>372</v>
      </c>
      <c r="E361" s="35">
        <v>0.9</v>
      </c>
      <c r="F361" s="35">
        <v>26</v>
      </c>
      <c r="G361" s="36">
        <v>0.38339899999999999</v>
      </c>
      <c r="H361" s="18">
        <v>690.11744099999999</v>
      </c>
      <c r="I361" s="16">
        <v>0</v>
      </c>
      <c r="J361" s="16"/>
      <c r="K361" s="16"/>
      <c r="L361" s="37" t="s">
        <v>107</v>
      </c>
      <c r="M361" s="37"/>
      <c r="N361" s="37">
        <v>362</v>
      </c>
      <c r="O361" s="37"/>
      <c r="P361" s="37"/>
      <c r="Q361" s="18">
        <v>4.2173889999999998</v>
      </c>
      <c r="R361" s="18">
        <v>2.8754924999999997E-2</v>
      </c>
      <c r="S361" s="18">
        <v>8.051378999999999</v>
      </c>
      <c r="T361" s="18">
        <v>34.50591</v>
      </c>
      <c r="U361" s="18">
        <v>17.252955</v>
      </c>
      <c r="V361" s="18">
        <v>220.83782399999998</v>
      </c>
      <c r="W361" s="18">
        <v>207.03546</v>
      </c>
      <c r="X361" s="18">
        <v>138.02364</v>
      </c>
      <c r="Y361" s="18">
        <v>6.1343839999999998</v>
      </c>
      <c r="Z361" s="18">
        <v>27.221329000000001</v>
      </c>
      <c r="AA361" s="18">
        <v>39.873495999999996</v>
      </c>
      <c r="AB361" s="18">
        <v>70.928815</v>
      </c>
      <c r="AC361" s="18">
        <v>21.853742999999998</v>
      </c>
      <c r="AD361" s="18">
        <v>115.0197</v>
      </c>
    </row>
    <row r="362" spans="2:30" x14ac:dyDescent="0.25">
      <c r="B362" t="s">
        <v>166</v>
      </c>
      <c r="C362" t="s">
        <v>326</v>
      </c>
      <c r="D362" t="s">
        <v>373</v>
      </c>
      <c r="E362" s="35">
        <v>0.9</v>
      </c>
      <c r="F362" s="35">
        <v>26</v>
      </c>
      <c r="G362" s="36">
        <v>0.14455499999999999</v>
      </c>
      <c r="H362" s="18">
        <v>260.198936</v>
      </c>
      <c r="I362" s="16">
        <v>0</v>
      </c>
      <c r="J362" s="16"/>
      <c r="K362" s="16"/>
      <c r="L362" s="37" t="s">
        <v>107</v>
      </c>
      <c r="M362" s="37"/>
      <c r="N362" s="37">
        <v>363</v>
      </c>
      <c r="O362" s="37"/>
      <c r="P362" s="37"/>
      <c r="Q362" s="18">
        <v>1.5901049999999999</v>
      </c>
      <c r="R362" s="18">
        <v>1.0841624999999999E-2</v>
      </c>
      <c r="S362" s="18">
        <v>3.0356549999999998</v>
      </c>
      <c r="T362" s="18">
        <v>13.00995</v>
      </c>
      <c r="U362" s="18">
        <v>6.504975</v>
      </c>
      <c r="V362" s="18">
        <v>83.263679999999994</v>
      </c>
      <c r="W362" s="18">
        <v>78.059699999999992</v>
      </c>
      <c r="X362" s="18">
        <v>52.0398</v>
      </c>
      <c r="Y362" s="18">
        <v>2.3128799999999998</v>
      </c>
      <c r="Z362" s="18">
        <v>10.263404999999999</v>
      </c>
      <c r="AA362" s="18">
        <v>15.033719999999999</v>
      </c>
      <c r="AB362" s="18">
        <v>26.742674999999998</v>
      </c>
      <c r="AC362" s="18">
        <v>8.2396349999999998</v>
      </c>
      <c r="AD362" s="18">
        <v>43.366499999999995</v>
      </c>
    </row>
    <row r="363" spans="2:30" x14ac:dyDescent="0.25">
      <c r="B363" t="s">
        <v>337</v>
      </c>
      <c r="C363" t="s">
        <v>326</v>
      </c>
      <c r="D363" t="s">
        <v>374</v>
      </c>
      <c r="E363" s="35">
        <v>0.9</v>
      </c>
      <c r="F363" s="35">
        <v>26</v>
      </c>
      <c r="G363" s="36">
        <v>0.15079500000000001</v>
      </c>
      <c r="H363" s="18">
        <v>271.43047899999999</v>
      </c>
      <c r="I363" s="16">
        <v>0</v>
      </c>
      <c r="J363" s="16"/>
      <c r="K363" s="16"/>
      <c r="L363" s="37" t="s">
        <v>107</v>
      </c>
      <c r="M363" s="37"/>
      <c r="N363" s="37">
        <v>364</v>
      </c>
      <c r="O363" s="37"/>
      <c r="P363" s="37"/>
      <c r="Q363" s="18">
        <v>1.6587450000000001</v>
      </c>
      <c r="R363" s="18">
        <v>1.1309625E-2</v>
      </c>
      <c r="S363" s="18">
        <v>3.1666950000000003</v>
      </c>
      <c r="T363" s="18">
        <v>13.571550000000002</v>
      </c>
      <c r="U363" s="18">
        <v>6.785775000000001</v>
      </c>
      <c r="V363" s="18">
        <v>86.857920000000007</v>
      </c>
      <c r="W363" s="18">
        <v>81.429300000000012</v>
      </c>
      <c r="X363" s="18">
        <v>54.286200000000008</v>
      </c>
      <c r="Y363" s="18">
        <v>2.4127200000000002</v>
      </c>
      <c r="Z363" s="18">
        <v>10.706445</v>
      </c>
      <c r="AA363" s="18">
        <v>15.682680000000001</v>
      </c>
      <c r="AB363" s="18">
        <v>27.897075000000001</v>
      </c>
      <c r="AC363" s="18">
        <v>8.5953150000000011</v>
      </c>
      <c r="AD363" s="18">
        <v>45.238500000000002</v>
      </c>
    </row>
    <row r="364" spans="2:30" x14ac:dyDescent="0.25">
      <c r="B364" t="s">
        <v>144</v>
      </c>
      <c r="C364" t="s">
        <v>326</v>
      </c>
      <c r="D364" t="s">
        <v>375</v>
      </c>
      <c r="E364" s="35">
        <v>0.9</v>
      </c>
      <c r="F364" s="35">
        <v>40</v>
      </c>
      <c r="G364" s="36">
        <v>0.63224199999999997</v>
      </c>
      <c r="H364" s="18">
        <v>1138.0360350000001</v>
      </c>
      <c r="I364" s="16">
        <v>0</v>
      </c>
      <c r="J364" s="16"/>
      <c r="K364" s="16"/>
      <c r="L364" s="37" t="s">
        <v>107</v>
      </c>
      <c r="M364" s="37"/>
      <c r="N364" s="37">
        <v>365</v>
      </c>
      <c r="O364" s="37"/>
      <c r="P364" s="37"/>
      <c r="Q364" s="18">
        <v>6.9546619999999999</v>
      </c>
      <c r="R364" s="18">
        <v>4.7418149999999999E-2</v>
      </c>
      <c r="S364" s="18">
        <v>13.277082</v>
      </c>
      <c r="T364" s="18">
        <v>56.901779999999995</v>
      </c>
      <c r="U364" s="18">
        <v>28.450889999999998</v>
      </c>
      <c r="V364" s="18">
        <v>364.17139199999997</v>
      </c>
      <c r="W364" s="18">
        <v>341.41067999999996</v>
      </c>
      <c r="X364" s="18">
        <v>227.60711999999998</v>
      </c>
      <c r="Y364" s="18">
        <v>10.115872</v>
      </c>
      <c r="Z364" s="18">
        <v>44.889181999999998</v>
      </c>
      <c r="AA364" s="18">
        <v>65.753168000000002</v>
      </c>
      <c r="AB364" s="18">
        <v>116.96477</v>
      </c>
      <c r="AC364" s="18">
        <v>36.037793999999998</v>
      </c>
      <c r="AD364" s="18">
        <v>189.67259999999999</v>
      </c>
    </row>
    <row r="365" spans="2:30" x14ac:dyDescent="0.25">
      <c r="B365" t="s">
        <v>104</v>
      </c>
      <c r="C365" t="s">
        <v>326</v>
      </c>
      <c r="D365" t="s">
        <v>362</v>
      </c>
      <c r="E365" s="35">
        <v>0.9</v>
      </c>
      <c r="F365" s="35">
        <v>68</v>
      </c>
      <c r="G365" s="36">
        <v>1.4719150000000001</v>
      </c>
      <c r="H365" s="18">
        <v>2649.4461820000001</v>
      </c>
      <c r="I365" s="16">
        <v>2</v>
      </c>
      <c r="J365" s="16">
        <v>50</v>
      </c>
      <c r="K365" s="16"/>
      <c r="L365" s="37" t="s">
        <v>107</v>
      </c>
      <c r="M365" s="37"/>
      <c r="N365" s="37">
        <v>366</v>
      </c>
      <c r="O365" s="37"/>
      <c r="P365" s="37"/>
      <c r="Q365" s="18">
        <v>16.191065000000002</v>
      </c>
      <c r="R365" s="18">
        <v>0.11039362500000001</v>
      </c>
      <c r="S365" s="18">
        <v>30.910215000000001</v>
      </c>
      <c r="T365" s="18">
        <v>132.47235000000001</v>
      </c>
      <c r="U365" s="18">
        <v>66.236175000000003</v>
      </c>
      <c r="V365" s="18">
        <v>847.82303999999999</v>
      </c>
      <c r="W365" s="18">
        <v>794.83410000000003</v>
      </c>
      <c r="X365" s="18">
        <v>529.88940000000002</v>
      </c>
      <c r="Y365" s="18">
        <v>23.550640000000001</v>
      </c>
      <c r="Z365" s="18">
        <v>104.505965</v>
      </c>
      <c r="AA365" s="18">
        <v>153.07916</v>
      </c>
      <c r="AB365" s="18">
        <v>272.30427500000002</v>
      </c>
      <c r="AC365" s="18">
        <v>83.899155000000007</v>
      </c>
      <c r="AD365" s="18">
        <v>441.5745</v>
      </c>
    </row>
    <row r="366" spans="2:30" x14ac:dyDescent="0.25">
      <c r="B366" t="s">
        <v>166</v>
      </c>
      <c r="C366" t="s">
        <v>326</v>
      </c>
      <c r="D366" t="s">
        <v>334</v>
      </c>
      <c r="E366" s="35">
        <v>0.9</v>
      </c>
      <c r="F366" s="35">
        <v>26</v>
      </c>
      <c r="G366" s="36">
        <v>0.45186199999999999</v>
      </c>
      <c r="H366" s="18">
        <v>813.35242700000003</v>
      </c>
      <c r="I366" s="16">
        <v>0</v>
      </c>
      <c r="J366" s="16"/>
      <c r="K366" s="16"/>
      <c r="L366" s="37" t="s">
        <v>107</v>
      </c>
      <c r="M366" s="37"/>
      <c r="N366" s="37">
        <v>367</v>
      </c>
      <c r="O366" s="37"/>
      <c r="P366" s="37"/>
      <c r="Q366" s="18">
        <v>4.9704819999999996</v>
      </c>
      <c r="R366" s="18">
        <v>3.388965E-2</v>
      </c>
      <c r="S366" s="18">
        <v>9.489101999999999</v>
      </c>
      <c r="T366" s="18">
        <v>40.667580000000001</v>
      </c>
      <c r="U366" s="18">
        <v>20.33379</v>
      </c>
      <c r="V366" s="18">
        <v>260.27251200000001</v>
      </c>
      <c r="W366" s="18">
        <v>244.00548000000001</v>
      </c>
      <c r="X366" s="18">
        <v>162.67032</v>
      </c>
      <c r="Y366" s="18">
        <v>7.2297919999999998</v>
      </c>
      <c r="Z366" s="18">
        <v>32.082202000000002</v>
      </c>
      <c r="AA366" s="18">
        <v>46.993648</v>
      </c>
      <c r="AB366" s="18">
        <v>83.594470000000001</v>
      </c>
      <c r="AC366" s="18">
        <v>25.756133999999999</v>
      </c>
      <c r="AD366" s="18">
        <v>135.55859999999998</v>
      </c>
    </row>
    <row r="367" spans="2:30" x14ac:dyDescent="0.25">
      <c r="B367" t="s">
        <v>206</v>
      </c>
      <c r="C367" t="s">
        <v>326</v>
      </c>
      <c r="D367" t="s">
        <v>376</v>
      </c>
      <c r="E367" s="35">
        <v>1.8</v>
      </c>
      <c r="F367" s="35">
        <v>58.1</v>
      </c>
      <c r="G367" s="36">
        <v>0.46788200000000002</v>
      </c>
      <c r="H367" s="18">
        <v>1684.3734690000001</v>
      </c>
      <c r="I367" s="16"/>
      <c r="J367" s="16"/>
      <c r="K367" s="16"/>
      <c r="L367" s="37" t="s">
        <v>107</v>
      </c>
      <c r="M367" s="37"/>
      <c r="N367" s="37">
        <v>368</v>
      </c>
      <c r="O367" s="37"/>
      <c r="P367" s="37"/>
      <c r="Q367" s="18">
        <v>5.1467020000000003</v>
      </c>
      <c r="R367" s="18">
        <v>3.5091150000000002E-2</v>
      </c>
      <c r="S367" s="18">
        <v>9.8255220000000012</v>
      </c>
      <c r="T367" s="18">
        <v>42.109380000000002</v>
      </c>
      <c r="U367" s="18">
        <v>21.054690000000001</v>
      </c>
      <c r="V367" s="18">
        <v>269.50003200000003</v>
      </c>
      <c r="W367" s="18">
        <v>252.65628000000001</v>
      </c>
      <c r="X367" s="18">
        <v>168.43752000000001</v>
      </c>
      <c r="Y367" s="18">
        <v>7.4861120000000003</v>
      </c>
      <c r="Z367" s="18">
        <v>33.219622000000001</v>
      </c>
      <c r="AA367" s="18">
        <v>48.659728000000001</v>
      </c>
      <c r="AB367" s="18">
        <v>86.558170000000004</v>
      </c>
      <c r="AC367" s="18">
        <v>26.669274000000001</v>
      </c>
      <c r="AD367" s="18">
        <v>140.3646</v>
      </c>
    </row>
    <row r="368" spans="2:30" x14ac:dyDescent="0.25">
      <c r="B368" t="s">
        <v>377</v>
      </c>
      <c r="C368" t="s">
        <v>326</v>
      </c>
      <c r="D368" t="s">
        <v>378</v>
      </c>
      <c r="E368" s="35">
        <v>0.9</v>
      </c>
      <c r="F368" s="35">
        <v>11.5</v>
      </c>
      <c r="G368" s="36">
        <v>4.3699000000000002E-2</v>
      </c>
      <c r="H368" s="18">
        <v>78.657472999999996</v>
      </c>
      <c r="I368" s="16"/>
      <c r="J368" s="16"/>
      <c r="K368" s="16"/>
      <c r="L368" s="37" t="s">
        <v>107</v>
      </c>
      <c r="M368" s="37"/>
      <c r="N368" s="37">
        <v>369</v>
      </c>
      <c r="O368" s="37"/>
      <c r="P368" s="37"/>
      <c r="Q368" s="18">
        <v>0.48068900000000003</v>
      </c>
      <c r="R368" s="18">
        <v>3.277425E-3</v>
      </c>
      <c r="S368" s="18">
        <v>0.91767900000000002</v>
      </c>
      <c r="T368" s="18">
        <v>3.9329100000000001</v>
      </c>
      <c r="U368" s="18">
        <v>1.9664550000000001</v>
      </c>
      <c r="V368" s="18">
        <v>25.170624</v>
      </c>
      <c r="W368" s="18">
        <v>23.597460000000002</v>
      </c>
      <c r="X368" s="18">
        <v>15.731640000000001</v>
      </c>
      <c r="Y368" s="18">
        <v>0.69918400000000003</v>
      </c>
      <c r="Z368" s="18">
        <v>3.1026290000000003</v>
      </c>
      <c r="AA368" s="18">
        <v>4.5446960000000001</v>
      </c>
      <c r="AB368" s="18">
        <v>8.0843150000000001</v>
      </c>
      <c r="AC368" s="18">
        <v>2.4908429999999999</v>
      </c>
      <c r="AD368" s="18">
        <v>13.1097</v>
      </c>
    </row>
    <row r="369" spans="2:30" x14ac:dyDescent="0.25">
      <c r="B369" t="s">
        <v>108</v>
      </c>
      <c r="C369" t="s">
        <v>326</v>
      </c>
      <c r="D369" t="s">
        <v>379</v>
      </c>
      <c r="E369" s="35">
        <v>0.9</v>
      </c>
      <c r="F369" s="35">
        <v>16</v>
      </c>
      <c r="G369" s="36">
        <v>7.0503999999999997E-2</v>
      </c>
      <c r="H369" s="18">
        <v>126.90777300000001</v>
      </c>
      <c r="I369" s="16">
        <v>0</v>
      </c>
      <c r="J369" s="16"/>
      <c r="K369" s="16"/>
      <c r="L369" s="37" t="s">
        <v>107</v>
      </c>
      <c r="M369" s="37"/>
      <c r="N369" s="37">
        <v>370</v>
      </c>
      <c r="O369" s="37"/>
      <c r="P369" s="37"/>
      <c r="Q369" s="18">
        <v>0.77554400000000001</v>
      </c>
      <c r="R369" s="18">
        <v>5.2877999999999996E-3</v>
      </c>
      <c r="S369" s="18">
        <v>1.4805839999999999</v>
      </c>
      <c r="T369" s="18">
        <v>6.3453599999999994</v>
      </c>
      <c r="U369" s="18">
        <v>3.1726799999999997</v>
      </c>
      <c r="V369" s="18">
        <v>40.610303999999999</v>
      </c>
      <c r="W369" s="18">
        <v>38.072159999999997</v>
      </c>
      <c r="X369" s="18">
        <v>25.381439999999998</v>
      </c>
      <c r="Y369" s="18">
        <v>1.128064</v>
      </c>
      <c r="Z369" s="18">
        <v>5.0057840000000002</v>
      </c>
      <c r="AA369" s="18">
        <v>7.3324159999999994</v>
      </c>
      <c r="AB369" s="18">
        <v>13.043239999999999</v>
      </c>
      <c r="AC369" s="18">
        <v>4.0187279999999994</v>
      </c>
      <c r="AD369" s="18">
        <v>21.151199999999999</v>
      </c>
    </row>
    <row r="370" spans="2:30" x14ac:dyDescent="0.25">
      <c r="B370" t="s">
        <v>108</v>
      </c>
      <c r="C370" t="s">
        <v>326</v>
      </c>
      <c r="D370" t="s">
        <v>379</v>
      </c>
      <c r="E370" s="35">
        <v>0.9</v>
      </c>
      <c r="F370" s="35">
        <v>16</v>
      </c>
      <c r="G370" s="36">
        <v>7.0503999999999997E-2</v>
      </c>
      <c r="H370" s="18">
        <v>126.90777300000001</v>
      </c>
      <c r="I370" s="16">
        <v>0</v>
      </c>
      <c r="J370" s="16"/>
      <c r="K370" s="16"/>
      <c r="L370" s="37" t="s">
        <v>107</v>
      </c>
      <c r="M370" s="37"/>
      <c r="N370" s="37">
        <v>371</v>
      </c>
      <c r="O370" s="37"/>
      <c r="P370" s="37"/>
      <c r="Q370" s="18">
        <v>0.77554400000000001</v>
      </c>
      <c r="R370" s="18">
        <v>5.2877999999999996E-3</v>
      </c>
      <c r="S370" s="18">
        <v>1.4805839999999999</v>
      </c>
      <c r="T370" s="18">
        <v>6.3453599999999994</v>
      </c>
      <c r="U370" s="18">
        <v>3.1726799999999997</v>
      </c>
      <c r="V370" s="18">
        <v>40.610303999999999</v>
      </c>
      <c r="W370" s="18">
        <v>38.072159999999997</v>
      </c>
      <c r="X370" s="18">
        <v>25.381439999999998</v>
      </c>
      <c r="Y370" s="18">
        <v>1.128064</v>
      </c>
      <c r="Z370" s="18">
        <v>5.0057840000000002</v>
      </c>
      <c r="AA370" s="18">
        <v>7.3324159999999994</v>
      </c>
      <c r="AB370" s="18">
        <v>13.043239999999999</v>
      </c>
      <c r="AC370" s="18">
        <v>4.0187279999999994</v>
      </c>
      <c r="AD370" s="18">
        <v>21.151199999999999</v>
      </c>
    </row>
    <row r="371" spans="2:30" x14ac:dyDescent="0.25">
      <c r="B371" t="s">
        <v>108</v>
      </c>
      <c r="C371" t="s">
        <v>326</v>
      </c>
      <c r="D371" t="s">
        <v>379</v>
      </c>
      <c r="E371" s="35">
        <v>0.9</v>
      </c>
      <c r="F371" s="35">
        <v>16</v>
      </c>
      <c r="G371" s="36">
        <v>7.0503999999999997E-2</v>
      </c>
      <c r="H371" s="18">
        <v>126.90777300000001</v>
      </c>
      <c r="I371" s="16">
        <v>0</v>
      </c>
      <c r="J371" s="16"/>
      <c r="K371" s="16"/>
      <c r="L371" s="37" t="s">
        <v>107</v>
      </c>
      <c r="M371" s="37"/>
      <c r="N371" s="37">
        <v>372</v>
      </c>
      <c r="O371" s="37"/>
      <c r="P371" s="37"/>
      <c r="Q371" s="18">
        <v>0.77554400000000001</v>
      </c>
      <c r="R371" s="18">
        <v>5.2877999999999996E-3</v>
      </c>
      <c r="S371" s="18">
        <v>1.4805839999999999</v>
      </c>
      <c r="T371" s="18">
        <v>6.3453599999999994</v>
      </c>
      <c r="U371" s="18">
        <v>3.1726799999999997</v>
      </c>
      <c r="V371" s="18">
        <v>40.610303999999999</v>
      </c>
      <c r="W371" s="18">
        <v>38.072159999999997</v>
      </c>
      <c r="X371" s="18">
        <v>25.381439999999998</v>
      </c>
      <c r="Y371" s="18">
        <v>1.128064</v>
      </c>
      <c r="Z371" s="18">
        <v>5.0057840000000002</v>
      </c>
      <c r="AA371" s="18">
        <v>7.3324159999999994</v>
      </c>
      <c r="AB371" s="18">
        <v>13.043239999999999</v>
      </c>
      <c r="AC371" s="18">
        <v>4.0187279999999994</v>
      </c>
      <c r="AD371" s="18">
        <v>21.151199999999999</v>
      </c>
    </row>
    <row r="372" spans="2:30" x14ac:dyDescent="0.25">
      <c r="B372" t="s">
        <v>108</v>
      </c>
      <c r="C372" t="s">
        <v>326</v>
      </c>
      <c r="D372" t="s">
        <v>380</v>
      </c>
      <c r="E372" s="35">
        <v>0.9</v>
      </c>
      <c r="F372" s="35">
        <v>16</v>
      </c>
      <c r="G372" s="36">
        <v>7.1998000000000006E-2</v>
      </c>
      <c r="H372" s="18">
        <v>129.595664</v>
      </c>
      <c r="I372" s="16">
        <v>0</v>
      </c>
      <c r="J372" s="16"/>
      <c r="K372" s="16"/>
      <c r="L372" s="37" t="s">
        <v>107</v>
      </c>
      <c r="M372" s="37"/>
      <c r="N372" s="37">
        <v>373</v>
      </c>
      <c r="O372" s="37"/>
      <c r="P372" s="37"/>
      <c r="Q372" s="18">
        <v>0.79197800000000007</v>
      </c>
      <c r="R372" s="18">
        <v>5.3998500000000003E-3</v>
      </c>
      <c r="S372" s="18">
        <v>1.5119580000000001</v>
      </c>
      <c r="T372" s="18">
        <v>6.4798200000000001</v>
      </c>
      <c r="U372" s="18">
        <v>3.2399100000000001</v>
      </c>
      <c r="V372" s="18">
        <v>41.470848000000004</v>
      </c>
      <c r="W372" s="18">
        <v>38.878920000000001</v>
      </c>
      <c r="X372" s="18">
        <v>25.919280000000001</v>
      </c>
      <c r="Y372" s="18">
        <v>1.1519680000000001</v>
      </c>
      <c r="Z372" s="18">
        <v>5.1118580000000007</v>
      </c>
      <c r="AA372" s="18">
        <v>7.4877920000000007</v>
      </c>
      <c r="AB372" s="18">
        <v>13.319630000000002</v>
      </c>
      <c r="AC372" s="18">
        <v>4.1038860000000001</v>
      </c>
      <c r="AD372" s="18">
        <v>21.599400000000003</v>
      </c>
    </row>
    <row r="373" spans="2:30" x14ac:dyDescent="0.25">
      <c r="B373" t="s">
        <v>108</v>
      </c>
      <c r="C373" t="s">
        <v>326</v>
      </c>
      <c r="D373" t="s">
        <v>380</v>
      </c>
      <c r="E373" s="35">
        <v>0.9</v>
      </c>
      <c r="F373" s="35">
        <v>16</v>
      </c>
      <c r="G373" s="36">
        <v>7.1998000000000006E-2</v>
      </c>
      <c r="H373" s="18">
        <v>129.595664</v>
      </c>
      <c r="I373" s="16">
        <v>0</v>
      </c>
      <c r="J373" s="16"/>
      <c r="K373" s="16"/>
      <c r="L373" s="37" t="s">
        <v>107</v>
      </c>
      <c r="M373" s="37"/>
      <c r="N373" s="37">
        <v>374</v>
      </c>
      <c r="O373" s="37"/>
      <c r="P373" s="37"/>
      <c r="Q373" s="18">
        <v>0.79197800000000007</v>
      </c>
      <c r="R373" s="18">
        <v>5.3998500000000003E-3</v>
      </c>
      <c r="S373" s="18">
        <v>1.5119580000000001</v>
      </c>
      <c r="T373" s="18">
        <v>6.4798200000000001</v>
      </c>
      <c r="U373" s="18">
        <v>3.2399100000000001</v>
      </c>
      <c r="V373" s="18">
        <v>41.470848000000004</v>
      </c>
      <c r="W373" s="18">
        <v>38.878920000000001</v>
      </c>
      <c r="X373" s="18">
        <v>25.919280000000001</v>
      </c>
      <c r="Y373" s="18">
        <v>1.1519680000000001</v>
      </c>
      <c r="Z373" s="18">
        <v>5.1118580000000007</v>
      </c>
      <c r="AA373" s="18">
        <v>7.4877920000000007</v>
      </c>
      <c r="AB373" s="18">
        <v>13.319630000000002</v>
      </c>
      <c r="AC373" s="18">
        <v>4.1038860000000001</v>
      </c>
      <c r="AD373" s="18">
        <v>21.599400000000003</v>
      </c>
    </row>
    <row r="374" spans="2:30" x14ac:dyDescent="0.25">
      <c r="B374" t="s">
        <v>108</v>
      </c>
      <c r="C374" t="s">
        <v>326</v>
      </c>
      <c r="D374" t="s">
        <v>380</v>
      </c>
      <c r="E374" s="35">
        <v>0.9</v>
      </c>
      <c r="F374" s="35">
        <v>16</v>
      </c>
      <c r="G374" s="36">
        <v>7.1998000000000006E-2</v>
      </c>
      <c r="H374" s="18">
        <v>129.595664</v>
      </c>
      <c r="I374" s="16">
        <v>0</v>
      </c>
      <c r="J374" s="16"/>
      <c r="K374" s="16"/>
      <c r="L374" s="37" t="s">
        <v>107</v>
      </c>
      <c r="M374" s="37"/>
      <c r="N374" s="37">
        <v>375</v>
      </c>
      <c r="O374" s="37"/>
      <c r="P374" s="37"/>
      <c r="Q374" s="18">
        <v>0.79197800000000007</v>
      </c>
      <c r="R374" s="18">
        <v>5.3998500000000003E-3</v>
      </c>
      <c r="S374" s="18">
        <v>1.5119580000000001</v>
      </c>
      <c r="T374" s="18">
        <v>6.4798200000000001</v>
      </c>
      <c r="U374" s="18">
        <v>3.2399100000000001</v>
      </c>
      <c r="V374" s="18">
        <v>41.470848000000004</v>
      </c>
      <c r="W374" s="18">
        <v>38.878920000000001</v>
      </c>
      <c r="X374" s="18">
        <v>25.919280000000001</v>
      </c>
      <c r="Y374" s="18">
        <v>1.1519680000000001</v>
      </c>
      <c r="Z374" s="18">
        <v>5.1118580000000007</v>
      </c>
      <c r="AA374" s="18">
        <v>7.4877920000000007</v>
      </c>
      <c r="AB374" s="18">
        <v>13.319630000000002</v>
      </c>
      <c r="AC374" s="18">
        <v>4.1038860000000001</v>
      </c>
      <c r="AD374" s="18">
        <v>21.599400000000003</v>
      </c>
    </row>
    <row r="375" spans="2:30" x14ac:dyDescent="0.25">
      <c r="B375" t="s">
        <v>166</v>
      </c>
      <c r="C375" t="s">
        <v>326</v>
      </c>
      <c r="D375" t="s">
        <v>381</v>
      </c>
      <c r="E375" s="35">
        <v>0.9</v>
      </c>
      <c r="F375" s="35">
        <v>26</v>
      </c>
      <c r="G375" s="36">
        <v>0.124622</v>
      </c>
      <c r="H375" s="18">
        <v>224.32039599999999</v>
      </c>
      <c r="I375" s="16">
        <v>0</v>
      </c>
      <c r="J375" s="16"/>
      <c r="K375" s="16"/>
      <c r="L375" s="37" t="s">
        <v>107</v>
      </c>
      <c r="M375" s="37"/>
      <c r="N375" s="37">
        <v>376</v>
      </c>
      <c r="O375" s="37"/>
      <c r="P375" s="37"/>
      <c r="Q375" s="18">
        <v>1.3708419999999999</v>
      </c>
      <c r="R375" s="18">
        <v>9.3466499999999997E-3</v>
      </c>
      <c r="S375" s="18">
        <v>2.6170619999999998</v>
      </c>
      <c r="T375" s="18">
        <v>11.21598</v>
      </c>
      <c r="U375" s="18">
        <v>5.60799</v>
      </c>
      <c r="V375" s="18">
        <v>71.782271999999992</v>
      </c>
      <c r="W375" s="18">
        <v>67.295879999999997</v>
      </c>
      <c r="X375" s="18">
        <v>44.86392</v>
      </c>
      <c r="Y375" s="18">
        <v>1.9939519999999999</v>
      </c>
      <c r="Z375" s="18">
        <v>8.8481620000000003</v>
      </c>
      <c r="AA375" s="18">
        <v>12.960687999999999</v>
      </c>
      <c r="AB375" s="18">
        <v>23.055070000000001</v>
      </c>
      <c r="AC375" s="18">
        <v>7.1034540000000002</v>
      </c>
      <c r="AD375" s="18">
        <v>37.386600000000001</v>
      </c>
    </row>
    <row r="376" spans="2:30" x14ac:dyDescent="0.25">
      <c r="B376" t="s">
        <v>108</v>
      </c>
      <c r="C376" t="s">
        <v>326</v>
      </c>
      <c r="D376" t="s">
        <v>382</v>
      </c>
      <c r="E376" s="35">
        <v>0.9</v>
      </c>
      <c r="F376" s="35">
        <v>16</v>
      </c>
      <c r="G376" s="36">
        <v>7.2104000000000001E-2</v>
      </c>
      <c r="H376" s="18">
        <v>129.787656</v>
      </c>
      <c r="I376" s="16">
        <v>0</v>
      </c>
      <c r="J376" s="16"/>
      <c r="K376" s="16"/>
      <c r="L376" s="37" t="s">
        <v>107</v>
      </c>
      <c r="M376" s="37"/>
      <c r="N376" s="37">
        <v>377</v>
      </c>
      <c r="O376" s="37"/>
      <c r="P376" s="37"/>
      <c r="Q376" s="18">
        <v>0.79314400000000007</v>
      </c>
      <c r="R376" s="18">
        <v>5.4077999999999999E-3</v>
      </c>
      <c r="S376" s="18">
        <v>1.514184</v>
      </c>
      <c r="T376" s="18">
        <v>6.4893600000000005</v>
      </c>
      <c r="U376" s="18">
        <v>3.2446800000000002</v>
      </c>
      <c r="V376" s="18">
        <v>41.531903999999997</v>
      </c>
      <c r="W376" s="18">
        <v>38.936160000000001</v>
      </c>
      <c r="X376" s="18">
        <v>25.957440000000002</v>
      </c>
      <c r="Y376" s="18">
        <v>1.153664</v>
      </c>
      <c r="Z376" s="18">
        <v>5.1193840000000002</v>
      </c>
      <c r="AA376" s="18">
        <v>7.4988159999999997</v>
      </c>
      <c r="AB376" s="18">
        <v>13.33924</v>
      </c>
      <c r="AC376" s="18">
        <v>4.109928</v>
      </c>
      <c r="AD376" s="18">
        <v>21.6312</v>
      </c>
    </row>
    <row r="377" spans="2:30" x14ac:dyDescent="0.25">
      <c r="B377" t="s">
        <v>108</v>
      </c>
      <c r="C377" t="s">
        <v>326</v>
      </c>
      <c r="D377" t="s">
        <v>382</v>
      </c>
      <c r="E377" s="35">
        <v>0.9</v>
      </c>
      <c r="F377" s="35">
        <v>16</v>
      </c>
      <c r="G377" s="36">
        <v>7.2104000000000001E-2</v>
      </c>
      <c r="H377" s="18">
        <v>129.787656</v>
      </c>
      <c r="I377" s="16">
        <v>0</v>
      </c>
      <c r="J377" s="16"/>
      <c r="K377" s="16"/>
      <c r="L377" s="37" t="s">
        <v>107</v>
      </c>
      <c r="M377" s="37"/>
      <c r="N377" s="37">
        <v>378</v>
      </c>
      <c r="O377" s="37"/>
      <c r="P377" s="37"/>
      <c r="Q377" s="18">
        <v>0.79314400000000007</v>
      </c>
      <c r="R377" s="18">
        <v>5.4077999999999999E-3</v>
      </c>
      <c r="S377" s="18">
        <v>1.514184</v>
      </c>
      <c r="T377" s="18">
        <v>6.4893600000000005</v>
      </c>
      <c r="U377" s="18">
        <v>3.2446800000000002</v>
      </c>
      <c r="V377" s="18">
        <v>41.531903999999997</v>
      </c>
      <c r="W377" s="18">
        <v>38.936160000000001</v>
      </c>
      <c r="X377" s="18">
        <v>25.957440000000002</v>
      </c>
      <c r="Y377" s="18">
        <v>1.153664</v>
      </c>
      <c r="Z377" s="18">
        <v>5.1193840000000002</v>
      </c>
      <c r="AA377" s="18">
        <v>7.4988159999999997</v>
      </c>
      <c r="AB377" s="18">
        <v>13.33924</v>
      </c>
      <c r="AC377" s="18">
        <v>4.109928</v>
      </c>
      <c r="AD377" s="18">
        <v>21.6312</v>
      </c>
    </row>
    <row r="378" spans="2:30" x14ac:dyDescent="0.25">
      <c r="B378" t="s">
        <v>108</v>
      </c>
      <c r="C378" t="s">
        <v>326</v>
      </c>
      <c r="D378" t="s">
        <v>382</v>
      </c>
      <c r="E378" s="35">
        <v>0.9</v>
      </c>
      <c r="F378" s="35">
        <v>16</v>
      </c>
      <c r="G378" s="36">
        <v>7.2104000000000001E-2</v>
      </c>
      <c r="H378" s="18">
        <v>129.787656</v>
      </c>
      <c r="I378" s="16">
        <v>0</v>
      </c>
      <c r="J378" s="16"/>
      <c r="K378" s="16"/>
      <c r="L378" s="37" t="s">
        <v>107</v>
      </c>
      <c r="M378" s="37"/>
      <c r="N378" s="37">
        <v>379</v>
      </c>
      <c r="O378" s="37"/>
      <c r="P378" s="37"/>
      <c r="Q378" s="18">
        <v>0.79314400000000007</v>
      </c>
      <c r="R378" s="18">
        <v>5.4077999999999999E-3</v>
      </c>
      <c r="S378" s="18">
        <v>1.514184</v>
      </c>
      <c r="T378" s="18">
        <v>6.4893600000000005</v>
      </c>
      <c r="U378" s="18">
        <v>3.2446800000000002</v>
      </c>
      <c r="V378" s="18">
        <v>41.531903999999997</v>
      </c>
      <c r="W378" s="18">
        <v>38.936160000000001</v>
      </c>
      <c r="X378" s="18">
        <v>25.957440000000002</v>
      </c>
      <c r="Y378" s="18">
        <v>1.153664</v>
      </c>
      <c r="Z378" s="18">
        <v>5.1193840000000002</v>
      </c>
      <c r="AA378" s="18">
        <v>7.4988159999999997</v>
      </c>
      <c r="AB378" s="18">
        <v>13.33924</v>
      </c>
      <c r="AC378" s="18">
        <v>4.109928</v>
      </c>
      <c r="AD378" s="18">
        <v>21.6312</v>
      </c>
    </row>
    <row r="379" spans="2:30" x14ac:dyDescent="0.25">
      <c r="B379" t="s">
        <v>108</v>
      </c>
      <c r="C379" t="s">
        <v>326</v>
      </c>
      <c r="D379" t="s">
        <v>382</v>
      </c>
      <c r="E379" s="35">
        <v>0.9</v>
      </c>
      <c r="F379" s="35">
        <v>16</v>
      </c>
      <c r="G379" s="36">
        <v>7.2104000000000001E-2</v>
      </c>
      <c r="H379" s="18">
        <v>129.787656</v>
      </c>
      <c r="I379" s="16">
        <v>0</v>
      </c>
      <c r="J379" s="16"/>
      <c r="K379" s="16"/>
      <c r="L379" s="37" t="s">
        <v>107</v>
      </c>
      <c r="M379" s="37"/>
      <c r="N379" s="37">
        <v>380</v>
      </c>
      <c r="O379" s="37"/>
      <c r="P379" s="37"/>
      <c r="Q379" s="18">
        <v>0.79314400000000007</v>
      </c>
      <c r="R379" s="18">
        <v>5.4077999999999999E-3</v>
      </c>
      <c r="S379" s="18">
        <v>1.514184</v>
      </c>
      <c r="T379" s="18">
        <v>6.4893600000000005</v>
      </c>
      <c r="U379" s="18">
        <v>3.2446800000000002</v>
      </c>
      <c r="V379" s="18">
        <v>41.531903999999997</v>
      </c>
      <c r="W379" s="18">
        <v>38.936160000000001</v>
      </c>
      <c r="X379" s="18">
        <v>25.957440000000002</v>
      </c>
      <c r="Y379" s="18">
        <v>1.153664</v>
      </c>
      <c r="Z379" s="18">
        <v>5.1193840000000002</v>
      </c>
      <c r="AA379" s="18">
        <v>7.4988159999999997</v>
      </c>
      <c r="AB379" s="18">
        <v>13.33924</v>
      </c>
      <c r="AC379" s="18">
        <v>4.109928</v>
      </c>
      <c r="AD379" s="18">
        <v>21.6312</v>
      </c>
    </row>
    <row r="380" spans="2:30" x14ac:dyDescent="0.25">
      <c r="B380" t="s">
        <v>124</v>
      </c>
      <c r="C380" t="s">
        <v>326</v>
      </c>
      <c r="D380" t="s">
        <v>383</v>
      </c>
      <c r="E380" s="35">
        <v>0.9</v>
      </c>
      <c r="F380" s="35">
        <v>35</v>
      </c>
      <c r="G380" s="36">
        <v>0.50398100000000001</v>
      </c>
      <c r="H380" s="18">
        <v>907.16513699999996</v>
      </c>
      <c r="I380" s="16">
        <v>0</v>
      </c>
      <c r="J380" s="16"/>
      <c r="K380" s="16"/>
      <c r="L380" s="37" t="s">
        <v>107</v>
      </c>
      <c r="M380" s="37"/>
      <c r="N380" s="37">
        <v>381</v>
      </c>
      <c r="O380" s="37"/>
      <c r="P380" s="37"/>
      <c r="Q380" s="18">
        <v>5.5437910000000006</v>
      </c>
      <c r="R380" s="18">
        <v>3.7798575000000001E-2</v>
      </c>
      <c r="S380" s="18">
        <v>10.583601</v>
      </c>
      <c r="T380" s="18">
        <v>45.358290000000004</v>
      </c>
      <c r="U380" s="18">
        <v>22.679145000000002</v>
      </c>
      <c r="V380" s="18">
        <v>290.29305599999998</v>
      </c>
      <c r="W380" s="18">
        <v>272.14974000000001</v>
      </c>
      <c r="X380" s="18">
        <v>181.43316000000002</v>
      </c>
      <c r="Y380" s="18">
        <v>8.0636960000000002</v>
      </c>
      <c r="Z380" s="18">
        <v>35.782651000000001</v>
      </c>
      <c r="AA380" s="18">
        <v>52.414023999999998</v>
      </c>
      <c r="AB380" s="18">
        <v>93.236485000000002</v>
      </c>
      <c r="AC380" s="18">
        <v>28.726917</v>
      </c>
      <c r="AD380" s="18">
        <v>151.1943</v>
      </c>
    </row>
    <row r="381" spans="2:30" x14ac:dyDescent="0.25">
      <c r="B381" t="s">
        <v>124</v>
      </c>
      <c r="C381" t="s">
        <v>326</v>
      </c>
      <c r="D381" t="s">
        <v>384</v>
      </c>
      <c r="E381" s="35">
        <v>0.9</v>
      </c>
      <c r="F381" s="35">
        <v>35</v>
      </c>
      <c r="G381" s="36">
        <v>0.29725600000000002</v>
      </c>
      <c r="H381" s="18">
        <v>535.06027800000004</v>
      </c>
      <c r="I381" s="16">
        <v>0</v>
      </c>
      <c r="J381" s="16"/>
      <c r="K381" s="16"/>
      <c r="L381" s="37" t="s">
        <v>107</v>
      </c>
      <c r="M381" s="37"/>
      <c r="N381" s="37">
        <v>382</v>
      </c>
      <c r="O381" s="37"/>
      <c r="P381" s="37"/>
      <c r="Q381" s="18">
        <v>3.2698160000000001</v>
      </c>
      <c r="R381" s="18">
        <v>2.22942E-2</v>
      </c>
      <c r="S381" s="18">
        <v>6.2423760000000001</v>
      </c>
      <c r="T381" s="18">
        <v>26.753040000000002</v>
      </c>
      <c r="U381" s="18">
        <v>13.376520000000001</v>
      </c>
      <c r="V381" s="18">
        <v>171.21945600000001</v>
      </c>
      <c r="W381" s="18">
        <v>160.51824000000002</v>
      </c>
      <c r="X381" s="18">
        <v>107.01216000000001</v>
      </c>
      <c r="Y381" s="18">
        <v>4.7560960000000003</v>
      </c>
      <c r="Z381" s="18">
        <v>21.105176</v>
      </c>
      <c r="AA381" s="18">
        <v>30.914624000000003</v>
      </c>
      <c r="AB381" s="18">
        <v>54.992360000000005</v>
      </c>
      <c r="AC381" s="18">
        <v>16.943592000000002</v>
      </c>
      <c r="AD381" s="18">
        <v>89.1768</v>
      </c>
    </row>
    <row r="382" spans="2:30" x14ac:dyDescent="0.25">
      <c r="B382" t="s">
        <v>112</v>
      </c>
      <c r="C382" t="s">
        <v>326</v>
      </c>
      <c r="D382" t="s">
        <v>368</v>
      </c>
      <c r="E382" s="35">
        <v>0.9</v>
      </c>
      <c r="F382" s="35">
        <v>60</v>
      </c>
      <c r="G382" s="36">
        <v>1.192753</v>
      </c>
      <c r="H382" s="18">
        <v>2146.9561520000002</v>
      </c>
      <c r="I382" s="16">
        <v>0</v>
      </c>
      <c r="J382" s="16">
        <v>68</v>
      </c>
      <c r="K382" s="16" t="s">
        <v>114</v>
      </c>
      <c r="L382" s="37" t="s">
        <v>107</v>
      </c>
      <c r="M382" s="37"/>
      <c r="N382" s="37">
        <v>383</v>
      </c>
      <c r="O382" s="37"/>
      <c r="P382" s="37"/>
      <c r="Q382" s="18">
        <v>13.120282999999999</v>
      </c>
      <c r="R382" s="18">
        <v>8.9456474999999994E-2</v>
      </c>
      <c r="S382" s="18">
        <v>25.047812999999998</v>
      </c>
      <c r="T382" s="18">
        <v>107.34777</v>
      </c>
      <c r="U382" s="18">
        <v>53.673884999999999</v>
      </c>
      <c r="V382" s="18">
        <v>687.02572799999996</v>
      </c>
      <c r="W382" s="18">
        <v>644.08661999999993</v>
      </c>
      <c r="X382" s="18">
        <v>429.39107999999999</v>
      </c>
      <c r="Y382" s="18">
        <v>19.084047999999999</v>
      </c>
      <c r="Z382" s="18">
        <v>84.685462999999999</v>
      </c>
      <c r="AA382" s="18">
        <v>124.046312</v>
      </c>
      <c r="AB382" s="18">
        <v>220.65930499999999</v>
      </c>
      <c r="AC382" s="18">
        <v>67.986920999999995</v>
      </c>
      <c r="AD382" s="18">
        <v>357.82589999999999</v>
      </c>
    </row>
    <row r="383" spans="2:30" x14ac:dyDescent="0.25">
      <c r="B383" t="s">
        <v>119</v>
      </c>
      <c r="C383" t="s">
        <v>326</v>
      </c>
      <c r="D383" t="s">
        <v>385</v>
      </c>
      <c r="E383" s="35">
        <v>0.9</v>
      </c>
      <c r="F383" s="35">
        <v>19</v>
      </c>
      <c r="G383" s="36">
        <v>0.153388</v>
      </c>
      <c r="H383" s="18">
        <v>276.09787799999998</v>
      </c>
      <c r="I383" s="16">
        <v>0</v>
      </c>
      <c r="J383" s="16"/>
      <c r="K383" s="16"/>
      <c r="L383" s="37" t="s">
        <v>107</v>
      </c>
      <c r="M383" s="37"/>
      <c r="N383" s="37">
        <v>384</v>
      </c>
      <c r="O383" s="37"/>
      <c r="P383" s="37"/>
      <c r="Q383" s="18">
        <v>1.687268</v>
      </c>
      <c r="R383" s="18">
        <v>1.15041E-2</v>
      </c>
      <c r="S383" s="18">
        <v>3.2211479999999999</v>
      </c>
      <c r="T383" s="18">
        <v>13.804919999999999</v>
      </c>
      <c r="U383" s="18">
        <v>6.9024599999999996</v>
      </c>
      <c r="V383" s="18">
        <v>88.351488000000003</v>
      </c>
      <c r="W383" s="18">
        <v>82.829520000000002</v>
      </c>
      <c r="X383" s="18">
        <v>55.219679999999997</v>
      </c>
      <c r="Y383" s="18">
        <v>2.4542079999999999</v>
      </c>
      <c r="Z383" s="18">
        <v>10.890547999999999</v>
      </c>
      <c r="AA383" s="18">
        <v>15.952351999999999</v>
      </c>
      <c r="AB383" s="18">
        <v>28.37678</v>
      </c>
      <c r="AC383" s="18">
        <v>8.7431160000000006</v>
      </c>
      <c r="AD383" s="18">
        <v>46.016399999999997</v>
      </c>
    </row>
    <row r="384" spans="2:30" x14ac:dyDescent="0.25">
      <c r="B384" t="s">
        <v>166</v>
      </c>
      <c r="C384" t="s">
        <v>326</v>
      </c>
      <c r="D384" t="s">
        <v>386</v>
      </c>
      <c r="E384" s="35">
        <v>0.9</v>
      </c>
      <c r="F384" s="35">
        <v>26</v>
      </c>
      <c r="G384" s="36">
        <v>0.44544899999999998</v>
      </c>
      <c r="H384" s="18">
        <v>801.808896</v>
      </c>
      <c r="I384" s="16">
        <v>0</v>
      </c>
      <c r="J384" s="16"/>
      <c r="K384" s="16"/>
      <c r="L384" s="37" t="s">
        <v>107</v>
      </c>
      <c r="M384" s="37"/>
      <c r="N384" s="37">
        <v>385</v>
      </c>
      <c r="O384" s="37"/>
      <c r="P384" s="37"/>
      <c r="Q384" s="18">
        <v>4.8999389999999998</v>
      </c>
      <c r="R384" s="18">
        <v>3.3408674999999999E-2</v>
      </c>
      <c r="S384" s="18">
        <v>9.3544289999999997</v>
      </c>
      <c r="T384" s="18">
        <v>40.090409999999999</v>
      </c>
      <c r="U384" s="18">
        <v>20.045204999999999</v>
      </c>
      <c r="V384" s="18">
        <v>256.57862399999999</v>
      </c>
      <c r="W384" s="18">
        <v>240.54246000000001</v>
      </c>
      <c r="X384" s="18">
        <v>160.36163999999999</v>
      </c>
      <c r="Y384" s="18">
        <v>7.1271839999999997</v>
      </c>
      <c r="Z384" s="18">
        <v>31.626878999999999</v>
      </c>
      <c r="AA384" s="18">
        <v>46.326695999999998</v>
      </c>
      <c r="AB384" s="18">
        <v>82.408064999999993</v>
      </c>
      <c r="AC384" s="18">
        <v>25.390592999999999</v>
      </c>
      <c r="AD384" s="18">
        <v>133.63470000000001</v>
      </c>
    </row>
    <row r="385" spans="2:30" x14ac:dyDescent="0.25">
      <c r="B385" t="s">
        <v>206</v>
      </c>
      <c r="C385" t="s">
        <v>326</v>
      </c>
      <c r="D385" t="s">
        <v>366</v>
      </c>
      <c r="E385" s="35">
        <v>1.8</v>
      </c>
      <c r="F385" s="35">
        <v>58.1</v>
      </c>
      <c r="G385" s="36">
        <v>0.84551600000000005</v>
      </c>
      <c r="H385" s="18">
        <v>3043.8581490000001</v>
      </c>
      <c r="I385" s="16"/>
      <c r="J385" s="16"/>
      <c r="K385" s="16"/>
      <c r="L385" s="37" t="s">
        <v>107</v>
      </c>
      <c r="M385" s="37"/>
      <c r="N385" s="37">
        <v>386</v>
      </c>
      <c r="O385" s="37"/>
      <c r="P385" s="37"/>
      <c r="Q385" s="18">
        <v>9.3006760000000011</v>
      </c>
      <c r="R385" s="18">
        <v>6.3413700000000003E-2</v>
      </c>
      <c r="S385" s="18">
        <v>17.755836000000002</v>
      </c>
      <c r="T385" s="18">
        <v>76.096440000000001</v>
      </c>
      <c r="U385" s="18">
        <v>38.048220000000001</v>
      </c>
      <c r="V385" s="18">
        <v>487.01721600000002</v>
      </c>
      <c r="W385" s="18">
        <v>456.57864000000001</v>
      </c>
      <c r="X385" s="18">
        <v>304.38576</v>
      </c>
      <c r="Y385" s="18">
        <v>13.528256000000001</v>
      </c>
      <c r="Z385" s="18">
        <v>60.031636000000006</v>
      </c>
      <c r="AA385" s="18">
        <v>87.933664000000007</v>
      </c>
      <c r="AB385" s="18">
        <v>156.42046000000002</v>
      </c>
      <c r="AC385" s="18">
        <v>48.194412</v>
      </c>
      <c r="AD385" s="18">
        <v>253.65480000000002</v>
      </c>
    </row>
    <row r="386" spans="2:30" x14ac:dyDescent="0.25">
      <c r="B386" t="s">
        <v>191</v>
      </c>
      <c r="C386" t="s">
        <v>326</v>
      </c>
      <c r="D386" t="s">
        <v>387</v>
      </c>
      <c r="E386" s="35">
        <v>0.9</v>
      </c>
      <c r="F386" s="35">
        <v>8.1999999999999993</v>
      </c>
      <c r="G386" s="36">
        <v>1.5258000000000001E-2</v>
      </c>
      <c r="H386" s="18">
        <v>27.463645</v>
      </c>
      <c r="I386" s="16"/>
      <c r="J386" s="16"/>
      <c r="K386" s="16"/>
      <c r="L386" s="37" t="s">
        <v>107</v>
      </c>
      <c r="M386" s="37"/>
      <c r="N386" s="37">
        <v>387</v>
      </c>
      <c r="O386" s="37"/>
      <c r="P386" s="37"/>
      <c r="Q386" s="18">
        <v>0.16783800000000001</v>
      </c>
      <c r="R386" s="18">
        <v>1.1443499999999999E-3</v>
      </c>
      <c r="S386" s="18">
        <v>0.32041800000000004</v>
      </c>
      <c r="T386" s="18">
        <v>1.3732200000000001</v>
      </c>
      <c r="U386" s="18">
        <v>0.68661000000000005</v>
      </c>
      <c r="V386" s="18">
        <v>8.788608</v>
      </c>
      <c r="W386" s="18">
        <v>8.2393200000000011</v>
      </c>
      <c r="X386" s="18">
        <v>5.4928800000000004</v>
      </c>
      <c r="Y386" s="18">
        <v>0.24412800000000001</v>
      </c>
      <c r="Z386" s="18">
        <v>1.083318</v>
      </c>
      <c r="AA386" s="18">
        <v>1.586832</v>
      </c>
      <c r="AB386" s="18">
        <v>2.82273</v>
      </c>
      <c r="AC386" s="18">
        <v>0.86970600000000009</v>
      </c>
      <c r="AD386" s="18">
        <v>4.5773999999999999</v>
      </c>
    </row>
    <row r="387" spans="2:30" x14ac:dyDescent="0.25">
      <c r="B387" t="s">
        <v>191</v>
      </c>
      <c r="C387" t="s">
        <v>326</v>
      </c>
      <c r="D387" t="s">
        <v>388</v>
      </c>
      <c r="E387" s="35">
        <v>0.9</v>
      </c>
      <c r="F387" s="35">
        <v>8.1999999999999993</v>
      </c>
      <c r="G387" s="36">
        <v>3.6461E-2</v>
      </c>
      <c r="H387" s="18">
        <v>65.630128999999997</v>
      </c>
      <c r="I387" s="16"/>
      <c r="J387" s="16"/>
      <c r="K387" s="16"/>
      <c r="L387" s="37" t="s">
        <v>107</v>
      </c>
      <c r="M387" s="37"/>
      <c r="N387" s="37">
        <v>388</v>
      </c>
      <c r="O387" s="37"/>
      <c r="P387" s="37"/>
      <c r="Q387" s="18">
        <v>0.40107100000000001</v>
      </c>
      <c r="R387" s="18">
        <v>2.7345749999999999E-3</v>
      </c>
      <c r="S387" s="18">
        <v>0.76568100000000006</v>
      </c>
      <c r="T387" s="18">
        <v>3.2814900000000002</v>
      </c>
      <c r="U387" s="18">
        <v>1.6407450000000001</v>
      </c>
      <c r="V387" s="18">
        <v>21.001536000000002</v>
      </c>
      <c r="W387" s="18">
        <v>19.688939999999999</v>
      </c>
      <c r="X387" s="18">
        <v>13.125960000000001</v>
      </c>
      <c r="Y387" s="18">
        <v>0.58337600000000001</v>
      </c>
      <c r="Z387" s="18">
        <v>2.5887310000000001</v>
      </c>
      <c r="AA387" s="18">
        <v>3.791944</v>
      </c>
      <c r="AB387" s="18">
        <v>6.745285</v>
      </c>
      <c r="AC387" s="18">
        <v>2.0782769999999999</v>
      </c>
      <c r="AD387" s="18">
        <v>10.9383</v>
      </c>
    </row>
    <row r="388" spans="2:30" x14ac:dyDescent="0.25">
      <c r="B388" t="s">
        <v>124</v>
      </c>
      <c r="C388" t="s">
        <v>326</v>
      </c>
      <c r="D388" t="s">
        <v>389</v>
      </c>
      <c r="E388" s="35">
        <v>0.9</v>
      </c>
      <c r="F388" s="35">
        <v>35</v>
      </c>
      <c r="G388" s="36">
        <v>0.44985000000000003</v>
      </c>
      <c r="H388" s="18">
        <v>809.72910200000001</v>
      </c>
      <c r="I388" s="16">
        <v>0</v>
      </c>
      <c r="J388" s="16"/>
      <c r="K388" s="16"/>
      <c r="L388" s="37" t="s">
        <v>107</v>
      </c>
      <c r="M388" s="37"/>
      <c r="N388" s="37">
        <v>389</v>
      </c>
      <c r="O388" s="37"/>
      <c r="P388" s="37"/>
      <c r="Q388" s="18">
        <v>4.9483500000000005</v>
      </c>
      <c r="R388" s="18">
        <v>3.3738749999999998E-2</v>
      </c>
      <c r="S388" s="18">
        <v>9.4468500000000013</v>
      </c>
      <c r="T388" s="18">
        <v>40.486499999999999</v>
      </c>
      <c r="U388" s="18">
        <v>20.24325</v>
      </c>
      <c r="V388" s="18">
        <v>259.11360000000002</v>
      </c>
      <c r="W388" s="18">
        <v>242.91900000000001</v>
      </c>
      <c r="X388" s="18">
        <v>161.946</v>
      </c>
      <c r="Y388" s="18">
        <v>7.1976000000000004</v>
      </c>
      <c r="Z388" s="18">
        <v>31.939350000000001</v>
      </c>
      <c r="AA388" s="18">
        <v>46.784400000000005</v>
      </c>
      <c r="AB388" s="18">
        <v>83.222250000000003</v>
      </c>
      <c r="AC388" s="18">
        <v>25.641450000000003</v>
      </c>
      <c r="AD388" s="18">
        <v>134.95500000000001</v>
      </c>
    </row>
    <row r="389" spans="2:30" x14ac:dyDescent="0.25">
      <c r="B389" t="s">
        <v>112</v>
      </c>
      <c r="C389" t="s">
        <v>326</v>
      </c>
      <c r="D389" t="s">
        <v>368</v>
      </c>
      <c r="E389" s="35">
        <v>0.9</v>
      </c>
      <c r="F389" s="35">
        <v>60</v>
      </c>
      <c r="G389" s="36">
        <v>1.192753</v>
      </c>
      <c r="H389" s="18">
        <v>2146.9561520000002</v>
      </c>
      <c r="I389" s="16">
        <v>0</v>
      </c>
      <c r="J389" s="16">
        <v>68</v>
      </c>
      <c r="K389" s="16" t="s">
        <v>114</v>
      </c>
      <c r="L389" s="37" t="s">
        <v>107</v>
      </c>
      <c r="M389" s="37"/>
      <c r="N389" s="37">
        <v>390</v>
      </c>
      <c r="O389" s="37"/>
      <c r="P389" s="37"/>
      <c r="Q389" s="18">
        <v>13.120282999999999</v>
      </c>
      <c r="R389" s="18">
        <v>8.9456474999999994E-2</v>
      </c>
      <c r="S389" s="18">
        <v>25.047812999999998</v>
      </c>
      <c r="T389" s="18">
        <v>107.34777</v>
      </c>
      <c r="U389" s="18">
        <v>53.673884999999999</v>
      </c>
      <c r="V389" s="18">
        <v>687.02572799999996</v>
      </c>
      <c r="W389" s="18">
        <v>644.08661999999993</v>
      </c>
      <c r="X389" s="18">
        <v>429.39107999999999</v>
      </c>
      <c r="Y389" s="18">
        <v>19.084047999999999</v>
      </c>
      <c r="Z389" s="18">
        <v>84.685462999999999</v>
      </c>
      <c r="AA389" s="18">
        <v>124.046312</v>
      </c>
      <c r="AB389" s="18">
        <v>220.65930499999999</v>
      </c>
      <c r="AC389" s="18">
        <v>67.986920999999995</v>
      </c>
      <c r="AD389" s="18">
        <v>357.82589999999999</v>
      </c>
    </row>
    <row r="390" spans="2:30" x14ac:dyDescent="0.25">
      <c r="B390" t="s">
        <v>110</v>
      </c>
      <c r="C390" t="s">
        <v>326</v>
      </c>
      <c r="D390" t="s">
        <v>390</v>
      </c>
      <c r="E390" s="35">
        <v>0.9</v>
      </c>
      <c r="F390" s="35">
        <v>22</v>
      </c>
      <c r="G390" s="36">
        <v>0.21837799999999999</v>
      </c>
      <c r="H390" s="18">
        <v>393.08129400000001</v>
      </c>
      <c r="I390" s="16">
        <v>0</v>
      </c>
      <c r="J390" s="16"/>
      <c r="K390" s="16"/>
      <c r="L390" s="37" t="s">
        <v>107</v>
      </c>
      <c r="M390" s="37"/>
      <c r="N390" s="37">
        <v>391</v>
      </c>
      <c r="O390" s="37"/>
      <c r="P390" s="37"/>
      <c r="Q390" s="18">
        <v>2.402158</v>
      </c>
      <c r="R390" s="18">
        <v>1.637835E-2</v>
      </c>
      <c r="S390" s="18">
        <v>4.5859379999999996</v>
      </c>
      <c r="T390" s="18">
        <v>19.654019999999999</v>
      </c>
      <c r="U390" s="18">
        <v>9.8270099999999996</v>
      </c>
      <c r="V390" s="18">
        <v>125.78572799999999</v>
      </c>
      <c r="W390" s="18">
        <v>117.92411999999999</v>
      </c>
      <c r="X390" s="18">
        <v>78.616079999999997</v>
      </c>
      <c r="Y390" s="18">
        <v>3.4940479999999998</v>
      </c>
      <c r="Z390" s="18">
        <v>15.504837999999999</v>
      </c>
      <c r="AA390" s="18">
        <v>22.711312</v>
      </c>
      <c r="AB390" s="18">
        <v>40.399929999999998</v>
      </c>
      <c r="AC390" s="18">
        <v>12.447545999999999</v>
      </c>
      <c r="AD390" s="18">
        <v>65.51339999999999</v>
      </c>
    </row>
    <row r="391" spans="2:30" x14ac:dyDescent="0.25">
      <c r="B391" t="s">
        <v>391</v>
      </c>
      <c r="C391" t="s">
        <v>326</v>
      </c>
      <c r="D391" t="s">
        <v>392</v>
      </c>
      <c r="E391" s="35">
        <v>0.9</v>
      </c>
      <c r="F391" s="35">
        <v>84</v>
      </c>
      <c r="G391" s="36">
        <v>1.4632229999999999</v>
      </c>
      <c r="H391" s="18">
        <v>2633.8017479999999</v>
      </c>
      <c r="I391" s="16">
        <v>0</v>
      </c>
      <c r="J391" s="16">
        <v>54</v>
      </c>
      <c r="K391" s="16"/>
      <c r="L391" s="37" t="s">
        <v>107</v>
      </c>
      <c r="M391" s="37"/>
      <c r="N391" s="37">
        <v>392</v>
      </c>
      <c r="O391" s="37"/>
      <c r="P391" s="37"/>
      <c r="Q391" s="18">
        <v>16.095452999999999</v>
      </c>
      <c r="R391" s="18">
        <v>0.109741725</v>
      </c>
      <c r="S391" s="18">
        <v>30.727682999999999</v>
      </c>
      <c r="T391" s="18">
        <v>131.69006999999999</v>
      </c>
      <c r="U391" s="18">
        <v>65.845034999999996</v>
      </c>
      <c r="V391" s="18">
        <v>842.81644799999992</v>
      </c>
      <c r="W391" s="18">
        <v>790.14041999999995</v>
      </c>
      <c r="X391" s="18">
        <v>526.76027999999997</v>
      </c>
      <c r="Y391" s="18">
        <v>23.411567999999999</v>
      </c>
      <c r="Z391" s="18">
        <v>103.88883299999999</v>
      </c>
      <c r="AA391" s="18">
        <v>152.17519199999998</v>
      </c>
      <c r="AB391" s="18">
        <v>270.69625500000001</v>
      </c>
      <c r="AC391" s="18">
        <v>83.403711000000001</v>
      </c>
      <c r="AD391" s="18">
        <v>438.96690000000001</v>
      </c>
    </row>
    <row r="392" spans="2:30" x14ac:dyDescent="0.25">
      <c r="B392" t="s">
        <v>393</v>
      </c>
      <c r="C392" t="s">
        <v>326</v>
      </c>
      <c r="D392" t="s">
        <v>392</v>
      </c>
      <c r="E392" s="35">
        <v>1.17</v>
      </c>
      <c r="F392" s="35">
        <v>94</v>
      </c>
      <c r="G392" s="36">
        <v>1.637416</v>
      </c>
      <c r="H392" s="18">
        <v>3831.5544479999999</v>
      </c>
      <c r="I392" s="16">
        <v>0</v>
      </c>
      <c r="J392" s="16">
        <v>50</v>
      </c>
      <c r="K392" s="16"/>
      <c r="L392" s="37" t="s">
        <v>107</v>
      </c>
      <c r="M392" s="37"/>
      <c r="N392" s="37">
        <v>393</v>
      </c>
      <c r="O392" s="37"/>
      <c r="P392" s="37"/>
      <c r="Q392" s="18">
        <v>18.011575999999998</v>
      </c>
      <c r="R392" s="18">
        <v>0.12280619999999999</v>
      </c>
      <c r="S392" s="18">
        <v>34.385736000000001</v>
      </c>
      <c r="T392" s="18">
        <v>147.36743999999999</v>
      </c>
      <c r="U392" s="18">
        <v>73.683719999999994</v>
      </c>
      <c r="V392" s="18">
        <v>943.15161599999999</v>
      </c>
      <c r="W392" s="18">
        <v>884.20464000000004</v>
      </c>
      <c r="X392" s="18">
        <v>589.46975999999995</v>
      </c>
      <c r="Y392" s="18">
        <v>26.198656</v>
      </c>
      <c r="Z392" s="18">
        <v>116.256536</v>
      </c>
      <c r="AA392" s="18">
        <v>170.29126400000001</v>
      </c>
      <c r="AB392" s="18">
        <v>302.92196000000001</v>
      </c>
      <c r="AC392" s="18">
        <v>93.332712000000001</v>
      </c>
      <c r="AD392" s="18">
        <v>491.22480000000002</v>
      </c>
    </row>
    <row r="393" spans="2:30" x14ac:dyDescent="0.25">
      <c r="B393" t="s">
        <v>394</v>
      </c>
      <c r="C393" t="s">
        <v>326</v>
      </c>
      <c r="D393" t="s">
        <v>395</v>
      </c>
      <c r="E393" s="35">
        <v>1.17</v>
      </c>
      <c r="F393" s="35">
        <v>94</v>
      </c>
      <c r="G393" s="36">
        <v>1.772675</v>
      </c>
      <c r="H393" s="18">
        <v>4148.058779</v>
      </c>
      <c r="I393" s="16">
        <v>0</v>
      </c>
      <c r="J393" s="16">
        <v>46</v>
      </c>
      <c r="K393" s="16" t="s">
        <v>130</v>
      </c>
      <c r="L393" s="37" t="s">
        <v>107</v>
      </c>
      <c r="M393" s="37"/>
      <c r="N393" s="37">
        <v>394</v>
      </c>
      <c r="O393" s="37"/>
      <c r="P393" s="37"/>
      <c r="Q393" s="18">
        <v>19.499424999999999</v>
      </c>
      <c r="R393" s="18">
        <v>0.13295062499999999</v>
      </c>
      <c r="S393" s="18">
        <v>37.226174999999998</v>
      </c>
      <c r="T393" s="18">
        <v>159.54075</v>
      </c>
      <c r="U393" s="18">
        <v>79.770375000000001</v>
      </c>
      <c r="V393" s="18">
        <v>1021.0608</v>
      </c>
      <c r="W393" s="18">
        <v>957.24450000000002</v>
      </c>
      <c r="X393" s="18">
        <v>638.16300000000001</v>
      </c>
      <c r="Y393" s="18">
        <v>28.3628</v>
      </c>
      <c r="Z393" s="18">
        <v>125.859925</v>
      </c>
      <c r="AA393" s="18">
        <v>184.35820000000001</v>
      </c>
      <c r="AB393" s="18">
        <v>327.94487500000002</v>
      </c>
      <c r="AC393" s="18">
        <v>101.042475</v>
      </c>
      <c r="AD393" s="18">
        <v>531.80250000000001</v>
      </c>
    </row>
    <row r="394" spans="2:30" x14ac:dyDescent="0.25">
      <c r="B394" t="s">
        <v>110</v>
      </c>
      <c r="C394" t="s">
        <v>326</v>
      </c>
      <c r="D394" t="s">
        <v>396</v>
      </c>
      <c r="E394" s="35">
        <v>0.9</v>
      </c>
      <c r="F394" s="35">
        <v>22</v>
      </c>
      <c r="G394" s="36">
        <v>0.24321499999999999</v>
      </c>
      <c r="H394" s="18">
        <v>437.78782799999999</v>
      </c>
      <c r="I394" s="16">
        <v>0</v>
      </c>
      <c r="J394" s="16"/>
      <c r="K394" s="16"/>
      <c r="L394" s="37" t="s">
        <v>107</v>
      </c>
      <c r="M394" s="37"/>
      <c r="N394" s="37">
        <v>395</v>
      </c>
      <c r="O394" s="37"/>
      <c r="P394" s="37"/>
      <c r="Q394" s="18">
        <v>2.6753649999999998</v>
      </c>
      <c r="R394" s="18">
        <v>1.8241124999999997E-2</v>
      </c>
      <c r="S394" s="18">
        <v>5.1075149999999994</v>
      </c>
      <c r="T394" s="18">
        <v>21.88935</v>
      </c>
      <c r="U394" s="18">
        <v>10.944675</v>
      </c>
      <c r="V394" s="18">
        <v>140.09183999999999</v>
      </c>
      <c r="W394" s="18">
        <v>131.33609999999999</v>
      </c>
      <c r="X394" s="18">
        <v>87.557400000000001</v>
      </c>
      <c r="Y394" s="18">
        <v>3.8914399999999998</v>
      </c>
      <c r="Z394" s="18">
        <v>17.268265</v>
      </c>
      <c r="AA394" s="18">
        <v>25.294359999999998</v>
      </c>
      <c r="AB394" s="18">
        <v>44.994774999999997</v>
      </c>
      <c r="AC394" s="18">
        <v>13.863254999999999</v>
      </c>
      <c r="AD394" s="18">
        <v>72.964500000000001</v>
      </c>
    </row>
    <row r="395" spans="2:30" x14ac:dyDescent="0.25">
      <c r="B395" t="s">
        <v>166</v>
      </c>
      <c r="C395" t="s">
        <v>326</v>
      </c>
      <c r="D395" t="s">
        <v>397</v>
      </c>
      <c r="E395" s="35">
        <v>0.9</v>
      </c>
      <c r="F395" s="35">
        <v>26</v>
      </c>
      <c r="G395" s="36">
        <v>0.30713499999999999</v>
      </c>
      <c r="H395" s="18">
        <v>552.84302700000001</v>
      </c>
      <c r="I395" s="16">
        <v>0</v>
      </c>
      <c r="J395" s="16"/>
      <c r="K395" s="16"/>
      <c r="L395" s="37" t="s">
        <v>107</v>
      </c>
      <c r="M395" s="37"/>
      <c r="N395" s="37">
        <v>396</v>
      </c>
      <c r="O395" s="37"/>
      <c r="P395" s="37"/>
      <c r="Q395" s="18">
        <v>3.378485</v>
      </c>
      <c r="R395" s="18">
        <v>2.3035125E-2</v>
      </c>
      <c r="S395" s="18">
        <v>6.4498350000000002</v>
      </c>
      <c r="T395" s="18">
        <v>27.642150000000001</v>
      </c>
      <c r="U395" s="18">
        <v>13.821075</v>
      </c>
      <c r="V395" s="18">
        <v>176.90976000000001</v>
      </c>
      <c r="W395" s="18">
        <v>165.85290000000001</v>
      </c>
      <c r="X395" s="18">
        <v>110.5686</v>
      </c>
      <c r="Y395" s="18">
        <v>4.9141599999999999</v>
      </c>
      <c r="Z395" s="18">
        <v>21.806584999999998</v>
      </c>
      <c r="AA395" s="18">
        <v>31.942039999999999</v>
      </c>
      <c r="AB395" s="18">
        <v>56.819974999999999</v>
      </c>
      <c r="AC395" s="18">
        <v>17.506695000000001</v>
      </c>
      <c r="AD395" s="18">
        <v>92.140500000000003</v>
      </c>
    </row>
    <row r="396" spans="2:30" x14ac:dyDescent="0.25">
      <c r="B396" t="s">
        <v>112</v>
      </c>
      <c r="C396" t="s">
        <v>326</v>
      </c>
      <c r="D396" t="s">
        <v>368</v>
      </c>
      <c r="E396" s="35">
        <v>0.9</v>
      </c>
      <c r="F396" s="35">
        <v>60</v>
      </c>
      <c r="G396" s="36">
        <v>1.192753</v>
      </c>
      <c r="H396" s="18">
        <v>2146.9561520000002</v>
      </c>
      <c r="I396" s="16">
        <v>0</v>
      </c>
      <c r="J396" s="16">
        <v>68</v>
      </c>
      <c r="K396" s="16" t="s">
        <v>114</v>
      </c>
      <c r="L396" s="37" t="s">
        <v>107</v>
      </c>
      <c r="M396" s="37"/>
      <c r="N396" s="37">
        <v>397</v>
      </c>
      <c r="O396" s="37"/>
      <c r="P396" s="37"/>
      <c r="Q396" s="18">
        <v>13.120282999999999</v>
      </c>
      <c r="R396" s="18">
        <v>8.9456474999999994E-2</v>
      </c>
      <c r="S396" s="18">
        <v>25.047812999999998</v>
      </c>
      <c r="T396" s="18">
        <v>107.34777</v>
      </c>
      <c r="U396" s="18">
        <v>53.673884999999999</v>
      </c>
      <c r="V396" s="18">
        <v>687.02572799999996</v>
      </c>
      <c r="W396" s="18">
        <v>644.08661999999993</v>
      </c>
      <c r="X396" s="18">
        <v>429.39107999999999</v>
      </c>
      <c r="Y396" s="18">
        <v>19.084047999999999</v>
      </c>
      <c r="Z396" s="18">
        <v>84.685462999999999</v>
      </c>
      <c r="AA396" s="18">
        <v>124.046312</v>
      </c>
      <c r="AB396" s="18">
        <v>220.65930499999999</v>
      </c>
      <c r="AC396" s="18">
        <v>67.986920999999995</v>
      </c>
      <c r="AD396" s="18">
        <v>357.82589999999999</v>
      </c>
    </row>
    <row r="397" spans="2:30" x14ac:dyDescent="0.25">
      <c r="B397" t="s">
        <v>166</v>
      </c>
      <c r="C397" t="s">
        <v>326</v>
      </c>
      <c r="D397" t="s">
        <v>398</v>
      </c>
      <c r="E397" s="35">
        <v>0.9</v>
      </c>
      <c r="F397" s="35">
        <v>26</v>
      </c>
      <c r="G397" s="36">
        <v>0.30626799999999998</v>
      </c>
      <c r="H397" s="18">
        <v>551.28309100000001</v>
      </c>
      <c r="I397" s="16">
        <v>0</v>
      </c>
      <c r="J397" s="16"/>
      <c r="K397" s="16"/>
      <c r="L397" s="37" t="s">
        <v>107</v>
      </c>
      <c r="M397" s="37"/>
      <c r="N397" s="37">
        <v>398</v>
      </c>
      <c r="O397" s="37"/>
      <c r="P397" s="37"/>
      <c r="Q397" s="18">
        <v>3.3689479999999996</v>
      </c>
      <c r="R397" s="18">
        <v>2.2970099999999997E-2</v>
      </c>
      <c r="S397" s="18">
        <v>6.4316279999999999</v>
      </c>
      <c r="T397" s="18">
        <v>27.564119999999999</v>
      </c>
      <c r="U397" s="18">
        <v>13.78206</v>
      </c>
      <c r="V397" s="18">
        <v>176.41036800000001</v>
      </c>
      <c r="W397" s="18">
        <v>165.38471999999999</v>
      </c>
      <c r="X397" s="18">
        <v>110.25648</v>
      </c>
      <c r="Y397" s="18">
        <v>4.9002879999999998</v>
      </c>
      <c r="Z397" s="18">
        <v>21.745027999999998</v>
      </c>
      <c r="AA397" s="18">
        <v>31.851872</v>
      </c>
      <c r="AB397" s="18">
        <v>56.659579999999998</v>
      </c>
      <c r="AC397" s="18">
        <v>17.457276</v>
      </c>
      <c r="AD397" s="18">
        <v>91.880399999999995</v>
      </c>
    </row>
    <row r="398" spans="2:30" x14ac:dyDescent="0.25">
      <c r="B398" t="s">
        <v>108</v>
      </c>
      <c r="C398" t="s">
        <v>326</v>
      </c>
      <c r="D398" t="s">
        <v>399</v>
      </c>
      <c r="E398" s="35">
        <v>0.9</v>
      </c>
      <c r="F398" s="35">
        <v>16</v>
      </c>
      <c r="G398" s="36">
        <v>6.4283000000000007E-2</v>
      </c>
      <c r="H398" s="18">
        <v>115.7094</v>
      </c>
      <c r="I398" s="16">
        <v>0</v>
      </c>
      <c r="J398" s="16"/>
      <c r="K398" s="16"/>
      <c r="L398" s="37" t="s">
        <v>107</v>
      </c>
      <c r="M398" s="37"/>
      <c r="N398" s="37">
        <v>399</v>
      </c>
      <c r="O398" s="37"/>
      <c r="P398" s="37"/>
      <c r="Q398" s="18">
        <v>0.7071130000000001</v>
      </c>
      <c r="R398" s="18">
        <v>4.8212250000000002E-3</v>
      </c>
      <c r="S398" s="18">
        <v>1.3499430000000001</v>
      </c>
      <c r="T398" s="18">
        <v>5.785470000000001</v>
      </c>
      <c r="U398" s="18">
        <v>2.8927350000000005</v>
      </c>
      <c r="V398" s="18">
        <v>37.027008000000002</v>
      </c>
      <c r="W398" s="18">
        <v>34.712820000000001</v>
      </c>
      <c r="X398" s="18">
        <v>23.141880000000004</v>
      </c>
      <c r="Y398" s="18">
        <v>1.0285280000000001</v>
      </c>
      <c r="Z398" s="18">
        <v>4.5640930000000006</v>
      </c>
      <c r="AA398" s="18">
        <v>6.6854320000000005</v>
      </c>
      <c r="AB398" s="18">
        <v>11.892355000000002</v>
      </c>
      <c r="AC398" s="18">
        <v>3.6641310000000002</v>
      </c>
      <c r="AD398" s="18">
        <v>19.2849</v>
      </c>
    </row>
    <row r="399" spans="2:30" x14ac:dyDescent="0.25">
      <c r="B399" t="s">
        <v>108</v>
      </c>
      <c r="C399" t="s">
        <v>326</v>
      </c>
      <c r="D399" t="s">
        <v>380</v>
      </c>
      <c r="E399" s="35">
        <v>0.9</v>
      </c>
      <c r="F399" s="35">
        <v>16</v>
      </c>
      <c r="G399" s="36">
        <v>7.1998000000000006E-2</v>
      </c>
      <c r="H399" s="18">
        <v>129.595664</v>
      </c>
      <c r="I399" s="16">
        <v>0</v>
      </c>
      <c r="J399" s="16"/>
      <c r="K399" s="16"/>
      <c r="L399" s="37" t="s">
        <v>107</v>
      </c>
      <c r="M399" s="37"/>
      <c r="N399" s="37">
        <v>400</v>
      </c>
      <c r="O399" s="37"/>
      <c r="P399" s="37"/>
      <c r="Q399" s="18">
        <v>0.79197800000000007</v>
      </c>
      <c r="R399" s="18">
        <v>5.3998500000000003E-3</v>
      </c>
      <c r="S399" s="18">
        <v>1.5119580000000001</v>
      </c>
      <c r="T399" s="18">
        <v>6.4798200000000001</v>
      </c>
      <c r="U399" s="18">
        <v>3.2399100000000001</v>
      </c>
      <c r="V399" s="18">
        <v>41.470848000000004</v>
      </c>
      <c r="W399" s="18">
        <v>38.878920000000001</v>
      </c>
      <c r="X399" s="18">
        <v>25.919280000000001</v>
      </c>
      <c r="Y399" s="18">
        <v>1.1519680000000001</v>
      </c>
      <c r="Z399" s="18">
        <v>5.1118580000000007</v>
      </c>
      <c r="AA399" s="18">
        <v>7.4877920000000007</v>
      </c>
      <c r="AB399" s="18">
        <v>13.319630000000002</v>
      </c>
      <c r="AC399" s="18">
        <v>4.1038860000000001</v>
      </c>
      <c r="AD399" s="18">
        <v>21.599400000000003</v>
      </c>
    </row>
    <row r="400" spans="2:30" x14ac:dyDescent="0.25">
      <c r="B400" t="s">
        <v>108</v>
      </c>
      <c r="C400" t="s">
        <v>326</v>
      </c>
      <c r="D400" t="s">
        <v>380</v>
      </c>
      <c r="E400" s="35">
        <v>0.9</v>
      </c>
      <c r="F400" s="35">
        <v>16</v>
      </c>
      <c r="G400" s="36">
        <v>7.1998000000000006E-2</v>
      </c>
      <c r="H400" s="18">
        <v>129.595664</v>
      </c>
      <c r="I400" s="16">
        <v>0</v>
      </c>
      <c r="J400" s="16"/>
      <c r="K400" s="16"/>
      <c r="L400" s="37" t="s">
        <v>107</v>
      </c>
      <c r="M400" s="37"/>
      <c r="N400" s="37">
        <v>401</v>
      </c>
      <c r="O400" s="37"/>
      <c r="P400" s="37"/>
      <c r="Q400" s="18">
        <v>0.79197800000000007</v>
      </c>
      <c r="R400" s="18">
        <v>5.3998500000000003E-3</v>
      </c>
      <c r="S400" s="18">
        <v>1.5119580000000001</v>
      </c>
      <c r="T400" s="18">
        <v>6.4798200000000001</v>
      </c>
      <c r="U400" s="18">
        <v>3.2399100000000001</v>
      </c>
      <c r="V400" s="18">
        <v>41.470848000000004</v>
      </c>
      <c r="W400" s="18">
        <v>38.878920000000001</v>
      </c>
      <c r="X400" s="18">
        <v>25.919280000000001</v>
      </c>
      <c r="Y400" s="18">
        <v>1.1519680000000001</v>
      </c>
      <c r="Z400" s="18">
        <v>5.1118580000000007</v>
      </c>
      <c r="AA400" s="18">
        <v>7.4877920000000007</v>
      </c>
      <c r="AB400" s="18">
        <v>13.319630000000002</v>
      </c>
      <c r="AC400" s="18">
        <v>4.1038860000000001</v>
      </c>
      <c r="AD400" s="18">
        <v>21.599400000000003</v>
      </c>
    </row>
    <row r="401" spans="2:30" x14ac:dyDescent="0.25">
      <c r="B401" t="s">
        <v>108</v>
      </c>
      <c r="C401" t="s">
        <v>326</v>
      </c>
      <c r="D401" t="s">
        <v>380</v>
      </c>
      <c r="E401" s="35">
        <v>0.9</v>
      </c>
      <c r="F401" s="35">
        <v>16</v>
      </c>
      <c r="G401" s="36">
        <v>7.1998000000000006E-2</v>
      </c>
      <c r="H401" s="18">
        <v>129.595664</v>
      </c>
      <c r="I401" s="16">
        <v>0</v>
      </c>
      <c r="J401" s="16"/>
      <c r="K401" s="16"/>
      <c r="L401" s="37" t="s">
        <v>107</v>
      </c>
      <c r="M401" s="37"/>
      <c r="N401" s="37">
        <v>402</v>
      </c>
      <c r="O401" s="37"/>
      <c r="P401" s="37"/>
      <c r="Q401" s="18">
        <v>0.79197800000000007</v>
      </c>
      <c r="R401" s="18">
        <v>5.3998500000000003E-3</v>
      </c>
      <c r="S401" s="18">
        <v>1.5119580000000001</v>
      </c>
      <c r="T401" s="18">
        <v>6.4798200000000001</v>
      </c>
      <c r="U401" s="18">
        <v>3.2399100000000001</v>
      </c>
      <c r="V401" s="18">
        <v>41.470848000000004</v>
      </c>
      <c r="W401" s="18">
        <v>38.878920000000001</v>
      </c>
      <c r="X401" s="18">
        <v>25.919280000000001</v>
      </c>
      <c r="Y401" s="18">
        <v>1.1519680000000001</v>
      </c>
      <c r="Z401" s="18">
        <v>5.1118580000000007</v>
      </c>
      <c r="AA401" s="18">
        <v>7.4877920000000007</v>
      </c>
      <c r="AB401" s="18">
        <v>13.319630000000002</v>
      </c>
      <c r="AC401" s="18">
        <v>4.1038860000000001</v>
      </c>
      <c r="AD401" s="18">
        <v>21.599400000000003</v>
      </c>
    </row>
    <row r="402" spans="2:30" x14ac:dyDescent="0.25">
      <c r="B402" t="s">
        <v>108</v>
      </c>
      <c r="C402" t="s">
        <v>326</v>
      </c>
      <c r="D402" t="s">
        <v>380</v>
      </c>
      <c r="E402" s="35">
        <v>0.9</v>
      </c>
      <c r="F402" s="35">
        <v>16</v>
      </c>
      <c r="G402" s="36">
        <v>7.1998000000000006E-2</v>
      </c>
      <c r="H402" s="18">
        <v>129.595664</v>
      </c>
      <c r="I402" s="16">
        <v>0</v>
      </c>
      <c r="J402" s="16"/>
      <c r="K402" s="16"/>
      <c r="L402" s="37" t="s">
        <v>107</v>
      </c>
      <c r="M402" s="37"/>
      <c r="N402" s="37">
        <v>403</v>
      </c>
      <c r="O402" s="37"/>
      <c r="P402" s="37"/>
      <c r="Q402" s="18">
        <v>0.79197800000000007</v>
      </c>
      <c r="R402" s="18">
        <v>5.3998500000000003E-3</v>
      </c>
      <c r="S402" s="18">
        <v>1.5119580000000001</v>
      </c>
      <c r="T402" s="18">
        <v>6.4798200000000001</v>
      </c>
      <c r="U402" s="18">
        <v>3.2399100000000001</v>
      </c>
      <c r="V402" s="18">
        <v>41.470848000000004</v>
      </c>
      <c r="W402" s="18">
        <v>38.878920000000001</v>
      </c>
      <c r="X402" s="18">
        <v>25.919280000000001</v>
      </c>
      <c r="Y402" s="18">
        <v>1.1519680000000001</v>
      </c>
      <c r="Z402" s="18">
        <v>5.1118580000000007</v>
      </c>
      <c r="AA402" s="18">
        <v>7.4877920000000007</v>
      </c>
      <c r="AB402" s="18">
        <v>13.319630000000002</v>
      </c>
      <c r="AC402" s="18">
        <v>4.1038860000000001</v>
      </c>
      <c r="AD402" s="18">
        <v>21.599400000000003</v>
      </c>
    </row>
    <row r="403" spans="2:30" x14ac:dyDescent="0.25">
      <c r="B403" t="s">
        <v>108</v>
      </c>
      <c r="C403" t="s">
        <v>326</v>
      </c>
      <c r="D403" t="s">
        <v>380</v>
      </c>
      <c r="E403" s="35">
        <v>0.9</v>
      </c>
      <c r="F403" s="35">
        <v>16</v>
      </c>
      <c r="G403" s="36">
        <v>7.1998000000000006E-2</v>
      </c>
      <c r="H403" s="18">
        <v>129.595664</v>
      </c>
      <c r="I403" s="16">
        <v>0</v>
      </c>
      <c r="J403" s="16"/>
      <c r="K403" s="16"/>
      <c r="L403" s="37" t="s">
        <v>107</v>
      </c>
      <c r="M403" s="37"/>
      <c r="N403" s="37">
        <v>404</v>
      </c>
      <c r="O403" s="37"/>
      <c r="P403" s="37"/>
      <c r="Q403" s="18">
        <v>0.79197800000000007</v>
      </c>
      <c r="R403" s="18">
        <v>5.3998500000000003E-3</v>
      </c>
      <c r="S403" s="18">
        <v>1.5119580000000001</v>
      </c>
      <c r="T403" s="18">
        <v>6.4798200000000001</v>
      </c>
      <c r="U403" s="18">
        <v>3.2399100000000001</v>
      </c>
      <c r="V403" s="18">
        <v>41.470848000000004</v>
      </c>
      <c r="W403" s="18">
        <v>38.878920000000001</v>
      </c>
      <c r="X403" s="18">
        <v>25.919280000000001</v>
      </c>
      <c r="Y403" s="18">
        <v>1.1519680000000001</v>
      </c>
      <c r="Z403" s="18">
        <v>5.1118580000000007</v>
      </c>
      <c r="AA403" s="18">
        <v>7.4877920000000007</v>
      </c>
      <c r="AB403" s="18">
        <v>13.319630000000002</v>
      </c>
      <c r="AC403" s="18">
        <v>4.1038860000000001</v>
      </c>
      <c r="AD403" s="18">
        <v>21.599400000000003</v>
      </c>
    </row>
    <row r="404" spans="2:30" x14ac:dyDescent="0.25">
      <c r="B404" t="s">
        <v>110</v>
      </c>
      <c r="C404" t="s">
        <v>326</v>
      </c>
      <c r="D404" t="s">
        <v>400</v>
      </c>
      <c r="E404" s="35">
        <v>0.9</v>
      </c>
      <c r="F404" s="35">
        <v>22</v>
      </c>
      <c r="G404" s="36">
        <v>0.22065399999999999</v>
      </c>
      <c r="H404" s="18">
        <v>397.17786999999998</v>
      </c>
      <c r="I404" s="16">
        <v>0</v>
      </c>
      <c r="J404" s="16"/>
      <c r="K404" s="16"/>
      <c r="L404" s="37" t="s">
        <v>107</v>
      </c>
      <c r="M404" s="37"/>
      <c r="N404" s="37">
        <v>405</v>
      </c>
      <c r="O404" s="37"/>
      <c r="P404" s="37"/>
      <c r="Q404" s="18">
        <v>2.4271940000000001</v>
      </c>
      <c r="R404" s="18">
        <v>1.6549049999999999E-2</v>
      </c>
      <c r="S404" s="18">
        <v>4.6337339999999996</v>
      </c>
      <c r="T404" s="18">
        <v>19.85886</v>
      </c>
      <c r="U404" s="18">
        <v>9.92943</v>
      </c>
      <c r="V404" s="18">
        <v>127.09670399999999</v>
      </c>
      <c r="W404" s="18">
        <v>119.15316</v>
      </c>
      <c r="X404" s="18">
        <v>79.43544</v>
      </c>
      <c r="Y404" s="18">
        <v>3.5304639999999998</v>
      </c>
      <c r="Z404" s="18">
        <v>15.666433999999999</v>
      </c>
      <c r="AA404" s="18">
        <v>22.948015999999999</v>
      </c>
      <c r="AB404" s="18">
        <v>40.820989999999995</v>
      </c>
      <c r="AC404" s="18">
        <v>12.577278</v>
      </c>
      <c r="AD404" s="18">
        <v>66.19619999999999</v>
      </c>
    </row>
    <row r="405" spans="2:30" x14ac:dyDescent="0.25">
      <c r="B405" t="s">
        <v>309</v>
      </c>
      <c r="C405" t="s">
        <v>326</v>
      </c>
      <c r="D405" t="s">
        <v>401</v>
      </c>
      <c r="E405" s="35">
        <v>0.9</v>
      </c>
      <c r="F405" s="35">
        <v>55</v>
      </c>
      <c r="G405" s="36">
        <v>1.0706249999999999</v>
      </c>
      <c r="H405" s="18">
        <v>1927.1248049999999</v>
      </c>
      <c r="I405" s="16">
        <v>0</v>
      </c>
      <c r="J405" s="16">
        <v>60</v>
      </c>
      <c r="K405" s="16"/>
      <c r="L405" s="37" t="s">
        <v>107</v>
      </c>
      <c r="M405" s="37"/>
      <c r="N405" s="37">
        <v>406</v>
      </c>
      <c r="O405" s="37"/>
      <c r="P405" s="37"/>
      <c r="Q405" s="18">
        <v>11.776874999999999</v>
      </c>
      <c r="R405" s="18">
        <v>8.029687499999999E-2</v>
      </c>
      <c r="S405" s="18">
        <v>22.483124999999998</v>
      </c>
      <c r="T405" s="18">
        <v>96.356249999999989</v>
      </c>
      <c r="U405" s="18">
        <v>48.178124999999994</v>
      </c>
      <c r="V405" s="18">
        <v>616.67999999999995</v>
      </c>
      <c r="W405" s="18">
        <v>578.13749999999993</v>
      </c>
      <c r="X405" s="18">
        <v>385.42499999999995</v>
      </c>
      <c r="Y405" s="18">
        <v>17.13</v>
      </c>
      <c r="Z405" s="18">
        <v>76.014375000000001</v>
      </c>
      <c r="AA405" s="18">
        <v>111.345</v>
      </c>
      <c r="AB405" s="18">
        <v>198.06562499999998</v>
      </c>
      <c r="AC405" s="18">
        <v>61.025624999999998</v>
      </c>
      <c r="AD405" s="18">
        <v>321.1875</v>
      </c>
    </row>
    <row r="406" spans="2:30" x14ac:dyDescent="0.25">
      <c r="B406" t="s">
        <v>166</v>
      </c>
      <c r="C406" t="s">
        <v>326</v>
      </c>
      <c r="D406" t="s">
        <v>402</v>
      </c>
      <c r="E406" s="35">
        <v>0.9</v>
      </c>
      <c r="F406" s="35">
        <v>26</v>
      </c>
      <c r="G406" s="36">
        <v>0.34370699999999998</v>
      </c>
      <c r="H406" s="18">
        <v>618.67234900000005</v>
      </c>
      <c r="I406" s="16">
        <v>0</v>
      </c>
      <c r="J406" s="16"/>
      <c r="K406" s="16"/>
      <c r="L406" s="37" t="s">
        <v>107</v>
      </c>
      <c r="M406" s="37"/>
      <c r="N406" s="37">
        <v>407</v>
      </c>
      <c r="O406" s="37"/>
      <c r="P406" s="37"/>
      <c r="Q406" s="18">
        <v>3.7807769999999996</v>
      </c>
      <c r="R406" s="18">
        <v>2.5778025E-2</v>
      </c>
      <c r="S406" s="18">
        <v>7.2178469999999999</v>
      </c>
      <c r="T406" s="18">
        <v>30.933629999999997</v>
      </c>
      <c r="U406" s="18">
        <v>15.466814999999999</v>
      </c>
      <c r="V406" s="18">
        <v>197.97523200000001</v>
      </c>
      <c r="W406" s="18">
        <v>185.60177999999999</v>
      </c>
      <c r="X406" s="18">
        <v>123.73451999999999</v>
      </c>
      <c r="Y406" s="18">
        <v>5.4993119999999998</v>
      </c>
      <c r="Z406" s="18">
        <v>24.403196999999999</v>
      </c>
      <c r="AA406" s="18">
        <v>35.745528</v>
      </c>
      <c r="AB406" s="18">
        <v>63.585794999999997</v>
      </c>
      <c r="AC406" s="18">
        <v>19.591298999999999</v>
      </c>
      <c r="AD406" s="18">
        <v>103.1121</v>
      </c>
    </row>
    <row r="407" spans="2:30" x14ac:dyDescent="0.25">
      <c r="B407" t="s">
        <v>110</v>
      </c>
      <c r="C407" t="s">
        <v>326</v>
      </c>
      <c r="D407" t="s">
        <v>403</v>
      </c>
      <c r="E407" s="35">
        <v>0.9</v>
      </c>
      <c r="F407" s="35">
        <v>22</v>
      </c>
      <c r="G407" s="36">
        <v>0.222418</v>
      </c>
      <c r="H407" s="18">
        <v>400.35165499999999</v>
      </c>
      <c r="I407" s="16">
        <v>0</v>
      </c>
      <c r="J407" s="16"/>
      <c r="K407" s="16"/>
      <c r="L407" s="37" t="s">
        <v>107</v>
      </c>
      <c r="M407" s="37"/>
      <c r="N407" s="37">
        <v>408</v>
      </c>
      <c r="O407" s="37"/>
      <c r="P407" s="37"/>
      <c r="Q407" s="18">
        <v>2.4465979999999998</v>
      </c>
      <c r="R407" s="18">
        <v>1.6681350000000001E-2</v>
      </c>
      <c r="S407" s="18">
        <v>4.6707780000000003</v>
      </c>
      <c r="T407" s="18">
        <v>20.017620000000001</v>
      </c>
      <c r="U407" s="18">
        <v>10.00881</v>
      </c>
      <c r="V407" s="18">
        <v>128.11276800000002</v>
      </c>
      <c r="W407" s="18">
        <v>120.10572000000001</v>
      </c>
      <c r="X407" s="18">
        <v>80.070480000000003</v>
      </c>
      <c r="Y407" s="18">
        <v>3.5586880000000001</v>
      </c>
      <c r="Z407" s="18">
        <v>15.791678000000001</v>
      </c>
      <c r="AA407" s="18">
        <v>23.131472000000002</v>
      </c>
      <c r="AB407" s="18">
        <v>41.147330000000004</v>
      </c>
      <c r="AC407" s="18">
        <v>12.677826</v>
      </c>
      <c r="AD407" s="18">
        <v>66.725400000000008</v>
      </c>
    </row>
    <row r="408" spans="2:30" x14ac:dyDescent="0.25">
      <c r="B408" t="s">
        <v>112</v>
      </c>
      <c r="C408" t="s">
        <v>326</v>
      </c>
      <c r="D408" t="s">
        <v>404</v>
      </c>
      <c r="E408" s="35">
        <v>0.9</v>
      </c>
      <c r="F408" s="35">
        <v>60</v>
      </c>
      <c r="G408" s="36">
        <v>1.167554</v>
      </c>
      <c r="H408" s="18">
        <v>2101.5979980000002</v>
      </c>
      <c r="I408" s="16">
        <v>0</v>
      </c>
      <c r="J408" s="16"/>
      <c r="K408" s="16"/>
      <c r="L408" s="37" t="s">
        <v>107</v>
      </c>
      <c r="M408" s="37"/>
      <c r="N408" s="37">
        <v>409</v>
      </c>
      <c r="O408" s="37"/>
      <c r="P408" s="37"/>
      <c r="Q408" s="18">
        <v>12.843094000000001</v>
      </c>
      <c r="R408" s="18">
        <v>8.7566549999999993E-2</v>
      </c>
      <c r="S408" s="18">
        <v>24.518633999999999</v>
      </c>
      <c r="T408" s="18">
        <v>105.07986</v>
      </c>
      <c r="U408" s="18">
        <v>52.539929999999998</v>
      </c>
      <c r="V408" s="18">
        <v>672.51110399999993</v>
      </c>
      <c r="W408" s="18">
        <v>630.47915999999998</v>
      </c>
      <c r="X408" s="18">
        <v>420.31943999999999</v>
      </c>
      <c r="Y408" s="18">
        <v>18.680864</v>
      </c>
      <c r="Z408" s="18">
        <v>82.896333999999996</v>
      </c>
      <c r="AA408" s="18">
        <v>121.42561599999999</v>
      </c>
      <c r="AB408" s="18">
        <v>215.99749</v>
      </c>
      <c r="AC408" s="18">
        <v>66.550578000000002</v>
      </c>
      <c r="AD408" s="18">
        <v>350.26619999999997</v>
      </c>
    </row>
    <row r="409" spans="2:30" x14ac:dyDescent="0.25">
      <c r="B409" t="s">
        <v>110</v>
      </c>
      <c r="C409" t="s">
        <v>326</v>
      </c>
      <c r="D409" t="s">
        <v>405</v>
      </c>
      <c r="E409" s="35">
        <v>0.9</v>
      </c>
      <c r="F409" s="35">
        <v>22</v>
      </c>
      <c r="G409" s="36">
        <v>0.128329</v>
      </c>
      <c r="H409" s="18">
        <v>230.99189000000001</v>
      </c>
      <c r="I409" s="16">
        <v>0</v>
      </c>
      <c r="J409" s="16"/>
      <c r="K409" s="16"/>
      <c r="L409" s="37" t="s">
        <v>107</v>
      </c>
      <c r="M409" s="37"/>
      <c r="N409" s="37">
        <v>410</v>
      </c>
      <c r="O409" s="37"/>
      <c r="P409" s="37"/>
      <c r="Q409" s="18">
        <v>1.411619</v>
      </c>
      <c r="R409" s="18">
        <v>9.6246749999999992E-3</v>
      </c>
      <c r="S409" s="18">
        <v>2.694909</v>
      </c>
      <c r="T409" s="18">
        <v>11.549609999999999</v>
      </c>
      <c r="U409" s="18">
        <v>5.7748049999999997</v>
      </c>
      <c r="V409" s="18">
        <v>73.917503999999994</v>
      </c>
      <c r="W409" s="18">
        <v>69.297659999999993</v>
      </c>
      <c r="X409" s="18">
        <v>46.198439999999998</v>
      </c>
      <c r="Y409" s="18">
        <v>2.053264</v>
      </c>
      <c r="Z409" s="18">
        <v>9.1113590000000002</v>
      </c>
      <c r="AA409" s="18">
        <v>13.346216</v>
      </c>
      <c r="AB409" s="18">
        <v>23.740864999999999</v>
      </c>
      <c r="AC409" s="18">
        <v>7.3147529999999996</v>
      </c>
      <c r="AD409" s="18">
        <v>38.498699999999999</v>
      </c>
    </row>
    <row r="410" spans="2:30" x14ac:dyDescent="0.25">
      <c r="B410" t="s">
        <v>110</v>
      </c>
      <c r="C410" t="s">
        <v>326</v>
      </c>
      <c r="D410" t="s">
        <v>406</v>
      </c>
      <c r="E410" s="35">
        <v>0.9</v>
      </c>
      <c r="F410" s="35">
        <v>22</v>
      </c>
      <c r="G410" s="36">
        <v>0.157808</v>
      </c>
      <c r="H410" s="18">
        <v>284.05372999999997</v>
      </c>
      <c r="I410" s="16">
        <v>0</v>
      </c>
      <c r="J410" s="16"/>
      <c r="K410" s="16"/>
      <c r="L410" s="37" t="s">
        <v>107</v>
      </c>
      <c r="M410" s="37"/>
      <c r="N410" s="37">
        <v>411</v>
      </c>
      <c r="O410" s="37"/>
      <c r="P410" s="37"/>
      <c r="Q410" s="18">
        <v>1.7358880000000001</v>
      </c>
      <c r="R410" s="18">
        <v>1.18356E-2</v>
      </c>
      <c r="S410" s="18">
        <v>3.313968</v>
      </c>
      <c r="T410" s="18">
        <v>14.202720000000001</v>
      </c>
      <c r="U410" s="18">
        <v>7.1013600000000006</v>
      </c>
      <c r="V410" s="18">
        <v>90.897407999999999</v>
      </c>
      <c r="W410" s="18">
        <v>85.216319999999996</v>
      </c>
      <c r="X410" s="18">
        <v>56.810880000000004</v>
      </c>
      <c r="Y410" s="18">
        <v>2.5249280000000001</v>
      </c>
      <c r="Z410" s="18">
        <v>11.204368000000001</v>
      </c>
      <c r="AA410" s="18">
        <v>16.412032</v>
      </c>
      <c r="AB410" s="18">
        <v>29.194480000000002</v>
      </c>
      <c r="AC410" s="18">
        <v>8.9950559999999999</v>
      </c>
      <c r="AD410" s="18">
        <v>47.342399999999998</v>
      </c>
    </row>
    <row r="411" spans="2:30" x14ac:dyDescent="0.25">
      <c r="B411" t="s">
        <v>108</v>
      </c>
      <c r="C411" t="s">
        <v>326</v>
      </c>
      <c r="D411" t="s">
        <v>407</v>
      </c>
      <c r="E411" s="35">
        <v>0.9</v>
      </c>
      <c r="F411" s="35">
        <v>16</v>
      </c>
      <c r="G411" s="36">
        <v>5.8581000000000001E-2</v>
      </c>
      <c r="H411" s="18">
        <v>105.44581100000001</v>
      </c>
      <c r="I411" s="16">
        <v>0</v>
      </c>
      <c r="J411" s="16"/>
      <c r="K411" s="16"/>
      <c r="L411" s="37" t="s">
        <v>107</v>
      </c>
      <c r="M411" s="37"/>
      <c r="N411" s="37">
        <v>412</v>
      </c>
      <c r="O411" s="37"/>
      <c r="P411" s="37"/>
      <c r="Q411" s="18">
        <v>0.64439100000000005</v>
      </c>
      <c r="R411" s="18">
        <v>4.3935750000000003E-3</v>
      </c>
      <c r="S411" s="18">
        <v>1.2302010000000001</v>
      </c>
      <c r="T411" s="18">
        <v>5.2722899999999999</v>
      </c>
      <c r="U411" s="18">
        <v>2.636145</v>
      </c>
      <c r="V411" s="18">
        <v>33.742656000000004</v>
      </c>
      <c r="W411" s="18">
        <v>31.63374</v>
      </c>
      <c r="X411" s="18">
        <v>21.08916</v>
      </c>
      <c r="Y411" s="18">
        <v>0.93729600000000002</v>
      </c>
      <c r="Z411" s="18">
        <v>4.1592510000000003</v>
      </c>
      <c r="AA411" s="18">
        <v>6.0924240000000003</v>
      </c>
      <c r="AB411" s="18">
        <v>10.837485000000001</v>
      </c>
      <c r="AC411" s="18">
        <v>3.3391169999999999</v>
      </c>
      <c r="AD411" s="18">
        <v>17.574300000000001</v>
      </c>
    </row>
    <row r="412" spans="2:30" x14ac:dyDescent="0.25">
      <c r="B412" t="s">
        <v>108</v>
      </c>
      <c r="C412" t="s">
        <v>326</v>
      </c>
      <c r="D412" t="s">
        <v>408</v>
      </c>
      <c r="E412" s="35">
        <v>0.9</v>
      </c>
      <c r="F412" s="35">
        <v>16</v>
      </c>
      <c r="G412" s="36">
        <v>5.6531999999999999E-2</v>
      </c>
      <c r="H412" s="18">
        <v>101.75679700000001</v>
      </c>
      <c r="I412" s="16">
        <v>0</v>
      </c>
      <c r="J412" s="16"/>
      <c r="K412" s="16"/>
      <c r="L412" s="37" t="s">
        <v>107</v>
      </c>
      <c r="M412" s="37"/>
      <c r="N412" s="37">
        <v>413</v>
      </c>
      <c r="O412" s="37"/>
      <c r="P412" s="37"/>
      <c r="Q412" s="18">
        <v>0.62185199999999996</v>
      </c>
      <c r="R412" s="18">
        <v>4.2398999999999996E-3</v>
      </c>
      <c r="S412" s="18">
        <v>1.1871719999999999</v>
      </c>
      <c r="T412" s="18">
        <v>5.0878800000000002</v>
      </c>
      <c r="U412" s="18">
        <v>2.5439400000000001</v>
      </c>
      <c r="V412" s="18">
        <v>32.562432000000001</v>
      </c>
      <c r="W412" s="18">
        <v>30.527280000000001</v>
      </c>
      <c r="X412" s="18">
        <v>20.351520000000001</v>
      </c>
      <c r="Y412" s="18">
        <v>0.90451199999999998</v>
      </c>
      <c r="Z412" s="18">
        <v>4.0137720000000003</v>
      </c>
      <c r="AA412" s="18">
        <v>5.8793280000000001</v>
      </c>
      <c r="AB412" s="18">
        <v>10.45842</v>
      </c>
      <c r="AC412" s="18">
        <v>3.222324</v>
      </c>
      <c r="AD412" s="18">
        <v>16.959599999999998</v>
      </c>
    </row>
    <row r="413" spans="2:30" x14ac:dyDescent="0.25">
      <c r="B413" t="s">
        <v>108</v>
      </c>
      <c r="C413" t="s">
        <v>326</v>
      </c>
      <c r="D413" t="s">
        <v>409</v>
      </c>
      <c r="E413" s="35">
        <v>0.9</v>
      </c>
      <c r="F413" s="35">
        <v>16</v>
      </c>
      <c r="G413" s="36">
        <v>6.7624000000000004E-2</v>
      </c>
      <c r="H413" s="18">
        <v>121.723984</v>
      </c>
      <c r="I413" s="16">
        <v>0</v>
      </c>
      <c r="J413" s="16"/>
      <c r="K413" s="16"/>
      <c r="L413" s="37" t="s">
        <v>107</v>
      </c>
      <c r="M413" s="37"/>
      <c r="N413" s="37">
        <v>414</v>
      </c>
      <c r="O413" s="37"/>
      <c r="P413" s="37"/>
      <c r="Q413" s="18">
        <v>0.74386400000000008</v>
      </c>
      <c r="R413" s="18">
        <v>5.0718000000000004E-3</v>
      </c>
      <c r="S413" s="18">
        <v>1.420104</v>
      </c>
      <c r="T413" s="18">
        <v>6.0861600000000005</v>
      </c>
      <c r="U413" s="18">
        <v>3.0430800000000002</v>
      </c>
      <c r="V413" s="18">
        <v>38.951424000000003</v>
      </c>
      <c r="W413" s="18">
        <v>36.516960000000005</v>
      </c>
      <c r="X413" s="18">
        <v>24.344640000000002</v>
      </c>
      <c r="Y413" s="18">
        <v>1.0819840000000001</v>
      </c>
      <c r="Z413" s="18">
        <v>4.801304</v>
      </c>
      <c r="AA413" s="18">
        <v>7.032896</v>
      </c>
      <c r="AB413" s="18">
        <v>12.510440000000001</v>
      </c>
      <c r="AC413" s="18">
        <v>3.854568</v>
      </c>
      <c r="AD413" s="18">
        <v>20.287200000000002</v>
      </c>
    </row>
    <row r="414" spans="2:30" x14ac:dyDescent="0.25">
      <c r="B414" t="s">
        <v>108</v>
      </c>
      <c r="C414" t="s">
        <v>326</v>
      </c>
      <c r="D414" t="s">
        <v>410</v>
      </c>
      <c r="E414" s="35">
        <v>0.9</v>
      </c>
      <c r="F414" s="35">
        <v>16</v>
      </c>
      <c r="G414" s="36">
        <v>7.1464E-2</v>
      </c>
      <c r="H414" s="18">
        <v>128.63570300000001</v>
      </c>
      <c r="I414" s="16">
        <v>0</v>
      </c>
      <c r="J414" s="16"/>
      <c r="K414" s="16"/>
      <c r="L414" s="37" t="s">
        <v>107</v>
      </c>
      <c r="M414" s="37"/>
      <c r="N414" s="37">
        <v>415</v>
      </c>
      <c r="O414" s="37"/>
      <c r="P414" s="37"/>
      <c r="Q414" s="18">
        <v>0.78610400000000002</v>
      </c>
      <c r="R414" s="18">
        <v>5.3597999999999996E-3</v>
      </c>
      <c r="S414" s="18">
        <v>1.5007440000000001</v>
      </c>
      <c r="T414" s="18">
        <v>6.4317599999999997</v>
      </c>
      <c r="U414" s="18">
        <v>3.2158799999999998</v>
      </c>
      <c r="V414" s="18">
        <v>41.163263999999998</v>
      </c>
      <c r="W414" s="18">
        <v>38.590559999999996</v>
      </c>
      <c r="X414" s="18">
        <v>25.727039999999999</v>
      </c>
      <c r="Y414" s="18">
        <v>1.143424</v>
      </c>
      <c r="Z414" s="18">
        <v>5.073944</v>
      </c>
      <c r="AA414" s="18">
        <v>7.4322559999999998</v>
      </c>
      <c r="AB414" s="18">
        <v>13.220840000000001</v>
      </c>
      <c r="AC414" s="18">
        <v>4.073448</v>
      </c>
      <c r="AD414" s="18">
        <v>21.4392</v>
      </c>
    </row>
    <row r="415" spans="2:30" x14ac:dyDescent="0.25">
      <c r="B415" t="s">
        <v>108</v>
      </c>
      <c r="C415" t="s">
        <v>326</v>
      </c>
      <c r="D415" t="s">
        <v>410</v>
      </c>
      <c r="E415" s="35">
        <v>0.9</v>
      </c>
      <c r="F415" s="35">
        <v>16</v>
      </c>
      <c r="G415" s="36">
        <v>7.1464E-2</v>
      </c>
      <c r="H415" s="18">
        <v>128.63570300000001</v>
      </c>
      <c r="I415" s="16">
        <v>0</v>
      </c>
      <c r="J415" s="16"/>
      <c r="K415" s="16"/>
      <c r="L415" s="37" t="s">
        <v>107</v>
      </c>
      <c r="M415" s="37"/>
      <c r="N415" s="37">
        <v>416</v>
      </c>
      <c r="O415" s="37"/>
      <c r="P415" s="37"/>
      <c r="Q415" s="18">
        <v>0.78610400000000002</v>
      </c>
      <c r="R415" s="18">
        <v>5.3597999999999996E-3</v>
      </c>
      <c r="S415" s="18">
        <v>1.5007440000000001</v>
      </c>
      <c r="T415" s="18">
        <v>6.4317599999999997</v>
      </c>
      <c r="U415" s="18">
        <v>3.2158799999999998</v>
      </c>
      <c r="V415" s="18">
        <v>41.163263999999998</v>
      </c>
      <c r="W415" s="18">
        <v>38.590559999999996</v>
      </c>
      <c r="X415" s="18">
        <v>25.727039999999999</v>
      </c>
      <c r="Y415" s="18">
        <v>1.143424</v>
      </c>
      <c r="Z415" s="18">
        <v>5.073944</v>
      </c>
      <c r="AA415" s="18">
        <v>7.4322559999999998</v>
      </c>
      <c r="AB415" s="18">
        <v>13.220840000000001</v>
      </c>
      <c r="AC415" s="18">
        <v>4.073448</v>
      </c>
      <c r="AD415" s="18">
        <v>21.4392</v>
      </c>
    </row>
    <row r="416" spans="2:30" x14ac:dyDescent="0.25">
      <c r="B416" t="s">
        <v>108</v>
      </c>
      <c r="C416" t="s">
        <v>326</v>
      </c>
      <c r="D416" t="s">
        <v>410</v>
      </c>
      <c r="E416" s="35">
        <v>0.9</v>
      </c>
      <c r="F416" s="35">
        <v>16</v>
      </c>
      <c r="G416" s="36">
        <v>7.1464E-2</v>
      </c>
      <c r="H416" s="18">
        <v>128.63570300000001</v>
      </c>
      <c r="I416" s="16">
        <v>0</v>
      </c>
      <c r="J416" s="16"/>
      <c r="K416" s="16"/>
      <c r="L416" s="37" t="s">
        <v>107</v>
      </c>
      <c r="M416" s="37"/>
      <c r="N416" s="37">
        <v>417</v>
      </c>
      <c r="O416" s="37"/>
      <c r="P416" s="37"/>
      <c r="Q416" s="18">
        <v>0.78610400000000002</v>
      </c>
      <c r="R416" s="18">
        <v>5.3597999999999996E-3</v>
      </c>
      <c r="S416" s="18">
        <v>1.5007440000000001</v>
      </c>
      <c r="T416" s="18">
        <v>6.4317599999999997</v>
      </c>
      <c r="U416" s="18">
        <v>3.2158799999999998</v>
      </c>
      <c r="V416" s="18">
        <v>41.163263999999998</v>
      </c>
      <c r="W416" s="18">
        <v>38.590559999999996</v>
      </c>
      <c r="X416" s="18">
        <v>25.727039999999999</v>
      </c>
      <c r="Y416" s="18">
        <v>1.143424</v>
      </c>
      <c r="Z416" s="18">
        <v>5.073944</v>
      </c>
      <c r="AA416" s="18">
        <v>7.4322559999999998</v>
      </c>
      <c r="AB416" s="18">
        <v>13.220840000000001</v>
      </c>
      <c r="AC416" s="18">
        <v>4.073448</v>
      </c>
      <c r="AD416" s="18">
        <v>21.4392</v>
      </c>
    </row>
    <row r="417" spans="2:30" x14ac:dyDescent="0.25">
      <c r="B417" t="s">
        <v>108</v>
      </c>
      <c r="C417" t="s">
        <v>326</v>
      </c>
      <c r="D417" t="s">
        <v>411</v>
      </c>
      <c r="E417" s="35">
        <v>0.9</v>
      </c>
      <c r="F417" s="35">
        <v>16</v>
      </c>
      <c r="G417" s="36">
        <v>7.6050999999999994E-2</v>
      </c>
      <c r="H417" s="18">
        <v>136.891367</v>
      </c>
      <c r="I417" s="16">
        <v>0</v>
      </c>
      <c r="J417" s="16"/>
      <c r="K417" s="16"/>
      <c r="L417" s="37" t="s">
        <v>107</v>
      </c>
      <c r="M417" s="37"/>
      <c r="N417" s="37">
        <v>418</v>
      </c>
      <c r="O417" s="37"/>
      <c r="P417" s="37"/>
      <c r="Q417" s="18">
        <v>0.83656099999999989</v>
      </c>
      <c r="R417" s="18">
        <v>5.7038249999999992E-3</v>
      </c>
      <c r="S417" s="18">
        <v>1.5970709999999999</v>
      </c>
      <c r="T417" s="18">
        <v>6.8445899999999993</v>
      </c>
      <c r="U417" s="18">
        <v>3.4222949999999996</v>
      </c>
      <c r="V417" s="18">
        <v>43.805375999999995</v>
      </c>
      <c r="W417" s="18">
        <v>41.067539999999994</v>
      </c>
      <c r="X417" s="18">
        <v>27.378359999999997</v>
      </c>
      <c r="Y417" s="18">
        <v>1.2168159999999999</v>
      </c>
      <c r="Z417" s="18">
        <v>5.3996209999999998</v>
      </c>
      <c r="AA417" s="18">
        <v>7.9093039999999997</v>
      </c>
      <c r="AB417" s="18">
        <v>14.069434999999999</v>
      </c>
      <c r="AC417" s="18">
        <v>4.3349069999999994</v>
      </c>
      <c r="AD417" s="18">
        <v>22.815299999999997</v>
      </c>
    </row>
    <row r="418" spans="2:30" x14ac:dyDescent="0.25">
      <c r="B418" t="s">
        <v>141</v>
      </c>
      <c r="C418" t="s">
        <v>326</v>
      </c>
      <c r="D418" t="s">
        <v>412</v>
      </c>
      <c r="E418" s="35">
        <v>0.9</v>
      </c>
      <c r="F418" s="35">
        <v>46</v>
      </c>
      <c r="G418" s="36">
        <v>0.85553699999999999</v>
      </c>
      <c r="H418" s="18">
        <v>1539.965968</v>
      </c>
      <c r="I418" s="16">
        <v>0</v>
      </c>
      <c r="J418" s="16">
        <v>50</v>
      </c>
      <c r="K418" s="16" t="s">
        <v>114</v>
      </c>
      <c r="L418" s="37" t="s">
        <v>107</v>
      </c>
      <c r="M418" s="37"/>
      <c r="N418" s="37">
        <v>419</v>
      </c>
      <c r="O418" s="37"/>
      <c r="P418" s="37"/>
      <c r="Q418" s="18">
        <v>9.4109069999999999</v>
      </c>
      <c r="R418" s="18">
        <v>6.4165274999999994E-2</v>
      </c>
      <c r="S418" s="18">
        <v>17.966276999999998</v>
      </c>
      <c r="T418" s="18">
        <v>76.998329999999996</v>
      </c>
      <c r="U418" s="18">
        <v>38.499164999999998</v>
      </c>
      <c r="V418" s="18">
        <v>492.789312</v>
      </c>
      <c r="W418" s="18">
        <v>461.98998</v>
      </c>
      <c r="X418" s="18">
        <v>307.99331999999998</v>
      </c>
      <c r="Y418" s="18">
        <v>13.688592</v>
      </c>
      <c r="Z418" s="18">
        <v>60.743127000000001</v>
      </c>
      <c r="AA418" s="18">
        <v>88.975847999999999</v>
      </c>
      <c r="AB418" s="18">
        <v>158.27434500000001</v>
      </c>
      <c r="AC418" s="18">
        <v>48.765608999999998</v>
      </c>
      <c r="AD418" s="18">
        <v>256.66109999999998</v>
      </c>
    </row>
    <row r="419" spans="2:30" x14ac:dyDescent="0.25">
      <c r="B419" t="s">
        <v>144</v>
      </c>
      <c r="C419" t="s">
        <v>326</v>
      </c>
      <c r="D419" t="s">
        <v>413</v>
      </c>
      <c r="E419" s="35">
        <v>0.9</v>
      </c>
      <c r="F419" s="35">
        <v>40</v>
      </c>
      <c r="G419" s="36">
        <v>0.340254</v>
      </c>
      <c r="H419" s="18">
        <v>612.45742199999995</v>
      </c>
      <c r="I419" s="16">
        <v>0</v>
      </c>
      <c r="J419" s="16"/>
      <c r="K419" s="16"/>
      <c r="L419" s="37" t="s">
        <v>107</v>
      </c>
      <c r="M419" s="37"/>
      <c r="N419" s="37">
        <v>420</v>
      </c>
      <c r="O419" s="37"/>
      <c r="P419" s="37"/>
      <c r="Q419" s="18">
        <v>3.742794</v>
      </c>
      <c r="R419" s="18">
        <v>2.5519049999999998E-2</v>
      </c>
      <c r="S419" s="18">
        <v>7.1453340000000001</v>
      </c>
      <c r="T419" s="18">
        <v>30.622859999999999</v>
      </c>
      <c r="U419" s="18">
        <v>15.31143</v>
      </c>
      <c r="V419" s="18">
        <v>195.98630399999999</v>
      </c>
      <c r="W419" s="18">
        <v>183.73715999999999</v>
      </c>
      <c r="X419" s="18">
        <v>122.49144</v>
      </c>
      <c r="Y419" s="18">
        <v>5.444064</v>
      </c>
      <c r="Z419" s="18">
        <v>24.158034000000001</v>
      </c>
      <c r="AA419" s="18">
        <v>35.386415999999997</v>
      </c>
      <c r="AB419" s="18">
        <v>62.94699</v>
      </c>
      <c r="AC419" s="18">
        <v>19.394477999999999</v>
      </c>
      <c r="AD419" s="18">
        <v>102.0762</v>
      </c>
    </row>
    <row r="420" spans="2:30" x14ac:dyDescent="0.25">
      <c r="B420" t="s">
        <v>133</v>
      </c>
      <c r="C420" t="s">
        <v>326</v>
      </c>
      <c r="D420" t="s">
        <v>368</v>
      </c>
      <c r="E420" s="35">
        <v>0.9</v>
      </c>
      <c r="F420" s="35">
        <v>50</v>
      </c>
      <c r="G420" s="36">
        <v>0.99396099999999998</v>
      </c>
      <c r="H420" s="18">
        <v>1789.1301269999999</v>
      </c>
      <c r="I420" s="16">
        <v>0</v>
      </c>
      <c r="J420" s="16">
        <v>50</v>
      </c>
      <c r="K420" s="16" t="s">
        <v>114</v>
      </c>
      <c r="L420" s="37" t="s">
        <v>107</v>
      </c>
      <c r="M420" s="37"/>
      <c r="N420" s="37">
        <v>421</v>
      </c>
      <c r="O420" s="37"/>
      <c r="P420" s="37"/>
      <c r="Q420" s="18">
        <v>10.933571000000001</v>
      </c>
      <c r="R420" s="18">
        <v>7.454707499999999E-2</v>
      </c>
      <c r="S420" s="18">
        <v>20.873180999999999</v>
      </c>
      <c r="T420" s="18">
        <v>89.456490000000002</v>
      </c>
      <c r="U420" s="18">
        <v>44.728245000000001</v>
      </c>
      <c r="V420" s="18">
        <v>572.52153599999997</v>
      </c>
      <c r="W420" s="18">
        <v>536.73893999999996</v>
      </c>
      <c r="X420" s="18">
        <v>357.82596000000001</v>
      </c>
      <c r="Y420" s="18">
        <v>15.903376</v>
      </c>
      <c r="Z420" s="18">
        <v>70.571230999999997</v>
      </c>
      <c r="AA420" s="18">
        <v>103.371944</v>
      </c>
      <c r="AB420" s="18">
        <v>183.88278499999998</v>
      </c>
      <c r="AC420" s="18">
        <v>56.655777</v>
      </c>
      <c r="AD420" s="18">
        <v>298.18829999999997</v>
      </c>
    </row>
    <row r="421" spans="2:30" x14ac:dyDescent="0.25">
      <c r="B421" t="s">
        <v>108</v>
      </c>
      <c r="C421" t="s">
        <v>326</v>
      </c>
      <c r="D421" t="s">
        <v>369</v>
      </c>
      <c r="E421" s="35">
        <v>0.9</v>
      </c>
      <c r="F421" s="35">
        <v>16</v>
      </c>
      <c r="G421" s="36">
        <v>9.9409999999999998E-2</v>
      </c>
      <c r="H421" s="18">
        <v>178.937656</v>
      </c>
      <c r="I421" s="16">
        <v>0</v>
      </c>
      <c r="J421" s="16"/>
      <c r="K421" s="16"/>
      <c r="L421" s="37" t="s">
        <v>107</v>
      </c>
      <c r="M421" s="37"/>
      <c r="N421" s="37">
        <v>422</v>
      </c>
      <c r="O421" s="37"/>
      <c r="P421" s="37"/>
      <c r="Q421" s="18">
        <v>1.09351</v>
      </c>
      <c r="R421" s="18">
        <v>7.4557499999999997E-3</v>
      </c>
      <c r="S421" s="18">
        <v>2.0876099999999997</v>
      </c>
      <c r="T421" s="18">
        <v>8.9468999999999994</v>
      </c>
      <c r="U421" s="18">
        <v>4.4734499999999997</v>
      </c>
      <c r="V421" s="18">
        <v>57.260159999999999</v>
      </c>
      <c r="W421" s="18">
        <v>53.681399999999996</v>
      </c>
      <c r="X421" s="18">
        <v>35.787599999999998</v>
      </c>
      <c r="Y421" s="18">
        <v>1.59056</v>
      </c>
      <c r="Z421" s="18">
        <v>7.0581100000000001</v>
      </c>
      <c r="AA421" s="18">
        <v>10.33864</v>
      </c>
      <c r="AB421" s="18">
        <v>18.39085</v>
      </c>
      <c r="AC421" s="18">
        <v>5.6663699999999997</v>
      </c>
      <c r="AD421" s="18">
        <v>29.823</v>
      </c>
    </row>
    <row r="422" spans="2:30" x14ac:dyDescent="0.25">
      <c r="B422" t="s">
        <v>116</v>
      </c>
      <c r="C422" t="s">
        <v>326</v>
      </c>
      <c r="D422" t="s">
        <v>414</v>
      </c>
      <c r="E422" s="35">
        <v>0.9</v>
      </c>
      <c r="F422" s="35">
        <v>50</v>
      </c>
      <c r="G422" s="36">
        <v>0.63173199999999996</v>
      </c>
      <c r="H422" s="18">
        <v>1137.1168720000001</v>
      </c>
      <c r="I422" s="16">
        <v>0</v>
      </c>
      <c r="J422" s="16"/>
      <c r="K422" s="16"/>
      <c r="L422" s="37" t="s">
        <v>107</v>
      </c>
      <c r="M422" s="37"/>
      <c r="N422" s="37">
        <v>423</v>
      </c>
      <c r="O422" s="37"/>
      <c r="P422" s="37"/>
      <c r="Q422" s="18">
        <v>6.949052</v>
      </c>
      <c r="R422" s="18">
        <v>4.7379899999999996E-2</v>
      </c>
      <c r="S422" s="18">
        <v>13.266371999999999</v>
      </c>
      <c r="T422" s="18">
        <v>56.855879999999999</v>
      </c>
      <c r="U422" s="18">
        <v>28.42794</v>
      </c>
      <c r="V422" s="18">
        <v>363.87763199999995</v>
      </c>
      <c r="W422" s="18">
        <v>341.13527999999997</v>
      </c>
      <c r="X422" s="18">
        <v>227.42352</v>
      </c>
      <c r="Y422" s="18">
        <v>10.107711999999999</v>
      </c>
      <c r="Z422" s="18">
        <v>44.852971999999994</v>
      </c>
      <c r="AA422" s="18">
        <v>65.700127999999992</v>
      </c>
      <c r="AB422" s="18">
        <v>116.87042</v>
      </c>
      <c r="AC422" s="18">
        <v>36.008724000000001</v>
      </c>
      <c r="AD422" s="18">
        <v>189.5196</v>
      </c>
    </row>
    <row r="423" spans="2:30" x14ac:dyDescent="0.25">
      <c r="B423" t="s">
        <v>116</v>
      </c>
      <c r="C423" t="s">
        <v>326</v>
      </c>
      <c r="D423" t="s">
        <v>415</v>
      </c>
      <c r="E423" s="35">
        <v>0.9</v>
      </c>
      <c r="F423" s="35">
        <v>50</v>
      </c>
      <c r="G423" s="36">
        <v>0.63597599999999999</v>
      </c>
      <c r="H423" s="18">
        <v>1144.7563479999999</v>
      </c>
      <c r="I423" s="16">
        <v>0</v>
      </c>
      <c r="J423" s="16"/>
      <c r="K423" s="16"/>
      <c r="L423" s="37" t="s">
        <v>107</v>
      </c>
      <c r="M423" s="37"/>
      <c r="N423" s="37">
        <v>424</v>
      </c>
      <c r="O423" s="37"/>
      <c r="P423" s="37"/>
      <c r="Q423" s="18">
        <v>6.995736</v>
      </c>
      <c r="R423" s="18">
        <v>4.7698199999999996E-2</v>
      </c>
      <c r="S423" s="18">
        <v>13.355496</v>
      </c>
      <c r="T423" s="18">
        <v>57.237839999999998</v>
      </c>
      <c r="U423" s="18">
        <v>28.618919999999999</v>
      </c>
      <c r="V423" s="18">
        <v>366.32217600000001</v>
      </c>
      <c r="W423" s="18">
        <v>343.42703999999998</v>
      </c>
      <c r="X423" s="18">
        <v>228.95135999999999</v>
      </c>
      <c r="Y423" s="18">
        <v>10.175616</v>
      </c>
      <c r="Z423" s="18">
        <v>45.154296000000002</v>
      </c>
      <c r="AA423" s="18">
        <v>66.141503999999998</v>
      </c>
      <c r="AB423" s="18">
        <v>117.65555999999999</v>
      </c>
      <c r="AC423" s="18">
        <v>36.250631999999996</v>
      </c>
      <c r="AD423" s="18">
        <v>190.7928</v>
      </c>
    </row>
    <row r="424" spans="2:30" x14ac:dyDescent="0.25">
      <c r="B424" t="s">
        <v>128</v>
      </c>
      <c r="C424" t="s">
        <v>326</v>
      </c>
      <c r="D424" t="s">
        <v>416</v>
      </c>
      <c r="E424" s="35">
        <v>0.9</v>
      </c>
      <c r="F424" s="35">
        <v>65</v>
      </c>
      <c r="G424" s="36">
        <v>0.89219899999999996</v>
      </c>
      <c r="H424" s="18">
        <v>1605.9584589999999</v>
      </c>
      <c r="I424" s="16">
        <v>0</v>
      </c>
      <c r="J424" s="16"/>
      <c r="K424" s="16"/>
      <c r="L424" s="37" t="s">
        <v>107</v>
      </c>
      <c r="M424" s="37"/>
      <c r="N424" s="37">
        <v>425</v>
      </c>
      <c r="O424" s="37"/>
      <c r="P424" s="37"/>
      <c r="Q424" s="18">
        <v>9.8141889999999989</v>
      </c>
      <c r="R424" s="18">
        <v>6.6914925E-2</v>
      </c>
      <c r="S424" s="18">
        <v>18.736179</v>
      </c>
      <c r="T424" s="18">
        <v>80.297910000000002</v>
      </c>
      <c r="U424" s="18">
        <v>40.148955000000001</v>
      </c>
      <c r="V424" s="18">
        <v>513.90662399999997</v>
      </c>
      <c r="W424" s="18">
        <v>481.78745999999995</v>
      </c>
      <c r="X424" s="18">
        <v>321.19164000000001</v>
      </c>
      <c r="Y424" s="18">
        <v>14.275183999999999</v>
      </c>
      <c r="Z424" s="18">
        <v>63.346128999999998</v>
      </c>
      <c r="AA424" s="18">
        <v>92.788696000000002</v>
      </c>
      <c r="AB424" s="18">
        <v>165.056815</v>
      </c>
      <c r="AC424" s="18">
        <v>50.855342999999998</v>
      </c>
      <c r="AD424" s="18">
        <v>267.65969999999999</v>
      </c>
    </row>
    <row r="425" spans="2:30" x14ac:dyDescent="0.25">
      <c r="B425" t="s">
        <v>133</v>
      </c>
      <c r="C425" t="s">
        <v>326</v>
      </c>
      <c r="D425" t="s">
        <v>417</v>
      </c>
      <c r="E425" s="35">
        <v>0.9</v>
      </c>
      <c r="F425" s="35">
        <v>50</v>
      </c>
      <c r="G425" s="36">
        <v>0.96259799999999995</v>
      </c>
      <c r="H425" s="18">
        <v>1732.6762819999999</v>
      </c>
      <c r="I425" s="16">
        <v>0</v>
      </c>
      <c r="J425" s="16">
        <v>50</v>
      </c>
      <c r="K425" s="16" t="s">
        <v>114</v>
      </c>
      <c r="L425" s="37" t="s">
        <v>107</v>
      </c>
      <c r="M425" s="37"/>
      <c r="N425" s="37">
        <v>426</v>
      </c>
      <c r="O425" s="37"/>
      <c r="P425" s="37"/>
      <c r="Q425" s="18">
        <v>10.588578</v>
      </c>
      <c r="R425" s="18">
        <v>7.2194849999999991E-2</v>
      </c>
      <c r="S425" s="18">
        <v>20.214558</v>
      </c>
      <c r="T425" s="18">
        <v>86.63382</v>
      </c>
      <c r="U425" s="18">
        <v>43.31691</v>
      </c>
      <c r="V425" s="18">
        <v>554.45644800000002</v>
      </c>
      <c r="W425" s="18">
        <v>519.80291999999997</v>
      </c>
      <c r="X425" s="18">
        <v>346.53528</v>
      </c>
      <c r="Y425" s="18">
        <v>15.401567999999999</v>
      </c>
      <c r="Z425" s="18">
        <v>68.344458000000003</v>
      </c>
      <c r="AA425" s="18">
        <v>100.110192</v>
      </c>
      <c r="AB425" s="18">
        <v>178.08062999999999</v>
      </c>
      <c r="AC425" s="18">
        <v>54.868085999999998</v>
      </c>
      <c r="AD425" s="18">
        <v>288.77940000000001</v>
      </c>
    </row>
    <row r="426" spans="2:30" x14ac:dyDescent="0.25">
      <c r="B426" t="s">
        <v>112</v>
      </c>
      <c r="C426" t="s">
        <v>326</v>
      </c>
      <c r="D426" t="s">
        <v>418</v>
      </c>
      <c r="E426" s="35">
        <v>0.9</v>
      </c>
      <c r="F426" s="35">
        <v>60</v>
      </c>
      <c r="G426" s="36">
        <v>1.1827540000000001</v>
      </c>
      <c r="H426" s="18">
        <v>2128.9568850000001</v>
      </c>
      <c r="I426" s="16">
        <v>0</v>
      </c>
      <c r="J426" s="16">
        <v>60</v>
      </c>
      <c r="K426" s="16"/>
      <c r="L426" s="37" t="s">
        <v>107</v>
      </c>
      <c r="M426" s="37"/>
      <c r="N426" s="37">
        <v>427</v>
      </c>
      <c r="O426" s="37"/>
      <c r="P426" s="37"/>
      <c r="Q426" s="18">
        <v>13.010294000000002</v>
      </c>
      <c r="R426" s="18">
        <v>8.8706550000000009E-2</v>
      </c>
      <c r="S426" s="18">
        <v>24.837834000000001</v>
      </c>
      <c r="T426" s="18">
        <v>106.44786000000001</v>
      </c>
      <c r="U426" s="18">
        <v>53.223930000000003</v>
      </c>
      <c r="V426" s="18">
        <v>681.26630399999999</v>
      </c>
      <c r="W426" s="18">
        <v>638.68716000000006</v>
      </c>
      <c r="X426" s="18">
        <v>425.79144000000002</v>
      </c>
      <c r="Y426" s="18">
        <v>18.924064000000001</v>
      </c>
      <c r="Z426" s="18">
        <v>83.97553400000001</v>
      </c>
      <c r="AA426" s="18">
        <v>123.006416</v>
      </c>
      <c r="AB426" s="18">
        <v>218.80949000000001</v>
      </c>
      <c r="AC426" s="18">
        <v>67.416978</v>
      </c>
      <c r="AD426" s="18">
        <v>354.82620000000003</v>
      </c>
    </row>
    <row r="427" spans="2:30" x14ac:dyDescent="0.25">
      <c r="B427" t="s">
        <v>108</v>
      </c>
      <c r="C427" t="s">
        <v>326</v>
      </c>
      <c r="D427" t="s">
        <v>369</v>
      </c>
      <c r="E427" s="35">
        <v>0.9</v>
      </c>
      <c r="F427" s="35">
        <v>16</v>
      </c>
      <c r="G427" s="36">
        <v>9.9409999999999998E-2</v>
      </c>
      <c r="H427" s="18">
        <v>178.937656</v>
      </c>
      <c r="I427" s="16">
        <v>0</v>
      </c>
      <c r="J427" s="16"/>
      <c r="K427" s="16"/>
      <c r="L427" s="37" t="s">
        <v>107</v>
      </c>
      <c r="M427" s="37"/>
      <c r="N427" s="37">
        <v>428</v>
      </c>
      <c r="O427" s="37"/>
      <c r="P427" s="37"/>
      <c r="Q427" s="18">
        <v>1.09351</v>
      </c>
      <c r="R427" s="18">
        <v>7.4557499999999997E-3</v>
      </c>
      <c r="S427" s="18">
        <v>2.0876099999999997</v>
      </c>
      <c r="T427" s="18">
        <v>8.9468999999999994</v>
      </c>
      <c r="U427" s="18">
        <v>4.4734499999999997</v>
      </c>
      <c r="V427" s="18">
        <v>57.260159999999999</v>
      </c>
      <c r="W427" s="18">
        <v>53.681399999999996</v>
      </c>
      <c r="X427" s="18">
        <v>35.787599999999998</v>
      </c>
      <c r="Y427" s="18">
        <v>1.59056</v>
      </c>
      <c r="Z427" s="18">
        <v>7.0581100000000001</v>
      </c>
      <c r="AA427" s="18">
        <v>10.33864</v>
      </c>
      <c r="AB427" s="18">
        <v>18.39085</v>
      </c>
      <c r="AC427" s="18">
        <v>5.6663699999999997</v>
      </c>
      <c r="AD427" s="18">
        <v>29.823</v>
      </c>
    </row>
    <row r="428" spans="2:30" x14ac:dyDescent="0.25">
      <c r="B428" t="s">
        <v>112</v>
      </c>
      <c r="C428" t="s">
        <v>326</v>
      </c>
      <c r="D428" t="s">
        <v>419</v>
      </c>
      <c r="E428" s="35">
        <v>0.9</v>
      </c>
      <c r="F428" s="35">
        <v>60</v>
      </c>
      <c r="G428" s="36">
        <v>1.171295</v>
      </c>
      <c r="H428" s="18">
        <v>2108.3312980000001</v>
      </c>
      <c r="I428" s="16">
        <v>0</v>
      </c>
      <c r="J428" s="16">
        <v>62</v>
      </c>
      <c r="K428" s="16"/>
      <c r="L428" s="37" t="s">
        <v>107</v>
      </c>
      <c r="M428" s="37"/>
      <c r="N428" s="37">
        <v>429</v>
      </c>
      <c r="O428" s="37"/>
      <c r="P428" s="37"/>
      <c r="Q428" s="18">
        <v>12.884245</v>
      </c>
      <c r="R428" s="18">
        <v>8.7847124999999998E-2</v>
      </c>
      <c r="S428" s="18">
        <v>24.597194999999999</v>
      </c>
      <c r="T428" s="18">
        <v>105.41655</v>
      </c>
      <c r="U428" s="18">
        <v>52.708275</v>
      </c>
      <c r="V428" s="18">
        <v>674.66592000000003</v>
      </c>
      <c r="W428" s="18">
        <v>632.49929999999995</v>
      </c>
      <c r="X428" s="18">
        <v>421.6662</v>
      </c>
      <c r="Y428" s="18">
        <v>18.74072</v>
      </c>
      <c r="Z428" s="18">
        <v>83.161945000000003</v>
      </c>
      <c r="AA428" s="18">
        <v>121.81468</v>
      </c>
      <c r="AB428" s="18">
        <v>216.68957499999999</v>
      </c>
      <c r="AC428" s="18">
        <v>66.763814999999994</v>
      </c>
      <c r="AD428" s="18">
        <v>351.38849999999996</v>
      </c>
    </row>
    <row r="429" spans="2:30" x14ac:dyDescent="0.25">
      <c r="B429" t="s">
        <v>112</v>
      </c>
      <c r="C429" t="s">
        <v>326</v>
      </c>
      <c r="D429" t="s">
        <v>420</v>
      </c>
      <c r="E429" s="35">
        <v>0.9</v>
      </c>
      <c r="F429" s="35">
        <v>60</v>
      </c>
      <c r="G429" s="36">
        <v>1.1803539999999999</v>
      </c>
      <c r="H429" s="18">
        <v>2124.6370609999999</v>
      </c>
      <c r="I429" s="16">
        <v>0</v>
      </c>
      <c r="J429" s="16">
        <v>60</v>
      </c>
      <c r="K429" s="16"/>
      <c r="L429" s="37" t="s">
        <v>107</v>
      </c>
      <c r="M429" s="37"/>
      <c r="N429" s="37">
        <v>430</v>
      </c>
      <c r="O429" s="37"/>
      <c r="P429" s="37"/>
      <c r="Q429" s="18">
        <v>12.983893999999999</v>
      </c>
      <c r="R429" s="18">
        <v>8.8526549999999996E-2</v>
      </c>
      <c r="S429" s="18">
        <v>24.787433999999998</v>
      </c>
      <c r="T429" s="18">
        <v>106.23186</v>
      </c>
      <c r="U429" s="18">
        <v>53.115929999999999</v>
      </c>
      <c r="V429" s="18">
        <v>679.88390399999992</v>
      </c>
      <c r="W429" s="18">
        <v>637.3911599999999</v>
      </c>
      <c r="X429" s="18">
        <v>424.92743999999999</v>
      </c>
      <c r="Y429" s="18">
        <v>18.885663999999998</v>
      </c>
      <c r="Z429" s="18">
        <v>83.805133999999995</v>
      </c>
      <c r="AA429" s="18">
        <v>122.75681599999999</v>
      </c>
      <c r="AB429" s="18">
        <v>218.36548999999999</v>
      </c>
      <c r="AC429" s="18">
        <v>67.280177999999992</v>
      </c>
      <c r="AD429" s="18">
        <v>354.10619999999994</v>
      </c>
    </row>
    <row r="430" spans="2:30" x14ac:dyDescent="0.25">
      <c r="B430" t="s">
        <v>108</v>
      </c>
      <c r="C430" t="s">
        <v>326</v>
      </c>
      <c r="D430" t="s">
        <v>421</v>
      </c>
      <c r="E430" s="35">
        <v>0.9</v>
      </c>
      <c r="F430" s="35">
        <v>16</v>
      </c>
      <c r="G430" s="36">
        <v>9.6742999999999996E-2</v>
      </c>
      <c r="H430" s="18">
        <v>174.13785200000001</v>
      </c>
      <c r="I430" s="16">
        <v>0</v>
      </c>
      <c r="J430" s="16"/>
      <c r="K430" s="16"/>
      <c r="L430" s="37" t="s">
        <v>107</v>
      </c>
      <c r="M430" s="37"/>
      <c r="N430" s="37">
        <v>431</v>
      </c>
      <c r="O430" s="37"/>
      <c r="P430" s="37"/>
      <c r="Q430" s="18">
        <v>1.064173</v>
      </c>
      <c r="R430" s="18">
        <v>7.2557249999999993E-3</v>
      </c>
      <c r="S430" s="18">
        <v>2.031603</v>
      </c>
      <c r="T430" s="18">
        <v>8.7068700000000003</v>
      </c>
      <c r="U430" s="18">
        <v>4.3534350000000002</v>
      </c>
      <c r="V430" s="18">
        <v>55.723967999999999</v>
      </c>
      <c r="W430" s="18">
        <v>52.241219999999998</v>
      </c>
      <c r="X430" s="18">
        <v>34.827480000000001</v>
      </c>
      <c r="Y430" s="18">
        <v>1.5478879999999999</v>
      </c>
      <c r="Z430" s="18">
        <v>6.8687529999999999</v>
      </c>
      <c r="AA430" s="18">
        <v>10.061271999999999</v>
      </c>
      <c r="AB430" s="18">
        <v>17.897455000000001</v>
      </c>
      <c r="AC430" s="18">
        <v>5.5143509999999996</v>
      </c>
      <c r="AD430" s="18">
        <v>29.0229</v>
      </c>
    </row>
    <row r="431" spans="2:30" x14ac:dyDescent="0.25">
      <c r="B431" t="s">
        <v>118</v>
      </c>
      <c r="C431" t="s">
        <v>326</v>
      </c>
      <c r="D431" t="s">
        <v>422</v>
      </c>
      <c r="E431" s="35">
        <v>0.9</v>
      </c>
      <c r="F431" s="35">
        <v>76</v>
      </c>
      <c r="G431" s="36">
        <v>1.1277969999999999</v>
      </c>
      <c r="H431" s="18">
        <v>2030.033848</v>
      </c>
      <c r="I431" s="16">
        <v>0</v>
      </c>
      <c r="J431" s="16">
        <v>42</v>
      </c>
      <c r="K431" s="16"/>
      <c r="L431" s="37" t="s">
        <v>107</v>
      </c>
      <c r="M431" s="37"/>
      <c r="N431" s="37">
        <v>432</v>
      </c>
      <c r="O431" s="37"/>
      <c r="P431" s="37"/>
      <c r="Q431" s="18">
        <v>12.405766999999999</v>
      </c>
      <c r="R431" s="18">
        <v>8.4584774999999987E-2</v>
      </c>
      <c r="S431" s="18">
        <v>23.683736999999997</v>
      </c>
      <c r="T431" s="18">
        <v>101.50172999999999</v>
      </c>
      <c r="U431" s="18">
        <v>50.750864999999997</v>
      </c>
      <c r="V431" s="18">
        <v>649.61107199999992</v>
      </c>
      <c r="W431" s="18">
        <v>609.01037999999994</v>
      </c>
      <c r="X431" s="18">
        <v>406.00691999999998</v>
      </c>
      <c r="Y431" s="18">
        <v>18.044751999999999</v>
      </c>
      <c r="Z431" s="18">
        <v>80.073586999999989</v>
      </c>
      <c r="AA431" s="18">
        <v>117.290888</v>
      </c>
      <c r="AB431" s="18">
        <v>208.64244499999998</v>
      </c>
      <c r="AC431" s="18">
        <v>64.284429000000003</v>
      </c>
      <c r="AD431" s="18">
        <v>338.33909999999997</v>
      </c>
    </row>
    <row r="432" spans="2:30" x14ac:dyDescent="0.25">
      <c r="B432" t="s">
        <v>133</v>
      </c>
      <c r="C432" t="s">
        <v>326</v>
      </c>
      <c r="D432" t="s">
        <v>423</v>
      </c>
      <c r="E432" s="35">
        <v>0.9</v>
      </c>
      <c r="F432" s="35">
        <v>50</v>
      </c>
      <c r="G432" s="36">
        <v>1.004362</v>
      </c>
      <c r="H432" s="18">
        <v>1807.8522439999999</v>
      </c>
      <c r="I432" s="16">
        <v>0</v>
      </c>
      <c r="J432" s="16">
        <v>50</v>
      </c>
      <c r="K432" s="16" t="s">
        <v>114</v>
      </c>
      <c r="L432" s="37" t="s">
        <v>107</v>
      </c>
      <c r="M432" s="37"/>
      <c r="N432" s="37">
        <v>433</v>
      </c>
      <c r="O432" s="37"/>
      <c r="P432" s="37"/>
      <c r="Q432" s="18">
        <v>11.047981999999999</v>
      </c>
      <c r="R432" s="18">
        <v>7.5327149999999995E-2</v>
      </c>
      <c r="S432" s="18">
        <v>21.091601999999998</v>
      </c>
      <c r="T432" s="18">
        <v>90.392579999999995</v>
      </c>
      <c r="U432" s="18">
        <v>45.196289999999998</v>
      </c>
      <c r="V432" s="18">
        <v>578.51251200000002</v>
      </c>
      <c r="W432" s="18">
        <v>542.35547999999994</v>
      </c>
      <c r="X432" s="18">
        <v>361.57031999999998</v>
      </c>
      <c r="Y432" s="18">
        <v>16.069792</v>
      </c>
      <c r="Z432" s="18">
        <v>71.309702000000001</v>
      </c>
      <c r="AA432" s="18">
        <v>104.453648</v>
      </c>
      <c r="AB432" s="18">
        <v>185.80697000000001</v>
      </c>
      <c r="AC432" s="18">
        <v>57.248633999999996</v>
      </c>
      <c r="AD432" s="18">
        <v>301.30860000000001</v>
      </c>
    </row>
    <row r="433" spans="2:30" x14ac:dyDescent="0.25">
      <c r="B433" t="s">
        <v>116</v>
      </c>
      <c r="C433" t="s">
        <v>326</v>
      </c>
      <c r="D433" t="s">
        <v>368</v>
      </c>
      <c r="E433" s="35">
        <v>0.9</v>
      </c>
      <c r="F433" s="35">
        <v>50</v>
      </c>
      <c r="G433" s="36">
        <v>0.99396099999999998</v>
      </c>
      <c r="H433" s="18">
        <v>1789.1301269999999</v>
      </c>
      <c r="I433" s="16">
        <v>0</v>
      </c>
      <c r="J433" s="16">
        <v>50</v>
      </c>
      <c r="K433" s="16" t="s">
        <v>114</v>
      </c>
      <c r="L433" s="37" t="s">
        <v>107</v>
      </c>
      <c r="M433" s="37"/>
      <c r="N433" s="37">
        <v>434</v>
      </c>
      <c r="O433" s="37"/>
      <c r="P433" s="37"/>
      <c r="Q433" s="18">
        <v>10.933571000000001</v>
      </c>
      <c r="R433" s="18">
        <v>7.454707499999999E-2</v>
      </c>
      <c r="S433" s="18">
        <v>20.873180999999999</v>
      </c>
      <c r="T433" s="18">
        <v>89.456490000000002</v>
      </c>
      <c r="U433" s="18">
        <v>44.728245000000001</v>
      </c>
      <c r="V433" s="18">
        <v>572.52153599999997</v>
      </c>
      <c r="W433" s="18">
        <v>536.73893999999996</v>
      </c>
      <c r="X433" s="18">
        <v>357.82596000000001</v>
      </c>
      <c r="Y433" s="18">
        <v>15.903376</v>
      </c>
      <c r="Z433" s="18">
        <v>70.571230999999997</v>
      </c>
      <c r="AA433" s="18">
        <v>103.371944</v>
      </c>
      <c r="AB433" s="18">
        <v>183.88278499999998</v>
      </c>
      <c r="AC433" s="18">
        <v>56.655777</v>
      </c>
      <c r="AD433" s="18">
        <v>298.18829999999997</v>
      </c>
    </row>
    <row r="434" spans="2:30" x14ac:dyDescent="0.25">
      <c r="B434" t="s">
        <v>108</v>
      </c>
      <c r="C434" t="s">
        <v>326</v>
      </c>
      <c r="D434" t="s">
        <v>424</v>
      </c>
      <c r="E434" s="35">
        <v>0.9</v>
      </c>
      <c r="F434" s="35">
        <v>16</v>
      </c>
      <c r="G434" s="36">
        <v>0.10431600000000001</v>
      </c>
      <c r="H434" s="18">
        <v>187.76929699999999</v>
      </c>
      <c r="I434" s="16">
        <v>0</v>
      </c>
      <c r="J434" s="16"/>
      <c r="K434" s="16"/>
      <c r="L434" s="37" t="s">
        <v>107</v>
      </c>
      <c r="M434" s="37"/>
      <c r="N434" s="37">
        <v>435</v>
      </c>
      <c r="O434" s="37"/>
      <c r="P434" s="37"/>
      <c r="Q434" s="18">
        <v>1.1474760000000002</v>
      </c>
      <c r="R434" s="18">
        <v>7.8236999999999994E-3</v>
      </c>
      <c r="S434" s="18">
        <v>2.190636</v>
      </c>
      <c r="T434" s="18">
        <v>9.388440000000001</v>
      </c>
      <c r="U434" s="18">
        <v>4.6942200000000005</v>
      </c>
      <c r="V434" s="18">
        <v>60.086016000000001</v>
      </c>
      <c r="W434" s="18">
        <v>56.330640000000002</v>
      </c>
      <c r="X434" s="18">
        <v>37.553760000000004</v>
      </c>
      <c r="Y434" s="18">
        <v>1.6690560000000001</v>
      </c>
      <c r="Z434" s="18">
        <v>7.4064360000000002</v>
      </c>
      <c r="AA434" s="18">
        <v>10.848864000000001</v>
      </c>
      <c r="AB434" s="18">
        <v>19.298460000000002</v>
      </c>
      <c r="AC434" s="18">
        <v>5.9460120000000005</v>
      </c>
      <c r="AD434" s="18">
        <v>31.294800000000002</v>
      </c>
    </row>
    <row r="435" spans="2:30" x14ac:dyDescent="0.25">
      <c r="B435" t="s">
        <v>162</v>
      </c>
      <c r="C435" t="s">
        <v>326</v>
      </c>
      <c r="D435" t="s">
        <v>425</v>
      </c>
      <c r="E435" s="35">
        <v>0.9</v>
      </c>
      <c r="F435" s="35">
        <v>24</v>
      </c>
      <c r="G435" s="36">
        <v>9.6796999999999994E-2</v>
      </c>
      <c r="H435" s="18">
        <v>174.23431600000001</v>
      </c>
      <c r="I435" s="16">
        <v>0</v>
      </c>
      <c r="J435" s="16"/>
      <c r="K435" s="16"/>
      <c r="L435" s="37" t="s">
        <v>107</v>
      </c>
      <c r="M435" s="37"/>
      <c r="N435" s="37">
        <v>436</v>
      </c>
      <c r="O435" s="37"/>
      <c r="P435" s="37"/>
      <c r="Q435" s="18">
        <v>1.064767</v>
      </c>
      <c r="R435" s="18">
        <v>7.2597749999999996E-3</v>
      </c>
      <c r="S435" s="18">
        <v>2.032737</v>
      </c>
      <c r="T435" s="18">
        <v>8.7117299999999993</v>
      </c>
      <c r="U435" s="18">
        <v>4.3558649999999997</v>
      </c>
      <c r="V435" s="18">
        <v>55.755071999999998</v>
      </c>
      <c r="W435" s="18">
        <v>52.270379999999996</v>
      </c>
      <c r="X435" s="18">
        <v>34.846919999999997</v>
      </c>
      <c r="Y435" s="18">
        <v>1.5487519999999999</v>
      </c>
      <c r="Z435" s="18">
        <v>6.8725869999999993</v>
      </c>
      <c r="AA435" s="18">
        <v>10.066887999999999</v>
      </c>
      <c r="AB435" s="18">
        <v>17.907444999999999</v>
      </c>
      <c r="AC435" s="18">
        <v>5.5174289999999999</v>
      </c>
      <c r="AD435" s="18">
        <v>29.039099999999998</v>
      </c>
    </row>
    <row r="436" spans="2:30" x14ac:dyDescent="0.25">
      <c r="B436" t="s">
        <v>162</v>
      </c>
      <c r="C436" t="s">
        <v>326</v>
      </c>
      <c r="D436" t="s">
        <v>425</v>
      </c>
      <c r="E436" s="35">
        <v>0.9</v>
      </c>
      <c r="F436" s="35">
        <v>24</v>
      </c>
      <c r="G436" s="36">
        <v>9.6796999999999994E-2</v>
      </c>
      <c r="H436" s="18">
        <v>174.23431600000001</v>
      </c>
      <c r="I436" s="16">
        <v>0</v>
      </c>
      <c r="J436" s="16"/>
      <c r="K436" s="16"/>
      <c r="L436" s="37" t="s">
        <v>107</v>
      </c>
      <c r="M436" s="37"/>
      <c r="N436" s="37">
        <v>437</v>
      </c>
      <c r="O436" s="37"/>
      <c r="P436" s="37"/>
      <c r="Q436" s="18">
        <v>1.064767</v>
      </c>
      <c r="R436" s="18">
        <v>7.2597749999999996E-3</v>
      </c>
      <c r="S436" s="18">
        <v>2.032737</v>
      </c>
      <c r="T436" s="18">
        <v>8.7117299999999993</v>
      </c>
      <c r="U436" s="18">
        <v>4.3558649999999997</v>
      </c>
      <c r="V436" s="18">
        <v>55.755071999999998</v>
      </c>
      <c r="W436" s="18">
        <v>52.270379999999996</v>
      </c>
      <c r="X436" s="18">
        <v>34.846919999999997</v>
      </c>
      <c r="Y436" s="18">
        <v>1.5487519999999999</v>
      </c>
      <c r="Z436" s="18">
        <v>6.8725869999999993</v>
      </c>
      <c r="AA436" s="18">
        <v>10.066887999999999</v>
      </c>
      <c r="AB436" s="18">
        <v>17.907444999999999</v>
      </c>
      <c r="AC436" s="18">
        <v>5.5174289999999999</v>
      </c>
      <c r="AD436" s="18">
        <v>29.039099999999998</v>
      </c>
    </row>
    <row r="437" spans="2:30" x14ac:dyDescent="0.25">
      <c r="B437" t="s">
        <v>162</v>
      </c>
      <c r="C437" t="s">
        <v>326</v>
      </c>
      <c r="D437" t="s">
        <v>425</v>
      </c>
      <c r="E437" s="35">
        <v>0.9</v>
      </c>
      <c r="F437" s="35">
        <v>24</v>
      </c>
      <c r="G437" s="36">
        <v>9.6796999999999994E-2</v>
      </c>
      <c r="H437" s="18">
        <v>174.23431600000001</v>
      </c>
      <c r="I437" s="16">
        <v>0</v>
      </c>
      <c r="J437" s="16"/>
      <c r="K437" s="16"/>
      <c r="L437" s="37" t="s">
        <v>107</v>
      </c>
      <c r="M437" s="37"/>
      <c r="N437" s="37">
        <v>438</v>
      </c>
      <c r="O437" s="37"/>
      <c r="P437" s="37"/>
      <c r="Q437" s="18">
        <v>1.064767</v>
      </c>
      <c r="R437" s="18">
        <v>7.2597749999999996E-3</v>
      </c>
      <c r="S437" s="18">
        <v>2.032737</v>
      </c>
      <c r="T437" s="18">
        <v>8.7117299999999993</v>
      </c>
      <c r="U437" s="18">
        <v>4.3558649999999997</v>
      </c>
      <c r="V437" s="18">
        <v>55.755071999999998</v>
      </c>
      <c r="W437" s="18">
        <v>52.270379999999996</v>
      </c>
      <c r="X437" s="18">
        <v>34.846919999999997</v>
      </c>
      <c r="Y437" s="18">
        <v>1.5487519999999999</v>
      </c>
      <c r="Z437" s="18">
        <v>6.8725869999999993</v>
      </c>
      <c r="AA437" s="18">
        <v>10.066887999999999</v>
      </c>
      <c r="AB437" s="18">
        <v>17.907444999999999</v>
      </c>
      <c r="AC437" s="18">
        <v>5.5174289999999999</v>
      </c>
      <c r="AD437" s="18">
        <v>29.039099999999998</v>
      </c>
    </row>
    <row r="438" spans="2:30" x14ac:dyDescent="0.25">
      <c r="B438" t="s">
        <v>116</v>
      </c>
      <c r="C438" t="s">
        <v>326</v>
      </c>
      <c r="D438" t="s">
        <v>293</v>
      </c>
      <c r="E438" s="35">
        <v>0.9</v>
      </c>
      <c r="F438" s="35">
        <v>50</v>
      </c>
      <c r="G438" s="36">
        <v>0.53598000000000001</v>
      </c>
      <c r="H438" s="18">
        <v>964.76367200000004</v>
      </c>
      <c r="I438" s="16">
        <v>0</v>
      </c>
      <c r="J438" s="16"/>
      <c r="K438" s="16"/>
      <c r="L438" s="37" t="s">
        <v>107</v>
      </c>
      <c r="M438" s="37"/>
      <c r="N438" s="37">
        <v>439</v>
      </c>
      <c r="O438" s="37"/>
      <c r="P438" s="37"/>
      <c r="Q438" s="18">
        <v>5.8957800000000002</v>
      </c>
      <c r="R438" s="18">
        <v>4.0198499999999998E-2</v>
      </c>
      <c r="S438" s="18">
        <v>11.25558</v>
      </c>
      <c r="T438" s="18">
        <v>48.238199999999999</v>
      </c>
      <c r="U438" s="18">
        <v>24.1191</v>
      </c>
      <c r="V438" s="18">
        <v>308.72448000000003</v>
      </c>
      <c r="W438" s="18">
        <v>289.42919999999998</v>
      </c>
      <c r="X438" s="18">
        <v>192.9528</v>
      </c>
      <c r="Y438" s="18">
        <v>8.5756800000000002</v>
      </c>
      <c r="Z438" s="18">
        <v>38.054580000000001</v>
      </c>
      <c r="AA438" s="18">
        <v>55.74192</v>
      </c>
      <c r="AB438" s="18">
        <v>99.156300000000002</v>
      </c>
      <c r="AC438" s="18">
        <v>30.55086</v>
      </c>
      <c r="AD438" s="18">
        <v>160.79400000000001</v>
      </c>
    </row>
    <row r="439" spans="2:30" x14ac:dyDescent="0.25">
      <c r="B439" t="s">
        <v>158</v>
      </c>
      <c r="C439" t="s">
        <v>326</v>
      </c>
      <c r="D439" t="s">
        <v>426</v>
      </c>
      <c r="E439" s="35">
        <v>0.9</v>
      </c>
      <c r="F439" s="35">
        <v>18</v>
      </c>
      <c r="G439" s="36">
        <v>6.6958000000000004E-2</v>
      </c>
      <c r="H439" s="18">
        <v>120.52415000000001</v>
      </c>
      <c r="I439" s="16">
        <v>0</v>
      </c>
      <c r="J439" s="16"/>
      <c r="K439" s="16"/>
      <c r="L439" s="37" t="s">
        <v>107</v>
      </c>
      <c r="M439" s="37"/>
      <c r="N439" s="37">
        <v>440</v>
      </c>
      <c r="O439" s="37"/>
      <c r="P439" s="37"/>
      <c r="Q439" s="18">
        <v>0.73653800000000003</v>
      </c>
      <c r="R439" s="18">
        <v>5.0218500000000004E-3</v>
      </c>
      <c r="S439" s="18">
        <v>1.406118</v>
      </c>
      <c r="T439" s="18">
        <v>6.0262200000000004</v>
      </c>
      <c r="U439" s="18">
        <v>3.0131100000000002</v>
      </c>
      <c r="V439" s="18">
        <v>38.567807999999999</v>
      </c>
      <c r="W439" s="18">
        <v>36.157319999999999</v>
      </c>
      <c r="X439" s="18">
        <v>24.104880000000001</v>
      </c>
      <c r="Y439" s="18">
        <v>1.0713280000000001</v>
      </c>
      <c r="Z439" s="18">
        <v>4.7540180000000003</v>
      </c>
      <c r="AA439" s="18">
        <v>6.9636320000000005</v>
      </c>
      <c r="AB439" s="18">
        <v>12.387230000000001</v>
      </c>
      <c r="AC439" s="18">
        <v>3.8166060000000002</v>
      </c>
      <c r="AD439" s="18">
        <v>20.087400000000002</v>
      </c>
    </row>
    <row r="440" spans="2:30" x14ac:dyDescent="0.25">
      <c r="B440" t="s">
        <v>158</v>
      </c>
      <c r="C440" t="s">
        <v>326</v>
      </c>
      <c r="D440" t="s">
        <v>426</v>
      </c>
      <c r="E440" s="35">
        <v>0.9</v>
      </c>
      <c r="F440" s="35">
        <v>18</v>
      </c>
      <c r="G440" s="36">
        <v>6.6958000000000004E-2</v>
      </c>
      <c r="H440" s="18">
        <v>120.52415000000001</v>
      </c>
      <c r="I440" s="16">
        <v>0</v>
      </c>
      <c r="J440" s="16"/>
      <c r="K440" s="16"/>
      <c r="L440" s="37" t="s">
        <v>107</v>
      </c>
      <c r="M440" s="37"/>
      <c r="N440" s="37">
        <v>441</v>
      </c>
      <c r="O440" s="37"/>
      <c r="P440" s="37"/>
      <c r="Q440" s="18">
        <v>0.73653800000000003</v>
      </c>
      <c r="R440" s="18">
        <v>5.0218500000000004E-3</v>
      </c>
      <c r="S440" s="18">
        <v>1.406118</v>
      </c>
      <c r="T440" s="18">
        <v>6.0262200000000004</v>
      </c>
      <c r="U440" s="18">
        <v>3.0131100000000002</v>
      </c>
      <c r="V440" s="18">
        <v>38.567807999999999</v>
      </c>
      <c r="W440" s="18">
        <v>36.157319999999999</v>
      </c>
      <c r="X440" s="18">
        <v>24.104880000000001</v>
      </c>
      <c r="Y440" s="18">
        <v>1.0713280000000001</v>
      </c>
      <c r="Z440" s="18">
        <v>4.7540180000000003</v>
      </c>
      <c r="AA440" s="18">
        <v>6.9636320000000005</v>
      </c>
      <c r="AB440" s="18">
        <v>12.387230000000001</v>
      </c>
      <c r="AC440" s="18">
        <v>3.8166060000000002</v>
      </c>
      <c r="AD440" s="18">
        <v>20.087400000000002</v>
      </c>
    </row>
    <row r="441" spans="2:30" x14ac:dyDescent="0.25">
      <c r="B441" t="s">
        <v>158</v>
      </c>
      <c r="C441" t="s">
        <v>326</v>
      </c>
      <c r="D441" t="s">
        <v>426</v>
      </c>
      <c r="E441" s="35">
        <v>0.9</v>
      </c>
      <c r="F441" s="35">
        <v>18</v>
      </c>
      <c r="G441" s="36">
        <v>6.6958000000000004E-2</v>
      </c>
      <c r="H441" s="18">
        <v>120.52415000000001</v>
      </c>
      <c r="I441" s="16">
        <v>0</v>
      </c>
      <c r="J441" s="16"/>
      <c r="K441" s="16"/>
      <c r="L441" s="37" t="s">
        <v>107</v>
      </c>
      <c r="M441" s="37"/>
      <c r="N441" s="37">
        <v>442</v>
      </c>
      <c r="O441" s="37"/>
      <c r="P441" s="37"/>
      <c r="Q441" s="18">
        <v>0.73653800000000003</v>
      </c>
      <c r="R441" s="18">
        <v>5.0218500000000004E-3</v>
      </c>
      <c r="S441" s="18">
        <v>1.406118</v>
      </c>
      <c r="T441" s="18">
        <v>6.0262200000000004</v>
      </c>
      <c r="U441" s="18">
        <v>3.0131100000000002</v>
      </c>
      <c r="V441" s="18">
        <v>38.567807999999999</v>
      </c>
      <c r="W441" s="18">
        <v>36.157319999999999</v>
      </c>
      <c r="X441" s="18">
        <v>24.104880000000001</v>
      </c>
      <c r="Y441" s="18">
        <v>1.0713280000000001</v>
      </c>
      <c r="Z441" s="18">
        <v>4.7540180000000003</v>
      </c>
      <c r="AA441" s="18">
        <v>6.9636320000000005</v>
      </c>
      <c r="AB441" s="18">
        <v>12.387230000000001</v>
      </c>
      <c r="AC441" s="18">
        <v>3.8166060000000002</v>
      </c>
      <c r="AD441" s="18">
        <v>20.087400000000002</v>
      </c>
    </row>
    <row r="442" spans="2:30" x14ac:dyDescent="0.25">
      <c r="B442" t="s">
        <v>353</v>
      </c>
      <c r="C442" t="s">
        <v>326</v>
      </c>
      <c r="D442" t="s">
        <v>427</v>
      </c>
      <c r="E442" s="35">
        <v>0.9</v>
      </c>
      <c r="F442" s="35">
        <v>62</v>
      </c>
      <c r="G442" s="36">
        <v>0.917319</v>
      </c>
      <c r="H442" s="18">
        <v>1651.1744100000001</v>
      </c>
      <c r="I442" s="16">
        <v>0</v>
      </c>
      <c r="J442" s="16"/>
      <c r="K442" s="16"/>
      <c r="L442" s="37" t="s">
        <v>107</v>
      </c>
      <c r="M442" s="37"/>
      <c r="N442" s="37">
        <v>443</v>
      </c>
      <c r="O442" s="37"/>
      <c r="P442" s="37"/>
      <c r="Q442" s="18">
        <v>10.090509000000001</v>
      </c>
      <c r="R442" s="18">
        <v>6.8798924999999997E-2</v>
      </c>
      <c r="S442" s="18">
        <v>19.263698999999999</v>
      </c>
      <c r="T442" s="18">
        <v>82.558710000000005</v>
      </c>
      <c r="U442" s="18">
        <v>41.279355000000002</v>
      </c>
      <c r="V442" s="18">
        <v>528.37574399999994</v>
      </c>
      <c r="W442" s="18">
        <v>495.35226</v>
      </c>
      <c r="X442" s="18">
        <v>330.23484000000002</v>
      </c>
      <c r="Y442" s="18">
        <v>14.677104</v>
      </c>
      <c r="Z442" s="18">
        <v>65.129649000000001</v>
      </c>
      <c r="AA442" s="18">
        <v>95.401175999999992</v>
      </c>
      <c r="AB442" s="18">
        <v>169.704015</v>
      </c>
      <c r="AC442" s="18">
        <v>52.287182999999999</v>
      </c>
      <c r="AD442" s="18">
        <v>275.19569999999999</v>
      </c>
    </row>
    <row r="443" spans="2:30" x14ac:dyDescent="0.25">
      <c r="B443" t="s">
        <v>133</v>
      </c>
      <c r="C443" t="s">
        <v>326</v>
      </c>
      <c r="D443" t="s">
        <v>428</v>
      </c>
      <c r="E443" s="35">
        <v>0.9</v>
      </c>
      <c r="F443" s="35">
        <v>50</v>
      </c>
      <c r="G443" s="36">
        <v>1.0131300000000001</v>
      </c>
      <c r="H443" s="18">
        <v>1823.6338350000001</v>
      </c>
      <c r="I443" s="16">
        <v>0</v>
      </c>
      <c r="J443" s="16">
        <v>50</v>
      </c>
      <c r="K443" s="16" t="s">
        <v>114</v>
      </c>
      <c r="L443" s="37" t="s">
        <v>107</v>
      </c>
      <c r="M443" s="37"/>
      <c r="N443" s="37">
        <v>444</v>
      </c>
      <c r="O443" s="37"/>
      <c r="P443" s="37"/>
      <c r="Q443" s="18">
        <v>11.144430000000002</v>
      </c>
      <c r="R443" s="18">
        <v>7.5984750000000004E-2</v>
      </c>
      <c r="S443" s="18">
        <v>21.275730000000003</v>
      </c>
      <c r="T443" s="18">
        <v>91.181700000000006</v>
      </c>
      <c r="U443" s="18">
        <v>45.590850000000003</v>
      </c>
      <c r="V443" s="18">
        <v>583.56288000000006</v>
      </c>
      <c r="W443" s="18">
        <v>547.0902000000001</v>
      </c>
      <c r="X443" s="18">
        <v>364.72680000000003</v>
      </c>
      <c r="Y443" s="18">
        <v>16.210080000000001</v>
      </c>
      <c r="Z443" s="18">
        <v>71.932230000000004</v>
      </c>
      <c r="AA443" s="18">
        <v>105.36552</v>
      </c>
      <c r="AB443" s="18">
        <v>187.42905000000002</v>
      </c>
      <c r="AC443" s="18">
        <v>57.748410000000007</v>
      </c>
      <c r="AD443" s="18">
        <v>303.93900000000002</v>
      </c>
    </row>
    <row r="444" spans="2:30" x14ac:dyDescent="0.25">
      <c r="B444" t="s">
        <v>116</v>
      </c>
      <c r="C444" t="s">
        <v>326</v>
      </c>
      <c r="D444" t="s">
        <v>368</v>
      </c>
      <c r="E444" s="35">
        <v>0.9</v>
      </c>
      <c r="F444" s="35">
        <v>50</v>
      </c>
      <c r="G444" s="36">
        <v>0.99396099999999998</v>
      </c>
      <c r="H444" s="18">
        <v>1789.1301269999999</v>
      </c>
      <c r="I444" s="16">
        <v>0</v>
      </c>
      <c r="J444" s="16">
        <v>50</v>
      </c>
      <c r="K444" s="16" t="s">
        <v>114</v>
      </c>
      <c r="L444" s="37" t="s">
        <v>107</v>
      </c>
      <c r="M444" s="37"/>
      <c r="N444" s="37">
        <v>445</v>
      </c>
      <c r="O444" s="37"/>
      <c r="P444" s="37"/>
      <c r="Q444" s="18">
        <v>10.933571000000001</v>
      </c>
      <c r="R444" s="18">
        <v>7.454707499999999E-2</v>
      </c>
      <c r="S444" s="18">
        <v>20.873180999999999</v>
      </c>
      <c r="T444" s="18">
        <v>89.456490000000002</v>
      </c>
      <c r="U444" s="18">
        <v>44.728245000000001</v>
      </c>
      <c r="V444" s="18">
        <v>572.52153599999997</v>
      </c>
      <c r="W444" s="18">
        <v>536.73893999999996</v>
      </c>
      <c r="X444" s="18">
        <v>357.82596000000001</v>
      </c>
      <c r="Y444" s="18">
        <v>15.903376</v>
      </c>
      <c r="Z444" s="18">
        <v>70.571230999999997</v>
      </c>
      <c r="AA444" s="18">
        <v>103.371944</v>
      </c>
      <c r="AB444" s="18">
        <v>183.88278499999998</v>
      </c>
      <c r="AC444" s="18">
        <v>56.655777</v>
      </c>
      <c r="AD444" s="18">
        <v>298.18829999999997</v>
      </c>
    </row>
    <row r="445" spans="2:30" x14ac:dyDescent="0.25">
      <c r="B445" t="s">
        <v>108</v>
      </c>
      <c r="C445" t="s">
        <v>326</v>
      </c>
      <c r="D445" t="s">
        <v>429</v>
      </c>
      <c r="E445" s="35">
        <v>0.9</v>
      </c>
      <c r="F445" s="35">
        <v>16</v>
      </c>
      <c r="G445" s="36">
        <v>0.109116</v>
      </c>
      <c r="H445" s="18">
        <v>196.40894499999999</v>
      </c>
      <c r="I445" s="16">
        <v>0</v>
      </c>
      <c r="J445" s="16"/>
      <c r="K445" s="16"/>
      <c r="L445" s="37" t="s">
        <v>107</v>
      </c>
      <c r="M445" s="37"/>
      <c r="N445" s="37">
        <v>446</v>
      </c>
      <c r="O445" s="37"/>
      <c r="P445" s="37"/>
      <c r="Q445" s="18">
        <v>1.2002760000000001</v>
      </c>
      <c r="R445" s="18">
        <v>8.1837000000000003E-3</v>
      </c>
      <c r="S445" s="18">
        <v>2.291436</v>
      </c>
      <c r="T445" s="18">
        <v>9.8204399999999996</v>
      </c>
      <c r="U445" s="18">
        <v>4.9102199999999998</v>
      </c>
      <c r="V445" s="18">
        <v>62.850816000000002</v>
      </c>
      <c r="W445" s="18">
        <v>58.922640000000001</v>
      </c>
      <c r="X445" s="18">
        <v>39.281759999999998</v>
      </c>
      <c r="Y445" s="18">
        <v>1.7458560000000001</v>
      </c>
      <c r="Z445" s="18">
        <v>7.747236</v>
      </c>
      <c r="AA445" s="18">
        <v>11.348064000000001</v>
      </c>
      <c r="AB445" s="18">
        <v>20.18646</v>
      </c>
      <c r="AC445" s="18">
        <v>6.2196120000000006</v>
      </c>
      <c r="AD445" s="18">
        <v>32.7348</v>
      </c>
    </row>
    <row r="446" spans="2:30" x14ac:dyDescent="0.25">
      <c r="B446" t="s">
        <v>118</v>
      </c>
      <c r="C446" t="s">
        <v>326</v>
      </c>
      <c r="D446" t="s">
        <v>430</v>
      </c>
      <c r="E446" s="35">
        <v>0.9</v>
      </c>
      <c r="F446" s="35">
        <v>76</v>
      </c>
      <c r="G446" s="36">
        <v>1.1225890000000001</v>
      </c>
      <c r="H446" s="18">
        <v>2020.6605400000001</v>
      </c>
      <c r="I446" s="16">
        <v>0</v>
      </c>
      <c r="J446" s="16">
        <v>50</v>
      </c>
      <c r="K446" s="16"/>
      <c r="L446" s="37" t="s">
        <v>107</v>
      </c>
      <c r="M446" s="37"/>
      <c r="N446" s="37">
        <v>447</v>
      </c>
      <c r="O446" s="37"/>
      <c r="P446" s="37"/>
      <c r="Q446" s="18">
        <v>12.348479000000001</v>
      </c>
      <c r="R446" s="18">
        <v>8.4194174999999996E-2</v>
      </c>
      <c r="S446" s="18">
        <v>23.574369000000001</v>
      </c>
      <c r="T446" s="18">
        <v>101.03301</v>
      </c>
      <c r="U446" s="18">
        <v>50.516505000000002</v>
      </c>
      <c r="V446" s="18">
        <v>646.61126400000001</v>
      </c>
      <c r="W446" s="18">
        <v>606.19806000000005</v>
      </c>
      <c r="X446" s="18">
        <v>404.13204000000002</v>
      </c>
      <c r="Y446" s="18">
        <v>17.961424000000001</v>
      </c>
      <c r="Z446" s="18">
        <v>79.70381900000001</v>
      </c>
      <c r="AA446" s="18">
        <v>116.749256</v>
      </c>
      <c r="AB446" s="18">
        <v>207.67896500000001</v>
      </c>
      <c r="AC446" s="18">
        <v>63.987573000000005</v>
      </c>
      <c r="AD446" s="18">
        <v>336.77670000000001</v>
      </c>
    </row>
    <row r="447" spans="2:30" x14ac:dyDescent="0.25">
      <c r="B447" t="s">
        <v>133</v>
      </c>
      <c r="C447" t="s">
        <v>326</v>
      </c>
      <c r="D447" t="s">
        <v>431</v>
      </c>
      <c r="E447" s="35">
        <v>0.9</v>
      </c>
      <c r="F447" s="35">
        <v>50</v>
      </c>
      <c r="G447" s="36">
        <v>1.0225580000000001</v>
      </c>
      <c r="H447" s="18">
        <v>1840.6036730000001</v>
      </c>
      <c r="I447" s="16">
        <v>0</v>
      </c>
      <c r="J447" s="16">
        <v>50</v>
      </c>
      <c r="K447" s="16" t="s">
        <v>114</v>
      </c>
      <c r="L447" s="37" t="s">
        <v>107</v>
      </c>
      <c r="M447" s="37"/>
      <c r="N447" s="37">
        <v>448</v>
      </c>
      <c r="O447" s="37"/>
      <c r="P447" s="37"/>
      <c r="Q447" s="18">
        <v>11.248138000000001</v>
      </c>
      <c r="R447" s="18">
        <v>7.6691850000000006E-2</v>
      </c>
      <c r="S447" s="18">
        <v>21.473718000000002</v>
      </c>
      <c r="T447" s="18">
        <v>92.030220000000014</v>
      </c>
      <c r="U447" s="18">
        <v>46.015110000000007</v>
      </c>
      <c r="V447" s="18">
        <v>588.99340800000004</v>
      </c>
      <c r="W447" s="18">
        <v>552.18132000000003</v>
      </c>
      <c r="X447" s="18">
        <v>368.12088000000006</v>
      </c>
      <c r="Y447" s="18">
        <v>16.360928000000001</v>
      </c>
      <c r="Z447" s="18">
        <v>72.601618000000002</v>
      </c>
      <c r="AA447" s="18">
        <v>106.34603200000001</v>
      </c>
      <c r="AB447" s="18">
        <v>189.17323000000002</v>
      </c>
      <c r="AC447" s="18">
        <v>58.285806000000008</v>
      </c>
      <c r="AD447" s="18">
        <v>306.76740000000001</v>
      </c>
    </row>
    <row r="448" spans="2:30" x14ac:dyDescent="0.25">
      <c r="B448" t="s">
        <v>112</v>
      </c>
      <c r="C448" t="s">
        <v>326</v>
      </c>
      <c r="D448" t="s">
        <v>401</v>
      </c>
      <c r="E448" s="35">
        <v>0.9</v>
      </c>
      <c r="F448" s="35">
        <v>60</v>
      </c>
      <c r="G448" s="36">
        <v>1.1679539999999999</v>
      </c>
      <c r="H448" s="18">
        <v>2102.3179690000002</v>
      </c>
      <c r="I448" s="16">
        <v>0</v>
      </c>
      <c r="J448" s="16">
        <v>60</v>
      </c>
      <c r="K448" s="16"/>
      <c r="L448" s="37" t="s">
        <v>107</v>
      </c>
      <c r="M448" s="37"/>
      <c r="N448" s="37">
        <v>449</v>
      </c>
      <c r="O448" s="37"/>
      <c r="P448" s="37"/>
      <c r="Q448" s="18">
        <v>12.847493999999999</v>
      </c>
      <c r="R448" s="18">
        <v>8.7596549999999995E-2</v>
      </c>
      <c r="S448" s="18">
        <v>24.527034</v>
      </c>
      <c r="T448" s="18">
        <v>105.11586</v>
      </c>
      <c r="U448" s="18">
        <v>52.557929999999999</v>
      </c>
      <c r="V448" s="18">
        <v>672.74150399999996</v>
      </c>
      <c r="W448" s="18">
        <v>630.69515999999999</v>
      </c>
      <c r="X448" s="18">
        <v>420.46343999999999</v>
      </c>
      <c r="Y448" s="18">
        <v>18.687263999999999</v>
      </c>
      <c r="Z448" s="18">
        <v>82.924734000000001</v>
      </c>
      <c r="AA448" s="18">
        <v>121.46721599999999</v>
      </c>
      <c r="AB448" s="18">
        <v>216.07148999999998</v>
      </c>
      <c r="AC448" s="18">
        <v>66.573377999999991</v>
      </c>
      <c r="AD448" s="18">
        <v>350.38619999999997</v>
      </c>
    </row>
    <row r="449" spans="2:30" x14ac:dyDescent="0.25">
      <c r="B449" t="s">
        <v>108</v>
      </c>
      <c r="C449" t="s">
        <v>326</v>
      </c>
      <c r="D449" t="s">
        <v>432</v>
      </c>
      <c r="E449" s="35">
        <v>0.9</v>
      </c>
      <c r="F449" s="35">
        <v>16</v>
      </c>
      <c r="G449" s="36">
        <v>0.110503</v>
      </c>
      <c r="H449" s="18">
        <v>198.904844</v>
      </c>
      <c r="I449" s="16">
        <v>0</v>
      </c>
      <c r="J449" s="16"/>
      <c r="K449" s="16"/>
      <c r="L449" s="37" t="s">
        <v>107</v>
      </c>
      <c r="M449" s="37"/>
      <c r="N449" s="37">
        <v>450</v>
      </c>
      <c r="O449" s="37"/>
      <c r="P449" s="37"/>
      <c r="Q449" s="18">
        <v>1.215533</v>
      </c>
      <c r="R449" s="18">
        <v>8.2877249999999993E-3</v>
      </c>
      <c r="S449" s="18">
        <v>2.3205629999999999</v>
      </c>
      <c r="T449" s="18">
        <v>9.9452700000000007</v>
      </c>
      <c r="U449" s="18">
        <v>4.9726350000000004</v>
      </c>
      <c r="V449" s="18">
        <v>63.649728000000003</v>
      </c>
      <c r="W449" s="18">
        <v>59.671620000000004</v>
      </c>
      <c r="X449" s="18">
        <v>39.781080000000003</v>
      </c>
      <c r="Y449" s="18">
        <v>1.7680480000000001</v>
      </c>
      <c r="Z449" s="18">
        <v>7.8457129999999999</v>
      </c>
      <c r="AA449" s="18">
        <v>11.492312</v>
      </c>
      <c r="AB449" s="18">
        <v>20.443055000000001</v>
      </c>
      <c r="AC449" s="18">
        <v>6.2986710000000006</v>
      </c>
      <c r="AD449" s="18">
        <v>33.1509</v>
      </c>
    </row>
    <row r="450" spans="2:30" x14ac:dyDescent="0.25">
      <c r="B450" t="s">
        <v>162</v>
      </c>
      <c r="C450" t="s">
        <v>326</v>
      </c>
      <c r="D450" t="s">
        <v>433</v>
      </c>
      <c r="E450" s="35">
        <v>0.9</v>
      </c>
      <c r="F450" s="35">
        <v>24</v>
      </c>
      <c r="G450" s="36">
        <v>9.5631999999999995E-2</v>
      </c>
      <c r="H450" s="18">
        <v>172.13824399999999</v>
      </c>
      <c r="I450" s="16">
        <v>0</v>
      </c>
      <c r="J450" s="16"/>
      <c r="K450" s="16"/>
      <c r="L450" s="37" t="s">
        <v>107</v>
      </c>
      <c r="M450" s="37"/>
      <c r="N450" s="37">
        <v>451</v>
      </c>
      <c r="O450" s="37"/>
      <c r="P450" s="37"/>
      <c r="Q450" s="18">
        <v>1.051952</v>
      </c>
      <c r="R450" s="18">
        <v>7.1723999999999989E-3</v>
      </c>
      <c r="S450" s="18">
        <v>2.0082719999999998</v>
      </c>
      <c r="T450" s="18">
        <v>8.6068800000000003</v>
      </c>
      <c r="U450" s="18">
        <v>4.3034400000000002</v>
      </c>
      <c r="V450" s="18">
        <v>55.084031999999993</v>
      </c>
      <c r="W450" s="18">
        <v>51.641279999999995</v>
      </c>
      <c r="X450" s="18">
        <v>34.427520000000001</v>
      </c>
      <c r="Y450" s="18">
        <v>1.5301119999999999</v>
      </c>
      <c r="Z450" s="18">
        <v>6.7898719999999999</v>
      </c>
      <c r="AA450" s="18">
        <v>9.945727999999999</v>
      </c>
      <c r="AB450" s="18">
        <v>17.69192</v>
      </c>
      <c r="AC450" s="18">
        <v>5.4510239999999994</v>
      </c>
      <c r="AD450" s="18">
        <v>28.689599999999999</v>
      </c>
    </row>
    <row r="451" spans="2:30" x14ac:dyDescent="0.25">
      <c r="B451" t="s">
        <v>112</v>
      </c>
      <c r="C451" t="s">
        <v>326</v>
      </c>
      <c r="D451" t="s">
        <v>434</v>
      </c>
      <c r="E451" s="35">
        <v>0.9</v>
      </c>
      <c r="F451" s="35">
        <v>60</v>
      </c>
      <c r="G451" s="36">
        <v>1.212872</v>
      </c>
      <c r="H451" s="18">
        <v>2183.1694069999999</v>
      </c>
      <c r="I451" s="16">
        <v>0</v>
      </c>
      <c r="J451" s="16">
        <v>62</v>
      </c>
      <c r="K451" s="16"/>
      <c r="L451" s="37" t="s">
        <v>107</v>
      </c>
      <c r="M451" s="37"/>
      <c r="N451" s="37">
        <v>452</v>
      </c>
      <c r="O451" s="37"/>
      <c r="P451" s="37"/>
      <c r="Q451" s="18">
        <v>13.341591999999999</v>
      </c>
      <c r="R451" s="18">
        <v>9.0965399999999988E-2</v>
      </c>
      <c r="S451" s="18">
        <v>25.470312</v>
      </c>
      <c r="T451" s="18">
        <v>109.15848</v>
      </c>
      <c r="U451" s="18">
        <v>54.579239999999999</v>
      </c>
      <c r="V451" s="18">
        <v>698.61427200000003</v>
      </c>
      <c r="W451" s="18">
        <v>654.95087999999998</v>
      </c>
      <c r="X451" s="18">
        <v>436.63391999999999</v>
      </c>
      <c r="Y451" s="18">
        <v>19.405951999999999</v>
      </c>
      <c r="Z451" s="18">
        <v>86.113911999999999</v>
      </c>
      <c r="AA451" s="18">
        <v>126.138688</v>
      </c>
      <c r="AB451" s="18">
        <v>224.38131999999999</v>
      </c>
      <c r="AC451" s="18">
        <v>69.133703999999994</v>
      </c>
      <c r="AD451" s="18">
        <v>363.86160000000001</v>
      </c>
    </row>
    <row r="452" spans="2:30" x14ac:dyDescent="0.25">
      <c r="B452" t="s">
        <v>162</v>
      </c>
      <c r="C452" t="s">
        <v>326</v>
      </c>
      <c r="D452" t="s">
        <v>224</v>
      </c>
      <c r="E452" s="35">
        <v>0.9</v>
      </c>
      <c r="F452" s="35">
        <v>24</v>
      </c>
      <c r="G452" s="36">
        <v>9.5769000000000007E-2</v>
      </c>
      <c r="H452" s="18">
        <v>172.38338100000001</v>
      </c>
      <c r="I452" s="16">
        <v>0</v>
      </c>
      <c r="J452" s="16"/>
      <c r="K452" s="16"/>
      <c r="L452" s="37" t="s">
        <v>107</v>
      </c>
      <c r="M452" s="37"/>
      <c r="N452" s="37">
        <v>453</v>
      </c>
      <c r="O452" s="37"/>
      <c r="P452" s="37"/>
      <c r="Q452" s="18">
        <v>1.0534590000000001</v>
      </c>
      <c r="R452" s="18">
        <v>7.1826750000000003E-3</v>
      </c>
      <c r="S452" s="18">
        <v>2.0111490000000001</v>
      </c>
      <c r="T452" s="18">
        <v>8.6192100000000007</v>
      </c>
      <c r="U452" s="18">
        <v>4.3096050000000004</v>
      </c>
      <c r="V452" s="18">
        <v>55.162944000000003</v>
      </c>
      <c r="W452" s="18">
        <v>51.715260000000001</v>
      </c>
      <c r="X452" s="18">
        <v>34.476840000000003</v>
      </c>
      <c r="Y452" s="18">
        <v>1.5323040000000001</v>
      </c>
      <c r="Z452" s="18">
        <v>6.7995990000000006</v>
      </c>
      <c r="AA452" s="18">
        <v>9.9599760000000011</v>
      </c>
      <c r="AB452" s="18">
        <v>17.717265000000001</v>
      </c>
      <c r="AC452" s="18">
        <v>5.4588330000000003</v>
      </c>
      <c r="AD452" s="18">
        <v>28.730700000000002</v>
      </c>
    </row>
    <row r="453" spans="2:30" x14ac:dyDescent="0.25">
      <c r="B453" t="s">
        <v>133</v>
      </c>
      <c r="C453" t="s">
        <v>326</v>
      </c>
      <c r="D453" t="s">
        <v>368</v>
      </c>
      <c r="E453" s="35">
        <v>0.9</v>
      </c>
      <c r="F453" s="35">
        <v>50</v>
      </c>
      <c r="G453" s="36">
        <v>0.99396099999999998</v>
      </c>
      <c r="H453" s="18">
        <v>1789.1301269999999</v>
      </c>
      <c r="I453" s="16">
        <v>0</v>
      </c>
      <c r="J453" s="16">
        <v>50</v>
      </c>
      <c r="K453" s="16" t="s">
        <v>114</v>
      </c>
      <c r="L453" s="37" t="s">
        <v>107</v>
      </c>
      <c r="M453" s="37"/>
      <c r="N453" s="37">
        <v>454</v>
      </c>
      <c r="O453" s="37"/>
      <c r="P453" s="37"/>
      <c r="Q453" s="18">
        <v>10.933571000000001</v>
      </c>
      <c r="R453" s="18">
        <v>7.454707499999999E-2</v>
      </c>
      <c r="S453" s="18">
        <v>20.873180999999999</v>
      </c>
      <c r="T453" s="18">
        <v>89.456490000000002</v>
      </c>
      <c r="U453" s="18">
        <v>44.728245000000001</v>
      </c>
      <c r="V453" s="18">
        <v>572.52153599999997</v>
      </c>
      <c r="W453" s="18">
        <v>536.73893999999996</v>
      </c>
      <c r="X453" s="18">
        <v>357.82596000000001</v>
      </c>
      <c r="Y453" s="18">
        <v>15.903376</v>
      </c>
      <c r="Z453" s="18">
        <v>70.571230999999997</v>
      </c>
      <c r="AA453" s="18">
        <v>103.371944</v>
      </c>
      <c r="AB453" s="18">
        <v>183.88278499999998</v>
      </c>
      <c r="AC453" s="18">
        <v>56.655777</v>
      </c>
      <c r="AD453" s="18">
        <v>298.18829999999997</v>
      </c>
    </row>
    <row r="454" spans="2:30" x14ac:dyDescent="0.25">
      <c r="B454" t="s">
        <v>108</v>
      </c>
      <c r="C454" t="s">
        <v>326</v>
      </c>
      <c r="D454" t="s">
        <v>435</v>
      </c>
      <c r="E454" s="35">
        <v>0.9</v>
      </c>
      <c r="F454" s="35">
        <v>16</v>
      </c>
      <c r="G454" s="36">
        <v>0.12031600000000001</v>
      </c>
      <c r="H454" s="18">
        <v>216.56812500000001</v>
      </c>
      <c r="I454" s="16">
        <v>0</v>
      </c>
      <c r="J454" s="16"/>
      <c r="K454" s="16"/>
      <c r="L454" s="37" t="s">
        <v>107</v>
      </c>
      <c r="M454" s="37"/>
      <c r="N454" s="37">
        <v>455</v>
      </c>
      <c r="O454" s="37"/>
      <c r="P454" s="37"/>
      <c r="Q454" s="18">
        <v>1.3234760000000001</v>
      </c>
      <c r="R454" s="18">
        <v>9.0237000000000008E-3</v>
      </c>
      <c r="S454" s="18">
        <v>2.5266360000000003</v>
      </c>
      <c r="T454" s="18">
        <v>10.828440000000001</v>
      </c>
      <c r="U454" s="18">
        <v>5.4142200000000003</v>
      </c>
      <c r="V454" s="18">
        <v>69.302016000000009</v>
      </c>
      <c r="W454" s="18">
        <v>64.970640000000003</v>
      </c>
      <c r="X454" s="18">
        <v>43.313760000000002</v>
      </c>
      <c r="Y454" s="18">
        <v>1.9250560000000001</v>
      </c>
      <c r="Z454" s="18">
        <v>8.5424360000000004</v>
      </c>
      <c r="AA454" s="18">
        <v>12.512864</v>
      </c>
      <c r="AB454" s="18">
        <v>22.258459999999999</v>
      </c>
      <c r="AC454" s="18">
        <v>6.8580120000000004</v>
      </c>
      <c r="AD454" s="18">
        <v>36.094799999999999</v>
      </c>
    </row>
    <row r="455" spans="2:30" x14ac:dyDescent="0.25">
      <c r="B455" t="s">
        <v>162</v>
      </c>
      <c r="C455" t="s">
        <v>326</v>
      </c>
      <c r="D455" t="s">
        <v>224</v>
      </c>
      <c r="E455" s="35">
        <v>0.9</v>
      </c>
      <c r="F455" s="35">
        <v>24</v>
      </c>
      <c r="G455" s="36">
        <v>9.5769000000000007E-2</v>
      </c>
      <c r="H455" s="18">
        <v>172.38338100000001</v>
      </c>
      <c r="I455" s="16">
        <v>0</v>
      </c>
      <c r="J455" s="16"/>
      <c r="K455" s="16"/>
      <c r="L455" s="37" t="s">
        <v>107</v>
      </c>
      <c r="M455" s="37"/>
      <c r="N455" s="37">
        <v>456</v>
      </c>
      <c r="O455" s="37"/>
      <c r="P455" s="37"/>
      <c r="Q455" s="18">
        <v>1.0534590000000001</v>
      </c>
      <c r="R455" s="18">
        <v>7.1826750000000003E-3</v>
      </c>
      <c r="S455" s="18">
        <v>2.0111490000000001</v>
      </c>
      <c r="T455" s="18">
        <v>8.6192100000000007</v>
      </c>
      <c r="U455" s="18">
        <v>4.3096050000000004</v>
      </c>
      <c r="V455" s="18">
        <v>55.162944000000003</v>
      </c>
      <c r="W455" s="18">
        <v>51.715260000000001</v>
      </c>
      <c r="X455" s="18">
        <v>34.476840000000003</v>
      </c>
      <c r="Y455" s="18">
        <v>1.5323040000000001</v>
      </c>
      <c r="Z455" s="18">
        <v>6.7995990000000006</v>
      </c>
      <c r="AA455" s="18">
        <v>9.9599760000000011</v>
      </c>
      <c r="AB455" s="18">
        <v>17.717265000000001</v>
      </c>
      <c r="AC455" s="18">
        <v>5.4588330000000003</v>
      </c>
      <c r="AD455" s="18">
        <v>28.730700000000002</v>
      </c>
    </row>
    <row r="456" spans="2:30" x14ac:dyDescent="0.25">
      <c r="B456" t="s">
        <v>158</v>
      </c>
      <c r="C456" t="s">
        <v>326</v>
      </c>
      <c r="D456" t="s">
        <v>224</v>
      </c>
      <c r="E456" s="35">
        <v>0.9</v>
      </c>
      <c r="F456" s="35">
        <v>18</v>
      </c>
      <c r="G456" s="36">
        <v>7.1843000000000004E-2</v>
      </c>
      <c r="H456" s="18">
        <v>129.317544</v>
      </c>
      <c r="I456" s="16">
        <v>0</v>
      </c>
      <c r="J456" s="16"/>
      <c r="K456" s="16"/>
      <c r="L456" s="37" t="s">
        <v>107</v>
      </c>
      <c r="M456" s="37"/>
      <c r="N456" s="37">
        <v>457</v>
      </c>
      <c r="O456" s="37"/>
      <c r="P456" s="37"/>
      <c r="Q456" s="18">
        <v>0.790273</v>
      </c>
      <c r="R456" s="18">
        <v>5.388225E-3</v>
      </c>
      <c r="S456" s="18">
        <v>1.5087030000000001</v>
      </c>
      <c r="T456" s="18">
        <v>6.4658700000000007</v>
      </c>
      <c r="U456" s="18">
        <v>3.2329350000000003</v>
      </c>
      <c r="V456" s="18">
        <v>41.381568000000001</v>
      </c>
      <c r="W456" s="18">
        <v>38.79522</v>
      </c>
      <c r="X456" s="18">
        <v>25.863480000000003</v>
      </c>
      <c r="Y456" s="18">
        <v>1.1494880000000001</v>
      </c>
      <c r="Z456" s="18">
        <v>5.1008529999999999</v>
      </c>
      <c r="AA456" s="18">
        <v>7.4716720000000008</v>
      </c>
      <c r="AB456" s="18">
        <v>13.290955</v>
      </c>
      <c r="AC456" s="18">
        <v>4.0950510000000007</v>
      </c>
      <c r="AD456" s="18">
        <v>21.552900000000001</v>
      </c>
    </row>
    <row r="457" spans="2:30" x14ac:dyDescent="0.25">
      <c r="B457" t="s">
        <v>162</v>
      </c>
      <c r="C457" t="s">
        <v>326</v>
      </c>
      <c r="D457" t="s">
        <v>224</v>
      </c>
      <c r="E457" s="35">
        <v>0.9</v>
      </c>
      <c r="F457" s="35">
        <v>24</v>
      </c>
      <c r="G457" s="36">
        <v>9.5791000000000001E-2</v>
      </c>
      <c r="H457" s="18">
        <v>172.42339200000001</v>
      </c>
      <c r="I457" s="16">
        <v>0</v>
      </c>
      <c r="J457" s="16"/>
      <c r="K457" s="16"/>
      <c r="L457" s="37" t="s">
        <v>107</v>
      </c>
      <c r="M457" s="37"/>
      <c r="N457" s="37">
        <v>458</v>
      </c>
      <c r="O457" s="37"/>
      <c r="P457" s="37"/>
      <c r="Q457" s="18">
        <v>1.053701</v>
      </c>
      <c r="R457" s="18">
        <v>7.1843250000000001E-3</v>
      </c>
      <c r="S457" s="18">
        <v>2.0116109999999998</v>
      </c>
      <c r="T457" s="18">
        <v>8.6211900000000004</v>
      </c>
      <c r="U457" s="18">
        <v>4.3105950000000002</v>
      </c>
      <c r="V457" s="18">
        <v>55.175615999999998</v>
      </c>
      <c r="W457" s="18">
        <v>51.727139999999999</v>
      </c>
      <c r="X457" s="18">
        <v>34.484760000000001</v>
      </c>
      <c r="Y457" s="18">
        <v>1.532656</v>
      </c>
      <c r="Z457" s="18">
        <v>6.8011610000000005</v>
      </c>
      <c r="AA457" s="18">
        <v>9.9622639999999993</v>
      </c>
      <c r="AB457" s="18">
        <v>17.721335</v>
      </c>
      <c r="AC457" s="18">
        <v>5.4600869999999997</v>
      </c>
      <c r="AD457" s="18">
        <v>28.737300000000001</v>
      </c>
    </row>
    <row r="458" spans="2:30" x14ac:dyDescent="0.25">
      <c r="B458" t="s">
        <v>158</v>
      </c>
      <c r="C458" t="s">
        <v>326</v>
      </c>
      <c r="D458" t="s">
        <v>433</v>
      </c>
      <c r="E458" s="35">
        <v>0.9</v>
      </c>
      <c r="F458" s="35">
        <v>18</v>
      </c>
      <c r="G458" s="36">
        <v>7.1707999999999994E-2</v>
      </c>
      <c r="H458" s="18">
        <v>129.073612</v>
      </c>
      <c r="I458" s="16">
        <v>0</v>
      </c>
      <c r="J458" s="16"/>
      <c r="K458" s="16"/>
      <c r="L458" s="37" t="s">
        <v>107</v>
      </c>
      <c r="M458" s="37"/>
      <c r="N458" s="37">
        <v>459</v>
      </c>
      <c r="O458" s="37"/>
      <c r="P458" s="37"/>
      <c r="Q458" s="18">
        <v>0.78878799999999993</v>
      </c>
      <c r="R458" s="18">
        <v>5.3780999999999994E-3</v>
      </c>
      <c r="S458" s="18">
        <v>1.505868</v>
      </c>
      <c r="T458" s="18">
        <v>6.4537199999999997</v>
      </c>
      <c r="U458" s="18">
        <v>3.2268599999999998</v>
      </c>
      <c r="V458" s="18">
        <v>41.303807999999997</v>
      </c>
      <c r="W458" s="18">
        <v>38.722319999999996</v>
      </c>
      <c r="X458" s="18">
        <v>25.814879999999999</v>
      </c>
      <c r="Y458" s="18">
        <v>1.1473279999999999</v>
      </c>
      <c r="Z458" s="18">
        <v>5.0912679999999995</v>
      </c>
      <c r="AA458" s="18">
        <v>7.4576319999999994</v>
      </c>
      <c r="AB458" s="18">
        <v>13.265979999999999</v>
      </c>
      <c r="AC458" s="18">
        <v>4.0873559999999998</v>
      </c>
      <c r="AD458" s="18">
        <v>21.5124</v>
      </c>
    </row>
    <row r="459" spans="2:30" x14ac:dyDescent="0.25">
      <c r="B459" t="s">
        <v>158</v>
      </c>
      <c r="C459" t="s">
        <v>326</v>
      </c>
      <c r="D459" t="s">
        <v>433</v>
      </c>
      <c r="E459" s="35">
        <v>0.9</v>
      </c>
      <c r="F459" s="35">
        <v>18</v>
      </c>
      <c r="G459" s="36">
        <v>7.1707999999999994E-2</v>
      </c>
      <c r="H459" s="18">
        <v>129.073612</v>
      </c>
      <c r="I459" s="16">
        <v>0</v>
      </c>
      <c r="J459" s="16"/>
      <c r="K459" s="16"/>
      <c r="L459" s="37" t="s">
        <v>107</v>
      </c>
      <c r="M459" s="37"/>
      <c r="N459" s="37">
        <v>460</v>
      </c>
      <c r="O459" s="37"/>
      <c r="P459" s="37"/>
      <c r="Q459" s="18">
        <v>0.78878799999999993</v>
      </c>
      <c r="R459" s="18">
        <v>5.3780999999999994E-3</v>
      </c>
      <c r="S459" s="18">
        <v>1.505868</v>
      </c>
      <c r="T459" s="18">
        <v>6.4537199999999997</v>
      </c>
      <c r="U459" s="18">
        <v>3.2268599999999998</v>
      </c>
      <c r="V459" s="18">
        <v>41.303807999999997</v>
      </c>
      <c r="W459" s="18">
        <v>38.722319999999996</v>
      </c>
      <c r="X459" s="18">
        <v>25.814879999999999</v>
      </c>
      <c r="Y459" s="18">
        <v>1.1473279999999999</v>
      </c>
      <c r="Z459" s="18">
        <v>5.0912679999999995</v>
      </c>
      <c r="AA459" s="18">
        <v>7.4576319999999994</v>
      </c>
      <c r="AB459" s="18">
        <v>13.265979999999999</v>
      </c>
      <c r="AC459" s="18">
        <v>4.0873559999999998</v>
      </c>
      <c r="AD459" s="18">
        <v>21.5124</v>
      </c>
    </row>
    <row r="460" spans="2:30" x14ac:dyDescent="0.25">
      <c r="B460" t="s">
        <v>158</v>
      </c>
      <c r="C460" t="s">
        <v>326</v>
      </c>
      <c r="D460" t="s">
        <v>433</v>
      </c>
      <c r="E460" s="35">
        <v>0.9</v>
      </c>
      <c r="F460" s="35">
        <v>18</v>
      </c>
      <c r="G460" s="36">
        <v>7.1707999999999994E-2</v>
      </c>
      <c r="H460" s="18">
        <v>129.073612</v>
      </c>
      <c r="I460" s="16">
        <v>0</v>
      </c>
      <c r="J460" s="16"/>
      <c r="K460" s="16"/>
      <c r="L460" s="37" t="s">
        <v>107</v>
      </c>
      <c r="M460" s="37"/>
      <c r="N460" s="37">
        <v>461</v>
      </c>
      <c r="O460" s="37"/>
      <c r="P460" s="37"/>
      <c r="Q460" s="18">
        <v>0.78878799999999993</v>
      </c>
      <c r="R460" s="18">
        <v>5.3780999999999994E-3</v>
      </c>
      <c r="S460" s="18">
        <v>1.505868</v>
      </c>
      <c r="T460" s="18">
        <v>6.4537199999999997</v>
      </c>
      <c r="U460" s="18">
        <v>3.2268599999999998</v>
      </c>
      <c r="V460" s="18">
        <v>41.303807999999997</v>
      </c>
      <c r="W460" s="18">
        <v>38.722319999999996</v>
      </c>
      <c r="X460" s="18">
        <v>25.814879999999999</v>
      </c>
      <c r="Y460" s="18">
        <v>1.1473279999999999</v>
      </c>
      <c r="Z460" s="18">
        <v>5.0912679999999995</v>
      </c>
      <c r="AA460" s="18">
        <v>7.4576319999999994</v>
      </c>
      <c r="AB460" s="18">
        <v>13.265979999999999</v>
      </c>
      <c r="AC460" s="18">
        <v>4.0873559999999998</v>
      </c>
      <c r="AD460" s="18">
        <v>21.5124</v>
      </c>
    </row>
    <row r="461" spans="2:30" x14ac:dyDescent="0.25">
      <c r="B461" t="s">
        <v>116</v>
      </c>
      <c r="C461" t="s">
        <v>326</v>
      </c>
      <c r="D461" t="s">
        <v>415</v>
      </c>
      <c r="E461" s="35">
        <v>0.9</v>
      </c>
      <c r="F461" s="35">
        <v>50</v>
      </c>
      <c r="G461" s="36">
        <v>0.63597599999999999</v>
      </c>
      <c r="H461" s="18">
        <v>1144.7563479999999</v>
      </c>
      <c r="I461" s="16">
        <v>0</v>
      </c>
      <c r="J461" s="16"/>
      <c r="K461" s="16"/>
      <c r="L461" s="37" t="s">
        <v>107</v>
      </c>
      <c r="M461" s="37"/>
      <c r="N461" s="37">
        <v>462</v>
      </c>
      <c r="O461" s="37"/>
      <c r="P461" s="37"/>
      <c r="Q461" s="18">
        <v>6.995736</v>
      </c>
      <c r="R461" s="18">
        <v>4.7698199999999996E-2</v>
      </c>
      <c r="S461" s="18">
        <v>13.355496</v>
      </c>
      <c r="T461" s="18">
        <v>57.237839999999998</v>
      </c>
      <c r="U461" s="18">
        <v>28.618919999999999</v>
      </c>
      <c r="V461" s="18">
        <v>366.32217600000001</v>
      </c>
      <c r="W461" s="18">
        <v>343.42703999999998</v>
      </c>
      <c r="X461" s="18">
        <v>228.95135999999999</v>
      </c>
      <c r="Y461" s="18">
        <v>10.175616</v>
      </c>
      <c r="Z461" s="18">
        <v>45.154296000000002</v>
      </c>
      <c r="AA461" s="18">
        <v>66.141503999999998</v>
      </c>
      <c r="AB461" s="18">
        <v>117.65555999999999</v>
      </c>
      <c r="AC461" s="18">
        <v>36.250631999999996</v>
      </c>
      <c r="AD461" s="18">
        <v>190.7928</v>
      </c>
    </row>
    <row r="462" spans="2:30" x14ac:dyDescent="0.25">
      <c r="B462" t="s">
        <v>187</v>
      </c>
      <c r="C462" t="s">
        <v>326</v>
      </c>
      <c r="D462" t="s">
        <v>415</v>
      </c>
      <c r="E462" s="35">
        <v>0.9</v>
      </c>
      <c r="F462" s="35">
        <v>55</v>
      </c>
      <c r="G462" s="36">
        <v>0.699573</v>
      </c>
      <c r="H462" s="18">
        <v>1259.231982</v>
      </c>
      <c r="I462" s="16">
        <v>0</v>
      </c>
      <c r="J462" s="16"/>
      <c r="K462" s="16"/>
      <c r="L462" s="37" t="s">
        <v>107</v>
      </c>
      <c r="M462" s="37"/>
      <c r="N462" s="37">
        <v>463</v>
      </c>
      <c r="O462" s="37"/>
      <c r="P462" s="37"/>
      <c r="Q462" s="18">
        <v>7.695303</v>
      </c>
      <c r="R462" s="18">
        <v>5.2467975E-2</v>
      </c>
      <c r="S462" s="18">
        <v>14.691033000000001</v>
      </c>
      <c r="T462" s="18">
        <v>62.961570000000002</v>
      </c>
      <c r="U462" s="18">
        <v>31.480785000000001</v>
      </c>
      <c r="V462" s="18">
        <v>402.954048</v>
      </c>
      <c r="W462" s="18">
        <v>377.76942000000003</v>
      </c>
      <c r="X462" s="18">
        <v>251.84628000000001</v>
      </c>
      <c r="Y462" s="18">
        <v>11.193168</v>
      </c>
      <c r="Z462" s="18">
        <v>49.669682999999999</v>
      </c>
      <c r="AA462" s="18">
        <v>72.755592000000007</v>
      </c>
      <c r="AB462" s="18">
        <v>129.42100500000001</v>
      </c>
      <c r="AC462" s="18">
        <v>39.875661000000001</v>
      </c>
      <c r="AD462" s="18">
        <v>209.87190000000001</v>
      </c>
    </row>
    <row r="463" spans="2:30" x14ac:dyDescent="0.25">
      <c r="B463" t="s">
        <v>187</v>
      </c>
      <c r="C463" t="s">
        <v>326</v>
      </c>
      <c r="D463" t="s">
        <v>436</v>
      </c>
      <c r="E463" s="35">
        <v>0.9</v>
      </c>
      <c r="F463" s="35">
        <v>55</v>
      </c>
      <c r="G463" s="36">
        <v>1.1347700000000001</v>
      </c>
      <c r="H463" s="18">
        <v>2042.5853870000001</v>
      </c>
      <c r="I463" s="16">
        <v>0</v>
      </c>
      <c r="J463" s="16">
        <v>50</v>
      </c>
      <c r="K463" s="16" t="s">
        <v>114</v>
      </c>
      <c r="L463" s="37" t="s">
        <v>107</v>
      </c>
      <c r="M463" s="37"/>
      <c r="N463" s="37">
        <v>464</v>
      </c>
      <c r="O463" s="37"/>
      <c r="P463" s="37"/>
      <c r="Q463" s="18">
        <v>12.482470000000001</v>
      </c>
      <c r="R463" s="18">
        <v>8.5107749999999996E-2</v>
      </c>
      <c r="S463" s="18">
        <v>23.830170000000003</v>
      </c>
      <c r="T463" s="18">
        <v>102.1293</v>
      </c>
      <c r="U463" s="18">
        <v>51.06465</v>
      </c>
      <c r="V463" s="18">
        <v>653.62752</v>
      </c>
      <c r="W463" s="18">
        <v>612.7758</v>
      </c>
      <c r="X463" s="18">
        <v>408.5172</v>
      </c>
      <c r="Y463" s="18">
        <v>18.156320000000001</v>
      </c>
      <c r="Z463" s="18">
        <v>80.568669999999997</v>
      </c>
      <c r="AA463" s="18">
        <v>118.01608</v>
      </c>
      <c r="AB463" s="18">
        <v>209.93245000000002</v>
      </c>
      <c r="AC463" s="18">
        <v>64.68189000000001</v>
      </c>
      <c r="AD463" s="18">
        <v>340.43100000000004</v>
      </c>
    </row>
    <row r="464" spans="2:30" x14ac:dyDescent="0.25">
      <c r="B464" t="s">
        <v>133</v>
      </c>
      <c r="C464" t="s">
        <v>326</v>
      </c>
      <c r="D464" t="s">
        <v>368</v>
      </c>
      <c r="E464" s="35">
        <v>0.9</v>
      </c>
      <c r="F464" s="35">
        <v>50</v>
      </c>
      <c r="G464" s="36">
        <v>0.99396099999999998</v>
      </c>
      <c r="H464" s="18">
        <v>1789.1301269999999</v>
      </c>
      <c r="I464" s="16">
        <v>0</v>
      </c>
      <c r="J464" s="16">
        <v>50</v>
      </c>
      <c r="K464" s="16" t="s">
        <v>114</v>
      </c>
      <c r="L464" s="37" t="s">
        <v>107</v>
      </c>
      <c r="M464" s="37"/>
      <c r="N464" s="37">
        <v>465</v>
      </c>
      <c r="O464" s="37"/>
      <c r="P464" s="37"/>
      <c r="Q464" s="18">
        <v>10.933571000000001</v>
      </c>
      <c r="R464" s="18">
        <v>7.454707499999999E-2</v>
      </c>
      <c r="S464" s="18">
        <v>20.873180999999999</v>
      </c>
      <c r="T464" s="18">
        <v>89.456490000000002</v>
      </c>
      <c r="U464" s="18">
        <v>44.728245000000001</v>
      </c>
      <c r="V464" s="18">
        <v>572.52153599999997</v>
      </c>
      <c r="W464" s="18">
        <v>536.73893999999996</v>
      </c>
      <c r="X464" s="18">
        <v>357.82596000000001</v>
      </c>
      <c r="Y464" s="18">
        <v>15.903376</v>
      </c>
      <c r="Z464" s="18">
        <v>70.571230999999997</v>
      </c>
      <c r="AA464" s="18">
        <v>103.371944</v>
      </c>
      <c r="AB464" s="18">
        <v>183.88278499999998</v>
      </c>
      <c r="AC464" s="18">
        <v>56.655777</v>
      </c>
      <c r="AD464" s="18">
        <v>298.18829999999997</v>
      </c>
    </row>
    <row r="465" spans="2:30" x14ac:dyDescent="0.25">
      <c r="B465" t="s">
        <v>108</v>
      </c>
      <c r="C465" t="s">
        <v>326</v>
      </c>
      <c r="D465" t="s">
        <v>437</v>
      </c>
      <c r="E465" s="35">
        <v>0.9</v>
      </c>
      <c r="F465" s="35">
        <v>16</v>
      </c>
      <c r="G465" s="36">
        <v>0.129382</v>
      </c>
      <c r="H465" s="18">
        <v>232.887461</v>
      </c>
      <c r="I465" s="16">
        <v>0</v>
      </c>
      <c r="J465" s="16"/>
      <c r="K465" s="16"/>
      <c r="L465" s="37" t="s">
        <v>107</v>
      </c>
      <c r="M465" s="37"/>
      <c r="N465" s="37">
        <v>466</v>
      </c>
      <c r="O465" s="37"/>
      <c r="P465" s="37"/>
      <c r="Q465" s="18">
        <v>1.4232019999999999</v>
      </c>
      <c r="R465" s="18">
        <v>9.7036499999999994E-3</v>
      </c>
      <c r="S465" s="18">
        <v>2.717022</v>
      </c>
      <c r="T465" s="18">
        <v>11.64438</v>
      </c>
      <c r="U465" s="18">
        <v>5.82219</v>
      </c>
      <c r="V465" s="18">
        <v>74.524032000000005</v>
      </c>
      <c r="W465" s="18">
        <v>69.866280000000003</v>
      </c>
      <c r="X465" s="18">
        <v>46.57752</v>
      </c>
      <c r="Y465" s="18">
        <v>2.070112</v>
      </c>
      <c r="Z465" s="18">
        <v>9.1861219999999992</v>
      </c>
      <c r="AA465" s="18">
        <v>13.455728000000001</v>
      </c>
      <c r="AB465" s="18">
        <v>23.935669999999998</v>
      </c>
      <c r="AC465" s="18">
        <v>7.3747739999999995</v>
      </c>
      <c r="AD465" s="18">
        <v>38.814599999999999</v>
      </c>
    </row>
    <row r="466" spans="2:30" x14ac:dyDescent="0.25">
      <c r="B466" t="s">
        <v>438</v>
      </c>
      <c r="C466" t="s">
        <v>326</v>
      </c>
      <c r="D466" t="s">
        <v>439</v>
      </c>
      <c r="E466" s="35">
        <v>0.9</v>
      </c>
      <c r="F466" s="35">
        <v>73</v>
      </c>
      <c r="G466" s="36">
        <v>1.1292089999999999</v>
      </c>
      <c r="H466" s="18">
        <v>2032.575415</v>
      </c>
      <c r="I466" s="16">
        <v>0</v>
      </c>
      <c r="J466" s="16"/>
      <c r="K466" s="16"/>
      <c r="L466" s="37" t="s">
        <v>107</v>
      </c>
      <c r="M466" s="37"/>
      <c r="N466" s="37">
        <v>467</v>
      </c>
      <c r="O466" s="37"/>
      <c r="P466" s="37"/>
      <c r="Q466" s="18">
        <v>12.421298999999999</v>
      </c>
      <c r="R466" s="18">
        <v>8.4690674999999993E-2</v>
      </c>
      <c r="S466" s="18">
        <v>23.713388999999999</v>
      </c>
      <c r="T466" s="18">
        <v>101.62880999999999</v>
      </c>
      <c r="U466" s="18">
        <v>50.814404999999994</v>
      </c>
      <c r="V466" s="18">
        <v>650.42438399999992</v>
      </c>
      <c r="W466" s="18">
        <v>609.77285999999992</v>
      </c>
      <c r="X466" s="18">
        <v>406.51523999999995</v>
      </c>
      <c r="Y466" s="18">
        <v>18.067343999999999</v>
      </c>
      <c r="Z466" s="18">
        <v>80.173838999999987</v>
      </c>
      <c r="AA466" s="18">
        <v>117.43773599999999</v>
      </c>
      <c r="AB466" s="18">
        <v>208.90366499999999</v>
      </c>
      <c r="AC466" s="18">
        <v>64.364913000000001</v>
      </c>
      <c r="AD466" s="18">
        <v>338.7627</v>
      </c>
    </row>
    <row r="467" spans="2:30" x14ac:dyDescent="0.25">
      <c r="B467" t="s">
        <v>133</v>
      </c>
      <c r="C467" t="s">
        <v>326</v>
      </c>
      <c r="D467" t="s">
        <v>436</v>
      </c>
      <c r="E467" s="35">
        <v>0.9</v>
      </c>
      <c r="F467" s="35">
        <v>50</v>
      </c>
      <c r="G467" s="36">
        <v>1.031609</v>
      </c>
      <c r="H467" s="18">
        <v>1856.895806</v>
      </c>
      <c r="I467" s="16">
        <v>0</v>
      </c>
      <c r="J467" s="16">
        <v>50</v>
      </c>
      <c r="K467" s="16" t="s">
        <v>114</v>
      </c>
      <c r="L467" s="37" t="s">
        <v>107</v>
      </c>
      <c r="M467" s="37"/>
      <c r="N467" s="37">
        <v>468</v>
      </c>
      <c r="O467" s="37"/>
      <c r="P467" s="37"/>
      <c r="Q467" s="18">
        <v>11.347699</v>
      </c>
      <c r="R467" s="18">
        <v>7.7370675E-2</v>
      </c>
      <c r="S467" s="18">
        <v>21.663789000000001</v>
      </c>
      <c r="T467" s="18">
        <v>92.844809999999995</v>
      </c>
      <c r="U467" s="18">
        <v>46.422404999999998</v>
      </c>
      <c r="V467" s="18">
        <v>594.20678399999997</v>
      </c>
      <c r="W467" s="18">
        <v>557.06885999999997</v>
      </c>
      <c r="X467" s="18">
        <v>371.37923999999998</v>
      </c>
      <c r="Y467" s="18">
        <v>16.505744</v>
      </c>
      <c r="Z467" s="18">
        <v>73.244238999999993</v>
      </c>
      <c r="AA467" s="18">
        <v>107.287336</v>
      </c>
      <c r="AB467" s="18">
        <v>190.84766500000001</v>
      </c>
      <c r="AC467" s="18">
        <v>58.801712999999999</v>
      </c>
      <c r="AD467" s="18">
        <v>309.48270000000002</v>
      </c>
    </row>
    <row r="468" spans="2:30" x14ac:dyDescent="0.25">
      <c r="B468" t="s">
        <v>147</v>
      </c>
      <c r="C468" t="s">
        <v>326</v>
      </c>
      <c r="D468" t="s">
        <v>440</v>
      </c>
      <c r="E468" s="35">
        <v>1.17</v>
      </c>
      <c r="F468" s="35">
        <v>97</v>
      </c>
      <c r="G468" s="36">
        <v>1.495973</v>
      </c>
      <c r="H468" s="18">
        <v>3500.5764829999998</v>
      </c>
      <c r="I468" s="16">
        <v>0</v>
      </c>
      <c r="J468" s="16">
        <v>42</v>
      </c>
      <c r="K468" s="16"/>
      <c r="L468" s="37" t="s">
        <v>107</v>
      </c>
      <c r="M468" s="37"/>
      <c r="N468" s="37">
        <v>469</v>
      </c>
      <c r="O468" s="37"/>
      <c r="P468" s="37"/>
      <c r="Q468" s="18">
        <v>16.455703</v>
      </c>
      <c r="R468" s="18">
        <v>0.11219797499999999</v>
      </c>
      <c r="S468" s="18">
        <v>31.415433</v>
      </c>
      <c r="T468" s="18">
        <v>134.63757000000001</v>
      </c>
      <c r="U468" s="18">
        <v>67.318785000000005</v>
      </c>
      <c r="V468" s="18">
        <v>861.68044799999996</v>
      </c>
      <c r="W468" s="18">
        <v>807.82542000000001</v>
      </c>
      <c r="X468" s="18">
        <v>538.55028000000004</v>
      </c>
      <c r="Y468" s="18">
        <v>23.935568</v>
      </c>
      <c r="Z468" s="18">
        <v>106.214083</v>
      </c>
      <c r="AA468" s="18">
        <v>155.58119199999999</v>
      </c>
      <c r="AB468" s="18">
        <v>276.75500499999998</v>
      </c>
      <c r="AC468" s="18">
        <v>85.270460999999997</v>
      </c>
      <c r="AD468" s="18">
        <v>448.7919</v>
      </c>
    </row>
    <row r="469" spans="2:30" x14ac:dyDescent="0.25">
      <c r="B469" t="s">
        <v>112</v>
      </c>
      <c r="C469" t="s">
        <v>326</v>
      </c>
      <c r="D469" t="s">
        <v>401</v>
      </c>
      <c r="E469" s="35">
        <v>0.9</v>
      </c>
      <c r="F469" s="35">
        <v>60</v>
      </c>
      <c r="G469" s="36">
        <v>1.1679539999999999</v>
      </c>
      <c r="H469" s="18">
        <v>2102.3179690000002</v>
      </c>
      <c r="I469" s="16">
        <v>0</v>
      </c>
      <c r="J469" s="16">
        <v>60</v>
      </c>
      <c r="K469" s="16"/>
      <c r="L469" s="37" t="s">
        <v>107</v>
      </c>
      <c r="M469" s="37"/>
      <c r="N469" s="37">
        <v>470</v>
      </c>
      <c r="O469" s="37"/>
      <c r="P469" s="37"/>
      <c r="Q469" s="18">
        <v>12.847493999999999</v>
      </c>
      <c r="R469" s="18">
        <v>8.7596549999999995E-2</v>
      </c>
      <c r="S469" s="18">
        <v>24.527034</v>
      </c>
      <c r="T469" s="18">
        <v>105.11586</v>
      </c>
      <c r="U469" s="18">
        <v>52.557929999999999</v>
      </c>
      <c r="V469" s="18">
        <v>672.74150399999996</v>
      </c>
      <c r="W469" s="18">
        <v>630.69515999999999</v>
      </c>
      <c r="X469" s="18">
        <v>420.46343999999999</v>
      </c>
      <c r="Y469" s="18">
        <v>18.687263999999999</v>
      </c>
      <c r="Z469" s="18">
        <v>82.924734000000001</v>
      </c>
      <c r="AA469" s="18">
        <v>121.46721599999999</v>
      </c>
      <c r="AB469" s="18">
        <v>216.07148999999998</v>
      </c>
      <c r="AC469" s="18">
        <v>66.573377999999991</v>
      </c>
      <c r="AD469" s="18">
        <v>350.38619999999997</v>
      </c>
    </row>
    <row r="470" spans="2:30" x14ac:dyDescent="0.25">
      <c r="B470" t="s">
        <v>119</v>
      </c>
      <c r="C470" t="s">
        <v>326</v>
      </c>
      <c r="D470" t="s">
        <v>441</v>
      </c>
      <c r="E470" s="35">
        <v>0.9</v>
      </c>
      <c r="F470" s="35">
        <v>19</v>
      </c>
      <c r="G470" s="36">
        <v>0.161241</v>
      </c>
      <c r="H470" s="18">
        <v>290.23330299999998</v>
      </c>
      <c r="I470" s="16">
        <v>0</v>
      </c>
      <c r="J470" s="16"/>
      <c r="K470" s="16"/>
      <c r="L470" s="37" t="s">
        <v>107</v>
      </c>
      <c r="M470" s="37"/>
      <c r="N470" s="37">
        <v>471</v>
      </c>
      <c r="O470" s="37"/>
      <c r="P470" s="37"/>
      <c r="Q470" s="18">
        <v>1.7736509999999999</v>
      </c>
      <c r="R470" s="18">
        <v>1.2093075E-2</v>
      </c>
      <c r="S470" s="18">
        <v>3.3860609999999998</v>
      </c>
      <c r="T470" s="18">
        <v>14.51169</v>
      </c>
      <c r="U470" s="18">
        <v>7.2558449999999999</v>
      </c>
      <c r="V470" s="18">
        <v>92.874815999999996</v>
      </c>
      <c r="W470" s="18">
        <v>87.070139999999995</v>
      </c>
      <c r="X470" s="18">
        <v>58.046759999999999</v>
      </c>
      <c r="Y470" s="18">
        <v>2.5798559999999999</v>
      </c>
      <c r="Z470" s="18">
        <v>11.448110999999999</v>
      </c>
      <c r="AA470" s="18">
        <v>16.769064</v>
      </c>
      <c r="AB470" s="18">
        <v>29.829584999999998</v>
      </c>
      <c r="AC470" s="18">
        <v>9.1907370000000004</v>
      </c>
      <c r="AD470" s="18">
        <v>48.372299999999996</v>
      </c>
    </row>
    <row r="471" spans="2:30" x14ac:dyDescent="0.25">
      <c r="B471" t="s">
        <v>133</v>
      </c>
      <c r="C471" t="s">
        <v>326</v>
      </c>
      <c r="D471" t="s">
        <v>436</v>
      </c>
      <c r="E471" s="35">
        <v>0.9</v>
      </c>
      <c r="F471" s="35">
        <v>50</v>
      </c>
      <c r="G471" s="36">
        <v>1.031609</v>
      </c>
      <c r="H471" s="18">
        <v>1856.895806</v>
      </c>
      <c r="I471" s="16">
        <v>0</v>
      </c>
      <c r="J471" s="16">
        <v>50</v>
      </c>
      <c r="K471" s="16" t="s">
        <v>114</v>
      </c>
      <c r="L471" s="37" t="s">
        <v>107</v>
      </c>
      <c r="M471" s="37"/>
      <c r="N471" s="37">
        <v>472</v>
      </c>
      <c r="O471" s="37"/>
      <c r="P471" s="37"/>
      <c r="Q471" s="18">
        <v>11.347699</v>
      </c>
      <c r="R471" s="18">
        <v>7.7370675E-2</v>
      </c>
      <c r="S471" s="18">
        <v>21.663789000000001</v>
      </c>
      <c r="T471" s="18">
        <v>92.844809999999995</v>
      </c>
      <c r="U471" s="18">
        <v>46.422404999999998</v>
      </c>
      <c r="V471" s="18">
        <v>594.20678399999997</v>
      </c>
      <c r="W471" s="18">
        <v>557.06885999999997</v>
      </c>
      <c r="X471" s="18">
        <v>371.37923999999998</v>
      </c>
      <c r="Y471" s="18">
        <v>16.505744</v>
      </c>
      <c r="Z471" s="18">
        <v>73.244238999999993</v>
      </c>
      <c r="AA471" s="18">
        <v>107.287336</v>
      </c>
      <c r="AB471" s="18">
        <v>190.84766500000001</v>
      </c>
      <c r="AC471" s="18">
        <v>58.801712999999999</v>
      </c>
      <c r="AD471" s="18">
        <v>309.48270000000002</v>
      </c>
    </row>
    <row r="472" spans="2:30" x14ac:dyDescent="0.25">
      <c r="B472" t="s">
        <v>110</v>
      </c>
      <c r="C472" t="s">
        <v>326</v>
      </c>
      <c r="D472" t="s">
        <v>442</v>
      </c>
      <c r="E472" s="35">
        <v>0.9</v>
      </c>
      <c r="F472" s="35">
        <v>22</v>
      </c>
      <c r="G472" s="36">
        <v>0.205619</v>
      </c>
      <c r="H472" s="18">
        <v>370.11422900000002</v>
      </c>
      <c r="I472" s="16">
        <v>0</v>
      </c>
      <c r="J472" s="16"/>
      <c r="K472" s="16"/>
      <c r="L472" s="37" t="s">
        <v>107</v>
      </c>
      <c r="M472" s="37"/>
      <c r="N472" s="37">
        <v>473</v>
      </c>
      <c r="O472" s="37"/>
      <c r="P472" s="37"/>
      <c r="Q472" s="18">
        <v>2.261809</v>
      </c>
      <c r="R472" s="18">
        <v>1.5421424999999999E-2</v>
      </c>
      <c r="S472" s="18">
        <v>4.3179990000000004</v>
      </c>
      <c r="T472" s="18">
        <v>18.505710000000001</v>
      </c>
      <c r="U472" s="18">
        <v>9.2528550000000003</v>
      </c>
      <c r="V472" s="18">
        <v>118.436544</v>
      </c>
      <c r="W472" s="18">
        <v>111.03426</v>
      </c>
      <c r="X472" s="18">
        <v>74.022840000000002</v>
      </c>
      <c r="Y472" s="18">
        <v>3.2899039999999999</v>
      </c>
      <c r="Z472" s="18">
        <v>14.598948999999999</v>
      </c>
      <c r="AA472" s="18">
        <v>21.384376</v>
      </c>
      <c r="AB472" s="18">
        <v>38.039515000000002</v>
      </c>
      <c r="AC472" s="18">
        <v>11.720283</v>
      </c>
      <c r="AD472" s="18">
        <v>61.685699999999997</v>
      </c>
    </row>
    <row r="473" spans="2:30" x14ac:dyDescent="0.25">
      <c r="B473" t="s">
        <v>141</v>
      </c>
      <c r="C473" t="s">
        <v>326</v>
      </c>
      <c r="D473" t="s">
        <v>368</v>
      </c>
      <c r="E473" s="35">
        <v>0.9</v>
      </c>
      <c r="F473" s="35">
        <v>46</v>
      </c>
      <c r="G473" s="36">
        <v>0.91444400000000003</v>
      </c>
      <c r="H473" s="18">
        <v>1645.9997169999999</v>
      </c>
      <c r="I473" s="16">
        <v>0</v>
      </c>
      <c r="J473" s="16">
        <v>50</v>
      </c>
      <c r="K473" s="16" t="s">
        <v>114</v>
      </c>
      <c r="L473" s="37" t="s">
        <v>107</v>
      </c>
      <c r="M473" s="37"/>
      <c r="N473" s="37">
        <v>474</v>
      </c>
      <c r="O473" s="37"/>
      <c r="P473" s="37"/>
      <c r="Q473" s="18">
        <v>10.058884000000001</v>
      </c>
      <c r="R473" s="18">
        <v>6.85833E-2</v>
      </c>
      <c r="S473" s="18">
        <v>19.203324000000002</v>
      </c>
      <c r="T473" s="18">
        <v>82.299959999999999</v>
      </c>
      <c r="U473" s="18">
        <v>41.149979999999999</v>
      </c>
      <c r="V473" s="18">
        <v>526.71974399999999</v>
      </c>
      <c r="W473" s="18">
        <v>493.79975999999999</v>
      </c>
      <c r="X473" s="18">
        <v>329.19983999999999</v>
      </c>
      <c r="Y473" s="18">
        <v>14.631104000000001</v>
      </c>
      <c r="Z473" s="18">
        <v>64.925523999999996</v>
      </c>
      <c r="AA473" s="18">
        <v>95.102176</v>
      </c>
      <c r="AB473" s="18">
        <v>169.17214000000001</v>
      </c>
      <c r="AC473" s="18">
        <v>52.123308000000002</v>
      </c>
      <c r="AD473" s="18">
        <v>274.33320000000003</v>
      </c>
    </row>
    <row r="474" spans="2:30" x14ac:dyDescent="0.25">
      <c r="B474" t="s">
        <v>112</v>
      </c>
      <c r="C474" t="s">
        <v>326</v>
      </c>
      <c r="D474" t="s">
        <v>434</v>
      </c>
      <c r="E474" s="35">
        <v>0.9</v>
      </c>
      <c r="F474" s="35">
        <v>60</v>
      </c>
      <c r="G474" s="36">
        <v>1.212928</v>
      </c>
      <c r="H474" s="18">
        <v>2183.2696510000001</v>
      </c>
      <c r="I474" s="16">
        <v>0</v>
      </c>
      <c r="J474" s="16">
        <v>62</v>
      </c>
      <c r="K474" s="16"/>
      <c r="L474" s="37" t="s">
        <v>107</v>
      </c>
      <c r="M474" s="37"/>
      <c r="N474" s="37">
        <v>475</v>
      </c>
      <c r="O474" s="37"/>
      <c r="P474" s="37"/>
      <c r="Q474" s="18">
        <v>13.342207999999999</v>
      </c>
      <c r="R474" s="18">
        <v>9.0969599999999998E-2</v>
      </c>
      <c r="S474" s="18">
        <v>25.471488000000001</v>
      </c>
      <c r="T474" s="18">
        <v>109.16352000000001</v>
      </c>
      <c r="U474" s="18">
        <v>54.581760000000003</v>
      </c>
      <c r="V474" s="18">
        <v>698.64652799999999</v>
      </c>
      <c r="W474" s="18">
        <v>654.98112000000003</v>
      </c>
      <c r="X474" s="18">
        <v>436.65408000000002</v>
      </c>
      <c r="Y474" s="18">
        <v>19.406848</v>
      </c>
      <c r="Z474" s="18">
        <v>86.117887999999994</v>
      </c>
      <c r="AA474" s="18">
        <v>126.14451200000001</v>
      </c>
      <c r="AB474" s="18">
        <v>224.39168000000001</v>
      </c>
      <c r="AC474" s="18">
        <v>69.136896000000007</v>
      </c>
      <c r="AD474" s="18">
        <v>363.8784</v>
      </c>
    </row>
    <row r="475" spans="2:30" x14ac:dyDescent="0.25">
      <c r="B475" t="s">
        <v>309</v>
      </c>
      <c r="C475" t="s">
        <v>326</v>
      </c>
      <c r="D475" t="s">
        <v>443</v>
      </c>
      <c r="E475" s="35">
        <v>0.9</v>
      </c>
      <c r="F475" s="35">
        <v>55</v>
      </c>
      <c r="G475" s="36">
        <v>0.75457099999999999</v>
      </c>
      <c r="H475" s="18">
        <v>1358.227954</v>
      </c>
      <c r="I475" s="16">
        <v>0</v>
      </c>
      <c r="J475" s="16"/>
      <c r="K475" s="16"/>
      <c r="L475" s="37" t="s">
        <v>107</v>
      </c>
      <c r="M475" s="37"/>
      <c r="N475" s="37">
        <v>476</v>
      </c>
      <c r="O475" s="37"/>
      <c r="P475" s="37"/>
      <c r="Q475" s="18">
        <v>8.300281</v>
      </c>
      <c r="R475" s="18">
        <v>5.6592824999999999E-2</v>
      </c>
      <c r="S475" s="18">
        <v>15.845991</v>
      </c>
      <c r="T475" s="18">
        <v>67.911389999999997</v>
      </c>
      <c r="U475" s="18">
        <v>33.955694999999999</v>
      </c>
      <c r="V475" s="18">
        <v>434.63289600000002</v>
      </c>
      <c r="W475" s="18">
        <v>407.46834000000001</v>
      </c>
      <c r="X475" s="18">
        <v>271.64555999999999</v>
      </c>
      <c r="Y475" s="18">
        <v>12.073136</v>
      </c>
      <c r="Z475" s="18">
        <v>53.574540999999996</v>
      </c>
      <c r="AA475" s="18">
        <v>78.475384000000005</v>
      </c>
      <c r="AB475" s="18">
        <v>139.59563499999999</v>
      </c>
      <c r="AC475" s="18">
        <v>43.010547000000003</v>
      </c>
      <c r="AD475" s="18">
        <v>226.37129999999999</v>
      </c>
    </row>
    <row r="476" spans="2:30" x14ac:dyDescent="0.25">
      <c r="B476" t="s">
        <v>122</v>
      </c>
      <c r="C476" t="s">
        <v>326</v>
      </c>
      <c r="D476" t="s">
        <v>443</v>
      </c>
      <c r="E476" s="35">
        <v>0.9</v>
      </c>
      <c r="F476" s="35">
        <v>71</v>
      </c>
      <c r="G476" s="36">
        <v>0.97408300000000003</v>
      </c>
      <c r="H476" s="18">
        <v>1753.3488130000001</v>
      </c>
      <c r="I476" s="16">
        <v>0</v>
      </c>
      <c r="J476" s="16"/>
      <c r="K476" s="16"/>
      <c r="L476" s="37" t="s">
        <v>107</v>
      </c>
      <c r="M476" s="37"/>
      <c r="N476" s="37">
        <v>477</v>
      </c>
      <c r="O476" s="37"/>
      <c r="P476" s="37"/>
      <c r="Q476" s="18">
        <v>10.714913000000001</v>
      </c>
      <c r="R476" s="18">
        <v>7.3056225000000002E-2</v>
      </c>
      <c r="S476" s="18">
        <v>20.455743000000002</v>
      </c>
      <c r="T476" s="18">
        <v>87.667470000000009</v>
      </c>
      <c r="U476" s="18">
        <v>43.833735000000004</v>
      </c>
      <c r="V476" s="18">
        <v>561.07180800000003</v>
      </c>
      <c r="W476" s="18">
        <v>526.00482</v>
      </c>
      <c r="X476" s="18">
        <v>350.66988000000003</v>
      </c>
      <c r="Y476" s="18">
        <v>15.585328000000001</v>
      </c>
      <c r="Z476" s="18">
        <v>69.159892999999997</v>
      </c>
      <c r="AA476" s="18">
        <v>101.304632</v>
      </c>
      <c r="AB476" s="18">
        <v>180.205355</v>
      </c>
      <c r="AC476" s="18">
        <v>55.522731</v>
      </c>
      <c r="AD476" s="18">
        <v>292.22489999999999</v>
      </c>
    </row>
    <row r="477" spans="2:30" x14ac:dyDescent="0.25">
      <c r="B477" t="s">
        <v>110</v>
      </c>
      <c r="C477" t="s">
        <v>326</v>
      </c>
      <c r="D477" t="s">
        <v>444</v>
      </c>
      <c r="E477" s="35">
        <v>0.9</v>
      </c>
      <c r="F477" s="35">
        <v>22</v>
      </c>
      <c r="G477" s="36">
        <v>0.220138</v>
      </c>
      <c r="H477" s="18">
        <v>396.249165</v>
      </c>
      <c r="I477" s="16">
        <v>0</v>
      </c>
      <c r="J477" s="16"/>
      <c r="K477" s="16"/>
      <c r="L477" s="37" t="s">
        <v>107</v>
      </c>
      <c r="M477" s="37"/>
      <c r="N477" s="37">
        <v>478</v>
      </c>
      <c r="O477" s="37"/>
      <c r="P477" s="37"/>
      <c r="Q477" s="18">
        <v>2.4215179999999998</v>
      </c>
      <c r="R477" s="18">
        <v>1.651035E-2</v>
      </c>
      <c r="S477" s="18">
        <v>4.6228980000000002</v>
      </c>
      <c r="T477" s="18">
        <v>19.812419999999999</v>
      </c>
      <c r="U477" s="18">
        <v>9.9062099999999997</v>
      </c>
      <c r="V477" s="18">
        <v>126.799488</v>
      </c>
      <c r="W477" s="18">
        <v>118.87452</v>
      </c>
      <c r="X477" s="18">
        <v>79.249679999999998</v>
      </c>
      <c r="Y477" s="18">
        <v>3.522208</v>
      </c>
      <c r="Z477" s="18">
        <v>15.629797999999999</v>
      </c>
      <c r="AA477" s="18">
        <v>22.894352000000001</v>
      </c>
      <c r="AB477" s="18">
        <v>40.725529999999999</v>
      </c>
      <c r="AC477" s="18">
        <v>12.547866000000001</v>
      </c>
      <c r="AD477" s="18">
        <v>66.041399999999996</v>
      </c>
    </row>
    <row r="478" spans="2:30" x14ac:dyDescent="0.25">
      <c r="B478" t="s">
        <v>141</v>
      </c>
      <c r="C478" t="s">
        <v>326</v>
      </c>
      <c r="D478" t="s">
        <v>368</v>
      </c>
      <c r="E478" s="35">
        <v>0.9</v>
      </c>
      <c r="F478" s="35">
        <v>46</v>
      </c>
      <c r="G478" s="36">
        <v>0.91444400000000003</v>
      </c>
      <c r="H478" s="18">
        <v>1645.9997169999999</v>
      </c>
      <c r="I478" s="16">
        <v>0</v>
      </c>
      <c r="J478" s="16">
        <v>50</v>
      </c>
      <c r="K478" s="16" t="s">
        <v>114</v>
      </c>
      <c r="L478" s="37" t="s">
        <v>107</v>
      </c>
      <c r="M478" s="37"/>
      <c r="N478" s="37">
        <v>479</v>
      </c>
      <c r="O478" s="37"/>
      <c r="P478" s="37"/>
      <c r="Q478" s="18">
        <v>10.058884000000001</v>
      </c>
      <c r="R478" s="18">
        <v>6.85833E-2</v>
      </c>
      <c r="S478" s="18">
        <v>19.203324000000002</v>
      </c>
      <c r="T478" s="18">
        <v>82.299959999999999</v>
      </c>
      <c r="U478" s="18">
        <v>41.149979999999999</v>
      </c>
      <c r="V478" s="18">
        <v>526.71974399999999</v>
      </c>
      <c r="W478" s="18">
        <v>493.79975999999999</v>
      </c>
      <c r="X478" s="18">
        <v>329.19983999999999</v>
      </c>
      <c r="Y478" s="18">
        <v>14.631104000000001</v>
      </c>
      <c r="Z478" s="18">
        <v>64.925523999999996</v>
      </c>
      <c r="AA478" s="18">
        <v>95.102176</v>
      </c>
      <c r="AB478" s="18">
        <v>169.17214000000001</v>
      </c>
      <c r="AC478" s="18">
        <v>52.123308000000002</v>
      </c>
      <c r="AD478" s="18">
        <v>274.33320000000003</v>
      </c>
    </row>
    <row r="479" spans="2:30" x14ac:dyDescent="0.25">
      <c r="B479" t="s">
        <v>133</v>
      </c>
      <c r="C479" t="s">
        <v>326</v>
      </c>
      <c r="D479" t="s">
        <v>436</v>
      </c>
      <c r="E479" s="35">
        <v>0.9</v>
      </c>
      <c r="F479" s="35">
        <v>50</v>
      </c>
      <c r="G479" s="36">
        <v>1.031609</v>
      </c>
      <c r="H479" s="18">
        <v>1856.895806</v>
      </c>
      <c r="I479" s="16">
        <v>0</v>
      </c>
      <c r="J479" s="16">
        <v>50</v>
      </c>
      <c r="K479" s="16" t="s">
        <v>114</v>
      </c>
      <c r="L479" s="37" t="s">
        <v>107</v>
      </c>
      <c r="M479" s="37"/>
      <c r="N479" s="37">
        <v>480</v>
      </c>
      <c r="O479" s="37"/>
      <c r="P479" s="37"/>
      <c r="Q479" s="18">
        <v>11.347699</v>
      </c>
      <c r="R479" s="18">
        <v>7.7370675E-2</v>
      </c>
      <c r="S479" s="18">
        <v>21.663789000000001</v>
      </c>
      <c r="T479" s="18">
        <v>92.844809999999995</v>
      </c>
      <c r="U479" s="18">
        <v>46.422404999999998</v>
      </c>
      <c r="V479" s="18">
        <v>594.20678399999997</v>
      </c>
      <c r="W479" s="18">
        <v>557.06885999999997</v>
      </c>
      <c r="X479" s="18">
        <v>371.37923999999998</v>
      </c>
      <c r="Y479" s="18">
        <v>16.505744</v>
      </c>
      <c r="Z479" s="18">
        <v>73.244238999999993</v>
      </c>
      <c r="AA479" s="18">
        <v>107.287336</v>
      </c>
      <c r="AB479" s="18">
        <v>190.84766500000001</v>
      </c>
      <c r="AC479" s="18">
        <v>58.801712999999999</v>
      </c>
      <c r="AD479" s="18">
        <v>309.48270000000002</v>
      </c>
    </row>
    <row r="480" spans="2:30" x14ac:dyDescent="0.25">
      <c r="B480" t="s">
        <v>116</v>
      </c>
      <c r="C480" t="s">
        <v>326</v>
      </c>
      <c r="D480" t="s">
        <v>445</v>
      </c>
      <c r="E480" s="35">
        <v>0.9</v>
      </c>
      <c r="F480" s="35">
        <v>50</v>
      </c>
      <c r="G480" s="36">
        <v>0.64384600000000003</v>
      </c>
      <c r="H480" s="18">
        <v>1158.9232959999999</v>
      </c>
      <c r="I480" s="16">
        <v>0</v>
      </c>
      <c r="J480" s="16"/>
      <c r="K480" s="16"/>
      <c r="L480" s="37" t="s">
        <v>107</v>
      </c>
      <c r="M480" s="37"/>
      <c r="N480" s="37">
        <v>481</v>
      </c>
      <c r="O480" s="37"/>
      <c r="P480" s="37"/>
      <c r="Q480" s="18">
        <v>7.082306</v>
      </c>
      <c r="R480" s="18">
        <v>4.8288450000000004E-2</v>
      </c>
      <c r="S480" s="18">
        <v>13.520766</v>
      </c>
      <c r="T480" s="18">
        <v>57.94614</v>
      </c>
      <c r="U480" s="18">
        <v>28.97307</v>
      </c>
      <c r="V480" s="18">
        <v>370.85529600000001</v>
      </c>
      <c r="W480" s="18">
        <v>347.67684000000003</v>
      </c>
      <c r="X480" s="18">
        <v>231.78456</v>
      </c>
      <c r="Y480" s="18">
        <v>10.301536</v>
      </c>
      <c r="Z480" s="18">
        <v>45.713066000000005</v>
      </c>
      <c r="AA480" s="18">
        <v>66.959984000000006</v>
      </c>
      <c r="AB480" s="18">
        <v>119.11151000000001</v>
      </c>
      <c r="AC480" s="18">
        <v>36.699221999999999</v>
      </c>
      <c r="AD480" s="18">
        <v>193.15380000000002</v>
      </c>
    </row>
    <row r="481" spans="2:30" x14ac:dyDescent="0.25">
      <c r="B481" t="s">
        <v>112</v>
      </c>
      <c r="C481" t="s">
        <v>326</v>
      </c>
      <c r="D481" t="s">
        <v>401</v>
      </c>
      <c r="E481" s="35">
        <v>0.9</v>
      </c>
      <c r="F481" s="35">
        <v>60</v>
      </c>
      <c r="G481" s="36">
        <v>1.1679539999999999</v>
      </c>
      <c r="H481" s="18">
        <v>2102.3179690000002</v>
      </c>
      <c r="I481" s="16">
        <v>0</v>
      </c>
      <c r="J481" s="16">
        <v>60</v>
      </c>
      <c r="K481" s="16"/>
      <c r="L481" s="37" t="s">
        <v>107</v>
      </c>
      <c r="M481" s="37"/>
      <c r="N481" s="37">
        <v>482</v>
      </c>
      <c r="O481" s="37"/>
      <c r="P481" s="37"/>
      <c r="Q481" s="18">
        <v>12.847493999999999</v>
      </c>
      <c r="R481" s="18">
        <v>8.7596549999999995E-2</v>
      </c>
      <c r="S481" s="18">
        <v>24.527034</v>
      </c>
      <c r="T481" s="18">
        <v>105.11586</v>
      </c>
      <c r="U481" s="18">
        <v>52.557929999999999</v>
      </c>
      <c r="V481" s="18">
        <v>672.74150399999996</v>
      </c>
      <c r="W481" s="18">
        <v>630.69515999999999</v>
      </c>
      <c r="X481" s="18">
        <v>420.46343999999999</v>
      </c>
      <c r="Y481" s="18">
        <v>18.687263999999999</v>
      </c>
      <c r="Z481" s="18">
        <v>82.924734000000001</v>
      </c>
      <c r="AA481" s="18">
        <v>121.46721599999999</v>
      </c>
      <c r="AB481" s="18">
        <v>216.07148999999998</v>
      </c>
      <c r="AC481" s="18">
        <v>66.573377999999991</v>
      </c>
      <c r="AD481" s="18">
        <v>350.38619999999997</v>
      </c>
    </row>
    <row r="482" spans="2:30" x14ac:dyDescent="0.25">
      <c r="B482" t="s">
        <v>110</v>
      </c>
      <c r="C482" t="s">
        <v>326</v>
      </c>
      <c r="D482" t="s">
        <v>446</v>
      </c>
      <c r="E482" s="35">
        <v>0.9</v>
      </c>
      <c r="F482" s="35">
        <v>22</v>
      </c>
      <c r="G482" s="36">
        <v>0.229965</v>
      </c>
      <c r="H482" s="18">
        <v>413.93644499999999</v>
      </c>
      <c r="I482" s="16">
        <v>0</v>
      </c>
      <c r="J482" s="16"/>
      <c r="K482" s="16"/>
      <c r="L482" s="37" t="s">
        <v>107</v>
      </c>
      <c r="M482" s="37"/>
      <c r="N482" s="37">
        <v>483</v>
      </c>
      <c r="O482" s="37"/>
      <c r="P482" s="37"/>
      <c r="Q482" s="18">
        <v>2.5296150000000002</v>
      </c>
      <c r="R482" s="18">
        <v>1.7247374999999999E-2</v>
      </c>
      <c r="S482" s="18">
        <v>4.8292650000000004</v>
      </c>
      <c r="T482" s="18">
        <v>20.696850000000001</v>
      </c>
      <c r="U482" s="18">
        <v>10.348425000000001</v>
      </c>
      <c r="V482" s="18">
        <v>132.45984000000001</v>
      </c>
      <c r="W482" s="18">
        <v>124.1811</v>
      </c>
      <c r="X482" s="18">
        <v>82.787400000000005</v>
      </c>
      <c r="Y482" s="18">
        <v>3.67944</v>
      </c>
      <c r="Z482" s="18">
        <v>16.327515000000002</v>
      </c>
      <c r="AA482" s="18">
        <v>23.916360000000001</v>
      </c>
      <c r="AB482" s="18">
        <v>42.543525000000002</v>
      </c>
      <c r="AC482" s="18">
        <v>13.108005</v>
      </c>
      <c r="AD482" s="18">
        <v>68.989500000000007</v>
      </c>
    </row>
    <row r="483" spans="2:30" x14ac:dyDescent="0.25">
      <c r="B483" t="s">
        <v>128</v>
      </c>
      <c r="C483" t="s">
        <v>326</v>
      </c>
      <c r="D483" t="s">
        <v>447</v>
      </c>
      <c r="E483" s="35">
        <v>0.9</v>
      </c>
      <c r="F483" s="35">
        <v>65</v>
      </c>
      <c r="G483" s="36">
        <v>0.83215899999999998</v>
      </c>
      <c r="H483" s="18">
        <v>1497.8870979999999</v>
      </c>
      <c r="I483" s="16">
        <v>0</v>
      </c>
      <c r="J483" s="16"/>
      <c r="K483" s="16"/>
      <c r="L483" s="37" t="s">
        <v>107</v>
      </c>
      <c r="M483" s="37"/>
      <c r="N483" s="37">
        <v>484</v>
      </c>
      <c r="O483" s="37"/>
      <c r="P483" s="37"/>
      <c r="Q483" s="18">
        <v>9.1537489999999995</v>
      </c>
      <c r="R483" s="18">
        <v>6.2411924999999993E-2</v>
      </c>
      <c r="S483" s="18">
        <v>17.475338999999998</v>
      </c>
      <c r="T483" s="18">
        <v>74.894310000000004</v>
      </c>
      <c r="U483" s="18">
        <v>37.447155000000002</v>
      </c>
      <c r="V483" s="18">
        <v>479.32358399999998</v>
      </c>
      <c r="W483" s="18">
        <v>449.36586</v>
      </c>
      <c r="X483" s="18">
        <v>299.57724000000002</v>
      </c>
      <c r="Y483" s="18">
        <v>13.314544</v>
      </c>
      <c r="Z483" s="18">
        <v>59.083289000000001</v>
      </c>
      <c r="AA483" s="18">
        <v>86.544535999999994</v>
      </c>
      <c r="AB483" s="18">
        <v>153.94941499999999</v>
      </c>
      <c r="AC483" s="18">
        <v>47.433062999999997</v>
      </c>
      <c r="AD483" s="18">
        <v>249.64769999999999</v>
      </c>
    </row>
    <row r="484" spans="2:30" x14ac:dyDescent="0.25">
      <c r="B484" t="s">
        <v>133</v>
      </c>
      <c r="C484" t="s">
        <v>326</v>
      </c>
      <c r="D484" t="s">
        <v>436</v>
      </c>
      <c r="E484" s="35">
        <v>0.9</v>
      </c>
      <c r="F484" s="35">
        <v>50</v>
      </c>
      <c r="G484" s="36">
        <v>1.031609</v>
      </c>
      <c r="H484" s="18">
        <v>1856.895806</v>
      </c>
      <c r="I484" s="16">
        <v>0</v>
      </c>
      <c r="J484" s="16">
        <v>50</v>
      </c>
      <c r="K484" s="16" t="s">
        <v>114</v>
      </c>
      <c r="L484" s="37" t="s">
        <v>107</v>
      </c>
      <c r="M484" s="37"/>
      <c r="N484" s="37">
        <v>485</v>
      </c>
      <c r="O484" s="37"/>
      <c r="P484" s="37"/>
      <c r="Q484" s="18">
        <v>11.347699</v>
      </c>
      <c r="R484" s="18">
        <v>7.7370675E-2</v>
      </c>
      <c r="S484" s="18">
        <v>21.663789000000001</v>
      </c>
      <c r="T484" s="18">
        <v>92.844809999999995</v>
      </c>
      <c r="U484" s="18">
        <v>46.422404999999998</v>
      </c>
      <c r="V484" s="18">
        <v>594.20678399999997</v>
      </c>
      <c r="W484" s="18">
        <v>557.06885999999997</v>
      </c>
      <c r="X484" s="18">
        <v>371.37923999999998</v>
      </c>
      <c r="Y484" s="18">
        <v>16.505744</v>
      </c>
      <c r="Z484" s="18">
        <v>73.244238999999993</v>
      </c>
      <c r="AA484" s="18">
        <v>107.287336</v>
      </c>
      <c r="AB484" s="18">
        <v>190.84766500000001</v>
      </c>
      <c r="AC484" s="18">
        <v>58.801712999999999</v>
      </c>
      <c r="AD484" s="18">
        <v>309.48270000000002</v>
      </c>
    </row>
    <row r="485" spans="2:30" x14ac:dyDescent="0.25">
      <c r="B485" t="s">
        <v>108</v>
      </c>
      <c r="C485" t="s">
        <v>326</v>
      </c>
      <c r="D485" t="s">
        <v>448</v>
      </c>
      <c r="E485" s="35">
        <v>0.9</v>
      </c>
      <c r="F485" s="35">
        <v>16</v>
      </c>
      <c r="G485" s="36">
        <v>7.0965E-2</v>
      </c>
      <c r="H485" s="18">
        <v>127.737549</v>
      </c>
      <c r="I485" s="16">
        <v>0</v>
      </c>
      <c r="J485" s="16"/>
      <c r="K485" s="16"/>
      <c r="L485" s="37" t="s">
        <v>107</v>
      </c>
      <c r="M485" s="37"/>
      <c r="N485" s="37">
        <v>486</v>
      </c>
      <c r="O485" s="37"/>
      <c r="P485" s="37"/>
      <c r="Q485" s="18">
        <v>0.78061500000000006</v>
      </c>
      <c r="R485" s="18">
        <v>5.3223749999999998E-3</v>
      </c>
      <c r="S485" s="18">
        <v>1.490265</v>
      </c>
      <c r="T485" s="18">
        <v>6.3868499999999999</v>
      </c>
      <c r="U485" s="18">
        <v>3.193425</v>
      </c>
      <c r="V485" s="18">
        <v>40.875839999999997</v>
      </c>
      <c r="W485" s="18">
        <v>38.321100000000001</v>
      </c>
      <c r="X485" s="18">
        <v>25.5474</v>
      </c>
      <c r="Y485" s="18">
        <v>1.13544</v>
      </c>
      <c r="Z485" s="18">
        <v>5.0385150000000003</v>
      </c>
      <c r="AA485" s="18">
        <v>7.3803599999999996</v>
      </c>
      <c r="AB485" s="18">
        <v>13.128525</v>
      </c>
      <c r="AC485" s="18">
        <v>4.0450049999999997</v>
      </c>
      <c r="AD485" s="18">
        <v>21.2895</v>
      </c>
    </row>
    <row r="486" spans="2:30" x14ac:dyDescent="0.25">
      <c r="B486" t="s">
        <v>110</v>
      </c>
      <c r="C486" t="s">
        <v>326</v>
      </c>
      <c r="D486" t="s">
        <v>449</v>
      </c>
      <c r="E486" s="35">
        <v>0.9</v>
      </c>
      <c r="F486" s="35">
        <v>22</v>
      </c>
      <c r="G486" s="36">
        <v>0.24507100000000001</v>
      </c>
      <c r="H486" s="18">
        <v>441.12733900000001</v>
      </c>
      <c r="I486" s="16">
        <v>0</v>
      </c>
      <c r="J486" s="16"/>
      <c r="K486" s="16"/>
      <c r="L486" s="37" t="s">
        <v>107</v>
      </c>
      <c r="M486" s="37"/>
      <c r="N486" s="37">
        <v>487</v>
      </c>
      <c r="O486" s="37"/>
      <c r="P486" s="37"/>
      <c r="Q486" s="18">
        <v>2.6957810000000002</v>
      </c>
      <c r="R486" s="18">
        <v>1.8380324999999999E-2</v>
      </c>
      <c r="S486" s="18">
        <v>5.1464910000000001</v>
      </c>
      <c r="T486" s="18">
        <v>22.05639</v>
      </c>
      <c r="U486" s="18">
        <v>11.028195</v>
      </c>
      <c r="V486" s="18">
        <v>141.16089600000001</v>
      </c>
      <c r="W486" s="18">
        <v>132.33834000000002</v>
      </c>
      <c r="X486" s="18">
        <v>88.225560000000002</v>
      </c>
      <c r="Y486" s="18">
        <v>3.9211360000000002</v>
      </c>
      <c r="Z486" s="18">
        <v>17.400041000000002</v>
      </c>
      <c r="AA486" s="18">
        <v>25.487384000000002</v>
      </c>
      <c r="AB486" s="18">
        <v>45.338135000000001</v>
      </c>
      <c r="AC486" s="18">
        <v>13.969047</v>
      </c>
      <c r="AD486" s="18">
        <v>73.521299999999997</v>
      </c>
    </row>
    <row r="487" spans="2:30" x14ac:dyDescent="0.25">
      <c r="B487" t="s">
        <v>108</v>
      </c>
      <c r="C487" t="s">
        <v>326</v>
      </c>
      <c r="D487" t="s">
        <v>450</v>
      </c>
      <c r="E487" s="35">
        <v>0.9</v>
      </c>
      <c r="F487" s="35">
        <v>16</v>
      </c>
      <c r="G487" s="36">
        <v>7.1070999999999995E-2</v>
      </c>
      <c r="H487" s="18">
        <v>127.927671</v>
      </c>
      <c r="I487" s="16">
        <v>0</v>
      </c>
      <c r="J487" s="16"/>
      <c r="K487" s="16"/>
      <c r="L487" s="37" t="s">
        <v>107</v>
      </c>
      <c r="M487" s="37"/>
      <c r="N487" s="37">
        <v>488</v>
      </c>
      <c r="O487" s="37"/>
      <c r="P487" s="37"/>
      <c r="Q487" s="18">
        <v>0.78178099999999995</v>
      </c>
      <c r="R487" s="18">
        <v>5.3303249999999995E-3</v>
      </c>
      <c r="S487" s="18">
        <v>1.4924909999999998</v>
      </c>
      <c r="T487" s="18">
        <v>6.3963899999999994</v>
      </c>
      <c r="U487" s="18">
        <v>3.1981949999999997</v>
      </c>
      <c r="V487" s="18">
        <v>40.936895999999997</v>
      </c>
      <c r="W487" s="18">
        <v>38.378339999999994</v>
      </c>
      <c r="X487" s="18">
        <v>25.585559999999997</v>
      </c>
      <c r="Y487" s="18">
        <v>1.1371359999999999</v>
      </c>
      <c r="Z487" s="18">
        <v>5.0460409999999998</v>
      </c>
      <c r="AA487" s="18">
        <v>7.3913839999999995</v>
      </c>
      <c r="AB487" s="18">
        <v>13.148135</v>
      </c>
      <c r="AC487" s="18">
        <v>4.0510469999999996</v>
      </c>
      <c r="AD487" s="18">
        <v>21.321299999999997</v>
      </c>
    </row>
    <row r="488" spans="2:30" x14ac:dyDescent="0.25">
      <c r="B488" t="s">
        <v>133</v>
      </c>
      <c r="C488" t="s">
        <v>326</v>
      </c>
      <c r="D488" t="s">
        <v>368</v>
      </c>
      <c r="E488" s="35">
        <v>0.9</v>
      </c>
      <c r="F488" s="35">
        <v>50</v>
      </c>
      <c r="G488" s="36">
        <v>0.99396099999999998</v>
      </c>
      <c r="H488" s="18">
        <v>1789.1301269999999</v>
      </c>
      <c r="I488" s="16">
        <v>0</v>
      </c>
      <c r="J488" s="16">
        <v>50</v>
      </c>
      <c r="K488" s="16" t="s">
        <v>114</v>
      </c>
      <c r="L488" s="37" t="s">
        <v>107</v>
      </c>
      <c r="M488" s="37"/>
      <c r="N488" s="37">
        <v>489</v>
      </c>
      <c r="O488" s="37"/>
      <c r="P488" s="37"/>
      <c r="Q488" s="18">
        <v>10.933571000000001</v>
      </c>
      <c r="R488" s="18">
        <v>7.454707499999999E-2</v>
      </c>
      <c r="S488" s="18">
        <v>20.873180999999999</v>
      </c>
      <c r="T488" s="18">
        <v>89.456490000000002</v>
      </c>
      <c r="U488" s="18">
        <v>44.728245000000001</v>
      </c>
      <c r="V488" s="18">
        <v>572.52153599999997</v>
      </c>
      <c r="W488" s="18">
        <v>536.73893999999996</v>
      </c>
      <c r="X488" s="18">
        <v>357.82596000000001</v>
      </c>
      <c r="Y488" s="18">
        <v>15.903376</v>
      </c>
      <c r="Z488" s="18">
        <v>70.571230999999997</v>
      </c>
      <c r="AA488" s="18">
        <v>103.371944</v>
      </c>
      <c r="AB488" s="18">
        <v>183.88278499999998</v>
      </c>
      <c r="AC488" s="18">
        <v>56.655777</v>
      </c>
      <c r="AD488" s="18">
        <v>298.18829999999997</v>
      </c>
    </row>
    <row r="489" spans="2:30" x14ac:dyDescent="0.25">
      <c r="B489" t="s">
        <v>108</v>
      </c>
      <c r="C489" t="s">
        <v>326</v>
      </c>
      <c r="D489" t="s">
        <v>451</v>
      </c>
      <c r="E489" s="35">
        <v>0.9</v>
      </c>
      <c r="F489" s="35">
        <v>16</v>
      </c>
      <c r="G489" s="36">
        <v>5.4932000000000002E-2</v>
      </c>
      <c r="H489" s="18">
        <v>98.876913999999999</v>
      </c>
      <c r="I489" s="16">
        <v>0</v>
      </c>
      <c r="J489" s="16"/>
      <c r="K489" s="16"/>
      <c r="L489" s="37" t="s">
        <v>107</v>
      </c>
      <c r="M489" s="37"/>
      <c r="N489" s="37">
        <v>490</v>
      </c>
      <c r="O489" s="37"/>
      <c r="P489" s="37"/>
      <c r="Q489" s="18">
        <v>0.60425200000000001</v>
      </c>
      <c r="R489" s="18">
        <v>4.1199000000000001E-3</v>
      </c>
      <c r="S489" s="18">
        <v>1.153572</v>
      </c>
      <c r="T489" s="18">
        <v>4.9438800000000001</v>
      </c>
      <c r="U489" s="18">
        <v>2.47194</v>
      </c>
      <c r="V489" s="18">
        <v>31.640832</v>
      </c>
      <c r="W489" s="18">
        <v>29.66328</v>
      </c>
      <c r="X489" s="18">
        <v>19.77552</v>
      </c>
      <c r="Y489" s="18">
        <v>0.87891200000000003</v>
      </c>
      <c r="Z489" s="18">
        <v>3.900172</v>
      </c>
      <c r="AA489" s="18">
        <v>5.7129279999999998</v>
      </c>
      <c r="AB489" s="18">
        <v>10.162420000000001</v>
      </c>
      <c r="AC489" s="18">
        <v>3.1311240000000002</v>
      </c>
      <c r="AD489" s="18">
        <v>16.479600000000001</v>
      </c>
    </row>
    <row r="490" spans="2:30" x14ac:dyDescent="0.25">
      <c r="B490" t="s">
        <v>108</v>
      </c>
      <c r="C490" t="s">
        <v>326</v>
      </c>
      <c r="D490" t="s">
        <v>451</v>
      </c>
      <c r="E490" s="35">
        <v>0.9</v>
      </c>
      <c r="F490" s="35">
        <v>16</v>
      </c>
      <c r="G490" s="36">
        <v>5.4932000000000002E-2</v>
      </c>
      <c r="H490" s="18">
        <v>98.876913999999999</v>
      </c>
      <c r="I490" s="16">
        <v>0</v>
      </c>
      <c r="J490" s="16"/>
      <c r="K490" s="16"/>
      <c r="L490" s="37" t="s">
        <v>107</v>
      </c>
      <c r="M490" s="37"/>
      <c r="N490" s="37">
        <v>491</v>
      </c>
      <c r="O490" s="37"/>
      <c r="P490" s="37"/>
      <c r="Q490" s="18">
        <v>0.60425200000000001</v>
      </c>
      <c r="R490" s="18">
        <v>4.1199000000000001E-3</v>
      </c>
      <c r="S490" s="18">
        <v>1.153572</v>
      </c>
      <c r="T490" s="18">
        <v>4.9438800000000001</v>
      </c>
      <c r="U490" s="18">
        <v>2.47194</v>
      </c>
      <c r="V490" s="18">
        <v>31.640832</v>
      </c>
      <c r="W490" s="18">
        <v>29.66328</v>
      </c>
      <c r="X490" s="18">
        <v>19.77552</v>
      </c>
      <c r="Y490" s="18">
        <v>0.87891200000000003</v>
      </c>
      <c r="Z490" s="18">
        <v>3.900172</v>
      </c>
      <c r="AA490" s="18">
        <v>5.7129279999999998</v>
      </c>
      <c r="AB490" s="18">
        <v>10.162420000000001</v>
      </c>
      <c r="AC490" s="18">
        <v>3.1311240000000002</v>
      </c>
      <c r="AD490" s="18">
        <v>16.479600000000001</v>
      </c>
    </row>
    <row r="491" spans="2:30" x14ac:dyDescent="0.25">
      <c r="B491" t="s">
        <v>452</v>
      </c>
      <c r="C491" t="s">
        <v>326</v>
      </c>
      <c r="D491" t="s">
        <v>453</v>
      </c>
      <c r="E491" s="35">
        <v>0.9</v>
      </c>
      <c r="F491" s="35">
        <v>68</v>
      </c>
      <c r="G491" s="36">
        <v>1.377794</v>
      </c>
      <c r="H491" s="18">
        <v>2480.028401</v>
      </c>
      <c r="I491" s="16">
        <v>0</v>
      </c>
      <c r="J491" s="16"/>
      <c r="K491" s="16"/>
      <c r="L491" s="37" t="s">
        <v>107</v>
      </c>
      <c r="M491" s="37"/>
      <c r="N491" s="37">
        <v>492</v>
      </c>
      <c r="O491" s="37"/>
      <c r="P491" s="37"/>
      <c r="Q491" s="18">
        <v>15.155733999999999</v>
      </c>
      <c r="R491" s="18">
        <v>0.10333455</v>
      </c>
      <c r="S491" s="18">
        <v>28.933674</v>
      </c>
      <c r="T491" s="18">
        <v>124.00145999999999</v>
      </c>
      <c r="U491" s="18">
        <v>62.000729999999997</v>
      </c>
      <c r="V491" s="18">
        <v>793.60934399999996</v>
      </c>
      <c r="W491" s="18">
        <v>744.00875999999994</v>
      </c>
      <c r="X491" s="18">
        <v>496.00583999999998</v>
      </c>
      <c r="Y491" s="18">
        <v>22.044703999999999</v>
      </c>
      <c r="Z491" s="18">
        <v>97.823374000000001</v>
      </c>
      <c r="AA491" s="18">
        <v>143.29057599999999</v>
      </c>
      <c r="AB491" s="18">
        <v>254.89188999999999</v>
      </c>
      <c r="AC491" s="18">
        <v>78.534257999999994</v>
      </c>
      <c r="AD491" s="18">
        <v>413.33819999999997</v>
      </c>
    </row>
    <row r="492" spans="2:30" x14ac:dyDescent="0.25">
      <c r="B492" t="s">
        <v>246</v>
      </c>
      <c r="C492" t="s">
        <v>326</v>
      </c>
      <c r="D492" t="s">
        <v>454</v>
      </c>
      <c r="E492" s="35">
        <v>0.9</v>
      </c>
      <c r="F492" s="35">
        <v>26</v>
      </c>
      <c r="G492" s="36">
        <v>0.29760199999999998</v>
      </c>
      <c r="H492" s="18">
        <v>535.68372599999998</v>
      </c>
      <c r="I492" s="16">
        <v>0</v>
      </c>
      <c r="J492" s="16"/>
      <c r="K492" s="16"/>
      <c r="L492" s="37" t="s">
        <v>107</v>
      </c>
      <c r="M492" s="37"/>
      <c r="N492" s="37">
        <v>493</v>
      </c>
      <c r="O492" s="37"/>
      <c r="P492" s="37"/>
      <c r="Q492" s="18">
        <v>3.2736219999999996</v>
      </c>
      <c r="R492" s="18">
        <v>2.2320149999999997E-2</v>
      </c>
      <c r="S492" s="18">
        <v>6.2496419999999997</v>
      </c>
      <c r="T492" s="18">
        <v>26.784179999999999</v>
      </c>
      <c r="U492" s="18">
        <v>13.39209</v>
      </c>
      <c r="V492" s="18">
        <v>171.41875199999998</v>
      </c>
      <c r="W492" s="18">
        <v>160.70507999999998</v>
      </c>
      <c r="X492" s="18">
        <v>107.13672</v>
      </c>
      <c r="Y492" s="18">
        <v>4.7616319999999996</v>
      </c>
      <c r="Z492" s="18">
        <v>21.129741999999997</v>
      </c>
      <c r="AA492" s="18">
        <v>30.950607999999999</v>
      </c>
      <c r="AB492" s="18">
        <v>55.056369999999994</v>
      </c>
      <c r="AC492" s="18">
        <v>16.963314</v>
      </c>
      <c r="AD492" s="18">
        <v>89.280599999999993</v>
      </c>
    </row>
    <row r="493" spans="2:30" x14ac:dyDescent="0.25">
      <c r="B493" t="s">
        <v>118</v>
      </c>
      <c r="C493" t="s">
        <v>326</v>
      </c>
      <c r="D493" t="s">
        <v>157</v>
      </c>
      <c r="E493" s="35">
        <v>0.9</v>
      </c>
      <c r="F493" s="35">
        <v>76</v>
      </c>
      <c r="G493" s="36">
        <v>1.052306</v>
      </c>
      <c r="H493" s="18">
        <v>1894.1513769999999</v>
      </c>
      <c r="I493" s="16">
        <v>0</v>
      </c>
      <c r="J493" s="16"/>
      <c r="K493" s="16"/>
      <c r="L493" s="37" t="s">
        <v>107</v>
      </c>
      <c r="M493" s="37"/>
      <c r="N493" s="37">
        <v>494</v>
      </c>
      <c r="O493" s="37"/>
      <c r="P493" s="37"/>
      <c r="Q493" s="18">
        <v>11.575365999999999</v>
      </c>
      <c r="R493" s="18">
        <v>7.8922949999999992E-2</v>
      </c>
      <c r="S493" s="18">
        <v>22.098426</v>
      </c>
      <c r="T493" s="18">
        <v>94.707539999999995</v>
      </c>
      <c r="U493" s="18">
        <v>47.353769999999997</v>
      </c>
      <c r="V493" s="18">
        <v>606.12825599999996</v>
      </c>
      <c r="W493" s="18">
        <v>568.24523999999997</v>
      </c>
      <c r="X493" s="18">
        <v>378.83015999999998</v>
      </c>
      <c r="Y493" s="18">
        <v>16.836895999999999</v>
      </c>
      <c r="Z493" s="18">
        <v>74.713725999999994</v>
      </c>
      <c r="AA493" s="18">
        <v>109.439824</v>
      </c>
      <c r="AB493" s="18">
        <v>194.67660999999998</v>
      </c>
      <c r="AC493" s="18">
        <v>59.981442000000001</v>
      </c>
      <c r="AD493" s="18">
        <v>315.6918</v>
      </c>
    </row>
    <row r="494" spans="2:30" x14ac:dyDescent="0.25">
      <c r="B494" t="s">
        <v>309</v>
      </c>
      <c r="C494" t="s">
        <v>326</v>
      </c>
      <c r="D494" t="s">
        <v>455</v>
      </c>
      <c r="E494" s="35">
        <v>0.9</v>
      </c>
      <c r="F494" s="35">
        <v>55</v>
      </c>
      <c r="G494" s="36">
        <v>0.763737</v>
      </c>
      <c r="H494" s="18">
        <v>1374.7272829999999</v>
      </c>
      <c r="I494" s="16">
        <v>0</v>
      </c>
      <c r="J494" s="16"/>
      <c r="K494" s="16"/>
      <c r="L494" s="37" t="s">
        <v>107</v>
      </c>
      <c r="M494" s="37"/>
      <c r="N494" s="37">
        <v>495</v>
      </c>
      <c r="O494" s="37"/>
      <c r="P494" s="37"/>
      <c r="Q494" s="18">
        <v>8.4011069999999997</v>
      </c>
      <c r="R494" s="18">
        <v>5.7280274999999999E-2</v>
      </c>
      <c r="S494" s="18">
        <v>16.038477</v>
      </c>
      <c r="T494" s="18">
        <v>68.736329999999995</v>
      </c>
      <c r="U494" s="18">
        <v>34.368164999999998</v>
      </c>
      <c r="V494" s="18">
        <v>439.91251199999999</v>
      </c>
      <c r="W494" s="18">
        <v>412.41798</v>
      </c>
      <c r="X494" s="18">
        <v>274.94531999999998</v>
      </c>
      <c r="Y494" s="18">
        <v>12.219792</v>
      </c>
      <c r="Z494" s="18">
        <v>54.225327</v>
      </c>
      <c r="AA494" s="18">
        <v>79.428647999999995</v>
      </c>
      <c r="AB494" s="18">
        <v>141.29134500000001</v>
      </c>
      <c r="AC494" s="18">
        <v>43.533009</v>
      </c>
      <c r="AD494" s="18">
        <v>229.12110000000001</v>
      </c>
    </row>
    <row r="495" spans="2:30" x14ac:dyDescent="0.25">
      <c r="B495" t="s">
        <v>133</v>
      </c>
      <c r="C495" t="s">
        <v>326</v>
      </c>
      <c r="D495" t="s">
        <v>368</v>
      </c>
      <c r="E495" s="35">
        <v>0.9</v>
      </c>
      <c r="F495" s="35">
        <v>50</v>
      </c>
      <c r="G495" s="36">
        <v>0.99396099999999998</v>
      </c>
      <c r="H495" s="18">
        <v>1789.1301269999999</v>
      </c>
      <c r="I495" s="16">
        <v>0</v>
      </c>
      <c r="J495" s="16">
        <v>50</v>
      </c>
      <c r="K495" s="16" t="s">
        <v>114</v>
      </c>
      <c r="L495" s="37" t="s">
        <v>107</v>
      </c>
      <c r="M495" s="37"/>
      <c r="N495" s="37">
        <v>496</v>
      </c>
      <c r="O495" s="37"/>
      <c r="P495" s="37"/>
      <c r="Q495" s="18">
        <v>10.933571000000001</v>
      </c>
      <c r="R495" s="18">
        <v>7.454707499999999E-2</v>
      </c>
      <c r="S495" s="18">
        <v>20.873180999999999</v>
      </c>
      <c r="T495" s="18">
        <v>89.456490000000002</v>
      </c>
      <c r="U495" s="18">
        <v>44.728245000000001</v>
      </c>
      <c r="V495" s="18">
        <v>572.52153599999997</v>
      </c>
      <c r="W495" s="18">
        <v>536.73893999999996</v>
      </c>
      <c r="X495" s="18">
        <v>357.82596000000001</v>
      </c>
      <c r="Y495" s="18">
        <v>15.903376</v>
      </c>
      <c r="Z495" s="18">
        <v>70.571230999999997</v>
      </c>
      <c r="AA495" s="18">
        <v>103.371944</v>
      </c>
      <c r="AB495" s="18">
        <v>183.88278499999998</v>
      </c>
      <c r="AC495" s="18">
        <v>56.655777</v>
      </c>
      <c r="AD495" s="18">
        <v>298.18829999999997</v>
      </c>
    </row>
    <row r="496" spans="2:30" x14ac:dyDescent="0.25">
      <c r="B496" t="s">
        <v>110</v>
      </c>
      <c r="C496" t="s">
        <v>326</v>
      </c>
      <c r="D496" t="s">
        <v>338</v>
      </c>
      <c r="E496" s="35">
        <v>0.9</v>
      </c>
      <c r="F496" s="35">
        <v>22</v>
      </c>
      <c r="G496" s="36">
        <v>0.12545300000000001</v>
      </c>
      <c r="H496" s="18">
        <v>225.81576999999999</v>
      </c>
      <c r="I496" s="16">
        <v>2</v>
      </c>
      <c r="J496" s="16"/>
      <c r="K496" s="16"/>
      <c r="L496" s="37" t="s">
        <v>107</v>
      </c>
      <c r="M496" s="37"/>
      <c r="N496" s="37">
        <v>497</v>
      </c>
      <c r="O496" s="37"/>
      <c r="P496" s="37"/>
      <c r="Q496" s="18">
        <v>1.3799830000000002</v>
      </c>
      <c r="R496" s="18">
        <v>9.408975E-3</v>
      </c>
      <c r="S496" s="18">
        <v>2.6345130000000001</v>
      </c>
      <c r="T496" s="18">
        <v>11.29077</v>
      </c>
      <c r="U496" s="18">
        <v>5.6453850000000001</v>
      </c>
      <c r="V496" s="18">
        <v>72.260928000000007</v>
      </c>
      <c r="W496" s="18">
        <v>67.744620000000012</v>
      </c>
      <c r="X496" s="18">
        <v>45.163080000000001</v>
      </c>
      <c r="Y496" s="18">
        <v>2.0072480000000001</v>
      </c>
      <c r="Z496" s="18">
        <v>8.9071630000000006</v>
      </c>
      <c r="AA496" s="18">
        <v>13.047112</v>
      </c>
      <c r="AB496" s="18">
        <v>23.208805000000002</v>
      </c>
      <c r="AC496" s="18">
        <v>7.1508210000000005</v>
      </c>
      <c r="AD496" s="18">
        <v>37.635899999999999</v>
      </c>
    </row>
    <row r="497" spans="2:30" x14ac:dyDescent="0.25">
      <c r="B497" t="s">
        <v>110</v>
      </c>
      <c r="C497" t="s">
        <v>326</v>
      </c>
      <c r="D497" t="s">
        <v>456</v>
      </c>
      <c r="E497" s="35">
        <v>0.9</v>
      </c>
      <c r="F497" s="35">
        <v>22</v>
      </c>
      <c r="G497" s="36">
        <v>0.246391</v>
      </c>
      <c r="H497" s="18">
        <v>443.503242</v>
      </c>
      <c r="I497" s="16">
        <v>0</v>
      </c>
      <c r="J497" s="16"/>
      <c r="K497" s="16"/>
      <c r="L497" s="37" t="s">
        <v>107</v>
      </c>
      <c r="M497" s="37"/>
      <c r="N497" s="37">
        <v>498</v>
      </c>
      <c r="O497" s="37"/>
      <c r="P497" s="37"/>
      <c r="Q497" s="18">
        <v>2.7103009999999998</v>
      </c>
      <c r="R497" s="18">
        <v>1.8479324999999998E-2</v>
      </c>
      <c r="S497" s="18">
        <v>5.1742109999999997</v>
      </c>
      <c r="T497" s="18">
        <v>22.175190000000001</v>
      </c>
      <c r="U497" s="18">
        <v>11.087595</v>
      </c>
      <c r="V497" s="18">
        <v>141.92121599999999</v>
      </c>
      <c r="W497" s="18">
        <v>133.05114</v>
      </c>
      <c r="X497" s="18">
        <v>88.700760000000002</v>
      </c>
      <c r="Y497" s="18">
        <v>3.942256</v>
      </c>
      <c r="Z497" s="18">
        <v>17.493760999999999</v>
      </c>
      <c r="AA497" s="18">
        <v>25.624663999999999</v>
      </c>
      <c r="AB497" s="18">
        <v>45.582335</v>
      </c>
      <c r="AC497" s="18">
        <v>14.044287000000001</v>
      </c>
      <c r="AD497" s="18">
        <v>73.917299999999997</v>
      </c>
    </row>
    <row r="498" spans="2:30" x14ac:dyDescent="0.25">
      <c r="B498" t="s">
        <v>108</v>
      </c>
      <c r="C498" t="s">
        <v>326</v>
      </c>
      <c r="D498" t="s">
        <v>457</v>
      </c>
      <c r="E498" s="35">
        <v>0.9</v>
      </c>
      <c r="F498" s="35">
        <v>16</v>
      </c>
      <c r="G498" s="36">
        <v>3.7651999999999998E-2</v>
      </c>
      <c r="H498" s="18">
        <v>67.774180000000001</v>
      </c>
      <c r="I498" s="16">
        <v>0</v>
      </c>
      <c r="J498" s="16"/>
      <c r="K498" s="16"/>
      <c r="L498" s="37" t="s">
        <v>107</v>
      </c>
      <c r="M498" s="37"/>
      <c r="N498" s="37">
        <v>499</v>
      </c>
      <c r="O498" s="37"/>
      <c r="P498" s="37"/>
      <c r="Q498" s="18">
        <v>0.41417199999999998</v>
      </c>
      <c r="R498" s="18">
        <v>2.8238999999999998E-3</v>
      </c>
      <c r="S498" s="18">
        <v>0.79069199999999995</v>
      </c>
      <c r="T498" s="18">
        <v>3.3886799999999999</v>
      </c>
      <c r="U498" s="18">
        <v>1.69434</v>
      </c>
      <c r="V498" s="18">
        <v>21.687552</v>
      </c>
      <c r="W498" s="18">
        <v>20.332079999999998</v>
      </c>
      <c r="X498" s="18">
        <v>13.55472</v>
      </c>
      <c r="Y498" s="18">
        <v>0.60243199999999997</v>
      </c>
      <c r="Z498" s="18">
        <v>2.673292</v>
      </c>
      <c r="AA498" s="18">
        <v>3.9158079999999997</v>
      </c>
      <c r="AB498" s="18">
        <v>6.9656199999999995</v>
      </c>
      <c r="AC498" s="18">
        <v>2.1461639999999997</v>
      </c>
      <c r="AD498" s="18">
        <v>11.295599999999999</v>
      </c>
    </row>
    <row r="499" spans="2:30" x14ac:dyDescent="0.25">
      <c r="B499" t="s">
        <v>108</v>
      </c>
      <c r="C499" t="s">
        <v>326</v>
      </c>
      <c r="D499" t="s">
        <v>458</v>
      </c>
      <c r="E499" s="35">
        <v>0.9</v>
      </c>
      <c r="F499" s="35">
        <v>16</v>
      </c>
      <c r="G499" s="36">
        <v>7.6370999999999994E-2</v>
      </c>
      <c r="H499" s="18">
        <v>137.467344</v>
      </c>
      <c r="I499" s="16">
        <v>0</v>
      </c>
      <c r="J499" s="16"/>
      <c r="K499" s="16"/>
      <c r="L499" s="37" t="s">
        <v>107</v>
      </c>
      <c r="M499" s="37"/>
      <c r="N499" s="37">
        <v>500</v>
      </c>
      <c r="O499" s="37"/>
      <c r="P499" s="37"/>
      <c r="Q499" s="18">
        <v>0.84008099999999997</v>
      </c>
      <c r="R499" s="18">
        <v>5.7278249999999998E-3</v>
      </c>
      <c r="S499" s="18">
        <v>1.603791</v>
      </c>
      <c r="T499" s="18">
        <v>6.8733899999999997</v>
      </c>
      <c r="U499" s="18">
        <v>3.4366949999999998</v>
      </c>
      <c r="V499" s="18">
        <v>43.989695999999995</v>
      </c>
      <c r="W499" s="18">
        <v>41.240339999999996</v>
      </c>
      <c r="X499" s="18">
        <v>27.493559999999999</v>
      </c>
      <c r="Y499" s="18">
        <v>1.2219359999999999</v>
      </c>
      <c r="Z499" s="18">
        <v>5.4223409999999994</v>
      </c>
      <c r="AA499" s="18">
        <v>7.9425839999999992</v>
      </c>
      <c r="AB499" s="18">
        <v>14.128634999999999</v>
      </c>
      <c r="AC499" s="18">
        <v>4.3531469999999999</v>
      </c>
      <c r="AD499" s="18">
        <v>22.911299999999997</v>
      </c>
    </row>
    <row r="500" spans="2:30" x14ac:dyDescent="0.25">
      <c r="B500" t="s">
        <v>108</v>
      </c>
      <c r="C500" t="s">
        <v>326</v>
      </c>
      <c r="D500" t="s">
        <v>458</v>
      </c>
      <c r="E500" s="35">
        <v>0.9</v>
      </c>
      <c r="F500" s="35">
        <v>16</v>
      </c>
      <c r="G500" s="36">
        <v>7.6370999999999994E-2</v>
      </c>
      <c r="H500" s="18">
        <v>137.467344</v>
      </c>
      <c r="I500" s="16">
        <v>0</v>
      </c>
      <c r="J500" s="16"/>
      <c r="K500" s="16"/>
      <c r="L500" s="37" t="s">
        <v>107</v>
      </c>
      <c r="M500" s="37"/>
      <c r="N500" s="37">
        <v>501</v>
      </c>
      <c r="O500" s="37"/>
      <c r="P500" s="37"/>
      <c r="Q500" s="18">
        <v>0.84008099999999997</v>
      </c>
      <c r="R500" s="18">
        <v>5.7278249999999998E-3</v>
      </c>
      <c r="S500" s="18">
        <v>1.603791</v>
      </c>
      <c r="T500" s="18">
        <v>6.8733899999999997</v>
      </c>
      <c r="U500" s="18">
        <v>3.4366949999999998</v>
      </c>
      <c r="V500" s="18">
        <v>43.989695999999995</v>
      </c>
      <c r="W500" s="18">
        <v>41.240339999999996</v>
      </c>
      <c r="X500" s="18">
        <v>27.493559999999999</v>
      </c>
      <c r="Y500" s="18">
        <v>1.2219359999999999</v>
      </c>
      <c r="Z500" s="18">
        <v>5.4223409999999994</v>
      </c>
      <c r="AA500" s="18">
        <v>7.9425839999999992</v>
      </c>
      <c r="AB500" s="18">
        <v>14.128634999999999</v>
      </c>
      <c r="AC500" s="18">
        <v>4.3531469999999999</v>
      </c>
      <c r="AD500" s="18">
        <v>22.911299999999997</v>
      </c>
    </row>
    <row r="501" spans="2:30" x14ac:dyDescent="0.25">
      <c r="B501" t="s">
        <v>110</v>
      </c>
      <c r="C501" t="s">
        <v>326</v>
      </c>
      <c r="D501" t="s">
        <v>459</v>
      </c>
      <c r="E501" s="35">
        <v>0.9</v>
      </c>
      <c r="F501" s="35">
        <v>22</v>
      </c>
      <c r="G501" s="36">
        <v>0.24910499999999999</v>
      </c>
      <c r="H501" s="18">
        <v>448.389318</v>
      </c>
      <c r="I501" s="16">
        <v>0</v>
      </c>
      <c r="J501" s="16"/>
      <c r="K501" s="16"/>
      <c r="L501" s="37" t="s">
        <v>107</v>
      </c>
      <c r="M501" s="37"/>
      <c r="N501" s="37">
        <v>502</v>
      </c>
      <c r="O501" s="37"/>
      <c r="P501" s="37"/>
      <c r="Q501" s="18">
        <v>2.7401550000000001</v>
      </c>
      <c r="R501" s="18">
        <v>1.8682874999999998E-2</v>
      </c>
      <c r="S501" s="18">
        <v>5.2312050000000001</v>
      </c>
      <c r="T501" s="18">
        <v>22.419449999999998</v>
      </c>
      <c r="U501" s="18">
        <v>11.209724999999999</v>
      </c>
      <c r="V501" s="18">
        <v>143.48447999999999</v>
      </c>
      <c r="W501" s="18">
        <v>134.51669999999999</v>
      </c>
      <c r="X501" s="18">
        <v>89.677799999999991</v>
      </c>
      <c r="Y501" s="18">
        <v>3.9856799999999999</v>
      </c>
      <c r="Z501" s="18">
        <v>17.686454999999999</v>
      </c>
      <c r="AA501" s="18">
        <v>25.90692</v>
      </c>
      <c r="AB501" s="18">
        <v>46.084424999999996</v>
      </c>
      <c r="AC501" s="18">
        <v>14.198985</v>
      </c>
      <c r="AD501" s="18">
        <v>74.731499999999997</v>
      </c>
    </row>
    <row r="502" spans="2:30" x14ac:dyDescent="0.25">
      <c r="B502" t="s">
        <v>337</v>
      </c>
      <c r="C502" t="s">
        <v>326</v>
      </c>
      <c r="D502" t="s">
        <v>460</v>
      </c>
      <c r="E502" s="35">
        <v>0.9</v>
      </c>
      <c r="F502" s="35">
        <v>26</v>
      </c>
      <c r="G502" s="36">
        <v>0.13103500000000001</v>
      </c>
      <c r="H502" s="18">
        <v>235.86316400000001</v>
      </c>
      <c r="I502" s="16">
        <v>2</v>
      </c>
      <c r="J502" s="16"/>
      <c r="K502" s="16"/>
      <c r="L502" s="37" t="s">
        <v>107</v>
      </c>
      <c r="M502" s="37"/>
      <c r="N502" s="37">
        <v>503</v>
      </c>
      <c r="O502" s="37"/>
      <c r="P502" s="37"/>
      <c r="Q502" s="18">
        <v>1.4413850000000001</v>
      </c>
      <c r="R502" s="18">
        <v>9.8276250000000013E-3</v>
      </c>
      <c r="S502" s="18">
        <v>2.751735</v>
      </c>
      <c r="T502" s="18">
        <v>11.793150000000001</v>
      </c>
      <c r="U502" s="18">
        <v>5.8965750000000003</v>
      </c>
      <c r="V502" s="18">
        <v>75.476160000000007</v>
      </c>
      <c r="W502" s="18">
        <v>70.758900000000011</v>
      </c>
      <c r="X502" s="18">
        <v>47.172600000000003</v>
      </c>
      <c r="Y502" s="18">
        <v>2.0965600000000002</v>
      </c>
      <c r="Z502" s="18">
        <v>9.3034850000000002</v>
      </c>
      <c r="AA502" s="18">
        <v>13.627640000000001</v>
      </c>
      <c r="AB502" s="18">
        <v>24.241475000000001</v>
      </c>
      <c r="AC502" s="18">
        <v>7.4689950000000005</v>
      </c>
      <c r="AD502" s="18">
        <v>39.310500000000005</v>
      </c>
    </row>
    <row r="503" spans="2:30" x14ac:dyDescent="0.25">
      <c r="B503" t="s">
        <v>119</v>
      </c>
      <c r="C503" t="s">
        <v>326</v>
      </c>
      <c r="D503" t="s">
        <v>461</v>
      </c>
      <c r="E503" s="35">
        <v>0.9</v>
      </c>
      <c r="F503" s="35">
        <v>19</v>
      </c>
      <c r="G503" s="36">
        <v>0.180198</v>
      </c>
      <c r="H503" s="18">
        <v>324.35706299999998</v>
      </c>
      <c r="I503" s="16">
        <v>0</v>
      </c>
      <c r="J503" s="16"/>
      <c r="K503" s="16"/>
      <c r="L503" s="37" t="s">
        <v>107</v>
      </c>
      <c r="M503" s="37"/>
      <c r="N503" s="37">
        <v>504</v>
      </c>
      <c r="O503" s="37"/>
      <c r="P503" s="37"/>
      <c r="Q503" s="18">
        <v>1.982178</v>
      </c>
      <c r="R503" s="18">
        <v>1.351485E-2</v>
      </c>
      <c r="S503" s="18">
        <v>3.7841580000000001</v>
      </c>
      <c r="T503" s="18">
        <v>16.21782</v>
      </c>
      <c r="U503" s="18">
        <v>8.1089099999999998</v>
      </c>
      <c r="V503" s="18">
        <v>103.794048</v>
      </c>
      <c r="W503" s="18">
        <v>97.306920000000005</v>
      </c>
      <c r="X503" s="18">
        <v>64.871279999999999</v>
      </c>
      <c r="Y503" s="18">
        <v>2.883168</v>
      </c>
      <c r="Z503" s="18">
        <v>12.794058</v>
      </c>
      <c r="AA503" s="18">
        <v>18.740591999999999</v>
      </c>
      <c r="AB503" s="18">
        <v>33.33663</v>
      </c>
      <c r="AC503" s="18">
        <v>10.271286</v>
      </c>
      <c r="AD503" s="18">
        <v>54.059399999999997</v>
      </c>
    </row>
    <row r="504" spans="2:30" x14ac:dyDescent="0.25">
      <c r="B504" t="s">
        <v>394</v>
      </c>
      <c r="C504" t="s">
        <v>326</v>
      </c>
      <c r="D504" t="s">
        <v>401</v>
      </c>
      <c r="E504" s="35">
        <v>1.17</v>
      </c>
      <c r="F504" s="35">
        <v>94</v>
      </c>
      <c r="G504" s="36">
        <v>1.8297950000000001</v>
      </c>
      <c r="H504" s="18">
        <v>4281.7209300000004</v>
      </c>
      <c r="I504" s="16">
        <v>0</v>
      </c>
      <c r="J504" s="16">
        <v>52</v>
      </c>
      <c r="K504" s="16"/>
      <c r="L504" s="37" t="s">
        <v>107</v>
      </c>
      <c r="M504" s="37"/>
      <c r="N504" s="37">
        <v>505</v>
      </c>
      <c r="O504" s="37"/>
      <c r="P504" s="37"/>
      <c r="Q504" s="18">
        <v>20.127745000000001</v>
      </c>
      <c r="R504" s="18">
        <v>0.137234625</v>
      </c>
      <c r="S504" s="18">
        <v>38.425695000000005</v>
      </c>
      <c r="T504" s="18">
        <v>164.68155000000002</v>
      </c>
      <c r="U504" s="18">
        <v>82.340775000000008</v>
      </c>
      <c r="V504" s="18">
        <v>1053.96192</v>
      </c>
      <c r="W504" s="18">
        <v>988.08929999999998</v>
      </c>
      <c r="X504" s="18">
        <v>658.72620000000006</v>
      </c>
      <c r="Y504" s="18">
        <v>29.276720000000001</v>
      </c>
      <c r="Z504" s="18">
        <v>129.91544500000001</v>
      </c>
      <c r="AA504" s="18">
        <v>190.29868000000002</v>
      </c>
      <c r="AB504" s="18">
        <v>338.51207500000004</v>
      </c>
      <c r="AC504" s="18">
        <v>104.298315</v>
      </c>
      <c r="AD504" s="18">
        <v>548.93849999999998</v>
      </c>
    </row>
    <row r="505" spans="2:30" x14ac:dyDescent="0.25">
      <c r="B505" t="s">
        <v>108</v>
      </c>
      <c r="C505" t="s">
        <v>326</v>
      </c>
      <c r="D505" t="s">
        <v>462</v>
      </c>
      <c r="E505" s="35">
        <v>0.9</v>
      </c>
      <c r="F505" s="35">
        <v>16</v>
      </c>
      <c r="G505" s="36">
        <v>0.372359</v>
      </c>
      <c r="H505" s="18">
        <v>670.24566400000003</v>
      </c>
      <c r="I505" s="16">
        <v>0</v>
      </c>
      <c r="J505" s="16"/>
      <c r="K505" s="16"/>
      <c r="L505" s="37" t="s">
        <v>107</v>
      </c>
      <c r="M505" s="37"/>
      <c r="N505" s="37">
        <v>506</v>
      </c>
      <c r="O505" s="37"/>
      <c r="P505" s="37"/>
      <c r="Q505" s="18">
        <v>4.0959490000000001</v>
      </c>
      <c r="R505" s="18">
        <v>2.7926924999999998E-2</v>
      </c>
      <c r="S505" s="18">
        <v>7.8195389999999998</v>
      </c>
      <c r="T505" s="18">
        <v>33.512309999999999</v>
      </c>
      <c r="U505" s="18">
        <v>16.756155</v>
      </c>
      <c r="V505" s="18">
        <v>214.47878399999999</v>
      </c>
      <c r="W505" s="18">
        <v>201.07386</v>
      </c>
      <c r="X505" s="18">
        <v>134.04924</v>
      </c>
      <c r="Y505" s="18">
        <v>5.9577439999999999</v>
      </c>
      <c r="Z505" s="18">
        <v>26.437488999999999</v>
      </c>
      <c r="AA505" s="18">
        <v>38.725335999999999</v>
      </c>
      <c r="AB505" s="18">
        <v>68.886415</v>
      </c>
      <c r="AC505" s="18">
        <v>21.224463</v>
      </c>
      <c r="AD505" s="18">
        <v>111.7077</v>
      </c>
    </row>
    <row r="506" spans="2:30" x14ac:dyDescent="0.25">
      <c r="B506" t="s">
        <v>355</v>
      </c>
      <c r="C506" t="s">
        <v>463</v>
      </c>
      <c r="D506" t="s">
        <v>106</v>
      </c>
      <c r="E506" s="35">
        <v>0.9</v>
      </c>
      <c r="F506" s="35">
        <v>62</v>
      </c>
      <c r="G506" s="36">
        <v>1.1911799999999999</v>
      </c>
      <c r="H506" s="18">
        <v>2144.1243850000001</v>
      </c>
      <c r="I506" s="16">
        <v>0</v>
      </c>
      <c r="J506" s="16"/>
      <c r="K506" s="16"/>
      <c r="L506" s="37" t="s">
        <v>107</v>
      </c>
      <c r="M506" s="37"/>
      <c r="N506" s="37">
        <v>0</v>
      </c>
      <c r="O506" s="37"/>
      <c r="P506" s="37"/>
      <c r="Q506" s="18">
        <v>13.102979999999999</v>
      </c>
      <c r="R506" s="18">
        <v>8.9338499999999987E-2</v>
      </c>
      <c r="S506" s="18">
        <v>25.014779999999998</v>
      </c>
      <c r="T506" s="18">
        <v>107.2062</v>
      </c>
      <c r="U506" s="18">
        <v>53.603099999999998</v>
      </c>
      <c r="V506" s="18">
        <v>686.1196799999999</v>
      </c>
      <c r="W506" s="18">
        <v>643.23719999999992</v>
      </c>
      <c r="X506" s="18">
        <v>428.82479999999998</v>
      </c>
      <c r="Y506" s="18">
        <v>19.058879999999998</v>
      </c>
      <c r="Z506" s="18">
        <v>84.573779999999999</v>
      </c>
      <c r="AA506" s="18">
        <v>123.88271999999999</v>
      </c>
      <c r="AB506" s="18">
        <v>220.36829999999998</v>
      </c>
      <c r="AC506" s="18">
        <v>67.897259999999989</v>
      </c>
      <c r="AD506" s="18">
        <v>357.35399999999998</v>
      </c>
    </row>
    <row r="507" spans="2:30" x14ac:dyDescent="0.25">
      <c r="B507" t="s">
        <v>108</v>
      </c>
      <c r="C507" t="s">
        <v>463</v>
      </c>
      <c r="D507" t="s">
        <v>109</v>
      </c>
      <c r="E507" s="35">
        <v>0.9</v>
      </c>
      <c r="F507" s="35">
        <v>16</v>
      </c>
      <c r="G507" s="36">
        <v>7.8076999999999994E-2</v>
      </c>
      <c r="H507" s="18">
        <v>140.539219</v>
      </c>
      <c r="I507" s="16">
        <v>0</v>
      </c>
      <c r="J507" s="16"/>
      <c r="K507" s="16"/>
      <c r="L507" s="37" t="s">
        <v>107</v>
      </c>
      <c r="M507" s="37"/>
      <c r="N507" s="37">
        <v>1</v>
      </c>
      <c r="O507" s="37"/>
      <c r="P507" s="37"/>
      <c r="Q507" s="18">
        <v>0.85884699999999992</v>
      </c>
      <c r="R507" s="18">
        <v>5.8557749999999997E-3</v>
      </c>
      <c r="S507" s="18">
        <v>1.6396169999999999</v>
      </c>
      <c r="T507" s="18">
        <v>7.0269299999999992</v>
      </c>
      <c r="U507" s="18">
        <v>3.5134649999999996</v>
      </c>
      <c r="V507" s="18">
        <v>44.972351999999994</v>
      </c>
      <c r="W507" s="18">
        <v>42.161579999999994</v>
      </c>
      <c r="X507" s="18">
        <v>28.107719999999997</v>
      </c>
      <c r="Y507" s="18">
        <v>1.2492319999999999</v>
      </c>
      <c r="Z507" s="18">
        <v>5.5434669999999997</v>
      </c>
      <c r="AA507" s="18">
        <v>8.1200079999999986</v>
      </c>
      <c r="AB507" s="18">
        <v>14.444244999999999</v>
      </c>
      <c r="AC507" s="18">
        <v>4.4503889999999995</v>
      </c>
      <c r="AD507" s="18">
        <v>23.423099999999998</v>
      </c>
    </row>
    <row r="508" spans="2:30" x14ac:dyDescent="0.25">
      <c r="B508" t="s">
        <v>108</v>
      </c>
      <c r="C508" t="s">
        <v>463</v>
      </c>
      <c r="D508" t="s">
        <v>109</v>
      </c>
      <c r="E508" s="35">
        <v>0.9</v>
      </c>
      <c r="F508" s="35">
        <v>16</v>
      </c>
      <c r="G508" s="36">
        <v>7.8076999999999994E-2</v>
      </c>
      <c r="H508" s="18">
        <v>140.539219</v>
      </c>
      <c r="I508" s="16">
        <v>0</v>
      </c>
      <c r="J508" s="16"/>
      <c r="K508" s="16"/>
      <c r="L508" s="37" t="s">
        <v>107</v>
      </c>
      <c r="M508" s="37"/>
      <c r="N508" s="37">
        <v>2</v>
      </c>
      <c r="O508" s="37"/>
      <c r="P508" s="37"/>
      <c r="Q508" s="18">
        <v>0.85884699999999992</v>
      </c>
      <c r="R508" s="18">
        <v>5.8557749999999997E-3</v>
      </c>
      <c r="S508" s="18">
        <v>1.6396169999999999</v>
      </c>
      <c r="T508" s="18">
        <v>7.0269299999999992</v>
      </c>
      <c r="U508" s="18">
        <v>3.5134649999999996</v>
      </c>
      <c r="V508" s="18">
        <v>44.972351999999994</v>
      </c>
      <c r="W508" s="18">
        <v>42.161579999999994</v>
      </c>
      <c r="X508" s="18">
        <v>28.107719999999997</v>
      </c>
      <c r="Y508" s="18">
        <v>1.2492319999999999</v>
      </c>
      <c r="Z508" s="18">
        <v>5.5434669999999997</v>
      </c>
      <c r="AA508" s="18">
        <v>8.1200079999999986</v>
      </c>
      <c r="AB508" s="18">
        <v>14.444244999999999</v>
      </c>
      <c r="AC508" s="18">
        <v>4.4503889999999995</v>
      </c>
      <c r="AD508" s="18">
        <v>23.423099999999998</v>
      </c>
    </row>
    <row r="509" spans="2:30" x14ac:dyDescent="0.25">
      <c r="B509" t="s">
        <v>269</v>
      </c>
      <c r="C509" t="s">
        <v>463</v>
      </c>
      <c r="D509" t="s">
        <v>464</v>
      </c>
      <c r="E509" s="35">
        <v>0.9</v>
      </c>
      <c r="F509" s="35">
        <v>6.6</v>
      </c>
      <c r="G509" s="36">
        <v>3.1898999999999997E-2</v>
      </c>
      <c r="H509" s="18">
        <v>57.417664000000002</v>
      </c>
      <c r="I509" s="16"/>
      <c r="J509" s="16"/>
      <c r="K509" s="16"/>
      <c r="L509" s="37" t="s">
        <v>107</v>
      </c>
      <c r="M509" s="37"/>
      <c r="N509" s="37">
        <v>3</v>
      </c>
      <c r="O509" s="37"/>
      <c r="P509" s="37"/>
      <c r="Q509" s="18">
        <v>0.35088899999999995</v>
      </c>
      <c r="R509" s="18">
        <v>2.3924249999999997E-3</v>
      </c>
      <c r="S509" s="18">
        <v>0.66987899999999989</v>
      </c>
      <c r="T509" s="18">
        <v>2.8709099999999999</v>
      </c>
      <c r="U509" s="18">
        <v>1.4354549999999999</v>
      </c>
      <c r="V509" s="18">
        <v>18.373823999999999</v>
      </c>
      <c r="W509" s="18">
        <v>17.225459999999998</v>
      </c>
      <c r="X509" s="18">
        <v>11.483639999999999</v>
      </c>
      <c r="Y509" s="18">
        <v>0.51038399999999995</v>
      </c>
      <c r="Z509" s="18">
        <v>2.2648289999999998</v>
      </c>
      <c r="AA509" s="18">
        <v>3.3174959999999998</v>
      </c>
      <c r="AB509" s="18">
        <v>5.9013149999999994</v>
      </c>
      <c r="AC509" s="18">
        <v>1.8182429999999998</v>
      </c>
      <c r="AD509" s="18">
        <v>9.5696999999999992</v>
      </c>
    </row>
    <row r="510" spans="2:30" x14ac:dyDescent="0.25">
      <c r="B510" t="s">
        <v>465</v>
      </c>
      <c r="C510" t="s">
        <v>463</v>
      </c>
      <c r="D510" t="s">
        <v>466</v>
      </c>
      <c r="E510" s="35">
        <v>0.9</v>
      </c>
      <c r="F510" s="35">
        <v>7.2</v>
      </c>
      <c r="G510" s="36">
        <v>8.2970000000000006E-3</v>
      </c>
      <c r="H510" s="18">
        <v>14.934476</v>
      </c>
      <c r="I510" s="16"/>
      <c r="J510" s="16"/>
      <c r="K510" s="16"/>
      <c r="L510" s="37" t="s">
        <v>107</v>
      </c>
      <c r="M510" s="37"/>
      <c r="N510" s="37">
        <v>4</v>
      </c>
      <c r="O510" s="37"/>
      <c r="P510" s="37"/>
      <c r="Q510" s="18">
        <v>9.1267000000000001E-2</v>
      </c>
      <c r="R510" s="18">
        <v>6.2227500000000004E-4</v>
      </c>
      <c r="S510" s="18">
        <v>0.174237</v>
      </c>
      <c r="T510" s="18">
        <v>0.74673</v>
      </c>
      <c r="U510" s="18">
        <v>0.373365</v>
      </c>
      <c r="V510" s="18">
        <v>4.7790720000000002</v>
      </c>
      <c r="W510" s="18">
        <v>4.4803800000000003</v>
      </c>
      <c r="X510" s="18">
        <v>2.98692</v>
      </c>
      <c r="Y510" s="18">
        <v>0.13275200000000001</v>
      </c>
      <c r="Z510" s="18">
        <v>0.58908700000000003</v>
      </c>
      <c r="AA510" s="18">
        <v>0.8628880000000001</v>
      </c>
      <c r="AB510" s="18">
        <v>1.534945</v>
      </c>
      <c r="AC510" s="18">
        <v>0.47292900000000004</v>
      </c>
      <c r="AD510" s="18">
        <v>2.4891000000000001</v>
      </c>
    </row>
    <row r="511" spans="2:30" x14ac:dyDescent="0.25">
      <c r="B511" t="s">
        <v>110</v>
      </c>
      <c r="C511" t="s">
        <v>463</v>
      </c>
      <c r="D511" t="s">
        <v>111</v>
      </c>
      <c r="E511" s="35">
        <v>0.9</v>
      </c>
      <c r="F511" s="35">
        <v>22</v>
      </c>
      <c r="G511" s="36">
        <v>0.24756400000000001</v>
      </c>
      <c r="H511" s="18">
        <v>445.61515600000001</v>
      </c>
      <c r="I511" s="16">
        <v>0</v>
      </c>
      <c r="J511" s="16"/>
      <c r="K511" s="16"/>
      <c r="L511" s="37" t="s">
        <v>107</v>
      </c>
      <c r="M511" s="37"/>
      <c r="N511" s="37">
        <v>5</v>
      </c>
      <c r="O511" s="37"/>
      <c r="P511" s="37"/>
      <c r="Q511" s="18">
        <v>2.723204</v>
      </c>
      <c r="R511" s="18">
        <v>1.8567299999999998E-2</v>
      </c>
      <c r="S511" s="18">
        <v>5.1988440000000002</v>
      </c>
      <c r="T511" s="18">
        <v>22.280760000000001</v>
      </c>
      <c r="U511" s="18">
        <v>11.14038</v>
      </c>
      <c r="V511" s="18">
        <v>142.59686400000001</v>
      </c>
      <c r="W511" s="18">
        <v>133.68456</v>
      </c>
      <c r="X511" s="18">
        <v>89.123040000000003</v>
      </c>
      <c r="Y511" s="18">
        <v>3.9610240000000001</v>
      </c>
      <c r="Z511" s="18">
        <v>17.577044000000001</v>
      </c>
      <c r="AA511" s="18">
        <v>25.746656000000002</v>
      </c>
      <c r="AB511" s="18">
        <v>45.799340000000001</v>
      </c>
      <c r="AC511" s="18">
        <v>14.111148</v>
      </c>
      <c r="AD511" s="18">
        <v>74.269199999999998</v>
      </c>
    </row>
    <row r="512" spans="2:30" x14ac:dyDescent="0.25">
      <c r="B512" t="s">
        <v>465</v>
      </c>
      <c r="C512" t="s">
        <v>463</v>
      </c>
      <c r="D512" t="s">
        <v>467</v>
      </c>
      <c r="E512" s="35">
        <v>0.9</v>
      </c>
      <c r="F512" s="35">
        <v>7.2</v>
      </c>
      <c r="G512" s="36">
        <v>9.8965999999999998E-2</v>
      </c>
      <c r="H512" s="18">
        <v>178.13807199999999</v>
      </c>
      <c r="I512" s="16"/>
      <c r="J512" s="16"/>
      <c r="K512" s="16"/>
      <c r="L512" s="37" t="s">
        <v>107</v>
      </c>
      <c r="M512" s="37"/>
      <c r="N512" s="37">
        <v>6</v>
      </c>
      <c r="O512" s="37"/>
      <c r="P512" s="37"/>
      <c r="Q512" s="18">
        <v>1.0886260000000001</v>
      </c>
      <c r="R512" s="18">
        <v>7.4224499999999997E-3</v>
      </c>
      <c r="S512" s="18">
        <v>2.0782859999999999</v>
      </c>
      <c r="T512" s="18">
        <v>8.9069400000000005</v>
      </c>
      <c r="U512" s="18">
        <v>4.4534700000000003</v>
      </c>
      <c r="V512" s="18">
        <v>57.004415999999999</v>
      </c>
      <c r="W512" s="18">
        <v>53.44164</v>
      </c>
      <c r="X512" s="18">
        <v>35.627760000000002</v>
      </c>
      <c r="Y512" s="18">
        <v>1.583456</v>
      </c>
      <c r="Z512" s="18">
        <v>7.026586</v>
      </c>
      <c r="AA512" s="18">
        <v>10.292463999999999</v>
      </c>
      <c r="AB512" s="18">
        <v>18.308710000000001</v>
      </c>
      <c r="AC512" s="18">
        <v>5.6410619999999998</v>
      </c>
      <c r="AD512" s="18">
        <v>29.689799999999998</v>
      </c>
    </row>
    <row r="513" spans="2:30" x14ac:dyDescent="0.25">
      <c r="B513" t="s">
        <v>112</v>
      </c>
      <c r="C513" t="s">
        <v>463</v>
      </c>
      <c r="D513" t="s">
        <v>113</v>
      </c>
      <c r="E513" s="35">
        <v>0.9</v>
      </c>
      <c r="F513" s="35">
        <v>60</v>
      </c>
      <c r="G513" s="36">
        <v>1.1727540000000001</v>
      </c>
      <c r="H513" s="18">
        <v>2110.957617</v>
      </c>
      <c r="I513" s="16">
        <v>0</v>
      </c>
      <c r="J513" s="16"/>
      <c r="K513" s="16"/>
      <c r="L513" s="37" t="s">
        <v>107</v>
      </c>
      <c r="M513" s="37"/>
      <c r="N513" s="37">
        <v>7</v>
      </c>
      <c r="O513" s="37"/>
      <c r="P513" s="37"/>
      <c r="Q513" s="18">
        <v>12.900294000000001</v>
      </c>
      <c r="R513" s="18">
        <v>8.7956550000000008E-2</v>
      </c>
      <c r="S513" s="18">
        <v>24.627834</v>
      </c>
      <c r="T513" s="18">
        <v>105.54786</v>
      </c>
      <c r="U513" s="18">
        <v>52.77393</v>
      </c>
      <c r="V513" s="18">
        <v>675.506304</v>
      </c>
      <c r="W513" s="18">
        <v>633.28716000000009</v>
      </c>
      <c r="X513" s="18">
        <v>422.19144</v>
      </c>
      <c r="Y513" s="18">
        <v>18.764064000000001</v>
      </c>
      <c r="Z513" s="18">
        <v>83.265534000000002</v>
      </c>
      <c r="AA513" s="18">
        <v>121.96641600000001</v>
      </c>
      <c r="AB513" s="18">
        <v>216.95949000000002</v>
      </c>
      <c r="AC513" s="18">
        <v>66.846978000000007</v>
      </c>
      <c r="AD513" s="18">
        <v>351.82620000000003</v>
      </c>
    </row>
    <row r="514" spans="2:30" x14ac:dyDescent="0.25">
      <c r="B514" t="s">
        <v>108</v>
      </c>
      <c r="C514" t="s">
        <v>463</v>
      </c>
      <c r="D514" t="s">
        <v>468</v>
      </c>
      <c r="E514" s="35">
        <v>0.9</v>
      </c>
      <c r="F514" s="35">
        <v>16</v>
      </c>
      <c r="G514" s="36">
        <v>5.2372000000000002E-2</v>
      </c>
      <c r="H514" s="18">
        <v>94.269102000000004</v>
      </c>
      <c r="I514" s="16">
        <v>0</v>
      </c>
      <c r="J514" s="16"/>
      <c r="K514" s="16"/>
      <c r="L514" s="37" t="s">
        <v>107</v>
      </c>
      <c r="M514" s="37"/>
      <c r="N514" s="37">
        <v>8</v>
      </c>
      <c r="O514" s="37"/>
      <c r="P514" s="37"/>
      <c r="Q514" s="18">
        <v>0.57609200000000005</v>
      </c>
      <c r="R514" s="18">
        <v>3.9278999999999998E-3</v>
      </c>
      <c r="S514" s="18">
        <v>1.099812</v>
      </c>
      <c r="T514" s="18">
        <v>4.7134800000000006</v>
      </c>
      <c r="U514" s="18">
        <v>2.3567400000000003</v>
      </c>
      <c r="V514" s="18">
        <v>30.166271999999999</v>
      </c>
      <c r="W514" s="18">
        <v>28.28088</v>
      </c>
      <c r="X514" s="18">
        <v>18.853920000000002</v>
      </c>
      <c r="Y514" s="18">
        <v>0.83795200000000003</v>
      </c>
      <c r="Z514" s="18">
        <v>3.7184120000000003</v>
      </c>
      <c r="AA514" s="18">
        <v>5.446688</v>
      </c>
      <c r="AB514" s="18">
        <v>9.6888199999999998</v>
      </c>
      <c r="AC514" s="18">
        <v>2.985204</v>
      </c>
      <c r="AD514" s="18">
        <v>15.711600000000001</v>
      </c>
    </row>
    <row r="515" spans="2:30" x14ac:dyDescent="0.25">
      <c r="B515" t="s">
        <v>108</v>
      </c>
      <c r="C515" t="s">
        <v>463</v>
      </c>
      <c r="D515" t="s">
        <v>469</v>
      </c>
      <c r="E515" s="35">
        <v>0.9</v>
      </c>
      <c r="F515" s="35">
        <v>16</v>
      </c>
      <c r="G515" s="36">
        <v>5.6425000000000003E-2</v>
      </c>
      <c r="H515" s="18">
        <v>101.56480500000001</v>
      </c>
      <c r="I515" s="16">
        <v>0</v>
      </c>
      <c r="J515" s="16"/>
      <c r="K515" s="16"/>
      <c r="L515" s="37" t="s">
        <v>107</v>
      </c>
      <c r="M515" s="37"/>
      <c r="N515" s="37">
        <v>9</v>
      </c>
      <c r="O515" s="37"/>
      <c r="P515" s="37"/>
      <c r="Q515" s="18">
        <v>0.62067500000000009</v>
      </c>
      <c r="R515" s="18">
        <v>4.2318750000000004E-3</v>
      </c>
      <c r="S515" s="18">
        <v>1.184925</v>
      </c>
      <c r="T515" s="18">
        <v>5.0782500000000006</v>
      </c>
      <c r="U515" s="18">
        <v>2.5391250000000003</v>
      </c>
      <c r="V515" s="18">
        <v>32.500799999999998</v>
      </c>
      <c r="W515" s="18">
        <v>30.4695</v>
      </c>
      <c r="X515" s="18">
        <v>20.313000000000002</v>
      </c>
      <c r="Y515" s="18">
        <v>0.90280000000000005</v>
      </c>
      <c r="Z515" s="18">
        <v>4.0061749999999998</v>
      </c>
      <c r="AA515" s="18">
        <v>5.8681999999999999</v>
      </c>
      <c r="AB515" s="18">
        <v>10.438625</v>
      </c>
      <c r="AC515" s="18">
        <v>3.2162250000000001</v>
      </c>
      <c r="AD515" s="18">
        <v>16.927500000000002</v>
      </c>
    </row>
    <row r="516" spans="2:30" x14ac:dyDescent="0.25">
      <c r="B516" t="s">
        <v>309</v>
      </c>
      <c r="C516" t="s">
        <v>463</v>
      </c>
      <c r="D516" t="s">
        <v>470</v>
      </c>
      <c r="E516" s="35">
        <v>0.9</v>
      </c>
      <c r="F516" s="35">
        <v>55</v>
      </c>
      <c r="G516" s="36">
        <v>0.77766999999999997</v>
      </c>
      <c r="H516" s="18">
        <v>1399.8062620000001</v>
      </c>
      <c r="I516" s="16">
        <v>0</v>
      </c>
      <c r="J516" s="16"/>
      <c r="K516" s="16"/>
      <c r="L516" s="37" t="s">
        <v>107</v>
      </c>
      <c r="M516" s="37"/>
      <c r="N516" s="37">
        <v>10</v>
      </c>
      <c r="O516" s="37"/>
      <c r="P516" s="37"/>
      <c r="Q516" s="18">
        <v>8.5543700000000005</v>
      </c>
      <c r="R516" s="18">
        <v>5.8325249999999995E-2</v>
      </c>
      <c r="S516" s="18">
        <v>16.33107</v>
      </c>
      <c r="T516" s="18">
        <v>69.990299999999991</v>
      </c>
      <c r="U516" s="18">
        <v>34.995149999999995</v>
      </c>
      <c r="V516" s="18">
        <v>447.93791999999996</v>
      </c>
      <c r="W516" s="18">
        <v>419.9418</v>
      </c>
      <c r="X516" s="18">
        <v>279.96119999999996</v>
      </c>
      <c r="Y516" s="18">
        <v>12.44272</v>
      </c>
      <c r="Z516" s="18">
        <v>55.214569999999995</v>
      </c>
      <c r="AA516" s="18">
        <v>80.877679999999998</v>
      </c>
      <c r="AB516" s="18">
        <v>143.86894999999998</v>
      </c>
      <c r="AC516" s="18">
        <v>44.327190000000002</v>
      </c>
      <c r="AD516" s="18">
        <v>233.30099999999999</v>
      </c>
    </row>
    <row r="517" spans="2:30" x14ac:dyDescent="0.25">
      <c r="B517" t="s">
        <v>122</v>
      </c>
      <c r="C517" t="s">
        <v>463</v>
      </c>
      <c r="D517" t="s">
        <v>117</v>
      </c>
      <c r="E517" s="35">
        <v>0.9</v>
      </c>
      <c r="F517" s="35">
        <v>71</v>
      </c>
      <c r="G517" s="36">
        <v>1.003428</v>
      </c>
      <c r="H517" s="18">
        <v>1806.170664</v>
      </c>
      <c r="I517" s="16">
        <v>0</v>
      </c>
      <c r="J517" s="16"/>
      <c r="K517" s="16"/>
      <c r="L517" s="37" t="s">
        <v>107</v>
      </c>
      <c r="M517" s="37"/>
      <c r="N517" s="37">
        <v>11</v>
      </c>
      <c r="O517" s="37"/>
      <c r="P517" s="37"/>
      <c r="Q517" s="18">
        <v>11.037708</v>
      </c>
      <c r="R517" s="18">
        <v>7.5257099999999993E-2</v>
      </c>
      <c r="S517" s="18">
        <v>21.071988000000001</v>
      </c>
      <c r="T517" s="18">
        <v>90.308520000000001</v>
      </c>
      <c r="U517" s="18">
        <v>45.154260000000001</v>
      </c>
      <c r="V517" s="18">
        <v>577.97452799999996</v>
      </c>
      <c r="W517" s="18">
        <v>541.85112000000004</v>
      </c>
      <c r="X517" s="18">
        <v>361.23408000000001</v>
      </c>
      <c r="Y517" s="18">
        <v>16.054848</v>
      </c>
      <c r="Z517" s="18">
        <v>71.243387999999996</v>
      </c>
      <c r="AA517" s="18">
        <v>104.356512</v>
      </c>
      <c r="AB517" s="18">
        <v>185.63417999999999</v>
      </c>
      <c r="AC517" s="18">
        <v>57.195396000000002</v>
      </c>
      <c r="AD517" s="18">
        <v>301.02839999999998</v>
      </c>
    </row>
    <row r="518" spans="2:30" x14ac:dyDescent="0.25">
      <c r="B518" t="s">
        <v>465</v>
      </c>
      <c r="C518" t="s">
        <v>463</v>
      </c>
      <c r="D518" t="s">
        <v>471</v>
      </c>
      <c r="E518" s="35">
        <v>0.9</v>
      </c>
      <c r="F518" s="35">
        <v>7.2</v>
      </c>
      <c r="G518" s="36">
        <v>3.2761999999999999E-2</v>
      </c>
      <c r="H518" s="18">
        <v>58.972453999999999</v>
      </c>
      <c r="I518" s="16"/>
      <c r="J518" s="16"/>
      <c r="K518" s="16"/>
      <c r="L518" s="37" t="s">
        <v>107</v>
      </c>
      <c r="M518" s="37"/>
      <c r="N518" s="37">
        <v>12</v>
      </c>
      <c r="O518" s="37"/>
      <c r="P518" s="37"/>
      <c r="Q518" s="18">
        <v>0.36038199999999998</v>
      </c>
      <c r="R518" s="18">
        <v>2.45715E-3</v>
      </c>
      <c r="S518" s="18">
        <v>0.688002</v>
      </c>
      <c r="T518" s="18">
        <v>2.9485799999999998</v>
      </c>
      <c r="U518" s="18">
        <v>1.4742899999999999</v>
      </c>
      <c r="V518" s="18">
        <v>18.870912000000001</v>
      </c>
      <c r="W518" s="18">
        <v>17.691479999999999</v>
      </c>
      <c r="X518" s="18">
        <v>11.794319999999999</v>
      </c>
      <c r="Y518" s="18">
        <v>0.52419199999999999</v>
      </c>
      <c r="Z518" s="18">
        <v>2.3261020000000001</v>
      </c>
      <c r="AA518" s="18">
        <v>3.4072480000000001</v>
      </c>
      <c r="AB518" s="18">
        <v>6.0609700000000002</v>
      </c>
      <c r="AC518" s="18">
        <v>1.867434</v>
      </c>
      <c r="AD518" s="18">
        <v>9.8285999999999998</v>
      </c>
    </row>
    <row r="519" spans="2:30" x14ac:dyDescent="0.25">
      <c r="B519" t="s">
        <v>119</v>
      </c>
      <c r="C519" t="s">
        <v>463</v>
      </c>
      <c r="D519" t="s">
        <v>472</v>
      </c>
      <c r="E519" s="35">
        <v>0.9</v>
      </c>
      <c r="F519" s="35">
        <v>19</v>
      </c>
      <c r="G519" s="36">
        <v>0.20754400000000001</v>
      </c>
      <c r="H519" s="18">
        <v>373.57883199999998</v>
      </c>
      <c r="I519" s="16">
        <v>0</v>
      </c>
      <c r="J519" s="16"/>
      <c r="K519" s="16"/>
      <c r="L519" s="37" t="s">
        <v>107</v>
      </c>
      <c r="M519" s="37"/>
      <c r="N519" s="37">
        <v>13</v>
      </c>
      <c r="O519" s="37"/>
      <c r="P519" s="37"/>
      <c r="Q519" s="18">
        <v>2.2829839999999999</v>
      </c>
      <c r="R519" s="18">
        <v>1.5565799999999999E-2</v>
      </c>
      <c r="S519" s="18">
        <v>4.3584240000000003</v>
      </c>
      <c r="T519" s="18">
        <v>18.67896</v>
      </c>
      <c r="U519" s="18">
        <v>9.33948</v>
      </c>
      <c r="V519" s="18">
        <v>119.545344</v>
      </c>
      <c r="W519" s="18">
        <v>112.07376000000001</v>
      </c>
      <c r="X519" s="18">
        <v>74.71584</v>
      </c>
      <c r="Y519" s="18">
        <v>3.3207040000000001</v>
      </c>
      <c r="Z519" s="18">
        <v>14.735624</v>
      </c>
      <c r="AA519" s="18">
        <v>21.584576000000002</v>
      </c>
      <c r="AB519" s="18">
        <v>38.39564</v>
      </c>
      <c r="AC519" s="18">
        <v>11.830008000000001</v>
      </c>
      <c r="AD519" s="18">
        <v>62.263200000000005</v>
      </c>
    </row>
    <row r="520" spans="2:30" x14ac:dyDescent="0.25">
      <c r="B520" t="s">
        <v>119</v>
      </c>
      <c r="C520" t="s">
        <v>463</v>
      </c>
      <c r="D520" t="s">
        <v>473</v>
      </c>
      <c r="E520" s="35">
        <v>0.9</v>
      </c>
      <c r="F520" s="35">
        <v>19</v>
      </c>
      <c r="G520" s="36">
        <v>0.137741</v>
      </c>
      <c r="H520" s="18">
        <v>247.9331</v>
      </c>
      <c r="I520" s="16">
        <v>0</v>
      </c>
      <c r="J520" s="16"/>
      <c r="K520" s="16"/>
      <c r="L520" s="37" t="s">
        <v>107</v>
      </c>
      <c r="M520" s="37"/>
      <c r="N520" s="37">
        <v>14</v>
      </c>
      <c r="O520" s="37"/>
      <c r="P520" s="37"/>
      <c r="Q520" s="18">
        <v>1.5151509999999999</v>
      </c>
      <c r="R520" s="18">
        <v>1.0330575E-2</v>
      </c>
      <c r="S520" s="18">
        <v>2.8925610000000002</v>
      </c>
      <c r="T520" s="18">
        <v>12.39669</v>
      </c>
      <c r="U520" s="18">
        <v>6.1983449999999998</v>
      </c>
      <c r="V520" s="18">
        <v>79.338816000000008</v>
      </c>
      <c r="W520" s="18">
        <v>74.380139999999997</v>
      </c>
      <c r="X520" s="18">
        <v>49.586759999999998</v>
      </c>
      <c r="Y520" s="18">
        <v>2.203856</v>
      </c>
      <c r="Z520" s="18">
        <v>9.7796110000000009</v>
      </c>
      <c r="AA520" s="18">
        <v>14.325064000000001</v>
      </c>
      <c r="AB520" s="18">
        <v>25.482085000000001</v>
      </c>
      <c r="AC520" s="18">
        <v>7.8512370000000002</v>
      </c>
      <c r="AD520" s="18">
        <v>41.322299999999998</v>
      </c>
    </row>
    <row r="521" spans="2:30" x14ac:dyDescent="0.25">
      <c r="B521" t="s">
        <v>166</v>
      </c>
      <c r="C521" t="s">
        <v>463</v>
      </c>
      <c r="D521" t="s">
        <v>467</v>
      </c>
      <c r="E521" s="35">
        <v>0.9</v>
      </c>
      <c r="F521" s="35">
        <v>26</v>
      </c>
      <c r="G521" s="36">
        <v>0.35737600000000003</v>
      </c>
      <c r="H521" s="18">
        <v>643.27637000000004</v>
      </c>
      <c r="I521" s="16">
        <v>0</v>
      </c>
      <c r="J521" s="16"/>
      <c r="K521" s="16"/>
      <c r="L521" s="37" t="s">
        <v>107</v>
      </c>
      <c r="M521" s="37"/>
      <c r="N521" s="37">
        <v>15</v>
      </c>
      <c r="O521" s="37"/>
      <c r="P521" s="37"/>
      <c r="Q521" s="18">
        <v>3.9311360000000004</v>
      </c>
      <c r="R521" s="18">
        <v>2.6803200000000003E-2</v>
      </c>
      <c r="S521" s="18">
        <v>7.5048960000000005</v>
      </c>
      <c r="T521" s="18">
        <v>32.16384</v>
      </c>
      <c r="U521" s="18">
        <v>16.08192</v>
      </c>
      <c r="V521" s="18">
        <v>205.84857600000001</v>
      </c>
      <c r="W521" s="18">
        <v>192.98304000000002</v>
      </c>
      <c r="X521" s="18">
        <v>128.65536</v>
      </c>
      <c r="Y521" s="18">
        <v>5.7180160000000004</v>
      </c>
      <c r="Z521" s="18">
        <v>25.373696000000002</v>
      </c>
      <c r="AA521" s="18">
        <v>37.167104000000002</v>
      </c>
      <c r="AB521" s="18">
        <v>66.114560000000012</v>
      </c>
      <c r="AC521" s="18">
        <v>20.370432000000001</v>
      </c>
      <c r="AD521" s="18">
        <v>107.2128</v>
      </c>
    </row>
    <row r="522" spans="2:30" x14ac:dyDescent="0.25">
      <c r="B522" t="s">
        <v>187</v>
      </c>
      <c r="C522" t="s">
        <v>463</v>
      </c>
      <c r="D522" t="s">
        <v>113</v>
      </c>
      <c r="E522" s="35">
        <v>0.9</v>
      </c>
      <c r="F522" s="35">
        <v>55</v>
      </c>
      <c r="G522" s="36">
        <v>1.0750249999999999</v>
      </c>
      <c r="H522" s="18">
        <v>1935.044482</v>
      </c>
      <c r="I522" s="16">
        <v>0</v>
      </c>
      <c r="J522" s="16"/>
      <c r="K522" s="16"/>
      <c r="L522" s="37" t="s">
        <v>107</v>
      </c>
      <c r="M522" s="37"/>
      <c r="N522" s="37">
        <v>16</v>
      </c>
      <c r="O522" s="37"/>
      <c r="P522" s="37"/>
      <c r="Q522" s="18">
        <v>11.825275</v>
      </c>
      <c r="R522" s="18">
        <v>8.0626874999999987E-2</v>
      </c>
      <c r="S522" s="18">
        <v>22.575524999999999</v>
      </c>
      <c r="T522" s="18">
        <v>96.752249999999989</v>
      </c>
      <c r="U522" s="18">
        <v>48.376124999999995</v>
      </c>
      <c r="V522" s="18">
        <v>619.21439999999996</v>
      </c>
      <c r="W522" s="18">
        <v>580.51349999999991</v>
      </c>
      <c r="X522" s="18">
        <v>387.00899999999996</v>
      </c>
      <c r="Y522" s="18">
        <v>17.200399999999998</v>
      </c>
      <c r="Z522" s="18">
        <v>76.326774999999998</v>
      </c>
      <c r="AA522" s="18">
        <v>111.80259999999998</v>
      </c>
      <c r="AB522" s="18">
        <v>198.87962499999998</v>
      </c>
      <c r="AC522" s="18">
        <v>61.276424999999996</v>
      </c>
      <c r="AD522" s="18">
        <v>322.50749999999999</v>
      </c>
    </row>
    <row r="523" spans="2:30" x14ac:dyDescent="0.25">
      <c r="B523" t="s">
        <v>465</v>
      </c>
      <c r="C523" t="s">
        <v>463</v>
      </c>
      <c r="D523" t="s">
        <v>474</v>
      </c>
      <c r="E523" s="35">
        <v>0.9</v>
      </c>
      <c r="F523" s="35">
        <v>7.2</v>
      </c>
      <c r="G523" s="36">
        <v>3.0623999999999998E-2</v>
      </c>
      <c r="H523" s="18">
        <v>55.123797000000003</v>
      </c>
      <c r="I523" s="16"/>
      <c r="J523" s="16"/>
      <c r="K523" s="16"/>
      <c r="L523" s="37" t="s">
        <v>107</v>
      </c>
      <c r="M523" s="37"/>
      <c r="N523" s="37">
        <v>17</v>
      </c>
      <c r="O523" s="37"/>
      <c r="P523" s="37"/>
      <c r="Q523" s="18">
        <v>0.336864</v>
      </c>
      <c r="R523" s="18">
        <v>2.2967999999999999E-3</v>
      </c>
      <c r="S523" s="18">
        <v>0.64310400000000001</v>
      </c>
      <c r="T523" s="18">
        <v>2.7561599999999999</v>
      </c>
      <c r="U523" s="18">
        <v>1.37808</v>
      </c>
      <c r="V523" s="18">
        <v>17.639423999999998</v>
      </c>
      <c r="W523" s="18">
        <v>16.536960000000001</v>
      </c>
      <c r="X523" s="18">
        <v>11.02464</v>
      </c>
      <c r="Y523" s="18">
        <v>0.48998399999999998</v>
      </c>
      <c r="Z523" s="18">
        <v>2.1743039999999998</v>
      </c>
      <c r="AA523" s="18">
        <v>3.1848959999999997</v>
      </c>
      <c r="AB523" s="18">
        <v>5.6654399999999994</v>
      </c>
      <c r="AC523" s="18">
        <v>1.745568</v>
      </c>
      <c r="AD523" s="18">
        <v>9.1871999999999989</v>
      </c>
    </row>
    <row r="524" spans="2:30" x14ac:dyDescent="0.25">
      <c r="B524" t="s">
        <v>133</v>
      </c>
      <c r="C524" t="s">
        <v>463</v>
      </c>
      <c r="D524" t="s">
        <v>123</v>
      </c>
      <c r="E524" s="35">
        <v>0.9</v>
      </c>
      <c r="F524" s="35">
        <v>50</v>
      </c>
      <c r="G524" s="36">
        <v>0.95420700000000003</v>
      </c>
      <c r="H524" s="18">
        <v>1717.572367</v>
      </c>
      <c r="I524" s="16">
        <v>0</v>
      </c>
      <c r="J524" s="16"/>
      <c r="K524" s="16"/>
      <c r="L524" s="37" t="s">
        <v>107</v>
      </c>
      <c r="M524" s="37"/>
      <c r="N524" s="37">
        <v>18</v>
      </c>
      <c r="O524" s="37"/>
      <c r="P524" s="37"/>
      <c r="Q524" s="18">
        <v>10.496277000000001</v>
      </c>
      <c r="R524" s="18">
        <v>7.1565525000000005E-2</v>
      </c>
      <c r="S524" s="18">
        <v>20.038347000000002</v>
      </c>
      <c r="T524" s="18">
        <v>85.878630000000001</v>
      </c>
      <c r="U524" s="18">
        <v>42.939315000000001</v>
      </c>
      <c r="V524" s="18">
        <v>549.62323200000003</v>
      </c>
      <c r="W524" s="18">
        <v>515.27178000000004</v>
      </c>
      <c r="X524" s="18">
        <v>343.51452</v>
      </c>
      <c r="Y524" s="18">
        <v>15.267312</v>
      </c>
      <c r="Z524" s="18">
        <v>67.748697000000007</v>
      </c>
      <c r="AA524" s="18">
        <v>99.237527999999998</v>
      </c>
      <c r="AB524" s="18">
        <v>176.52829500000001</v>
      </c>
      <c r="AC524" s="18">
        <v>54.389799000000004</v>
      </c>
      <c r="AD524" s="18">
        <v>286.26210000000003</v>
      </c>
    </row>
    <row r="525" spans="2:30" x14ac:dyDescent="0.25">
      <c r="B525" t="s">
        <v>191</v>
      </c>
      <c r="C525" t="s">
        <v>463</v>
      </c>
      <c r="D525" t="s">
        <v>475</v>
      </c>
      <c r="E525" s="35">
        <v>0.9</v>
      </c>
      <c r="F525" s="35">
        <v>8.1999999999999993</v>
      </c>
      <c r="G525" s="36">
        <v>1.3694E-2</v>
      </c>
      <c r="H525" s="18">
        <v>24.648776999999999</v>
      </c>
      <c r="I525" s="16"/>
      <c r="J525" s="16"/>
      <c r="K525" s="16"/>
      <c r="L525" s="37" t="s">
        <v>107</v>
      </c>
      <c r="M525" s="37"/>
      <c r="N525" s="37">
        <v>19</v>
      </c>
      <c r="O525" s="37"/>
      <c r="P525" s="37"/>
      <c r="Q525" s="18">
        <v>0.15063399999999999</v>
      </c>
      <c r="R525" s="18">
        <v>1.0270499999999998E-3</v>
      </c>
      <c r="S525" s="18">
        <v>0.287574</v>
      </c>
      <c r="T525" s="18">
        <v>1.2324599999999999</v>
      </c>
      <c r="U525" s="18">
        <v>0.61622999999999994</v>
      </c>
      <c r="V525" s="18">
        <v>7.8877439999999996</v>
      </c>
      <c r="W525" s="18">
        <v>7.3947599999999998</v>
      </c>
      <c r="X525" s="18">
        <v>4.9298399999999996</v>
      </c>
      <c r="Y525" s="18">
        <v>0.21910399999999999</v>
      </c>
      <c r="Z525" s="18">
        <v>0.97227399999999997</v>
      </c>
      <c r="AA525" s="18">
        <v>1.4241759999999999</v>
      </c>
      <c r="AB525" s="18">
        <v>2.5333899999999998</v>
      </c>
      <c r="AC525" s="18">
        <v>0.78055799999999997</v>
      </c>
      <c r="AD525" s="18">
        <v>4.1082000000000001</v>
      </c>
    </row>
    <row r="526" spans="2:30" x14ac:dyDescent="0.25">
      <c r="B526" t="s">
        <v>108</v>
      </c>
      <c r="C526" t="s">
        <v>463</v>
      </c>
      <c r="D526" t="s">
        <v>476</v>
      </c>
      <c r="E526" s="35">
        <v>0.9</v>
      </c>
      <c r="F526" s="35">
        <v>16</v>
      </c>
      <c r="G526" s="36">
        <v>6.7511000000000002E-2</v>
      </c>
      <c r="H526" s="18">
        <v>121.520015</v>
      </c>
      <c r="I526" s="16">
        <v>0</v>
      </c>
      <c r="J526" s="16"/>
      <c r="K526" s="16"/>
      <c r="L526" s="37" t="s">
        <v>107</v>
      </c>
      <c r="M526" s="37"/>
      <c r="N526" s="37">
        <v>20</v>
      </c>
      <c r="O526" s="37"/>
      <c r="P526" s="37"/>
      <c r="Q526" s="18">
        <v>0.74262099999999998</v>
      </c>
      <c r="R526" s="18">
        <v>5.0633249999999996E-3</v>
      </c>
      <c r="S526" s="18">
        <v>1.4177310000000001</v>
      </c>
      <c r="T526" s="18">
        <v>6.07599</v>
      </c>
      <c r="U526" s="18">
        <v>3.037995</v>
      </c>
      <c r="V526" s="18">
        <v>38.886336</v>
      </c>
      <c r="W526" s="18">
        <v>36.455939999999998</v>
      </c>
      <c r="X526" s="18">
        <v>24.30396</v>
      </c>
      <c r="Y526" s="18">
        <v>1.080176</v>
      </c>
      <c r="Z526" s="18">
        <v>4.7932810000000003</v>
      </c>
      <c r="AA526" s="18">
        <v>7.0211440000000005</v>
      </c>
      <c r="AB526" s="18">
        <v>12.489535</v>
      </c>
      <c r="AC526" s="18">
        <v>3.8481270000000003</v>
      </c>
      <c r="AD526" s="18">
        <v>20.253299999999999</v>
      </c>
    </row>
    <row r="527" spans="2:30" x14ac:dyDescent="0.25">
      <c r="B527" t="s">
        <v>269</v>
      </c>
      <c r="C527" t="s">
        <v>463</v>
      </c>
      <c r="D527" t="s">
        <v>477</v>
      </c>
      <c r="E527" s="35">
        <v>0.9</v>
      </c>
      <c r="F527" s="35">
        <v>6.6</v>
      </c>
      <c r="G527" s="36">
        <v>2.8118000000000001E-2</v>
      </c>
      <c r="H527" s="18">
        <v>50.612403999999998</v>
      </c>
      <c r="I527" s="16"/>
      <c r="J527" s="16"/>
      <c r="K527" s="16"/>
      <c r="L527" s="37" t="s">
        <v>107</v>
      </c>
      <c r="M527" s="37"/>
      <c r="N527" s="37">
        <v>21</v>
      </c>
      <c r="O527" s="37"/>
      <c r="P527" s="37"/>
      <c r="Q527" s="18">
        <v>0.30929800000000002</v>
      </c>
      <c r="R527" s="18">
        <v>2.1088499999999998E-3</v>
      </c>
      <c r="S527" s="18">
        <v>0.59047800000000006</v>
      </c>
      <c r="T527" s="18">
        <v>2.5306199999999999</v>
      </c>
      <c r="U527" s="18">
        <v>1.2653099999999999</v>
      </c>
      <c r="V527" s="18">
        <v>16.195968000000001</v>
      </c>
      <c r="W527" s="18">
        <v>15.183720000000001</v>
      </c>
      <c r="X527" s="18">
        <v>10.122479999999999</v>
      </c>
      <c r="Y527" s="18">
        <v>0.44988800000000001</v>
      </c>
      <c r="Z527" s="18">
        <v>1.996378</v>
      </c>
      <c r="AA527" s="18">
        <v>2.9242720000000002</v>
      </c>
      <c r="AB527" s="18">
        <v>5.2018300000000002</v>
      </c>
      <c r="AC527" s="18">
        <v>1.6027260000000001</v>
      </c>
      <c r="AD527" s="18">
        <v>8.4353999999999996</v>
      </c>
    </row>
    <row r="528" spans="2:30" x14ac:dyDescent="0.25">
      <c r="B528" t="s">
        <v>269</v>
      </c>
      <c r="C528" t="s">
        <v>463</v>
      </c>
      <c r="D528" t="s">
        <v>478</v>
      </c>
      <c r="E528" s="35">
        <v>0.9</v>
      </c>
      <c r="F528" s="35">
        <v>6.6</v>
      </c>
      <c r="G528" s="36">
        <v>0.185056</v>
      </c>
      <c r="H528" s="18">
        <v>333.10164600000002</v>
      </c>
      <c r="I528" s="16"/>
      <c r="J528" s="16"/>
      <c r="K528" s="16"/>
      <c r="L528" s="37" t="s">
        <v>107</v>
      </c>
      <c r="M528" s="37"/>
      <c r="N528" s="37">
        <v>22</v>
      </c>
      <c r="O528" s="37"/>
      <c r="P528" s="37"/>
      <c r="Q528" s="18">
        <v>2.0356160000000001</v>
      </c>
      <c r="R528" s="18">
        <v>1.38792E-2</v>
      </c>
      <c r="S528" s="18">
        <v>3.8861759999999999</v>
      </c>
      <c r="T528" s="18">
        <v>16.65504</v>
      </c>
      <c r="U528" s="18">
        <v>8.3275199999999998</v>
      </c>
      <c r="V528" s="18">
        <v>106.59225599999999</v>
      </c>
      <c r="W528" s="18">
        <v>99.930239999999998</v>
      </c>
      <c r="X528" s="18">
        <v>66.620159999999998</v>
      </c>
      <c r="Y528" s="18">
        <v>2.960896</v>
      </c>
      <c r="Z528" s="18">
        <v>13.138976</v>
      </c>
      <c r="AA528" s="18">
        <v>19.245823999999999</v>
      </c>
      <c r="AB528" s="18">
        <v>34.23536</v>
      </c>
      <c r="AC528" s="18">
        <v>10.548192</v>
      </c>
      <c r="AD528" s="18">
        <v>55.516799999999996</v>
      </c>
    </row>
    <row r="529" spans="2:30" x14ac:dyDescent="0.25">
      <c r="B529" t="s">
        <v>124</v>
      </c>
      <c r="C529" t="s">
        <v>463</v>
      </c>
      <c r="D529" t="s">
        <v>125</v>
      </c>
      <c r="E529" s="35">
        <v>0.9</v>
      </c>
      <c r="F529" s="35">
        <v>35</v>
      </c>
      <c r="G529" s="36">
        <v>0.47567100000000001</v>
      </c>
      <c r="H529" s="18">
        <v>856.20800099999997</v>
      </c>
      <c r="I529" s="16">
        <v>0</v>
      </c>
      <c r="J529" s="16"/>
      <c r="K529" s="16"/>
      <c r="L529" s="37" t="s">
        <v>107</v>
      </c>
      <c r="M529" s="37"/>
      <c r="N529" s="37">
        <v>23</v>
      </c>
      <c r="O529" s="37"/>
      <c r="P529" s="37"/>
      <c r="Q529" s="18">
        <v>5.2323810000000002</v>
      </c>
      <c r="R529" s="18">
        <v>3.5675325000000001E-2</v>
      </c>
      <c r="S529" s="18">
        <v>9.9890910000000002</v>
      </c>
      <c r="T529" s="18">
        <v>42.810389999999998</v>
      </c>
      <c r="U529" s="18">
        <v>21.405194999999999</v>
      </c>
      <c r="V529" s="18">
        <v>273.98649599999999</v>
      </c>
      <c r="W529" s="18">
        <v>256.86234000000002</v>
      </c>
      <c r="X529" s="18">
        <v>171.24155999999999</v>
      </c>
      <c r="Y529" s="18">
        <v>7.6107360000000002</v>
      </c>
      <c r="Z529" s="18">
        <v>33.772641</v>
      </c>
      <c r="AA529" s="18">
        <v>49.469784000000004</v>
      </c>
      <c r="AB529" s="18">
        <v>87.999134999999995</v>
      </c>
      <c r="AC529" s="18">
        <v>27.113247000000001</v>
      </c>
      <c r="AD529" s="18">
        <v>142.7013</v>
      </c>
    </row>
    <row r="530" spans="2:30" x14ac:dyDescent="0.25">
      <c r="B530" t="s">
        <v>108</v>
      </c>
      <c r="C530" t="s">
        <v>463</v>
      </c>
      <c r="D530" t="s">
        <v>479</v>
      </c>
      <c r="E530" s="35">
        <v>0.9</v>
      </c>
      <c r="F530" s="35">
        <v>16</v>
      </c>
      <c r="G530" s="36">
        <v>6.9774000000000003E-2</v>
      </c>
      <c r="H530" s="18">
        <v>125.59276699999999</v>
      </c>
      <c r="I530" s="16">
        <v>0</v>
      </c>
      <c r="J530" s="16"/>
      <c r="K530" s="16"/>
      <c r="L530" s="37" t="s">
        <v>107</v>
      </c>
      <c r="M530" s="37"/>
      <c r="N530" s="37">
        <v>24</v>
      </c>
      <c r="O530" s="37"/>
      <c r="P530" s="37"/>
      <c r="Q530" s="18">
        <v>0.76751400000000003</v>
      </c>
      <c r="R530" s="18">
        <v>5.2330500000000004E-3</v>
      </c>
      <c r="S530" s="18">
        <v>1.4652540000000001</v>
      </c>
      <c r="T530" s="18">
        <v>6.2796599999999998</v>
      </c>
      <c r="U530" s="18">
        <v>3.1398299999999999</v>
      </c>
      <c r="V530" s="18">
        <v>40.189824000000002</v>
      </c>
      <c r="W530" s="18">
        <v>37.677959999999999</v>
      </c>
      <c r="X530" s="18">
        <v>25.118639999999999</v>
      </c>
      <c r="Y530" s="18">
        <v>1.116384</v>
      </c>
      <c r="Z530" s="18">
        <v>4.9539540000000004</v>
      </c>
      <c r="AA530" s="18">
        <v>7.2564960000000003</v>
      </c>
      <c r="AB530" s="18">
        <v>12.908190000000001</v>
      </c>
      <c r="AC530" s="18">
        <v>3.9771179999999999</v>
      </c>
      <c r="AD530" s="18">
        <v>20.932200000000002</v>
      </c>
    </row>
    <row r="531" spans="2:30" x14ac:dyDescent="0.25">
      <c r="B531" t="s">
        <v>133</v>
      </c>
      <c r="C531" t="s">
        <v>463</v>
      </c>
      <c r="D531" t="s">
        <v>126</v>
      </c>
      <c r="E531" s="35">
        <v>0.9</v>
      </c>
      <c r="F531" s="35">
        <v>50</v>
      </c>
      <c r="G531" s="36">
        <v>0.95862899999999995</v>
      </c>
      <c r="H531" s="18">
        <v>1725.5327150000001</v>
      </c>
      <c r="I531" s="16">
        <v>0</v>
      </c>
      <c r="J531" s="16"/>
      <c r="K531" s="16"/>
      <c r="L531" s="37" t="s">
        <v>107</v>
      </c>
      <c r="M531" s="37"/>
      <c r="N531" s="37">
        <v>25</v>
      </c>
      <c r="O531" s="37"/>
      <c r="P531" s="37"/>
      <c r="Q531" s="18">
        <v>10.544919</v>
      </c>
      <c r="R531" s="18">
        <v>7.1897174999999994E-2</v>
      </c>
      <c r="S531" s="18">
        <v>20.131208999999998</v>
      </c>
      <c r="T531" s="18">
        <v>86.276609999999991</v>
      </c>
      <c r="U531" s="18">
        <v>43.138304999999995</v>
      </c>
      <c r="V531" s="18">
        <v>552.17030399999999</v>
      </c>
      <c r="W531" s="18">
        <v>517.65966000000003</v>
      </c>
      <c r="X531" s="18">
        <v>345.10643999999996</v>
      </c>
      <c r="Y531" s="18">
        <v>15.338063999999999</v>
      </c>
      <c r="Z531" s="18">
        <v>68.062658999999996</v>
      </c>
      <c r="AA531" s="18">
        <v>99.69741599999999</v>
      </c>
      <c r="AB531" s="18">
        <v>177.34636499999999</v>
      </c>
      <c r="AC531" s="18">
        <v>54.641852999999998</v>
      </c>
      <c r="AD531" s="18">
        <v>287.58869999999996</v>
      </c>
    </row>
    <row r="532" spans="2:30" x14ac:dyDescent="0.25">
      <c r="B532" t="s">
        <v>191</v>
      </c>
      <c r="C532" t="s">
        <v>463</v>
      </c>
      <c r="D532" t="s">
        <v>480</v>
      </c>
      <c r="E532" s="35">
        <v>0.9</v>
      </c>
      <c r="F532" s="35">
        <v>8.1999999999999993</v>
      </c>
      <c r="G532" s="36">
        <v>3.5663E-2</v>
      </c>
      <c r="H532" s="18">
        <v>64.193036000000006</v>
      </c>
      <c r="I532" s="16"/>
      <c r="J532" s="16"/>
      <c r="K532" s="16"/>
      <c r="L532" s="37" t="s">
        <v>107</v>
      </c>
      <c r="M532" s="37"/>
      <c r="N532" s="37">
        <v>26</v>
      </c>
      <c r="O532" s="37"/>
      <c r="P532" s="37"/>
      <c r="Q532" s="18">
        <v>0.392293</v>
      </c>
      <c r="R532" s="18">
        <v>2.6747249999999998E-3</v>
      </c>
      <c r="S532" s="18">
        <v>0.74892300000000001</v>
      </c>
      <c r="T532" s="18">
        <v>3.20967</v>
      </c>
      <c r="U532" s="18">
        <v>1.604835</v>
      </c>
      <c r="V532" s="18">
        <v>20.541888</v>
      </c>
      <c r="W532" s="18">
        <v>19.258020000000002</v>
      </c>
      <c r="X532" s="18">
        <v>12.83868</v>
      </c>
      <c r="Y532" s="18">
        <v>0.570608</v>
      </c>
      <c r="Z532" s="18">
        <v>2.532073</v>
      </c>
      <c r="AA532" s="18">
        <v>3.708952</v>
      </c>
      <c r="AB532" s="18">
        <v>6.5976549999999996</v>
      </c>
      <c r="AC532" s="18">
        <v>2.032791</v>
      </c>
      <c r="AD532" s="18">
        <v>10.6989</v>
      </c>
    </row>
    <row r="533" spans="2:30" x14ac:dyDescent="0.25">
      <c r="B533" t="s">
        <v>191</v>
      </c>
      <c r="C533" t="s">
        <v>463</v>
      </c>
      <c r="D533" t="s">
        <v>481</v>
      </c>
      <c r="E533" s="35">
        <v>0.9</v>
      </c>
      <c r="F533" s="35">
        <v>8.1999999999999993</v>
      </c>
      <c r="G533" s="36">
        <v>3.5964999999999997E-2</v>
      </c>
      <c r="H533" s="18">
        <v>64.737072999999995</v>
      </c>
      <c r="I533" s="16"/>
      <c r="J533" s="16"/>
      <c r="K533" s="16"/>
      <c r="L533" s="37" t="s">
        <v>107</v>
      </c>
      <c r="M533" s="37"/>
      <c r="N533" s="37">
        <v>27</v>
      </c>
      <c r="O533" s="37"/>
      <c r="P533" s="37"/>
      <c r="Q533" s="18">
        <v>0.39561499999999994</v>
      </c>
      <c r="R533" s="18">
        <v>2.6973749999999997E-3</v>
      </c>
      <c r="S533" s="18">
        <v>0.75526499999999996</v>
      </c>
      <c r="T533" s="18">
        <v>3.2368499999999996</v>
      </c>
      <c r="U533" s="18">
        <v>1.6184249999999998</v>
      </c>
      <c r="V533" s="18">
        <v>20.71584</v>
      </c>
      <c r="W533" s="18">
        <v>19.421099999999999</v>
      </c>
      <c r="X533" s="18">
        <v>12.947399999999998</v>
      </c>
      <c r="Y533" s="18">
        <v>0.57543999999999995</v>
      </c>
      <c r="Z533" s="18">
        <v>2.553515</v>
      </c>
      <c r="AA533" s="18">
        <v>3.7403599999999999</v>
      </c>
      <c r="AB533" s="18">
        <v>6.6535249999999992</v>
      </c>
      <c r="AC533" s="18">
        <v>2.0500049999999996</v>
      </c>
      <c r="AD533" s="18">
        <v>10.789499999999999</v>
      </c>
    </row>
    <row r="534" spans="2:30" x14ac:dyDescent="0.25">
      <c r="B534" t="s">
        <v>191</v>
      </c>
      <c r="C534" t="s">
        <v>463</v>
      </c>
      <c r="D534" t="s">
        <v>475</v>
      </c>
      <c r="E534" s="35">
        <v>0.9</v>
      </c>
      <c r="F534" s="35">
        <v>8.1999999999999993</v>
      </c>
      <c r="G534" s="36">
        <v>1.3694E-2</v>
      </c>
      <c r="H534" s="18">
        <v>24.648776999999999</v>
      </c>
      <c r="I534" s="16"/>
      <c r="J534" s="16"/>
      <c r="K534" s="16"/>
      <c r="L534" s="37" t="s">
        <v>107</v>
      </c>
      <c r="M534" s="37"/>
      <c r="N534" s="37">
        <v>28</v>
      </c>
      <c r="O534" s="37"/>
      <c r="P534" s="37"/>
      <c r="Q534" s="18">
        <v>0.15063399999999999</v>
      </c>
      <c r="R534" s="18">
        <v>1.0270499999999998E-3</v>
      </c>
      <c r="S534" s="18">
        <v>0.287574</v>
      </c>
      <c r="T534" s="18">
        <v>1.2324599999999999</v>
      </c>
      <c r="U534" s="18">
        <v>0.61622999999999994</v>
      </c>
      <c r="V534" s="18">
        <v>7.8877439999999996</v>
      </c>
      <c r="W534" s="18">
        <v>7.3947599999999998</v>
      </c>
      <c r="X534" s="18">
        <v>4.9298399999999996</v>
      </c>
      <c r="Y534" s="18">
        <v>0.21910399999999999</v>
      </c>
      <c r="Z534" s="18">
        <v>0.97227399999999997</v>
      </c>
      <c r="AA534" s="18">
        <v>1.4241759999999999</v>
      </c>
      <c r="AB534" s="18">
        <v>2.5333899999999998</v>
      </c>
      <c r="AC534" s="18">
        <v>0.78055799999999997</v>
      </c>
      <c r="AD534" s="18">
        <v>4.1082000000000001</v>
      </c>
    </row>
    <row r="535" spans="2:30" x14ac:dyDescent="0.25">
      <c r="B535" t="s">
        <v>141</v>
      </c>
      <c r="C535" t="s">
        <v>463</v>
      </c>
      <c r="D535" t="s">
        <v>129</v>
      </c>
      <c r="E535" s="35">
        <v>0.9</v>
      </c>
      <c r="F535" s="35">
        <v>46</v>
      </c>
      <c r="G535" s="36">
        <v>0.84962400000000005</v>
      </c>
      <c r="H535" s="18">
        <v>1529.3225600000001</v>
      </c>
      <c r="I535" s="16">
        <v>0</v>
      </c>
      <c r="J535" s="16"/>
      <c r="K535" s="16"/>
      <c r="L535" s="37" t="s">
        <v>107</v>
      </c>
      <c r="M535" s="37"/>
      <c r="N535" s="37">
        <v>29</v>
      </c>
      <c r="O535" s="37"/>
      <c r="P535" s="37"/>
      <c r="Q535" s="18">
        <v>9.3458640000000006</v>
      </c>
      <c r="R535" s="18">
        <v>6.3721799999999995E-2</v>
      </c>
      <c r="S535" s="18">
        <v>17.842104000000003</v>
      </c>
      <c r="T535" s="18">
        <v>76.466160000000002</v>
      </c>
      <c r="U535" s="18">
        <v>38.233080000000001</v>
      </c>
      <c r="V535" s="18">
        <v>489.38342400000005</v>
      </c>
      <c r="W535" s="18">
        <v>458.79696000000001</v>
      </c>
      <c r="X535" s="18">
        <v>305.86464000000001</v>
      </c>
      <c r="Y535" s="18">
        <v>13.593984000000001</v>
      </c>
      <c r="Z535" s="18">
        <v>60.323304</v>
      </c>
      <c r="AA535" s="18">
        <v>88.360896000000011</v>
      </c>
      <c r="AB535" s="18">
        <v>157.18044</v>
      </c>
      <c r="AC535" s="18">
        <v>48.428568000000006</v>
      </c>
      <c r="AD535" s="18">
        <v>254.88720000000001</v>
      </c>
    </row>
    <row r="536" spans="2:30" x14ac:dyDescent="0.25">
      <c r="B536" t="s">
        <v>108</v>
      </c>
      <c r="C536" t="s">
        <v>463</v>
      </c>
      <c r="D536" t="s">
        <v>127</v>
      </c>
      <c r="E536" s="35">
        <v>0.9</v>
      </c>
      <c r="F536" s="35">
        <v>16</v>
      </c>
      <c r="G536" s="36">
        <v>7.1281999999999998E-2</v>
      </c>
      <c r="H536" s="18">
        <v>128.30793499999999</v>
      </c>
      <c r="I536" s="16">
        <v>0</v>
      </c>
      <c r="J536" s="16"/>
      <c r="K536" s="16"/>
      <c r="L536" s="37" t="s">
        <v>107</v>
      </c>
      <c r="M536" s="37"/>
      <c r="N536" s="37">
        <v>30</v>
      </c>
      <c r="O536" s="37"/>
      <c r="P536" s="37"/>
      <c r="Q536" s="18">
        <v>0.78410199999999997</v>
      </c>
      <c r="R536" s="18">
        <v>5.34615E-3</v>
      </c>
      <c r="S536" s="18">
        <v>1.4969219999999999</v>
      </c>
      <c r="T536" s="18">
        <v>6.4153799999999999</v>
      </c>
      <c r="U536" s="18">
        <v>3.2076899999999999</v>
      </c>
      <c r="V536" s="18">
        <v>41.058431999999996</v>
      </c>
      <c r="W536" s="18">
        <v>38.492280000000001</v>
      </c>
      <c r="X536" s="18">
        <v>25.661519999999999</v>
      </c>
      <c r="Y536" s="18">
        <v>1.140512</v>
      </c>
      <c r="Z536" s="18">
        <v>5.0610219999999995</v>
      </c>
      <c r="AA536" s="18">
        <v>7.4133279999999999</v>
      </c>
      <c r="AB536" s="18">
        <v>13.18717</v>
      </c>
      <c r="AC536" s="18">
        <v>4.0630740000000003</v>
      </c>
      <c r="AD536" s="18">
        <v>21.384599999999999</v>
      </c>
    </row>
    <row r="537" spans="2:30" x14ac:dyDescent="0.25">
      <c r="B537" t="s">
        <v>108</v>
      </c>
      <c r="C537" t="s">
        <v>463</v>
      </c>
      <c r="D537" t="s">
        <v>482</v>
      </c>
      <c r="E537" s="35">
        <v>0.9</v>
      </c>
      <c r="F537" s="35">
        <v>16</v>
      </c>
      <c r="G537" s="36">
        <v>7.2957999999999995E-2</v>
      </c>
      <c r="H537" s="18">
        <v>131.32359400000001</v>
      </c>
      <c r="I537" s="16">
        <v>0</v>
      </c>
      <c r="J537" s="16"/>
      <c r="K537" s="16"/>
      <c r="L537" s="37" t="s">
        <v>107</v>
      </c>
      <c r="M537" s="37"/>
      <c r="N537" s="37">
        <v>31</v>
      </c>
      <c r="O537" s="37"/>
      <c r="P537" s="37"/>
      <c r="Q537" s="18">
        <v>0.80253799999999997</v>
      </c>
      <c r="R537" s="18">
        <v>5.4718499999999995E-3</v>
      </c>
      <c r="S537" s="18">
        <v>1.5321179999999999</v>
      </c>
      <c r="T537" s="18">
        <v>6.5662199999999995</v>
      </c>
      <c r="U537" s="18">
        <v>3.2831099999999998</v>
      </c>
      <c r="V537" s="18">
        <v>42.023807999999995</v>
      </c>
      <c r="W537" s="18">
        <v>39.397320000000001</v>
      </c>
      <c r="X537" s="18">
        <v>26.264879999999998</v>
      </c>
      <c r="Y537" s="18">
        <v>1.1673279999999999</v>
      </c>
      <c r="Z537" s="18">
        <v>5.1800179999999996</v>
      </c>
      <c r="AA537" s="18">
        <v>7.5876319999999993</v>
      </c>
      <c r="AB537" s="18">
        <v>13.497229999999998</v>
      </c>
      <c r="AC537" s="18">
        <v>4.1586059999999998</v>
      </c>
      <c r="AD537" s="18">
        <v>21.8874</v>
      </c>
    </row>
    <row r="538" spans="2:30" x14ac:dyDescent="0.25">
      <c r="B538" t="s">
        <v>108</v>
      </c>
      <c r="C538" t="s">
        <v>463</v>
      </c>
      <c r="D538" t="s">
        <v>482</v>
      </c>
      <c r="E538" s="35">
        <v>0.9</v>
      </c>
      <c r="F538" s="35">
        <v>16</v>
      </c>
      <c r="G538" s="36">
        <v>7.2957999999999995E-2</v>
      </c>
      <c r="H538" s="18">
        <v>131.32359400000001</v>
      </c>
      <c r="I538" s="16">
        <v>0</v>
      </c>
      <c r="J538" s="16"/>
      <c r="K538" s="16"/>
      <c r="L538" s="37" t="s">
        <v>107</v>
      </c>
      <c r="M538" s="37"/>
      <c r="N538" s="37">
        <v>32</v>
      </c>
      <c r="O538" s="37"/>
      <c r="P538" s="37"/>
      <c r="Q538" s="18">
        <v>0.80253799999999997</v>
      </c>
      <c r="R538" s="18">
        <v>5.4718499999999995E-3</v>
      </c>
      <c r="S538" s="18">
        <v>1.5321179999999999</v>
      </c>
      <c r="T538" s="18">
        <v>6.5662199999999995</v>
      </c>
      <c r="U538" s="18">
        <v>3.2831099999999998</v>
      </c>
      <c r="V538" s="18">
        <v>42.023807999999995</v>
      </c>
      <c r="W538" s="18">
        <v>39.397320000000001</v>
      </c>
      <c r="X538" s="18">
        <v>26.264879999999998</v>
      </c>
      <c r="Y538" s="18">
        <v>1.1673279999999999</v>
      </c>
      <c r="Z538" s="18">
        <v>5.1800179999999996</v>
      </c>
      <c r="AA538" s="18">
        <v>7.5876319999999993</v>
      </c>
      <c r="AB538" s="18">
        <v>13.497229999999998</v>
      </c>
      <c r="AC538" s="18">
        <v>4.1586059999999998</v>
      </c>
      <c r="AD538" s="18">
        <v>21.8874</v>
      </c>
    </row>
    <row r="539" spans="2:30" x14ac:dyDescent="0.25">
      <c r="B539" t="s">
        <v>269</v>
      </c>
      <c r="C539" t="s">
        <v>463</v>
      </c>
      <c r="D539" t="s">
        <v>483</v>
      </c>
      <c r="E539" s="35">
        <v>0.9</v>
      </c>
      <c r="F539" s="35">
        <v>6.6</v>
      </c>
      <c r="G539" s="36">
        <v>2.9787000000000001E-2</v>
      </c>
      <c r="H539" s="18">
        <v>53.616218000000003</v>
      </c>
      <c r="I539" s="16"/>
      <c r="J539" s="16"/>
      <c r="K539" s="16"/>
      <c r="L539" s="37" t="s">
        <v>107</v>
      </c>
      <c r="M539" s="37"/>
      <c r="N539" s="37">
        <v>33</v>
      </c>
      <c r="O539" s="37"/>
      <c r="P539" s="37"/>
      <c r="Q539" s="18">
        <v>0.32765700000000003</v>
      </c>
      <c r="R539" s="18">
        <v>2.2340250000000002E-3</v>
      </c>
      <c r="S539" s="18">
        <v>0.62552700000000006</v>
      </c>
      <c r="T539" s="18">
        <v>2.6808300000000003</v>
      </c>
      <c r="U539" s="18">
        <v>1.3404150000000001</v>
      </c>
      <c r="V539" s="18">
        <v>17.157312000000001</v>
      </c>
      <c r="W539" s="18">
        <v>16.084980000000002</v>
      </c>
      <c r="X539" s="18">
        <v>10.723320000000001</v>
      </c>
      <c r="Y539" s="18">
        <v>0.47659200000000002</v>
      </c>
      <c r="Z539" s="18">
        <v>2.1148769999999999</v>
      </c>
      <c r="AA539" s="18">
        <v>3.0978479999999999</v>
      </c>
      <c r="AB539" s="18">
        <v>5.5105950000000004</v>
      </c>
      <c r="AC539" s="18">
        <v>1.697859</v>
      </c>
      <c r="AD539" s="18">
        <v>8.9360999999999997</v>
      </c>
    </row>
    <row r="540" spans="2:30" x14ac:dyDescent="0.25">
      <c r="B540" t="s">
        <v>269</v>
      </c>
      <c r="C540" t="s">
        <v>463</v>
      </c>
      <c r="D540" t="s">
        <v>484</v>
      </c>
      <c r="E540" s="35">
        <v>0.9</v>
      </c>
      <c r="F540" s="35">
        <v>6.6</v>
      </c>
      <c r="G540" s="36">
        <v>1.2588E-2</v>
      </c>
      <c r="H540" s="18">
        <v>22.658937999999999</v>
      </c>
      <c r="I540" s="16"/>
      <c r="J540" s="16"/>
      <c r="K540" s="16"/>
      <c r="L540" s="37" t="s">
        <v>107</v>
      </c>
      <c r="M540" s="37"/>
      <c r="N540" s="37">
        <v>34</v>
      </c>
      <c r="O540" s="37"/>
      <c r="P540" s="37"/>
      <c r="Q540" s="18">
        <v>0.13846800000000001</v>
      </c>
      <c r="R540" s="18">
        <v>9.4410000000000002E-4</v>
      </c>
      <c r="S540" s="18">
        <v>0.26434800000000003</v>
      </c>
      <c r="T540" s="18">
        <v>1.1329199999999999</v>
      </c>
      <c r="U540" s="18">
        <v>0.56645999999999996</v>
      </c>
      <c r="V540" s="18">
        <v>7.2506880000000002</v>
      </c>
      <c r="W540" s="18">
        <v>6.7975200000000005</v>
      </c>
      <c r="X540" s="18">
        <v>4.5316799999999997</v>
      </c>
      <c r="Y540" s="18">
        <v>0.201408</v>
      </c>
      <c r="Z540" s="18">
        <v>0.89374799999999999</v>
      </c>
      <c r="AA540" s="18">
        <v>1.3091520000000001</v>
      </c>
      <c r="AB540" s="18">
        <v>2.3287800000000001</v>
      </c>
      <c r="AC540" s="18">
        <v>0.71751600000000004</v>
      </c>
      <c r="AD540" s="18">
        <v>3.7764000000000002</v>
      </c>
    </row>
    <row r="541" spans="2:30" x14ac:dyDescent="0.25">
      <c r="B541" t="s">
        <v>160</v>
      </c>
      <c r="C541" t="s">
        <v>463</v>
      </c>
      <c r="D541" t="s">
        <v>132</v>
      </c>
      <c r="E541" s="35">
        <v>0.9</v>
      </c>
      <c r="F541" s="35">
        <v>31</v>
      </c>
      <c r="G541" s="36">
        <v>0.43174200000000001</v>
      </c>
      <c r="H541" s="18">
        <v>777.13628700000004</v>
      </c>
      <c r="I541" s="16">
        <v>0</v>
      </c>
      <c r="J541" s="16"/>
      <c r="K541" s="16"/>
      <c r="L541" s="37" t="s">
        <v>107</v>
      </c>
      <c r="M541" s="37"/>
      <c r="N541" s="37">
        <v>35</v>
      </c>
      <c r="O541" s="37"/>
      <c r="P541" s="37"/>
      <c r="Q541" s="18">
        <v>4.7491620000000001</v>
      </c>
      <c r="R541" s="18">
        <v>3.2380649999999997E-2</v>
      </c>
      <c r="S541" s="18">
        <v>9.0665820000000004</v>
      </c>
      <c r="T541" s="18">
        <v>38.856780000000001</v>
      </c>
      <c r="U541" s="18">
        <v>19.42839</v>
      </c>
      <c r="V541" s="18">
        <v>248.683392</v>
      </c>
      <c r="W541" s="18">
        <v>233.14068</v>
      </c>
      <c r="X541" s="18">
        <v>155.42712</v>
      </c>
      <c r="Y541" s="18">
        <v>6.9078720000000002</v>
      </c>
      <c r="Z541" s="18">
        <v>30.653682</v>
      </c>
      <c r="AA541" s="18">
        <v>44.901167999999998</v>
      </c>
      <c r="AB541" s="18">
        <v>79.87227</v>
      </c>
      <c r="AC541" s="18">
        <v>24.609294000000002</v>
      </c>
      <c r="AD541" s="18">
        <v>129.52260000000001</v>
      </c>
    </row>
    <row r="542" spans="2:30" x14ac:dyDescent="0.25">
      <c r="B542" t="s">
        <v>133</v>
      </c>
      <c r="C542" t="s">
        <v>463</v>
      </c>
      <c r="D542" t="s">
        <v>113</v>
      </c>
      <c r="E542" s="35">
        <v>0.9</v>
      </c>
      <c r="F542" s="35">
        <v>50</v>
      </c>
      <c r="G542" s="36">
        <v>0.97729500000000002</v>
      </c>
      <c r="H542" s="18">
        <v>1759.1313479999999</v>
      </c>
      <c r="I542" s="16">
        <v>0</v>
      </c>
      <c r="J542" s="16"/>
      <c r="K542" s="16"/>
      <c r="L542" s="37" t="s">
        <v>107</v>
      </c>
      <c r="M542" s="37"/>
      <c r="N542" s="37">
        <v>36</v>
      </c>
      <c r="O542" s="37"/>
      <c r="P542" s="37"/>
      <c r="Q542" s="18">
        <v>10.750245</v>
      </c>
      <c r="R542" s="18">
        <v>7.3297125000000005E-2</v>
      </c>
      <c r="S542" s="18">
        <v>20.523195000000001</v>
      </c>
      <c r="T542" s="18">
        <v>87.956550000000007</v>
      </c>
      <c r="U542" s="18">
        <v>43.978275000000004</v>
      </c>
      <c r="V542" s="18">
        <v>562.92192</v>
      </c>
      <c r="W542" s="18">
        <v>527.73929999999996</v>
      </c>
      <c r="X542" s="18">
        <v>351.82620000000003</v>
      </c>
      <c r="Y542" s="18">
        <v>15.63672</v>
      </c>
      <c r="Z542" s="18">
        <v>69.387945000000002</v>
      </c>
      <c r="AA542" s="18">
        <v>101.63868000000001</v>
      </c>
      <c r="AB542" s="18">
        <v>180.799575</v>
      </c>
      <c r="AC542" s="18">
        <v>55.705815000000001</v>
      </c>
      <c r="AD542" s="18">
        <v>293.18850000000003</v>
      </c>
    </row>
    <row r="543" spans="2:30" x14ac:dyDescent="0.25">
      <c r="B543" t="s">
        <v>112</v>
      </c>
      <c r="C543" t="s">
        <v>463</v>
      </c>
      <c r="D543" t="s">
        <v>485</v>
      </c>
      <c r="E543" s="35">
        <v>0.9</v>
      </c>
      <c r="F543" s="35">
        <v>60</v>
      </c>
      <c r="G543" s="36">
        <v>0.77142699999999997</v>
      </c>
      <c r="H543" s="18">
        <v>1388.569076</v>
      </c>
      <c r="I543" s="16">
        <v>0</v>
      </c>
      <c r="J543" s="16"/>
      <c r="K543" s="16"/>
      <c r="L543" s="37" t="s">
        <v>107</v>
      </c>
      <c r="M543" s="37"/>
      <c r="N543" s="37">
        <v>37</v>
      </c>
      <c r="O543" s="37"/>
      <c r="P543" s="37"/>
      <c r="Q543" s="18">
        <v>8.485697</v>
      </c>
      <c r="R543" s="18">
        <v>5.7857024999999992E-2</v>
      </c>
      <c r="S543" s="18">
        <v>16.199967000000001</v>
      </c>
      <c r="T543" s="18">
        <v>69.428429999999992</v>
      </c>
      <c r="U543" s="18">
        <v>34.714214999999996</v>
      </c>
      <c r="V543" s="18">
        <v>444.34195199999999</v>
      </c>
      <c r="W543" s="18">
        <v>416.57058000000001</v>
      </c>
      <c r="X543" s="18">
        <v>277.71371999999997</v>
      </c>
      <c r="Y543" s="18">
        <v>12.342832</v>
      </c>
      <c r="Z543" s="18">
        <v>54.771316999999996</v>
      </c>
      <c r="AA543" s="18">
        <v>80.228408000000002</v>
      </c>
      <c r="AB543" s="18">
        <v>142.71399499999998</v>
      </c>
      <c r="AC543" s="18">
        <v>43.971339</v>
      </c>
      <c r="AD543" s="18">
        <v>231.4281</v>
      </c>
    </row>
    <row r="544" spans="2:30" x14ac:dyDescent="0.25">
      <c r="B544" t="s">
        <v>124</v>
      </c>
      <c r="C544" t="s">
        <v>463</v>
      </c>
      <c r="D544" t="s">
        <v>486</v>
      </c>
      <c r="E544" s="35">
        <v>0.9</v>
      </c>
      <c r="F544" s="35">
        <v>35</v>
      </c>
      <c r="G544" s="36">
        <v>0.62779300000000005</v>
      </c>
      <c r="H544" s="18">
        <v>1130.0266650000001</v>
      </c>
      <c r="I544" s="16">
        <v>0</v>
      </c>
      <c r="J544" s="16"/>
      <c r="K544" s="16"/>
      <c r="L544" s="37" t="s">
        <v>107</v>
      </c>
      <c r="M544" s="37"/>
      <c r="N544" s="37">
        <v>38</v>
      </c>
      <c r="O544" s="37"/>
      <c r="P544" s="37"/>
      <c r="Q544" s="18">
        <v>6.9057230000000001</v>
      </c>
      <c r="R544" s="18">
        <v>4.7084475000000001E-2</v>
      </c>
      <c r="S544" s="18">
        <v>13.183653000000001</v>
      </c>
      <c r="T544" s="18">
        <v>56.501370000000001</v>
      </c>
      <c r="U544" s="18">
        <v>28.250685000000001</v>
      </c>
      <c r="V544" s="18">
        <v>361.60876800000005</v>
      </c>
      <c r="W544" s="18">
        <v>339.00822000000005</v>
      </c>
      <c r="X544" s="18">
        <v>226.00548000000001</v>
      </c>
      <c r="Y544" s="18">
        <v>10.044688000000001</v>
      </c>
      <c r="Z544" s="18">
        <v>44.573303000000003</v>
      </c>
      <c r="AA544" s="18">
        <v>65.290472000000008</v>
      </c>
      <c r="AB544" s="18">
        <v>116.141705</v>
      </c>
      <c r="AC544" s="18">
        <v>35.784201000000003</v>
      </c>
      <c r="AD544" s="18">
        <v>188.33790000000002</v>
      </c>
    </row>
    <row r="545" spans="2:30" x14ac:dyDescent="0.25">
      <c r="B545" t="s">
        <v>187</v>
      </c>
      <c r="C545" t="s">
        <v>463</v>
      </c>
      <c r="D545" t="s">
        <v>137</v>
      </c>
      <c r="E545" s="35">
        <v>0.9</v>
      </c>
      <c r="F545" s="35">
        <v>55</v>
      </c>
      <c r="G545" s="36">
        <v>0.72450599999999998</v>
      </c>
      <c r="H545" s="18">
        <v>1304.110156</v>
      </c>
      <c r="I545" s="16">
        <v>0</v>
      </c>
      <c r="J545" s="16"/>
      <c r="K545" s="16"/>
      <c r="L545" s="37" t="s">
        <v>107</v>
      </c>
      <c r="M545" s="37"/>
      <c r="N545" s="37">
        <v>39</v>
      </c>
      <c r="O545" s="37"/>
      <c r="P545" s="37"/>
      <c r="Q545" s="18">
        <v>7.9695659999999995</v>
      </c>
      <c r="R545" s="18">
        <v>5.4337949999999996E-2</v>
      </c>
      <c r="S545" s="18">
        <v>15.214625999999999</v>
      </c>
      <c r="T545" s="18">
        <v>65.205539999999999</v>
      </c>
      <c r="U545" s="18">
        <v>32.60277</v>
      </c>
      <c r="V545" s="18">
        <v>417.31545599999998</v>
      </c>
      <c r="W545" s="18">
        <v>391.23323999999997</v>
      </c>
      <c r="X545" s="18">
        <v>260.82216</v>
      </c>
      <c r="Y545" s="18">
        <v>11.592096</v>
      </c>
      <c r="Z545" s="18">
        <v>51.439926</v>
      </c>
      <c r="AA545" s="18">
        <v>75.348624000000001</v>
      </c>
      <c r="AB545" s="18">
        <v>134.03361000000001</v>
      </c>
      <c r="AC545" s="18">
        <v>41.296841999999998</v>
      </c>
      <c r="AD545" s="18">
        <v>217.3518</v>
      </c>
    </row>
    <row r="546" spans="2:30" x14ac:dyDescent="0.25">
      <c r="B546" t="s">
        <v>138</v>
      </c>
      <c r="C546" t="s">
        <v>463</v>
      </c>
      <c r="D546" t="s">
        <v>137</v>
      </c>
      <c r="E546" s="35">
        <v>0.9</v>
      </c>
      <c r="F546" s="35">
        <v>44</v>
      </c>
      <c r="G546" s="36">
        <v>0.57960500000000004</v>
      </c>
      <c r="H546" s="18">
        <v>1043.288125</v>
      </c>
      <c r="I546" s="16">
        <v>0</v>
      </c>
      <c r="J546" s="16"/>
      <c r="K546" s="16"/>
      <c r="L546" s="37" t="s">
        <v>107</v>
      </c>
      <c r="M546" s="37"/>
      <c r="N546" s="37">
        <v>40</v>
      </c>
      <c r="O546" s="37"/>
      <c r="P546" s="37"/>
      <c r="Q546" s="18">
        <v>6.3756550000000001</v>
      </c>
      <c r="R546" s="18">
        <v>4.3470374999999999E-2</v>
      </c>
      <c r="S546" s="18">
        <v>12.171705000000001</v>
      </c>
      <c r="T546" s="18">
        <v>52.164450000000002</v>
      </c>
      <c r="U546" s="18">
        <v>26.082225000000001</v>
      </c>
      <c r="V546" s="18">
        <v>333.85248000000001</v>
      </c>
      <c r="W546" s="18">
        <v>312.98670000000004</v>
      </c>
      <c r="X546" s="18">
        <v>208.65780000000001</v>
      </c>
      <c r="Y546" s="18">
        <v>9.2736800000000006</v>
      </c>
      <c r="Z546" s="18">
        <v>41.151955000000001</v>
      </c>
      <c r="AA546" s="18">
        <v>60.278920000000006</v>
      </c>
      <c r="AB546" s="18">
        <v>107.22692500000001</v>
      </c>
      <c r="AC546" s="18">
        <v>33.037485000000004</v>
      </c>
      <c r="AD546" s="18">
        <v>173.88150000000002</v>
      </c>
    </row>
    <row r="547" spans="2:30" x14ac:dyDescent="0.25">
      <c r="B547" t="s">
        <v>138</v>
      </c>
      <c r="C547" t="s">
        <v>463</v>
      </c>
      <c r="D547" t="s">
        <v>445</v>
      </c>
      <c r="E547" s="35">
        <v>0.9</v>
      </c>
      <c r="F547" s="35">
        <v>44</v>
      </c>
      <c r="G547" s="36">
        <v>0.56658500000000001</v>
      </c>
      <c r="H547" s="18">
        <v>1019.8525</v>
      </c>
      <c r="I547" s="16">
        <v>0</v>
      </c>
      <c r="J547" s="16"/>
      <c r="K547" s="16"/>
      <c r="L547" s="37" t="s">
        <v>107</v>
      </c>
      <c r="M547" s="37"/>
      <c r="N547" s="37">
        <v>41</v>
      </c>
      <c r="O547" s="37"/>
      <c r="P547" s="37"/>
      <c r="Q547" s="18">
        <v>6.2324349999999997</v>
      </c>
      <c r="R547" s="18">
        <v>4.2493875E-2</v>
      </c>
      <c r="S547" s="18">
        <v>11.898285</v>
      </c>
      <c r="T547" s="18">
        <v>50.992649999999998</v>
      </c>
      <c r="U547" s="18">
        <v>25.496324999999999</v>
      </c>
      <c r="V547" s="18">
        <v>326.35296</v>
      </c>
      <c r="W547" s="18">
        <v>305.95589999999999</v>
      </c>
      <c r="X547" s="18">
        <v>203.97059999999999</v>
      </c>
      <c r="Y547" s="18">
        <v>9.0653600000000001</v>
      </c>
      <c r="Z547" s="18">
        <v>40.227535000000003</v>
      </c>
      <c r="AA547" s="18">
        <v>58.924840000000003</v>
      </c>
      <c r="AB547" s="18">
        <v>104.818225</v>
      </c>
      <c r="AC547" s="18">
        <v>32.295344999999998</v>
      </c>
      <c r="AD547" s="18">
        <v>169.97550000000001</v>
      </c>
    </row>
    <row r="548" spans="2:30" x14ac:dyDescent="0.25">
      <c r="B548" t="s">
        <v>166</v>
      </c>
      <c r="C548" t="s">
        <v>463</v>
      </c>
      <c r="D548" t="s">
        <v>132</v>
      </c>
      <c r="E548" s="35">
        <v>0.9</v>
      </c>
      <c r="F548" s="35">
        <v>26</v>
      </c>
      <c r="G548" s="36">
        <v>0.36210700000000001</v>
      </c>
      <c r="H548" s="18">
        <v>651.79172400000004</v>
      </c>
      <c r="I548" s="16">
        <v>0</v>
      </c>
      <c r="J548" s="16"/>
      <c r="K548" s="16"/>
      <c r="L548" s="37" t="s">
        <v>107</v>
      </c>
      <c r="M548" s="37"/>
      <c r="N548" s="37">
        <v>42</v>
      </c>
      <c r="O548" s="37"/>
      <c r="P548" s="37"/>
      <c r="Q548" s="18">
        <v>3.983177</v>
      </c>
      <c r="R548" s="18">
        <v>2.7158024999999999E-2</v>
      </c>
      <c r="S548" s="18">
        <v>7.604247</v>
      </c>
      <c r="T548" s="18">
        <v>32.58963</v>
      </c>
      <c r="U548" s="18">
        <v>16.294815</v>
      </c>
      <c r="V548" s="18">
        <v>208.573632</v>
      </c>
      <c r="W548" s="18">
        <v>195.53778</v>
      </c>
      <c r="X548" s="18">
        <v>130.35852</v>
      </c>
      <c r="Y548" s="18">
        <v>5.7937120000000002</v>
      </c>
      <c r="Z548" s="18">
        <v>25.709597000000002</v>
      </c>
      <c r="AA548" s="18">
        <v>37.659128000000003</v>
      </c>
      <c r="AB548" s="18">
        <v>66.989795000000001</v>
      </c>
      <c r="AC548" s="18">
        <v>20.640098999999999</v>
      </c>
      <c r="AD548" s="18">
        <v>108.63210000000001</v>
      </c>
    </row>
    <row r="549" spans="2:30" x14ac:dyDescent="0.25">
      <c r="B549" t="s">
        <v>133</v>
      </c>
      <c r="C549" t="s">
        <v>463</v>
      </c>
      <c r="D549" t="s">
        <v>113</v>
      </c>
      <c r="E549" s="35">
        <v>0.9</v>
      </c>
      <c r="F549" s="35">
        <v>50</v>
      </c>
      <c r="G549" s="36">
        <v>0.97729500000000002</v>
      </c>
      <c r="H549" s="18">
        <v>1759.1313479999999</v>
      </c>
      <c r="I549" s="16">
        <v>0</v>
      </c>
      <c r="J549" s="16"/>
      <c r="K549" s="16"/>
      <c r="L549" s="37" t="s">
        <v>107</v>
      </c>
      <c r="M549" s="37"/>
      <c r="N549" s="37">
        <v>43</v>
      </c>
      <c r="O549" s="37"/>
      <c r="P549" s="37"/>
      <c r="Q549" s="18">
        <v>10.750245</v>
      </c>
      <c r="R549" s="18">
        <v>7.3297125000000005E-2</v>
      </c>
      <c r="S549" s="18">
        <v>20.523195000000001</v>
      </c>
      <c r="T549" s="18">
        <v>87.956550000000007</v>
      </c>
      <c r="U549" s="18">
        <v>43.978275000000004</v>
      </c>
      <c r="V549" s="18">
        <v>562.92192</v>
      </c>
      <c r="W549" s="18">
        <v>527.73929999999996</v>
      </c>
      <c r="X549" s="18">
        <v>351.82620000000003</v>
      </c>
      <c r="Y549" s="18">
        <v>15.63672</v>
      </c>
      <c r="Z549" s="18">
        <v>69.387945000000002</v>
      </c>
      <c r="AA549" s="18">
        <v>101.63868000000001</v>
      </c>
      <c r="AB549" s="18">
        <v>180.799575</v>
      </c>
      <c r="AC549" s="18">
        <v>55.705815000000001</v>
      </c>
      <c r="AD549" s="18">
        <v>293.18850000000003</v>
      </c>
    </row>
    <row r="550" spans="2:30" x14ac:dyDescent="0.25">
      <c r="B550" t="s">
        <v>124</v>
      </c>
      <c r="C550" t="s">
        <v>463</v>
      </c>
      <c r="D550" t="s">
        <v>487</v>
      </c>
      <c r="E550" s="35">
        <v>0.9</v>
      </c>
      <c r="F550" s="35">
        <v>35</v>
      </c>
      <c r="G550" s="36">
        <v>0.60021999999999998</v>
      </c>
      <c r="H550" s="18">
        <v>1080.395479</v>
      </c>
      <c r="I550" s="16">
        <v>0</v>
      </c>
      <c r="J550" s="16"/>
      <c r="K550" s="16"/>
      <c r="L550" s="37" t="s">
        <v>107</v>
      </c>
      <c r="M550" s="37"/>
      <c r="N550" s="37">
        <v>44</v>
      </c>
      <c r="O550" s="37"/>
      <c r="P550" s="37"/>
      <c r="Q550" s="18">
        <v>6.6024199999999995</v>
      </c>
      <c r="R550" s="18">
        <v>4.5016499999999994E-2</v>
      </c>
      <c r="S550" s="18">
        <v>12.604619999999999</v>
      </c>
      <c r="T550" s="18">
        <v>54.019799999999996</v>
      </c>
      <c r="U550" s="18">
        <v>27.009899999999998</v>
      </c>
      <c r="V550" s="18">
        <v>345.72672</v>
      </c>
      <c r="W550" s="18">
        <v>324.11879999999996</v>
      </c>
      <c r="X550" s="18">
        <v>216.07919999999999</v>
      </c>
      <c r="Y550" s="18">
        <v>9.6035199999999996</v>
      </c>
      <c r="Z550" s="18">
        <v>42.61562</v>
      </c>
      <c r="AA550" s="18">
        <v>62.422879999999999</v>
      </c>
      <c r="AB550" s="18">
        <v>111.0407</v>
      </c>
      <c r="AC550" s="18">
        <v>34.212539999999997</v>
      </c>
      <c r="AD550" s="18">
        <v>180.066</v>
      </c>
    </row>
    <row r="551" spans="2:30" x14ac:dyDescent="0.25">
      <c r="B551" t="s">
        <v>166</v>
      </c>
      <c r="C551" t="s">
        <v>463</v>
      </c>
      <c r="D551" t="s">
        <v>125</v>
      </c>
      <c r="E551" s="35">
        <v>0.9</v>
      </c>
      <c r="F551" s="35">
        <v>26</v>
      </c>
      <c r="G551" s="36">
        <v>0.353356</v>
      </c>
      <c r="H551" s="18">
        <v>636.04022899999995</v>
      </c>
      <c r="I551" s="16">
        <v>0</v>
      </c>
      <c r="J551" s="16"/>
      <c r="K551" s="16"/>
      <c r="L551" s="37" t="s">
        <v>107</v>
      </c>
      <c r="M551" s="37"/>
      <c r="N551" s="37">
        <v>45</v>
      </c>
      <c r="O551" s="37"/>
      <c r="P551" s="37"/>
      <c r="Q551" s="18">
        <v>3.8869160000000003</v>
      </c>
      <c r="R551" s="18">
        <v>2.65017E-2</v>
      </c>
      <c r="S551" s="18">
        <v>7.4204759999999998</v>
      </c>
      <c r="T551" s="18">
        <v>31.802040000000002</v>
      </c>
      <c r="U551" s="18">
        <v>15.901020000000001</v>
      </c>
      <c r="V551" s="18">
        <v>203.53305599999999</v>
      </c>
      <c r="W551" s="18">
        <v>190.81224</v>
      </c>
      <c r="X551" s="18">
        <v>127.20816000000001</v>
      </c>
      <c r="Y551" s="18">
        <v>5.6536960000000001</v>
      </c>
      <c r="Z551" s="18">
        <v>25.088276</v>
      </c>
      <c r="AA551" s="18">
        <v>36.749023999999999</v>
      </c>
      <c r="AB551" s="18">
        <v>65.370860000000008</v>
      </c>
      <c r="AC551" s="18">
        <v>20.141292</v>
      </c>
      <c r="AD551" s="18">
        <v>106.0068</v>
      </c>
    </row>
    <row r="552" spans="2:30" x14ac:dyDescent="0.25">
      <c r="B552" t="s">
        <v>269</v>
      </c>
      <c r="C552" t="s">
        <v>463</v>
      </c>
      <c r="D552" t="s">
        <v>488</v>
      </c>
      <c r="E552" s="35">
        <v>0.9</v>
      </c>
      <c r="F552" s="35">
        <v>6.6</v>
      </c>
      <c r="G552" s="36">
        <v>0.209781</v>
      </c>
      <c r="H552" s="18">
        <v>377.60579999999999</v>
      </c>
      <c r="I552" s="16"/>
      <c r="J552" s="16"/>
      <c r="K552" s="16"/>
      <c r="L552" s="37" t="s">
        <v>107</v>
      </c>
      <c r="M552" s="37"/>
      <c r="N552" s="37">
        <v>46</v>
      </c>
      <c r="O552" s="37"/>
      <c r="P552" s="37"/>
      <c r="Q552" s="18">
        <v>2.3075909999999999</v>
      </c>
      <c r="R552" s="18">
        <v>1.5733575E-2</v>
      </c>
      <c r="S552" s="18">
        <v>4.4054009999999995</v>
      </c>
      <c r="T552" s="18">
        <v>18.880289999999999</v>
      </c>
      <c r="U552" s="18">
        <v>9.4401449999999993</v>
      </c>
      <c r="V552" s="18">
        <v>120.833856</v>
      </c>
      <c r="W552" s="18">
        <v>113.28174</v>
      </c>
      <c r="X552" s="18">
        <v>75.521159999999995</v>
      </c>
      <c r="Y552" s="18">
        <v>3.3564959999999999</v>
      </c>
      <c r="Z552" s="18">
        <v>14.894451</v>
      </c>
      <c r="AA552" s="18">
        <v>21.817224</v>
      </c>
      <c r="AB552" s="18">
        <v>38.809485000000002</v>
      </c>
      <c r="AC552" s="18">
        <v>11.957516999999999</v>
      </c>
      <c r="AD552" s="18">
        <v>62.9343</v>
      </c>
    </row>
    <row r="553" spans="2:30" x14ac:dyDescent="0.25">
      <c r="B553" t="s">
        <v>133</v>
      </c>
      <c r="C553" t="s">
        <v>463</v>
      </c>
      <c r="D553" t="s">
        <v>126</v>
      </c>
      <c r="E553" s="35">
        <v>0.9</v>
      </c>
      <c r="F553" s="35">
        <v>50</v>
      </c>
      <c r="G553" s="36">
        <v>0.95862899999999995</v>
      </c>
      <c r="H553" s="18">
        <v>1725.5327150000001</v>
      </c>
      <c r="I553" s="16">
        <v>0</v>
      </c>
      <c r="J553" s="16"/>
      <c r="K553" s="16"/>
      <c r="L553" s="37" t="s">
        <v>107</v>
      </c>
      <c r="M553" s="37"/>
      <c r="N553" s="37">
        <v>47</v>
      </c>
      <c r="O553" s="37"/>
      <c r="P553" s="37"/>
      <c r="Q553" s="18">
        <v>10.544919</v>
      </c>
      <c r="R553" s="18">
        <v>7.1897174999999994E-2</v>
      </c>
      <c r="S553" s="18">
        <v>20.131208999999998</v>
      </c>
      <c r="T553" s="18">
        <v>86.276609999999991</v>
      </c>
      <c r="U553" s="18">
        <v>43.138304999999995</v>
      </c>
      <c r="V553" s="18">
        <v>552.17030399999999</v>
      </c>
      <c r="W553" s="18">
        <v>517.65966000000003</v>
      </c>
      <c r="X553" s="18">
        <v>345.10643999999996</v>
      </c>
      <c r="Y553" s="18">
        <v>15.338063999999999</v>
      </c>
      <c r="Z553" s="18">
        <v>68.062658999999996</v>
      </c>
      <c r="AA553" s="18">
        <v>99.69741599999999</v>
      </c>
      <c r="AB553" s="18">
        <v>177.34636499999999</v>
      </c>
      <c r="AC553" s="18">
        <v>54.641852999999998</v>
      </c>
      <c r="AD553" s="18">
        <v>287.58869999999996</v>
      </c>
    </row>
    <row r="554" spans="2:30" x14ac:dyDescent="0.25">
      <c r="B554" t="s">
        <v>124</v>
      </c>
      <c r="C554" t="s">
        <v>463</v>
      </c>
      <c r="D554" t="s">
        <v>142</v>
      </c>
      <c r="E554" s="35">
        <v>0.9</v>
      </c>
      <c r="F554" s="35">
        <v>35</v>
      </c>
      <c r="G554" s="36">
        <v>0.580704</v>
      </c>
      <c r="H554" s="18">
        <v>1045.2671800000001</v>
      </c>
      <c r="I554" s="16">
        <v>0</v>
      </c>
      <c r="J554" s="16"/>
      <c r="K554" s="16"/>
      <c r="L554" s="37" t="s">
        <v>107</v>
      </c>
      <c r="M554" s="37"/>
      <c r="N554" s="37">
        <v>48</v>
      </c>
      <c r="O554" s="37"/>
      <c r="P554" s="37"/>
      <c r="Q554" s="18">
        <v>6.3877439999999996</v>
      </c>
      <c r="R554" s="18">
        <v>4.3552799999999996E-2</v>
      </c>
      <c r="S554" s="18">
        <v>12.194784</v>
      </c>
      <c r="T554" s="18">
        <v>52.263359999999999</v>
      </c>
      <c r="U554" s="18">
        <v>26.131679999999999</v>
      </c>
      <c r="V554" s="18">
        <v>334.48550399999999</v>
      </c>
      <c r="W554" s="18">
        <v>313.58015999999998</v>
      </c>
      <c r="X554" s="18">
        <v>209.05343999999999</v>
      </c>
      <c r="Y554" s="18">
        <v>9.291264</v>
      </c>
      <c r="Z554" s="18">
        <v>41.229984000000002</v>
      </c>
      <c r="AA554" s="18">
        <v>60.393216000000002</v>
      </c>
      <c r="AB554" s="18">
        <v>107.43024</v>
      </c>
      <c r="AC554" s="18">
        <v>33.100127999999998</v>
      </c>
      <c r="AD554" s="18">
        <v>174.21119999999999</v>
      </c>
    </row>
    <row r="555" spans="2:30" x14ac:dyDescent="0.25">
      <c r="B555" t="s">
        <v>166</v>
      </c>
      <c r="C555" t="s">
        <v>463</v>
      </c>
      <c r="D555" t="s">
        <v>132</v>
      </c>
      <c r="E555" s="35">
        <v>0.9</v>
      </c>
      <c r="F555" s="35">
        <v>26</v>
      </c>
      <c r="G555" s="36">
        <v>0.36210700000000001</v>
      </c>
      <c r="H555" s="18">
        <v>651.79172400000004</v>
      </c>
      <c r="I555" s="16">
        <v>0</v>
      </c>
      <c r="J555" s="16"/>
      <c r="K555" s="16"/>
      <c r="L555" s="37" t="s">
        <v>107</v>
      </c>
      <c r="M555" s="37"/>
      <c r="N555" s="37">
        <v>49</v>
      </c>
      <c r="O555" s="37"/>
      <c r="P555" s="37"/>
      <c r="Q555" s="18">
        <v>3.983177</v>
      </c>
      <c r="R555" s="18">
        <v>2.7158024999999999E-2</v>
      </c>
      <c r="S555" s="18">
        <v>7.604247</v>
      </c>
      <c r="T555" s="18">
        <v>32.58963</v>
      </c>
      <c r="U555" s="18">
        <v>16.294815</v>
      </c>
      <c r="V555" s="18">
        <v>208.573632</v>
      </c>
      <c r="W555" s="18">
        <v>195.53778</v>
      </c>
      <c r="X555" s="18">
        <v>130.35852</v>
      </c>
      <c r="Y555" s="18">
        <v>5.7937120000000002</v>
      </c>
      <c r="Z555" s="18">
        <v>25.709597000000002</v>
      </c>
      <c r="AA555" s="18">
        <v>37.659128000000003</v>
      </c>
      <c r="AB555" s="18">
        <v>66.989795000000001</v>
      </c>
      <c r="AC555" s="18">
        <v>20.640098999999999</v>
      </c>
      <c r="AD555" s="18">
        <v>108.63210000000001</v>
      </c>
    </row>
    <row r="556" spans="2:30" x14ac:dyDescent="0.25">
      <c r="B556" t="s">
        <v>269</v>
      </c>
      <c r="C556" t="s">
        <v>463</v>
      </c>
      <c r="D556" t="s">
        <v>489</v>
      </c>
      <c r="E556" s="35">
        <v>0.9</v>
      </c>
      <c r="F556" s="35">
        <v>6.6</v>
      </c>
      <c r="G556" s="36">
        <v>0.239456</v>
      </c>
      <c r="H556" s="18">
        <v>431.02086000000003</v>
      </c>
      <c r="I556" s="16"/>
      <c r="J556" s="16"/>
      <c r="K556" s="16"/>
      <c r="L556" s="37" t="s">
        <v>107</v>
      </c>
      <c r="M556" s="37"/>
      <c r="N556" s="37">
        <v>50</v>
      </c>
      <c r="O556" s="37"/>
      <c r="P556" s="37"/>
      <c r="Q556" s="18">
        <v>2.6340159999999999</v>
      </c>
      <c r="R556" s="18">
        <v>1.7959199999999998E-2</v>
      </c>
      <c r="S556" s="18">
        <v>5.0285760000000002</v>
      </c>
      <c r="T556" s="18">
        <v>21.55104</v>
      </c>
      <c r="U556" s="18">
        <v>10.77552</v>
      </c>
      <c r="V556" s="18">
        <v>137.92665600000001</v>
      </c>
      <c r="W556" s="18">
        <v>129.30624</v>
      </c>
      <c r="X556" s="18">
        <v>86.204160000000002</v>
      </c>
      <c r="Y556" s="18">
        <v>3.831296</v>
      </c>
      <c r="Z556" s="18">
        <v>17.001376</v>
      </c>
      <c r="AA556" s="18">
        <v>24.903424000000001</v>
      </c>
      <c r="AB556" s="18">
        <v>44.29936</v>
      </c>
      <c r="AC556" s="18">
        <v>13.648992</v>
      </c>
      <c r="AD556" s="18">
        <v>71.836799999999997</v>
      </c>
    </row>
    <row r="557" spans="2:30" x14ac:dyDescent="0.25">
      <c r="B557" t="s">
        <v>133</v>
      </c>
      <c r="C557" t="s">
        <v>463</v>
      </c>
      <c r="D557" t="s">
        <v>113</v>
      </c>
      <c r="E557" s="35">
        <v>0.9</v>
      </c>
      <c r="F557" s="35">
        <v>50</v>
      </c>
      <c r="G557" s="36">
        <v>0.97729500000000002</v>
      </c>
      <c r="H557" s="18">
        <v>1759.1313479999999</v>
      </c>
      <c r="I557" s="16">
        <v>0</v>
      </c>
      <c r="J557" s="16"/>
      <c r="K557" s="16"/>
      <c r="L557" s="37" t="s">
        <v>107</v>
      </c>
      <c r="M557" s="37"/>
      <c r="N557" s="37">
        <v>51</v>
      </c>
      <c r="O557" s="37"/>
      <c r="P557" s="37"/>
      <c r="Q557" s="18">
        <v>10.750245</v>
      </c>
      <c r="R557" s="18">
        <v>7.3297125000000005E-2</v>
      </c>
      <c r="S557" s="18">
        <v>20.523195000000001</v>
      </c>
      <c r="T557" s="18">
        <v>87.956550000000007</v>
      </c>
      <c r="U557" s="18">
        <v>43.978275000000004</v>
      </c>
      <c r="V557" s="18">
        <v>562.92192</v>
      </c>
      <c r="W557" s="18">
        <v>527.73929999999996</v>
      </c>
      <c r="X557" s="18">
        <v>351.82620000000003</v>
      </c>
      <c r="Y557" s="18">
        <v>15.63672</v>
      </c>
      <c r="Z557" s="18">
        <v>69.387945000000002</v>
      </c>
      <c r="AA557" s="18">
        <v>101.63868000000001</v>
      </c>
      <c r="AB557" s="18">
        <v>180.799575</v>
      </c>
      <c r="AC557" s="18">
        <v>55.705815000000001</v>
      </c>
      <c r="AD557" s="18">
        <v>293.18850000000003</v>
      </c>
    </row>
    <row r="558" spans="2:30" x14ac:dyDescent="0.25">
      <c r="B558" t="s">
        <v>133</v>
      </c>
      <c r="C558" t="s">
        <v>463</v>
      </c>
      <c r="D558" t="s">
        <v>143</v>
      </c>
      <c r="E558" s="35">
        <v>0.9</v>
      </c>
      <c r="F558" s="35">
        <v>50</v>
      </c>
      <c r="G558" s="36">
        <v>0.68118100000000004</v>
      </c>
      <c r="H558" s="18">
        <v>1226.1250520000001</v>
      </c>
      <c r="I558" s="16">
        <v>0</v>
      </c>
      <c r="J558" s="16"/>
      <c r="K558" s="16"/>
      <c r="L558" s="37" t="s">
        <v>107</v>
      </c>
      <c r="M558" s="37"/>
      <c r="N558" s="37">
        <v>52</v>
      </c>
      <c r="O558" s="37"/>
      <c r="P558" s="37"/>
      <c r="Q558" s="18">
        <v>7.492991</v>
      </c>
      <c r="R558" s="18">
        <v>5.1088575000000004E-2</v>
      </c>
      <c r="S558" s="18">
        <v>14.304801000000001</v>
      </c>
      <c r="T558" s="18">
        <v>61.306290000000004</v>
      </c>
      <c r="U558" s="18">
        <v>30.653145000000002</v>
      </c>
      <c r="V558" s="18">
        <v>392.36025600000005</v>
      </c>
      <c r="W558" s="18">
        <v>367.83774</v>
      </c>
      <c r="X558" s="18">
        <v>245.22516000000002</v>
      </c>
      <c r="Y558" s="18">
        <v>10.898896000000001</v>
      </c>
      <c r="Z558" s="18">
        <v>48.363851000000004</v>
      </c>
      <c r="AA558" s="18">
        <v>70.842824000000007</v>
      </c>
      <c r="AB558" s="18">
        <v>126.01848500000001</v>
      </c>
      <c r="AC558" s="18">
        <v>38.827317000000001</v>
      </c>
      <c r="AD558" s="18">
        <v>204.35430000000002</v>
      </c>
    </row>
    <row r="559" spans="2:30" x14ac:dyDescent="0.25">
      <c r="B559" t="s">
        <v>160</v>
      </c>
      <c r="C559" t="s">
        <v>463</v>
      </c>
      <c r="D559" t="s">
        <v>490</v>
      </c>
      <c r="E559" s="35">
        <v>0.9</v>
      </c>
      <c r="F559" s="35">
        <v>31</v>
      </c>
      <c r="G559" s="36">
        <v>0.49693399999999999</v>
      </c>
      <c r="H559" s="18">
        <v>894.48206000000005</v>
      </c>
      <c r="I559" s="16">
        <v>0</v>
      </c>
      <c r="J559" s="16"/>
      <c r="K559" s="16"/>
      <c r="L559" s="37" t="s">
        <v>107</v>
      </c>
      <c r="M559" s="37"/>
      <c r="N559" s="37">
        <v>53</v>
      </c>
      <c r="O559" s="37"/>
      <c r="P559" s="37"/>
      <c r="Q559" s="18">
        <v>5.4662740000000003</v>
      </c>
      <c r="R559" s="18">
        <v>3.7270049999999999E-2</v>
      </c>
      <c r="S559" s="18">
        <v>10.435613999999999</v>
      </c>
      <c r="T559" s="18">
        <v>44.724060000000001</v>
      </c>
      <c r="U559" s="18">
        <v>22.362030000000001</v>
      </c>
      <c r="V559" s="18">
        <v>286.23398399999996</v>
      </c>
      <c r="W559" s="18">
        <v>268.34435999999999</v>
      </c>
      <c r="X559" s="18">
        <v>178.89624000000001</v>
      </c>
      <c r="Y559" s="18">
        <v>7.9509439999999998</v>
      </c>
      <c r="Z559" s="18">
        <v>35.282314</v>
      </c>
      <c r="AA559" s="18">
        <v>51.681135999999995</v>
      </c>
      <c r="AB559" s="18">
        <v>91.932789999999997</v>
      </c>
      <c r="AC559" s="18">
        <v>28.325237999999999</v>
      </c>
      <c r="AD559" s="18">
        <v>149.08019999999999</v>
      </c>
    </row>
    <row r="560" spans="2:30" x14ac:dyDescent="0.25">
      <c r="B560" t="s">
        <v>138</v>
      </c>
      <c r="C560" t="s">
        <v>463</v>
      </c>
      <c r="D560" t="s">
        <v>146</v>
      </c>
      <c r="E560" s="35">
        <v>0.9</v>
      </c>
      <c r="F560" s="35">
        <v>44</v>
      </c>
      <c r="G560" s="36">
        <v>0.60039200000000004</v>
      </c>
      <c r="H560" s="18">
        <v>1080.7055519999999</v>
      </c>
      <c r="I560" s="16">
        <v>0</v>
      </c>
      <c r="J560" s="16"/>
      <c r="K560" s="16"/>
      <c r="L560" s="37" t="s">
        <v>107</v>
      </c>
      <c r="M560" s="37"/>
      <c r="N560" s="37">
        <v>54</v>
      </c>
      <c r="O560" s="37"/>
      <c r="P560" s="37"/>
      <c r="Q560" s="18">
        <v>6.6043120000000002</v>
      </c>
      <c r="R560" s="18">
        <v>4.5029400000000004E-2</v>
      </c>
      <c r="S560" s="18">
        <v>12.608232000000001</v>
      </c>
      <c r="T560" s="18">
        <v>54.03528</v>
      </c>
      <c r="U560" s="18">
        <v>27.01764</v>
      </c>
      <c r="V560" s="18">
        <v>345.82579200000004</v>
      </c>
      <c r="W560" s="18">
        <v>324.21168</v>
      </c>
      <c r="X560" s="18">
        <v>216.14112</v>
      </c>
      <c r="Y560" s="18">
        <v>9.6062720000000006</v>
      </c>
      <c r="Z560" s="18">
        <v>42.627832000000005</v>
      </c>
      <c r="AA560" s="18">
        <v>62.440768000000006</v>
      </c>
      <c r="AB560" s="18">
        <v>111.07252000000001</v>
      </c>
      <c r="AC560" s="18">
        <v>34.222344</v>
      </c>
      <c r="AD560" s="18">
        <v>180.11760000000001</v>
      </c>
    </row>
    <row r="561" spans="2:30" x14ac:dyDescent="0.25">
      <c r="B561" t="s">
        <v>187</v>
      </c>
      <c r="C561" t="s">
        <v>463</v>
      </c>
      <c r="D561" t="s">
        <v>148</v>
      </c>
      <c r="E561" s="35">
        <v>0.9</v>
      </c>
      <c r="F561" s="35">
        <v>55</v>
      </c>
      <c r="G561" s="36">
        <v>0.76813699999999996</v>
      </c>
      <c r="H561" s="18">
        <v>1382.64696</v>
      </c>
      <c r="I561" s="16">
        <v>0</v>
      </c>
      <c r="J561" s="16"/>
      <c r="K561" s="16"/>
      <c r="L561" s="37" t="s">
        <v>107</v>
      </c>
      <c r="M561" s="37"/>
      <c r="N561" s="37">
        <v>55</v>
      </c>
      <c r="O561" s="37"/>
      <c r="P561" s="37"/>
      <c r="Q561" s="18">
        <v>8.4495069999999988</v>
      </c>
      <c r="R561" s="18">
        <v>5.7610274999999996E-2</v>
      </c>
      <c r="S561" s="18">
        <v>16.130876999999998</v>
      </c>
      <c r="T561" s="18">
        <v>69.132329999999996</v>
      </c>
      <c r="U561" s="18">
        <v>34.566164999999998</v>
      </c>
      <c r="V561" s="18">
        <v>442.446912</v>
      </c>
      <c r="W561" s="18">
        <v>414.79397999999998</v>
      </c>
      <c r="X561" s="18">
        <v>276.52931999999998</v>
      </c>
      <c r="Y561" s="18">
        <v>12.290191999999999</v>
      </c>
      <c r="Z561" s="18">
        <v>54.537726999999997</v>
      </c>
      <c r="AA561" s="18">
        <v>79.886247999999995</v>
      </c>
      <c r="AB561" s="18">
        <v>142.105345</v>
      </c>
      <c r="AC561" s="18">
        <v>43.783808999999998</v>
      </c>
      <c r="AD561" s="18">
        <v>230.44109999999998</v>
      </c>
    </row>
    <row r="562" spans="2:30" x14ac:dyDescent="0.25">
      <c r="B562" t="s">
        <v>138</v>
      </c>
      <c r="C562" t="s">
        <v>463</v>
      </c>
      <c r="D562" t="s">
        <v>491</v>
      </c>
      <c r="E562" s="35">
        <v>0.9</v>
      </c>
      <c r="F562" s="35">
        <v>44</v>
      </c>
      <c r="G562" s="36">
        <v>0.61421599999999998</v>
      </c>
      <c r="H562" s="18">
        <v>1105.58959</v>
      </c>
      <c r="I562" s="16">
        <v>0</v>
      </c>
      <c r="J562" s="16"/>
      <c r="K562" s="16"/>
      <c r="L562" s="37" t="s">
        <v>107</v>
      </c>
      <c r="M562" s="37"/>
      <c r="N562" s="37">
        <v>56</v>
      </c>
      <c r="O562" s="37"/>
      <c r="P562" s="37"/>
      <c r="Q562" s="18">
        <v>6.7563759999999995</v>
      </c>
      <c r="R562" s="18">
        <v>4.6066199999999995E-2</v>
      </c>
      <c r="S562" s="18">
        <v>12.898536</v>
      </c>
      <c r="T562" s="18">
        <v>55.279440000000001</v>
      </c>
      <c r="U562" s="18">
        <v>27.639720000000001</v>
      </c>
      <c r="V562" s="18">
        <v>353.78841599999998</v>
      </c>
      <c r="W562" s="18">
        <v>331.67663999999996</v>
      </c>
      <c r="X562" s="18">
        <v>221.11776</v>
      </c>
      <c r="Y562" s="18">
        <v>9.8274559999999997</v>
      </c>
      <c r="Z562" s="18">
        <v>43.609335999999999</v>
      </c>
      <c r="AA562" s="18">
        <v>63.878464000000001</v>
      </c>
      <c r="AB562" s="18">
        <v>113.62996</v>
      </c>
      <c r="AC562" s="18">
        <v>35.010311999999999</v>
      </c>
      <c r="AD562" s="18">
        <v>184.26480000000001</v>
      </c>
    </row>
    <row r="563" spans="2:30" x14ac:dyDescent="0.25">
      <c r="B563" t="s">
        <v>166</v>
      </c>
      <c r="C563" t="s">
        <v>463</v>
      </c>
      <c r="D563" t="s">
        <v>149</v>
      </c>
      <c r="E563" s="35">
        <v>0.9</v>
      </c>
      <c r="F563" s="35">
        <v>26</v>
      </c>
      <c r="G563" s="36">
        <v>0.36193500000000001</v>
      </c>
      <c r="H563" s="18">
        <v>651.48277399999995</v>
      </c>
      <c r="I563" s="16">
        <v>0</v>
      </c>
      <c r="J563" s="16"/>
      <c r="K563" s="16"/>
      <c r="L563" s="37" t="s">
        <v>107</v>
      </c>
      <c r="M563" s="37"/>
      <c r="N563" s="37">
        <v>57</v>
      </c>
      <c r="O563" s="37"/>
      <c r="P563" s="37"/>
      <c r="Q563" s="18">
        <v>3.9812850000000002</v>
      </c>
      <c r="R563" s="18">
        <v>2.7145124999999999E-2</v>
      </c>
      <c r="S563" s="18">
        <v>7.6006350000000005</v>
      </c>
      <c r="T563" s="18">
        <v>32.574150000000003</v>
      </c>
      <c r="U563" s="18">
        <v>16.287075000000002</v>
      </c>
      <c r="V563" s="18">
        <v>208.47456</v>
      </c>
      <c r="W563" s="18">
        <v>195.44489999999999</v>
      </c>
      <c r="X563" s="18">
        <v>130.29660000000001</v>
      </c>
      <c r="Y563" s="18">
        <v>5.7909600000000001</v>
      </c>
      <c r="Z563" s="18">
        <v>25.697385000000001</v>
      </c>
      <c r="AA563" s="18">
        <v>37.641240000000003</v>
      </c>
      <c r="AB563" s="18">
        <v>66.957975000000005</v>
      </c>
      <c r="AC563" s="18">
        <v>20.630295</v>
      </c>
      <c r="AD563" s="18">
        <v>108.5805</v>
      </c>
    </row>
    <row r="564" spans="2:30" x14ac:dyDescent="0.25">
      <c r="B564" t="s">
        <v>133</v>
      </c>
      <c r="C564" t="s">
        <v>463</v>
      </c>
      <c r="D564" t="s">
        <v>113</v>
      </c>
      <c r="E564" s="35">
        <v>0.9</v>
      </c>
      <c r="F564" s="35">
        <v>50</v>
      </c>
      <c r="G564" s="36">
        <v>0.97729500000000002</v>
      </c>
      <c r="H564" s="18">
        <v>1759.1313479999999</v>
      </c>
      <c r="I564" s="16">
        <v>0</v>
      </c>
      <c r="J564" s="16"/>
      <c r="K564" s="16"/>
      <c r="L564" s="37" t="s">
        <v>107</v>
      </c>
      <c r="M564" s="37"/>
      <c r="N564" s="37">
        <v>58</v>
      </c>
      <c r="O564" s="37"/>
      <c r="P564" s="37"/>
      <c r="Q564" s="18">
        <v>10.750245</v>
      </c>
      <c r="R564" s="18">
        <v>7.3297125000000005E-2</v>
      </c>
      <c r="S564" s="18">
        <v>20.523195000000001</v>
      </c>
      <c r="T564" s="18">
        <v>87.956550000000007</v>
      </c>
      <c r="U564" s="18">
        <v>43.978275000000004</v>
      </c>
      <c r="V564" s="18">
        <v>562.92192</v>
      </c>
      <c r="W564" s="18">
        <v>527.73929999999996</v>
      </c>
      <c r="X564" s="18">
        <v>351.82620000000003</v>
      </c>
      <c r="Y564" s="18">
        <v>15.63672</v>
      </c>
      <c r="Z564" s="18">
        <v>69.387945000000002</v>
      </c>
      <c r="AA564" s="18">
        <v>101.63868000000001</v>
      </c>
      <c r="AB564" s="18">
        <v>180.799575</v>
      </c>
      <c r="AC564" s="18">
        <v>55.705815000000001</v>
      </c>
      <c r="AD564" s="18">
        <v>293.18850000000003</v>
      </c>
    </row>
    <row r="565" spans="2:30" x14ac:dyDescent="0.25">
      <c r="B565" t="s">
        <v>166</v>
      </c>
      <c r="C565" t="s">
        <v>463</v>
      </c>
      <c r="D565" t="s">
        <v>492</v>
      </c>
      <c r="E565" s="35">
        <v>0.9</v>
      </c>
      <c r="F565" s="35">
        <v>26</v>
      </c>
      <c r="G565" s="36">
        <v>0.39557799999999999</v>
      </c>
      <c r="H565" s="18">
        <v>712.04053299999998</v>
      </c>
      <c r="I565" s="16">
        <v>0</v>
      </c>
      <c r="J565" s="16"/>
      <c r="K565" s="16"/>
      <c r="L565" s="37" t="s">
        <v>107</v>
      </c>
      <c r="M565" s="37"/>
      <c r="N565" s="37">
        <v>59</v>
      </c>
      <c r="O565" s="37"/>
      <c r="P565" s="37"/>
      <c r="Q565" s="18">
        <v>4.3513579999999994</v>
      </c>
      <c r="R565" s="18">
        <v>2.9668349999999996E-2</v>
      </c>
      <c r="S565" s="18">
        <v>8.3071380000000001</v>
      </c>
      <c r="T565" s="18">
        <v>35.602019999999996</v>
      </c>
      <c r="U565" s="18">
        <v>17.801009999999998</v>
      </c>
      <c r="V565" s="18">
        <v>227.85292799999999</v>
      </c>
      <c r="W565" s="18">
        <v>213.61212</v>
      </c>
      <c r="X565" s="18">
        <v>142.40807999999998</v>
      </c>
      <c r="Y565" s="18">
        <v>6.3292479999999998</v>
      </c>
      <c r="Z565" s="18">
        <v>28.086037999999999</v>
      </c>
      <c r="AA565" s="18">
        <v>41.140112000000002</v>
      </c>
      <c r="AB565" s="18">
        <v>73.181929999999994</v>
      </c>
      <c r="AC565" s="18">
        <v>22.547946</v>
      </c>
      <c r="AD565" s="18">
        <v>118.6734</v>
      </c>
    </row>
    <row r="566" spans="2:30" x14ac:dyDescent="0.25">
      <c r="B566" t="s">
        <v>269</v>
      </c>
      <c r="C566" t="s">
        <v>463</v>
      </c>
      <c r="D566" t="s">
        <v>493</v>
      </c>
      <c r="E566" s="35">
        <v>0.9</v>
      </c>
      <c r="F566" s="35">
        <v>6.6</v>
      </c>
      <c r="G566" s="36">
        <v>3.1546999999999999E-2</v>
      </c>
      <c r="H566" s="18">
        <v>56.784089000000002</v>
      </c>
      <c r="I566" s="16"/>
      <c r="J566" s="16"/>
      <c r="K566" s="16"/>
      <c r="L566" s="37" t="s">
        <v>107</v>
      </c>
      <c r="M566" s="37"/>
      <c r="N566" s="37">
        <v>60</v>
      </c>
      <c r="O566" s="37"/>
      <c r="P566" s="37"/>
      <c r="Q566" s="18">
        <v>0.34701699999999996</v>
      </c>
      <c r="R566" s="18">
        <v>2.3660249999999999E-3</v>
      </c>
      <c r="S566" s="18">
        <v>0.66248699999999994</v>
      </c>
      <c r="T566" s="18">
        <v>2.8392299999999997</v>
      </c>
      <c r="U566" s="18">
        <v>1.4196149999999998</v>
      </c>
      <c r="V566" s="18">
        <v>18.171071999999999</v>
      </c>
      <c r="W566" s="18">
        <v>17.03538</v>
      </c>
      <c r="X566" s="18">
        <v>11.356919999999999</v>
      </c>
      <c r="Y566" s="18">
        <v>0.50475199999999998</v>
      </c>
      <c r="Z566" s="18">
        <v>2.2398370000000001</v>
      </c>
      <c r="AA566" s="18">
        <v>3.280888</v>
      </c>
      <c r="AB566" s="18">
        <v>5.836195</v>
      </c>
      <c r="AC566" s="18">
        <v>1.798179</v>
      </c>
      <c r="AD566" s="18">
        <v>9.4641000000000002</v>
      </c>
    </row>
    <row r="567" spans="2:30" x14ac:dyDescent="0.25">
      <c r="B567" t="s">
        <v>269</v>
      </c>
      <c r="C567" t="s">
        <v>463</v>
      </c>
      <c r="D567" t="s">
        <v>493</v>
      </c>
      <c r="E567" s="35">
        <v>0.9</v>
      </c>
      <c r="F567" s="35">
        <v>6.6</v>
      </c>
      <c r="G567" s="36">
        <v>3.1546999999999999E-2</v>
      </c>
      <c r="H567" s="18">
        <v>56.784089000000002</v>
      </c>
      <c r="I567" s="16"/>
      <c r="J567" s="16"/>
      <c r="K567" s="16"/>
      <c r="L567" s="37" t="s">
        <v>107</v>
      </c>
      <c r="M567" s="37"/>
      <c r="N567" s="37">
        <v>61</v>
      </c>
      <c r="O567" s="37"/>
      <c r="P567" s="37"/>
      <c r="Q567" s="18">
        <v>0.34701699999999996</v>
      </c>
      <c r="R567" s="18">
        <v>2.3660249999999999E-3</v>
      </c>
      <c r="S567" s="18">
        <v>0.66248699999999994</v>
      </c>
      <c r="T567" s="18">
        <v>2.8392299999999997</v>
      </c>
      <c r="U567" s="18">
        <v>1.4196149999999998</v>
      </c>
      <c r="V567" s="18">
        <v>18.171071999999999</v>
      </c>
      <c r="W567" s="18">
        <v>17.03538</v>
      </c>
      <c r="X567" s="18">
        <v>11.356919999999999</v>
      </c>
      <c r="Y567" s="18">
        <v>0.50475199999999998</v>
      </c>
      <c r="Z567" s="18">
        <v>2.2398370000000001</v>
      </c>
      <c r="AA567" s="18">
        <v>3.280888</v>
      </c>
      <c r="AB567" s="18">
        <v>5.836195</v>
      </c>
      <c r="AC567" s="18">
        <v>1.798179</v>
      </c>
      <c r="AD567" s="18">
        <v>9.4641000000000002</v>
      </c>
    </row>
    <row r="568" spans="2:30" x14ac:dyDescent="0.25">
      <c r="B568" t="s">
        <v>166</v>
      </c>
      <c r="C568" t="s">
        <v>463</v>
      </c>
      <c r="D568" t="s">
        <v>125</v>
      </c>
      <c r="E568" s="35">
        <v>0.9</v>
      </c>
      <c r="F568" s="35">
        <v>26</v>
      </c>
      <c r="G568" s="36">
        <v>0.353356</v>
      </c>
      <c r="H568" s="18">
        <v>636.04022899999995</v>
      </c>
      <c r="I568" s="16">
        <v>0</v>
      </c>
      <c r="J568" s="16"/>
      <c r="K568" s="16"/>
      <c r="L568" s="37" t="s">
        <v>107</v>
      </c>
      <c r="M568" s="37"/>
      <c r="N568" s="37">
        <v>62</v>
      </c>
      <c r="O568" s="37"/>
      <c r="P568" s="37"/>
      <c r="Q568" s="18">
        <v>3.8869160000000003</v>
      </c>
      <c r="R568" s="18">
        <v>2.65017E-2</v>
      </c>
      <c r="S568" s="18">
        <v>7.4204759999999998</v>
      </c>
      <c r="T568" s="18">
        <v>31.802040000000002</v>
      </c>
      <c r="U568" s="18">
        <v>15.901020000000001</v>
      </c>
      <c r="V568" s="18">
        <v>203.53305599999999</v>
      </c>
      <c r="W568" s="18">
        <v>190.81224</v>
      </c>
      <c r="X568" s="18">
        <v>127.20816000000001</v>
      </c>
      <c r="Y568" s="18">
        <v>5.6536960000000001</v>
      </c>
      <c r="Z568" s="18">
        <v>25.088276</v>
      </c>
      <c r="AA568" s="18">
        <v>36.749023999999999</v>
      </c>
      <c r="AB568" s="18">
        <v>65.370860000000008</v>
      </c>
      <c r="AC568" s="18">
        <v>20.141292</v>
      </c>
      <c r="AD568" s="18">
        <v>106.0068</v>
      </c>
    </row>
    <row r="569" spans="2:30" x14ac:dyDescent="0.25">
      <c r="B569" t="s">
        <v>269</v>
      </c>
      <c r="C569" t="s">
        <v>463</v>
      </c>
      <c r="D569" t="s">
        <v>494</v>
      </c>
      <c r="E569" s="35">
        <v>0.9</v>
      </c>
      <c r="F569" s="35">
        <v>6.6</v>
      </c>
      <c r="G569" s="36">
        <v>1.3528E-2</v>
      </c>
      <c r="H569" s="18">
        <v>24.350073999999999</v>
      </c>
      <c r="I569" s="16"/>
      <c r="J569" s="16"/>
      <c r="K569" s="16"/>
      <c r="L569" s="37" t="s">
        <v>107</v>
      </c>
      <c r="M569" s="37"/>
      <c r="N569" s="37">
        <v>63</v>
      </c>
      <c r="O569" s="37"/>
      <c r="P569" s="37"/>
      <c r="Q569" s="18">
        <v>0.148808</v>
      </c>
      <c r="R569" s="18">
        <v>1.0146000000000001E-3</v>
      </c>
      <c r="S569" s="18">
        <v>0.28408800000000001</v>
      </c>
      <c r="T569" s="18">
        <v>1.2175199999999999</v>
      </c>
      <c r="U569" s="18">
        <v>0.60875999999999997</v>
      </c>
      <c r="V569" s="18">
        <v>7.7921279999999999</v>
      </c>
      <c r="W569" s="18">
        <v>7.3051199999999996</v>
      </c>
      <c r="X569" s="18">
        <v>4.8700799999999997</v>
      </c>
      <c r="Y569" s="18">
        <v>0.216448</v>
      </c>
      <c r="Z569" s="18">
        <v>0.96048800000000001</v>
      </c>
      <c r="AA569" s="18">
        <v>1.4069119999999999</v>
      </c>
      <c r="AB569" s="18">
        <v>2.5026800000000002</v>
      </c>
      <c r="AC569" s="18">
        <v>0.771096</v>
      </c>
      <c r="AD569" s="18">
        <v>4.0583999999999998</v>
      </c>
    </row>
    <row r="570" spans="2:30" x14ac:dyDescent="0.25">
      <c r="B570" t="s">
        <v>269</v>
      </c>
      <c r="C570" t="s">
        <v>463</v>
      </c>
      <c r="D570" t="s">
        <v>495</v>
      </c>
      <c r="E570" s="35">
        <v>0.9</v>
      </c>
      <c r="F570" s="35">
        <v>6.6</v>
      </c>
      <c r="G570" s="36">
        <v>2.8471E-2</v>
      </c>
      <c r="H570" s="18">
        <v>51.247393000000002</v>
      </c>
      <c r="I570" s="16"/>
      <c r="J570" s="16"/>
      <c r="K570" s="16"/>
      <c r="L570" s="37" t="s">
        <v>107</v>
      </c>
      <c r="M570" s="37"/>
      <c r="N570" s="37">
        <v>64</v>
      </c>
      <c r="O570" s="37"/>
      <c r="P570" s="37"/>
      <c r="Q570" s="18">
        <v>0.31318099999999999</v>
      </c>
      <c r="R570" s="18">
        <v>2.135325E-3</v>
      </c>
      <c r="S570" s="18">
        <v>0.59789099999999995</v>
      </c>
      <c r="T570" s="18">
        <v>2.5623900000000002</v>
      </c>
      <c r="U570" s="18">
        <v>1.2811950000000001</v>
      </c>
      <c r="V570" s="18">
        <v>16.399296</v>
      </c>
      <c r="W570" s="18">
        <v>15.37434</v>
      </c>
      <c r="X570" s="18">
        <v>10.249560000000001</v>
      </c>
      <c r="Y570" s="18">
        <v>0.455536</v>
      </c>
      <c r="Z570" s="18">
        <v>2.0214409999999998</v>
      </c>
      <c r="AA570" s="18">
        <v>2.9609839999999998</v>
      </c>
      <c r="AB570" s="18">
        <v>5.2671349999999997</v>
      </c>
      <c r="AC570" s="18">
        <v>1.6228469999999999</v>
      </c>
      <c r="AD570" s="18">
        <v>8.5412999999999997</v>
      </c>
    </row>
    <row r="571" spans="2:30" x14ac:dyDescent="0.25">
      <c r="B571" t="s">
        <v>269</v>
      </c>
      <c r="C571" t="s">
        <v>463</v>
      </c>
      <c r="D571" t="s">
        <v>496</v>
      </c>
      <c r="E571" s="35">
        <v>0.9</v>
      </c>
      <c r="F571" s="35">
        <v>6.6</v>
      </c>
      <c r="G571" s="36">
        <v>0.18697</v>
      </c>
      <c r="H571" s="18">
        <v>336.54670499999997</v>
      </c>
      <c r="I571" s="16"/>
      <c r="J571" s="16"/>
      <c r="K571" s="16"/>
      <c r="L571" s="37" t="s">
        <v>107</v>
      </c>
      <c r="M571" s="37"/>
      <c r="N571" s="37">
        <v>65</v>
      </c>
      <c r="O571" s="37"/>
      <c r="P571" s="37"/>
      <c r="Q571" s="18">
        <v>2.05667</v>
      </c>
      <c r="R571" s="18">
        <v>1.4022749999999999E-2</v>
      </c>
      <c r="S571" s="18">
        <v>3.9263699999999999</v>
      </c>
      <c r="T571" s="18">
        <v>16.827300000000001</v>
      </c>
      <c r="U571" s="18">
        <v>8.4136500000000005</v>
      </c>
      <c r="V571" s="18">
        <v>107.69472</v>
      </c>
      <c r="W571" s="18">
        <v>100.96379999999999</v>
      </c>
      <c r="X571" s="18">
        <v>67.309200000000004</v>
      </c>
      <c r="Y571" s="18">
        <v>2.99152</v>
      </c>
      <c r="Z571" s="18">
        <v>13.27487</v>
      </c>
      <c r="AA571" s="18">
        <v>19.444880000000001</v>
      </c>
      <c r="AB571" s="18">
        <v>34.589449999999999</v>
      </c>
      <c r="AC571" s="18">
        <v>10.65729</v>
      </c>
      <c r="AD571" s="18">
        <v>56.091000000000001</v>
      </c>
    </row>
    <row r="572" spans="2:30" x14ac:dyDescent="0.25">
      <c r="B572" t="s">
        <v>133</v>
      </c>
      <c r="C572" t="s">
        <v>463</v>
      </c>
      <c r="D572" t="s">
        <v>126</v>
      </c>
      <c r="E572" s="35">
        <v>0.9</v>
      </c>
      <c r="F572" s="35">
        <v>50</v>
      </c>
      <c r="G572" s="36">
        <v>0.95862899999999995</v>
      </c>
      <c r="H572" s="18">
        <v>1725.5327150000001</v>
      </c>
      <c r="I572" s="16">
        <v>0</v>
      </c>
      <c r="J572" s="16"/>
      <c r="K572" s="16"/>
      <c r="L572" s="37" t="s">
        <v>107</v>
      </c>
      <c r="M572" s="37"/>
      <c r="N572" s="37">
        <v>66</v>
      </c>
      <c r="O572" s="37"/>
      <c r="P572" s="37"/>
      <c r="Q572" s="18">
        <v>10.544919</v>
      </c>
      <c r="R572" s="18">
        <v>7.1897174999999994E-2</v>
      </c>
      <c r="S572" s="18">
        <v>20.131208999999998</v>
      </c>
      <c r="T572" s="18">
        <v>86.276609999999991</v>
      </c>
      <c r="U572" s="18">
        <v>43.138304999999995</v>
      </c>
      <c r="V572" s="18">
        <v>552.17030399999999</v>
      </c>
      <c r="W572" s="18">
        <v>517.65966000000003</v>
      </c>
      <c r="X572" s="18">
        <v>345.10643999999996</v>
      </c>
      <c r="Y572" s="18">
        <v>15.338063999999999</v>
      </c>
      <c r="Z572" s="18">
        <v>68.062658999999996</v>
      </c>
      <c r="AA572" s="18">
        <v>99.69741599999999</v>
      </c>
      <c r="AB572" s="18">
        <v>177.34636499999999</v>
      </c>
      <c r="AC572" s="18">
        <v>54.641852999999998</v>
      </c>
      <c r="AD572" s="18">
        <v>287.58869999999996</v>
      </c>
    </row>
    <row r="573" spans="2:30" x14ac:dyDescent="0.25">
      <c r="B573" t="s">
        <v>166</v>
      </c>
      <c r="C573" t="s">
        <v>463</v>
      </c>
      <c r="D573" t="s">
        <v>151</v>
      </c>
      <c r="E573" s="35">
        <v>0.9</v>
      </c>
      <c r="F573" s="35">
        <v>26</v>
      </c>
      <c r="G573" s="36">
        <v>0.37934400000000001</v>
      </c>
      <c r="H573" s="18">
        <v>682.81958099999997</v>
      </c>
      <c r="I573" s="16">
        <v>0</v>
      </c>
      <c r="J573" s="16"/>
      <c r="K573" s="16"/>
      <c r="L573" s="37" t="s">
        <v>107</v>
      </c>
      <c r="M573" s="37"/>
      <c r="N573" s="37">
        <v>67</v>
      </c>
      <c r="O573" s="37"/>
      <c r="P573" s="37"/>
      <c r="Q573" s="18">
        <v>4.172784</v>
      </c>
      <c r="R573" s="18">
        <v>2.8450799999999998E-2</v>
      </c>
      <c r="S573" s="18">
        <v>7.9662240000000004</v>
      </c>
      <c r="T573" s="18">
        <v>34.14096</v>
      </c>
      <c r="U573" s="18">
        <v>17.07048</v>
      </c>
      <c r="V573" s="18">
        <v>218.50214400000002</v>
      </c>
      <c r="W573" s="18">
        <v>204.84576000000001</v>
      </c>
      <c r="X573" s="18">
        <v>136.56384</v>
      </c>
      <c r="Y573" s="18">
        <v>6.0695040000000002</v>
      </c>
      <c r="Z573" s="18">
        <v>26.933424000000002</v>
      </c>
      <c r="AA573" s="18">
        <v>39.451776000000002</v>
      </c>
      <c r="AB573" s="18">
        <v>70.178640000000001</v>
      </c>
      <c r="AC573" s="18">
        <v>21.622608</v>
      </c>
      <c r="AD573" s="18">
        <v>113.8032</v>
      </c>
    </row>
    <row r="574" spans="2:30" x14ac:dyDescent="0.25">
      <c r="B574" t="s">
        <v>166</v>
      </c>
      <c r="C574" t="s">
        <v>463</v>
      </c>
      <c r="D574" t="s">
        <v>149</v>
      </c>
      <c r="E574" s="35">
        <v>0.9</v>
      </c>
      <c r="F574" s="35">
        <v>26</v>
      </c>
      <c r="G574" s="36">
        <v>0.36193500000000001</v>
      </c>
      <c r="H574" s="18">
        <v>651.48277399999995</v>
      </c>
      <c r="I574" s="16">
        <v>0</v>
      </c>
      <c r="J574" s="16"/>
      <c r="K574" s="16"/>
      <c r="L574" s="37" t="s">
        <v>107</v>
      </c>
      <c r="M574" s="37"/>
      <c r="N574" s="37">
        <v>68</v>
      </c>
      <c r="O574" s="37"/>
      <c r="P574" s="37"/>
      <c r="Q574" s="18">
        <v>3.9812850000000002</v>
      </c>
      <c r="R574" s="18">
        <v>2.7145124999999999E-2</v>
      </c>
      <c r="S574" s="18">
        <v>7.6006350000000005</v>
      </c>
      <c r="T574" s="18">
        <v>32.574150000000003</v>
      </c>
      <c r="U574" s="18">
        <v>16.287075000000002</v>
      </c>
      <c r="V574" s="18">
        <v>208.47456</v>
      </c>
      <c r="W574" s="18">
        <v>195.44489999999999</v>
      </c>
      <c r="X574" s="18">
        <v>130.29660000000001</v>
      </c>
      <c r="Y574" s="18">
        <v>5.7909600000000001</v>
      </c>
      <c r="Z574" s="18">
        <v>25.697385000000001</v>
      </c>
      <c r="AA574" s="18">
        <v>37.641240000000003</v>
      </c>
      <c r="AB574" s="18">
        <v>66.957975000000005</v>
      </c>
      <c r="AC574" s="18">
        <v>20.630295</v>
      </c>
      <c r="AD574" s="18">
        <v>108.5805</v>
      </c>
    </row>
    <row r="575" spans="2:30" x14ac:dyDescent="0.25">
      <c r="B575" t="s">
        <v>144</v>
      </c>
      <c r="C575" t="s">
        <v>463</v>
      </c>
      <c r="D575" t="s">
        <v>153</v>
      </c>
      <c r="E575" s="35">
        <v>0.9</v>
      </c>
      <c r="F575" s="35">
        <v>40</v>
      </c>
      <c r="G575" s="36">
        <v>0.52854000000000001</v>
      </c>
      <c r="H575" s="18">
        <v>951.37170700000001</v>
      </c>
      <c r="I575" s="16">
        <v>0</v>
      </c>
      <c r="J575" s="16"/>
      <c r="K575" s="16"/>
      <c r="L575" s="37" t="s">
        <v>107</v>
      </c>
      <c r="M575" s="37"/>
      <c r="N575" s="37">
        <v>69</v>
      </c>
      <c r="O575" s="37"/>
      <c r="P575" s="37"/>
      <c r="Q575" s="18">
        <v>5.8139400000000006</v>
      </c>
      <c r="R575" s="18">
        <v>3.9640500000000002E-2</v>
      </c>
      <c r="S575" s="18">
        <v>11.09934</v>
      </c>
      <c r="T575" s="18">
        <v>47.568600000000004</v>
      </c>
      <c r="U575" s="18">
        <v>23.784300000000002</v>
      </c>
      <c r="V575" s="18">
        <v>304.43903999999998</v>
      </c>
      <c r="W575" s="18">
        <v>285.41160000000002</v>
      </c>
      <c r="X575" s="18">
        <v>190.27440000000001</v>
      </c>
      <c r="Y575" s="18">
        <v>8.4566400000000002</v>
      </c>
      <c r="Z575" s="18">
        <v>37.526339999999998</v>
      </c>
      <c r="AA575" s="18">
        <v>54.968159999999997</v>
      </c>
      <c r="AB575" s="18">
        <v>97.779899999999998</v>
      </c>
      <c r="AC575" s="18">
        <v>30.12678</v>
      </c>
      <c r="AD575" s="18">
        <v>158.56200000000001</v>
      </c>
    </row>
    <row r="576" spans="2:30" x14ac:dyDescent="0.25">
      <c r="B576" t="s">
        <v>133</v>
      </c>
      <c r="C576" t="s">
        <v>463</v>
      </c>
      <c r="D576" t="s">
        <v>113</v>
      </c>
      <c r="E576" s="35">
        <v>0.9</v>
      </c>
      <c r="F576" s="35">
        <v>50</v>
      </c>
      <c r="G576" s="36">
        <v>0.97729500000000002</v>
      </c>
      <c r="H576" s="18">
        <v>1759.1313479999999</v>
      </c>
      <c r="I576" s="16">
        <v>0</v>
      </c>
      <c r="J576" s="16"/>
      <c r="K576" s="16"/>
      <c r="L576" s="37" t="s">
        <v>107</v>
      </c>
      <c r="M576" s="37"/>
      <c r="N576" s="37">
        <v>70</v>
      </c>
      <c r="O576" s="37"/>
      <c r="P576" s="37"/>
      <c r="Q576" s="18">
        <v>10.750245</v>
      </c>
      <c r="R576" s="18">
        <v>7.3297125000000005E-2</v>
      </c>
      <c r="S576" s="18">
        <v>20.523195000000001</v>
      </c>
      <c r="T576" s="18">
        <v>87.956550000000007</v>
      </c>
      <c r="U576" s="18">
        <v>43.978275000000004</v>
      </c>
      <c r="V576" s="18">
        <v>562.92192</v>
      </c>
      <c r="W576" s="18">
        <v>527.73929999999996</v>
      </c>
      <c r="X576" s="18">
        <v>351.82620000000003</v>
      </c>
      <c r="Y576" s="18">
        <v>15.63672</v>
      </c>
      <c r="Z576" s="18">
        <v>69.387945000000002</v>
      </c>
      <c r="AA576" s="18">
        <v>101.63868000000001</v>
      </c>
      <c r="AB576" s="18">
        <v>180.799575</v>
      </c>
      <c r="AC576" s="18">
        <v>55.705815000000001</v>
      </c>
      <c r="AD576" s="18">
        <v>293.18850000000003</v>
      </c>
    </row>
    <row r="577" spans="2:30" x14ac:dyDescent="0.25">
      <c r="B577" t="s">
        <v>166</v>
      </c>
      <c r="C577" t="s">
        <v>463</v>
      </c>
      <c r="D577" t="s">
        <v>497</v>
      </c>
      <c r="E577" s="35">
        <v>0.9</v>
      </c>
      <c r="F577" s="35">
        <v>26</v>
      </c>
      <c r="G577" s="36">
        <v>0.36815999999999999</v>
      </c>
      <c r="H577" s="18">
        <v>662.68816800000002</v>
      </c>
      <c r="I577" s="16">
        <v>0</v>
      </c>
      <c r="J577" s="16"/>
      <c r="K577" s="16"/>
      <c r="L577" s="37" t="s">
        <v>107</v>
      </c>
      <c r="M577" s="37"/>
      <c r="N577" s="37">
        <v>71</v>
      </c>
      <c r="O577" s="37"/>
      <c r="P577" s="37"/>
      <c r="Q577" s="18">
        <v>4.04976</v>
      </c>
      <c r="R577" s="18">
        <v>2.7611999999999998E-2</v>
      </c>
      <c r="S577" s="18">
        <v>7.7313599999999996</v>
      </c>
      <c r="T577" s="18">
        <v>33.134399999999999</v>
      </c>
      <c r="U577" s="18">
        <v>16.5672</v>
      </c>
      <c r="V577" s="18">
        <v>212.06016</v>
      </c>
      <c r="W577" s="18">
        <v>198.8064</v>
      </c>
      <c r="X577" s="18">
        <v>132.5376</v>
      </c>
      <c r="Y577" s="18">
        <v>5.8905599999999998</v>
      </c>
      <c r="Z577" s="18">
        <v>26.13936</v>
      </c>
      <c r="AA577" s="18">
        <v>38.288640000000001</v>
      </c>
      <c r="AB577" s="18">
        <v>68.1096</v>
      </c>
      <c r="AC577" s="18">
        <v>20.985119999999998</v>
      </c>
      <c r="AD577" s="18">
        <v>110.44799999999999</v>
      </c>
    </row>
    <row r="578" spans="2:30" x14ac:dyDescent="0.25">
      <c r="B578" t="s">
        <v>144</v>
      </c>
      <c r="C578" t="s">
        <v>463</v>
      </c>
      <c r="D578" t="s">
        <v>155</v>
      </c>
      <c r="E578" s="35">
        <v>0.9</v>
      </c>
      <c r="F578" s="35">
        <v>40</v>
      </c>
      <c r="G578" s="36">
        <v>0.52906799999999998</v>
      </c>
      <c r="H578" s="18">
        <v>952.32234700000004</v>
      </c>
      <c r="I578" s="16">
        <v>0</v>
      </c>
      <c r="J578" s="16"/>
      <c r="K578" s="16"/>
      <c r="L578" s="37" t="s">
        <v>107</v>
      </c>
      <c r="M578" s="37"/>
      <c r="N578" s="37">
        <v>72</v>
      </c>
      <c r="O578" s="37"/>
      <c r="P578" s="37"/>
      <c r="Q578" s="18">
        <v>5.8197479999999997</v>
      </c>
      <c r="R578" s="18">
        <v>3.9680099999999996E-2</v>
      </c>
      <c r="S578" s="18">
        <v>11.110427999999999</v>
      </c>
      <c r="T578" s="18">
        <v>47.616119999999995</v>
      </c>
      <c r="U578" s="18">
        <v>23.808059999999998</v>
      </c>
      <c r="V578" s="18">
        <v>304.74316799999997</v>
      </c>
      <c r="W578" s="18">
        <v>285.69671999999997</v>
      </c>
      <c r="X578" s="18">
        <v>190.46447999999998</v>
      </c>
      <c r="Y578" s="18">
        <v>8.4650879999999997</v>
      </c>
      <c r="Z578" s="18">
        <v>37.563828000000001</v>
      </c>
      <c r="AA578" s="18">
        <v>55.023071999999999</v>
      </c>
      <c r="AB578" s="18">
        <v>97.877579999999995</v>
      </c>
      <c r="AC578" s="18">
        <v>30.156876</v>
      </c>
      <c r="AD578" s="18">
        <v>158.72039999999998</v>
      </c>
    </row>
    <row r="579" spans="2:30" x14ac:dyDescent="0.25">
      <c r="B579" t="s">
        <v>187</v>
      </c>
      <c r="C579" t="s">
        <v>463</v>
      </c>
      <c r="D579" t="s">
        <v>498</v>
      </c>
      <c r="E579" s="35">
        <v>0.9</v>
      </c>
      <c r="F579" s="35">
        <v>55</v>
      </c>
      <c r="G579" s="36">
        <v>0.74943800000000005</v>
      </c>
      <c r="H579" s="18">
        <v>1348.9883299999999</v>
      </c>
      <c r="I579" s="16">
        <v>0</v>
      </c>
      <c r="J579" s="16"/>
      <c r="K579" s="16"/>
      <c r="L579" s="37" t="s">
        <v>107</v>
      </c>
      <c r="M579" s="37"/>
      <c r="N579" s="37">
        <v>73</v>
      </c>
      <c r="O579" s="37"/>
      <c r="P579" s="37"/>
      <c r="Q579" s="18">
        <v>8.243818000000001</v>
      </c>
      <c r="R579" s="18">
        <v>5.6207850000000004E-2</v>
      </c>
      <c r="S579" s="18">
        <v>15.738198000000001</v>
      </c>
      <c r="T579" s="18">
        <v>67.449420000000003</v>
      </c>
      <c r="U579" s="18">
        <v>33.724710000000002</v>
      </c>
      <c r="V579" s="18">
        <v>431.676288</v>
      </c>
      <c r="W579" s="18">
        <v>404.69652000000002</v>
      </c>
      <c r="X579" s="18">
        <v>269.79768000000001</v>
      </c>
      <c r="Y579" s="18">
        <v>11.991008000000001</v>
      </c>
      <c r="Z579" s="18">
        <v>53.210098000000002</v>
      </c>
      <c r="AA579" s="18">
        <v>77.941552000000001</v>
      </c>
      <c r="AB579" s="18">
        <v>138.64603</v>
      </c>
      <c r="AC579" s="18">
        <v>42.717966000000004</v>
      </c>
      <c r="AD579" s="18">
        <v>224.8314</v>
      </c>
    </row>
    <row r="580" spans="2:30" x14ac:dyDescent="0.25">
      <c r="B580" t="s">
        <v>138</v>
      </c>
      <c r="C580" t="s">
        <v>463</v>
      </c>
      <c r="D580" t="s">
        <v>156</v>
      </c>
      <c r="E580" s="35">
        <v>0.9</v>
      </c>
      <c r="F580" s="35">
        <v>44</v>
      </c>
      <c r="G580" s="36">
        <v>0.59984400000000004</v>
      </c>
      <c r="H580" s="18">
        <v>1079.7186429999999</v>
      </c>
      <c r="I580" s="16">
        <v>0</v>
      </c>
      <c r="J580" s="16"/>
      <c r="K580" s="16"/>
      <c r="L580" s="37" t="s">
        <v>107</v>
      </c>
      <c r="M580" s="37"/>
      <c r="N580" s="37">
        <v>74</v>
      </c>
      <c r="O580" s="37"/>
      <c r="P580" s="37"/>
      <c r="Q580" s="18">
        <v>6.5982840000000005</v>
      </c>
      <c r="R580" s="18">
        <v>4.4988300000000002E-2</v>
      </c>
      <c r="S580" s="18">
        <v>12.596724000000002</v>
      </c>
      <c r="T580" s="18">
        <v>53.985960000000006</v>
      </c>
      <c r="U580" s="18">
        <v>26.992980000000003</v>
      </c>
      <c r="V580" s="18">
        <v>345.51014400000003</v>
      </c>
      <c r="W580" s="18">
        <v>323.91576000000003</v>
      </c>
      <c r="X580" s="18">
        <v>215.94384000000002</v>
      </c>
      <c r="Y580" s="18">
        <v>9.5975040000000007</v>
      </c>
      <c r="Z580" s="18">
        <v>42.588924000000006</v>
      </c>
      <c r="AA580" s="18">
        <v>62.383776000000005</v>
      </c>
      <c r="AB580" s="18">
        <v>110.97114000000001</v>
      </c>
      <c r="AC580" s="18">
        <v>34.191108</v>
      </c>
      <c r="AD580" s="18">
        <v>179.95320000000001</v>
      </c>
    </row>
    <row r="581" spans="2:30" x14ac:dyDescent="0.25">
      <c r="B581" t="s">
        <v>124</v>
      </c>
      <c r="C581" t="s">
        <v>463</v>
      </c>
      <c r="D581" t="s">
        <v>132</v>
      </c>
      <c r="E581" s="35">
        <v>0.9</v>
      </c>
      <c r="F581" s="35">
        <v>35</v>
      </c>
      <c r="G581" s="36">
        <v>0.48745100000000002</v>
      </c>
      <c r="H581" s="18">
        <v>877.41193599999997</v>
      </c>
      <c r="I581" s="16">
        <v>0</v>
      </c>
      <c r="J581" s="16"/>
      <c r="K581" s="16"/>
      <c r="L581" s="37" t="s">
        <v>107</v>
      </c>
      <c r="M581" s="37"/>
      <c r="N581" s="37">
        <v>75</v>
      </c>
      <c r="O581" s="37"/>
      <c r="P581" s="37"/>
      <c r="Q581" s="18">
        <v>5.361961</v>
      </c>
      <c r="R581" s="18">
        <v>3.6558825000000003E-2</v>
      </c>
      <c r="S581" s="18">
        <v>10.236471</v>
      </c>
      <c r="T581" s="18">
        <v>43.87059</v>
      </c>
      <c r="U581" s="18">
        <v>21.935295</v>
      </c>
      <c r="V581" s="18">
        <v>280.77177599999999</v>
      </c>
      <c r="W581" s="18">
        <v>263.22354000000001</v>
      </c>
      <c r="X581" s="18">
        <v>175.48236</v>
      </c>
      <c r="Y581" s="18">
        <v>7.7992160000000004</v>
      </c>
      <c r="Z581" s="18">
        <v>34.609020999999998</v>
      </c>
      <c r="AA581" s="18">
        <v>50.694904000000001</v>
      </c>
      <c r="AB581" s="18">
        <v>90.178435000000007</v>
      </c>
      <c r="AC581" s="18">
        <v>27.784707000000001</v>
      </c>
      <c r="AD581" s="18">
        <v>146.2353</v>
      </c>
    </row>
    <row r="582" spans="2:30" x14ac:dyDescent="0.25">
      <c r="B582" t="s">
        <v>133</v>
      </c>
      <c r="C582" t="s">
        <v>463</v>
      </c>
      <c r="D582" t="s">
        <v>113</v>
      </c>
      <c r="E582" s="35">
        <v>0.9</v>
      </c>
      <c r="F582" s="35">
        <v>50</v>
      </c>
      <c r="G582" s="36">
        <v>0.97729500000000002</v>
      </c>
      <c r="H582" s="18">
        <v>1759.1313479999999</v>
      </c>
      <c r="I582" s="16">
        <v>0</v>
      </c>
      <c r="J582" s="16"/>
      <c r="K582" s="16"/>
      <c r="L582" s="37" t="s">
        <v>107</v>
      </c>
      <c r="M582" s="37"/>
      <c r="N582" s="37">
        <v>76</v>
      </c>
      <c r="O582" s="37"/>
      <c r="P582" s="37"/>
      <c r="Q582" s="18">
        <v>10.750245</v>
      </c>
      <c r="R582" s="18">
        <v>7.3297125000000005E-2</v>
      </c>
      <c r="S582" s="18">
        <v>20.523195000000001</v>
      </c>
      <c r="T582" s="18">
        <v>87.956550000000007</v>
      </c>
      <c r="U582" s="18">
        <v>43.978275000000004</v>
      </c>
      <c r="V582" s="18">
        <v>562.92192</v>
      </c>
      <c r="W582" s="18">
        <v>527.73929999999996</v>
      </c>
      <c r="X582" s="18">
        <v>351.82620000000003</v>
      </c>
      <c r="Y582" s="18">
        <v>15.63672</v>
      </c>
      <c r="Z582" s="18">
        <v>69.387945000000002</v>
      </c>
      <c r="AA582" s="18">
        <v>101.63868000000001</v>
      </c>
      <c r="AB582" s="18">
        <v>180.799575</v>
      </c>
      <c r="AC582" s="18">
        <v>55.705815000000001</v>
      </c>
      <c r="AD582" s="18">
        <v>293.18850000000003</v>
      </c>
    </row>
    <row r="583" spans="2:30" x14ac:dyDescent="0.25">
      <c r="B583" t="s">
        <v>158</v>
      </c>
      <c r="C583" t="s">
        <v>463</v>
      </c>
      <c r="D583" t="s">
        <v>159</v>
      </c>
      <c r="E583" s="35">
        <v>0.9</v>
      </c>
      <c r="F583" s="35">
        <v>18</v>
      </c>
      <c r="G583" s="36">
        <v>8.2380999999999996E-2</v>
      </c>
      <c r="H583" s="18">
        <v>148.286599</v>
      </c>
      <c r="I583" s="16">
        <v>0</v>
      </c>
      <c r="J583" s="16"/>
      <c r="K583" s="16"/>
      <c r="L583" s="37" t="s">
        <v>107</v>
      </c>
      <c r="M583" s="37"/>
      <c r="N583" s="37">
        <v>77</v>
      </c>
      <c r="O583" s="37"/>
      <c r="P583" s="37"/>
      <c r="Q583" s="18">
        <v>0.90619099999999997</v>
      </c>
      <c r="R583" s="18">
        <v>6.1785749999999995E-3</v>
      </c>
      <c r="S583" s="18">
        <v>1.7300009999999999</v>
      </c>
      <c r="T583" s="18">
        <v>7.4142899999999994</v>
      </c>
      <c r="U583" s="18">
        <v>3.7071449999999997</v>
      </c>
      <c r="V583" s="18">
        <v>47.451456</v>
      </c>
      <c r="W583" s="18">
        <v>44.48574</v>
      </c>
      <c r="X583" s="18">
        <v>29.657159999999998</v>
      </c>
      <c r="Y583" s="18">
        <v>1.3180959999999999</v>
      </c>
      <c r="Z583" s="18">
        <v>5.8490509999999993</v>
      </c>
      <c r="AA583" s="18">
        <v>8.5676240000000004</v>
      </c>
      <c r="AB583" s="18">
        <v>15.240485</v>
      </c>
      <c r="AC583" s="18">
        <v>4.6957170000000001</v>
      </c>
      <c r="AD583" s="18">
        <v>24.714299999999998</v>
      </c>
    </row>
    <row r="584" spans="2:30" x14ac:dyDescent="0.25">
      <c r="B584" t="s">
        <v>162</v>
      </c>
      <c r="C584" t="s">
        <v>463</v>
      </c>
      <c r="D584" t="s">
        <v>164</v>
      </c>
      <c r="E584" s="35">
        <v>0.9</v>
      </c>
      <c r="F584" s="35">
        <v>24</v>
      </c>
      <c r="G584" s="36">
        <v>8.4455000000000002E-2</v>
      </c>
      <c r="H584" s="18">
        <v>152.01968400000001</v>
      </c>
      <c r="I584" s="16">
        <v>0</v>
      </c>
      <c r="J584" s="16"/>
      <c r="K584" s="16"/>
      <c r="L584" s="37" t="s">
        <v>107</v>
      </c>
      <c r="M584" s="37"/>
      <c r="N584" s="37">
        <v>78</v>
      </c>
      <c r="O584" s="37"/>
      <c r="P584" s="37"/>
      <c r="Q584" s="18">
        <v>0.92900500000000008</v>
      </c>
      <c r="R584" s="18">
        <v>6.3341250000000003E-3</v>
      </c>
      <c r="S584" s="18">
        <v>1.773555</v>
      </c>
      <c r="T584" s="18">
        <v>7.6009500000000001</v>
      </c>
      <c r="U584" s="18">
        <v>3.800475</v>
      </c>
      <c r="V584" s="18">
        <v>48.646079999999998</v>
      </c>
      <c r="W584" s="18">
        <v>45.605699999999999</v>
      </c>
      <c r="X584" s="18">
        <v>30.4038</v>
      </c>
      <c r="Y584" s="18">
        <v>1.35128</v>
      </c>
      <c r="Z584" s="18">
        <v>5.9963050000000004</v>
      </c>
      <c r="AA584" s="18">
        <v>8.7833199999999998</v>
      </c>
      <c r="AB584" s="18">
        <v>15.624175000000001</v>
      </c>
      <c r="AC584" s="18">
        <v>4.8139349999999999</v>
      </c>
      <c r="AD584" s="18">
        <v>25.336500000000001</v>
      </c>
    </row>
    <row r="585" spans="2:30" x14ac:dyDescent="0.25">
      <c r="B585" t="s">
        <v>158</v>
      </c>
      <c r="C585" t="s">
        <v>463</v>
      </c>
      <c r="D585" t="s">
        <v>159</v>
      </c>
      <c r="E585" s="35">
        <v>0.9</v>
      </c>
      <c r="F585" s="35">
        <v>18</v>
      </c>
      <c r="G585" s="36">
        <v>8.2380999999999996E-2</v>
      </c>
      <c r="H585" s="18">
        <v>148.286599</v>
      </c>
      <c r="I585" s="16">
        <v>0</v>
      </c>
      <c r="J585" s="16"/>
      <c r="K585" s="16"/>
      <c r="L585" s="37" t="s">
        <v>107</v>
      </c>
      <c r="M585" s="37"/>
      <c r="N585" s="37">
        <v>79</v>
      </c>
      <c r="O585" s="37"/>
      <c r="P585" s="37"/>
      <c r="Q585" s="18">
        <v>0.90619099999999997</v>
      </c>
      <c r="R585" s="18">
        <v>6.1785749999999995E-3</v>
      </c>
      <c r="S585" s="18">
        <v>1.7300009999999999</v>
      </c>
      <c r="T585" s="18">
        <v>7.4142899999999994</v>
      </c>
      <c r="U585" s="18">
        <v>3.7071449999999997</v>
      </c>
      <c r="V585" s="18">
        <v>47.451456</v>
      </c>
      <c r="W585" s="18">
        <v>44.48574</v>
      </c>
      <c r="X585" s="18">
        <v>29.657159999999998</v>
      </c>
      <c r="Y585" s="18">
        <v>1.3180959999999999</v>
      </c>
      <c r="Z585" s="18">
        <v>5.8490509999999993</v>
      </c>
      <c r="AA585" s="18">
        <v>8.5676240000000004</v>
      </c>
      <c r="AB585" s="18">
        <v>15.240485</v>
      </c>
      <c r="AC585" s="18">
        <v>4.6957170000000001</v>
      </c>
      <c r="AD585" s="18">
        <v>24.714299999999998</v>
      </c>
    </row>
    <row r="586" spans="2:30" x14ac:dyDescent="0.25">
      <c r="B586" t="s">
        <v>162</v>
      </c>
      <c r="C586" t="s">
        <v>463</v>
      </c>
      <c r="D586" t="s">
        <v>164</v>
      </c>
      <c r="E586" s="35">
        <v>0.9</v>
      </c>
      <c r="F586" s="35">
        <v>24</v>
      </c>
      <c r="G586" s="36">
        <v>8.4477999999999998E-2</v>
      </c>
      <c r="H586" s="18">
        <v>152.059572</v>
      </c>
      <c r="I586" s="16">
        <v>0</v>
      </c>
      <c r="J586" s="16"/>
      <c r="K586" s="16"/>
      <c r="L586" s="37" t="s">
        <v>107</v>
      </c>
      <c r="M586" s="37"/>
      <c r="N586" s="37">
        <v>80</v>
      </c>
      <c r="O586" s="37"/>
      <c r="P586" s="37"/>
      <c r="Q586" s="18">
        <v>0.92925799999999992</v>
      </c>
      <c r="R586" s="18">
        <v>6.3358499999999996E-3</v>
      </c>
      <c r="S586" s="18">
        <v>1.774038</v>
      </c>
      <c r="T586" s="18">
        <v>7.6030199999999999</v>
      </c>
      <c r="U586" s="18">
        <v>3.8015099999999999</v>
      </c>
      <c r="V586" s="18">
        <v>48.659328000000002</v>
      </c>
      <c r="W586" s="18">
        <v>45.618119999999998</v>
      </c>
      <c r="X586" s="18">
        <v>30.41208</v>
      </c>
      <c r="Y586" s="18">
        <v>1.351648</v>
      </c>
      <c r="Z586" s="18">
        <v>5.9979379999999995</v>
      </c>
      <c r="AA586" s="18">
        <v>8.7857120000000002</v>
      </c>
      <c r="AB586" s="18">
        <v>15.62843</v>
      </c>
      <c r="AC586" s="18">
        <v>4.8152460000000001</v>
      </c>
      <c r="AD586" s="18">
        <v>25.343399999999999</v>
      </c>
    </row>
    <row r="587" spans="2:30" x14ac:dyDescent="0.25">
      <c r="B587" t="s">
        <v>110</v>
      </c>
      <c r="C587" t="s">
        <v>463</v>
      </c>
      <c r="D587" t="s">
        <v>499</v>
      </c>
      <c r="E587" s="35">
        <v>0.9</v>
      </c>
      <c r="F587" s="35">
        <v>22</v>
      </c>
      <c r="G587" s="36">
        <v>0.293462</v>
      </c>
      <c r="H587" s="18">
        <v>528.23249599999997</v>
      </c>
      <c r="I587" s="16">
        <v>0</v>
      </c>
      <c r="J587" s="16"/>
      <c r="K587" s="16"/>
      <c r="L587" s="37" t="s">
        <v>107</v>
      </c>
      <c r="M587" s="37"/>
      <c r="N587" s="37">
        <v>81</v>
      </c>
      <c r="O587" s="37"/>
      <c r="P587" s="37"/>
      <c r="Q587" s="18">
        <v>3.2280820000000001</v>
      </c>
      <c r="R587" s="18">
        <v>2.2009649999999999E-2</v>
      </c>
      <c r="S587" s="18">
        <v>6.1627020000000003</v>
      </c>
      <c r="T587" s="18">
        <v>26.411580000000001</v>
      </c>
      <c r="U587" s="18">
        <v>13.20579</v>
      </c>
      <c r="V587" s="18">
        <v>169.03411199999999</v>
      </c>
      <c r="W587" s="18">
        <v>158.46948</v>
      </c>
      <c r="X587" s="18">
        <v>105.64632</v>
      </c>
      <c r="Y587" s="18">
        <v>4.695392</v>
      </c>
      <c r="Z587" s="18">
        <v>20.835802000000001</v>
      </c>
      <c r="AA587" s="18">
        <v>30.520047999999999</v>
      </c>
      <c r="AB587" s="18">
        <v>54.290469999999999</v>
      </c>
      <c r="AC587" s="18">
        <v>16.727333999999999</v>
      </c>
      <c r="AD587" s="18">
        <v>88.038600000000002</v>
      </c>
    </row>
    <row r="588" spans="2:30" x14ac:dyDescent="0.25">
      <c r="B588" t="s">
        <v>158</v>
      </c>
      <c r="C588" t="s">
        <v>463</v>
      </c>
      <c r="D588" t="s">
        <v>159</v>
      </c>
      <c r="E588" s="35">
        <v>0.9</v>
      </c>
      <c r="F588" s="35">
        <v>18</v>
      </c>
      <c r="G588" s="36">
        <v>8.2380999999999996E-2</v>
      </c>
      <c r="H588" s="18">
        <v>148.286599</v>
      </c>
      <c r="I588" s="16">
        <v>0</v>
      </c>
      <c r="J588" s="16"/>
      <c r="K588" s="16"/>
      <c r="L588" s="37" t="s">
        <v>107</v>
      </c>
      <c r="M588" s="37"/>
      <c r="N588" s="37">
        <v>82</v>
      </c>
      <c r="O588" s="37"/>
      <c r="P588" s="37"/>
      <c r="Q588" s="18">
        <v>0.90619099999999997</v>
      </c>
      <c r="R588" s="18">
        <v>6.1785749999999995E-3</v>
      </c>
      <c r="S588" s="18">
        <v>1.7300009999999999</v>
      </c>
      <c r="T588" s="18">
        <v>7.4142899999999994</v>
      </c>
      <c r="U588" s="18">
        <v>3.7071449999999997</v>
      </c>
      <c r="V588" s="18">
        <v>47.451456</v>
      </c>
      <c r="W588" s="18">
        <v>44.48574</v>
      </c>
      <c r="X588" s="18">
        <v>29.657159999999998</v>
      </c>
      <c r="Y588" s="18">
        <v>1.3180959999999999</v>
      </c>
      <c r="Z588" s="18">
        <v>5.8490509999999993</v>
      </c>
      <c r="AA588" s="18">
        <v>8.5676240000000004</v>
      </c>
      <c r="AB588" s="18">
        <v>15.240485</v>
      </c>
      <c r="AC588" s="18">
        <v>4.6957170000000001</v>
      </c>
      <c r="AD588" s="18">
        <v>24.714299999999998</v>
      </c>
    </row>
    <row r="589" spans="2:30" x14ac:dyDescent="0.25">
      <c r="B589" t="s">
        <v>162</v>
      </c>
      <c r="C589" t="s">
        <v>463</v>
      </c>
      <c r="D589" t="s">
        <v>164</v>
      </c>
      <c r="E589" s="35">
        <v>0.9</v>
      </c>
      <c r="F589" s="35">
        <v>24</v>
      </c>
      <c r="G589" s="36">
        <v>8.4477999999999998E-2</v>
      </c>
      <c r="H589" s="18">
        <v>152.059572</v>
      </c>
      <c r="I589" s="16">
        <v>0</v>
      </c>
      <c r="J589" s="16"/>
      <c r="K589" s="16"/>
      <c r="L589" s="37" t="s">
        <v>107</v>
      </c>
      <c r="M589" s="37"/>
      <c r="N589" s="37">
        <v>83</v>
      </c>
      <c r="O589" s="37"/>
      <c r="P589" s="37"/>
      <c r="Q589" s="18">
        <v>0.92925799999999992</v>
      </c>
      <c r="R589" s="18">
        <v>6.3358499999999996E-3</v>
      </c>
      <c r="S589" s="18">
        <v>1.774038</v>
      </c>
      <c r="T589" s="18">
        <v>7.6030199999999999</v>
      </c>
      <c r="U589" s="18">
        <v>3.8015099999999999</v>
      </c>
      <c r="V589" s="18">
        <v>48.659328000000002</v>
      </c>
      <c r="W589" s="18">
        <v>45.618119999999998</v>
      </c>
      <c r="X589" s="18">
        <v>30.41208</v>
      </c>
      <c r="Y589" s="18">
        <v>1.351648</v>
      </c>
      <c r="Z589" s="18">
        <v>5.9979379999999995</v>
      </c>
      <c r="AA589" s="18">
        <v>8.7857120000000002</v>
      </c>
      <c r="AB589" s="18">
        <v>15.62843</v>
      </c>
      <c r="AC589" s="18">
        <v>4.8152460000000001</v>
      </c>
      <c r="AD589" s="18">
        <v>25.343399999999999</v>
      </c>
    </row>
    <row r="590" spans="2:30" x14ac:dyDescent="0.25">
      <c r="B590" t="s">
        <v>162</v>
      </c>
      <c r="C590" t="s">
        <v>463</v>
      </c>
      <c r="D590" t="s">
        <v>164</v>
      </c>
      <c r="E590" s="35">
        <v>0.9</v>
      </c>
      <c r="F590" s="35">
        <v>24</v>
      </c>
      <c r="G590" s="36">
        <v>8.4477999999999998E-2</v>
      </c>
      <c r="H590" s="18">
        <v>152.059572</v>
      </c>
      <c r="I590" s="16">
        <v>0</v>
      </c>
      <c r="J590" s="16"/>
      <c r="K590" s="16"/>
      <c r="L590" s="37" t="s">
        <v>107</v>
      </c>
      <c r="M590" s="37"/>
      <c r="N590" s="37">
        <v>84</v>
      </c>
      <c r="O590" s="37"/>
      <c r="P590" s="37"/>
      <c r="Q590" s="18">
        <v>0.92925799999999992</v>
      </c>
      <c r="R590" s="18">
        <v>6.3358499999999996E-3</v>
      </c>
      <c r="S590" s="18">
        <v>1.774038</v>
      </c>
      <c r="T590" s="18">
        <v>7.6030199999999999</v>
      </c>
      <c r="U590" s="18">
        <v>3.8015099999999999</v>
      </c>
      <c r="V590" s="18">
        <v>48.659328000000002</v>
      </c>
      <c r="W590" s="18">
        <v>45.618119999999998</v>
      </c>
      <c r="X590" s="18">
        <v>30.41208</v>
      </c>
      <c r="Y590" s="18">
        <v>1.351648</v>
      </c>
      <c r="Z590" s="18">
        <v>5.9979379999999995</v>
      </c>
      <c r="AA590" s="18">
        <v>8.7857120000000002</v>
      </c>
      <c r="AB590" s="18">
        <v>15.62843</v>
      </c>
      <c r="AC590" s="18">
        <v>4.8152460000000001</v>
      </c>
      <c r="AD590" s="18">
        <v>25.343399999999999</v>
      </c>
    </row>
    <row r="591" spans="2:30" x14ac:dyDescent="0.25">
      <c r="B591" t="s">
        <v>124</v>
      </c>
      <c r="C591" t="s">
        <v>463</v>
      </c>
      <c r="D591" t="s">
        <v>125</v>
      </c>
      <c r="E591" s="35">
        <v>0.9</v>
      </c>
      <c r="F591" s="35">
        <v>35</v>
      </c>
      <c r="G591" s="36">
        <v>0.47567100000000001</v>
      </c>
      <c r="H591" s="18">
        <v>856.20800099999997</v>
      </c>
      <c r="I591" s="16">
        <v>0</v>
      </c>
      <c r="J591" s="16"/>
      <c r="K591" s="16"/>
      <c r="L591" s="37" t="s">
        <v>107</v>
      </c>
      <c r="M591" s="37"/>
      <c r="N591" s="37">
        <v>85</v>
      </c>
      <c r="O591" s="37"/>
      <c r="P591" s="37"/>
      <c r="Q591" s="18">
        <v>5.2323810000000002</v>
      </c>
      <c r="R591" s="18">
        <v>3.5675325000000001E-2</v>
      </c>
      <c r="S591" s="18">
        <v>9.9890910000000002</v>
      </c>
      <c r="T591" s="18">
        <v>42.810389999999998</v>
      </c>
      <c r="U591" s="18">
        <v>21.405194999999999</v>
      </c>
      <c r="V591" s="18">
        <v>273.98649599999999</v>
      </c>
      <c r="W591" s="18">
        <v>256.86234000000002</v>
      </c>
      <c r="X591" s="18">
        <v>171.24155999999999</v>
      </c>
      <c r="Y591" s="18">
        <v>7.6107360000000002</v>
      </c>
      <c r="Z591" s="18">
        <v>33.772641</v>
      </c>
      <c r="AA591" s="18">
        <v>49.469784000000004</v>
      </c>
      <c r="AB591" s="18">
        <v>87.999134999999995</v>
      </c>
      <c r="AC591" s="18">
        <v>27.113247000000001</v>
      </c>
      <c r="AD591" s="18">
        <v>142.7013</v>
      </c>
    </row>
    <row r="592" spans="2:30" x14ac:dyDescent="0.25">
      <c r="B592" t="s">
        <v>500</v>
      </c>
      <c r="C592" t="s">
        <v>463</v>
      </c>
      <c r="D592" t="s">
        <v>501</v>
      </c>
      <c r="E592" s="35">
        <v>1.91</v>
      </c>
      <c r="F592" s="35">
        <v>19</v>
      </c>
      <c r="G592" s="36">
        <v>0.185306</v>
      </c>
      <c r="H592" s="18">
        <v>707.86812899999995</v>
      </c>
      <c r="I592" s="16">
        <v>0</v>
      </c>
      <c r="J592" s="16"/>
      <c r="K592" s="16"/>
      <c r="L592" s="37" t="s">
        <v>107</v>
      </c>
      <c r="M592" s="37"/>
      <c r="N592" s="37">
        <v>86</v>
      </c>
      <c r="O592" s="37"/>
      <c r="P592" s="37"/>
      <c r="Q592" s="18">
        <v>2.0383659999999999</v>
      </c>
      <c r="R592" s="18">
        <v>1.3897949999999999E-2</v>
      </c>
      <c r="S592" s="18">
        <v>3.8914260000000001</v>
      </c>
      <c r="T592" s="18">
        <v>16.67754</v>
      </c>
      <c r="U592" s="18">
        <v>8.3387700000000002</v>
      </c>
      <c r="V592" s="18">
        <v>106.736256</v>
      </c>
      <c r="W592" s="18">
        <v>100.06524</v>
      </c>
      <c r="X592" s="18">
        <v>66.710160000000002</v>
      </c>
      <c r="Y592" s="18">
        <v>2.964896</v>
      </c>
      <c r="Z592" s="18">
        <v>13.156725999999999</v>
      </c>
      <c r="AA592" s="18">
        <v>19.271823999999999</v>
      </c>
      <c r="AB592" s="18">
        <v>34.281610000000001</v>
      </c>
      <c r="AC592" s="18">
        <v>10.562442000000001</v>
      </c>
      <c r="AD592" s="18">
        <v>55.591799999999999</v>
      </c>
    </row>
    <row r="593" spans="2:30" x14ac:dyDescent="0.25">
      <c r="B593" t="s">
        <v>133</v>
      </c>
      <c r="C593" t="s">
        <v>463</v>
      </c>
      <c r="D593" t="s">
        <v>502</v>
      </c>
      <c r="E593" s="35">
        <v>0.9</v>
      </c>
      <c r="F593" s="35">
        <v>50</v>
      </c>
      <c r="G593" s="36">
        <v>0.97496000000000005</v>
      </c>
      <c r="H593" s="18">
        <v>1754.9285890000001</v>
      </c>
      <c r="I593" s="16">
        <v>0</v>
      </c>
      <c r="J593" s="16"/>
      <c r="K593" s="16"/>
      <c r="L593" s="37" t="s">
        <v>107</v>
      </c>
      <c r="M593" s="37"/>
      <c r="N593" s="37">
        <v>87</v>
      </c>
      <c r="O593" s="37"/>
      <c r="P593" s="37"/>
      <c r="Q593" s="18">
        <v>10.72456</v>
      </c>
      <c r="R593" s="18">
        <v>7.3122000000000006E-2</v>
      </c>
      <c r="S593" s="18">
        <v>20.474160000000001</v>
      </c>
      <c r="T593" s="18">
        <v>87.746400000000008</v>
      </c>
      <c r="U593" s="18">
        <v>43.873200000000004</v>
      </c>
      <c r="V593" s="18">
        <v>561.57695999999999</v>
      </c>
      <c r="W593" s="18">
        <v>526.47840000000008</v>
      </c>
      <c r="X593" s="18">
        <v>350.98560000000003</v>
      </c>
      <c r="Y593" s="18">
        <v>15.599360000000001</v>
      </c>
      <c r="Z593" s="18">
        <v>69.222160000000002</v>
      </c>
      <c r="AA593" s="18">
        <v>101.39584000000001</v>
      </c>
      <c r="AB593" s="18">
        <v>180.36760000000001</v>
      </c>
      <c r="AC593" s="18">
        <v>55.572720000000004</v>
      </c>
      <c r="AD593" s="18">
        <v>292.488</v>
      </c>
    </row>
    <row r="594" spans="2:30" x14ac:dyDescent="0.25">
      <c r="B594" t="s">
        <v>110</v>
      </c>
      <c r="C594" t="s">
        <v>463</v>
      </c>
      <c r="D594" t="s">
        <v>503</v>
      </c>
      <c r="E594" s="35">
        <v>0.9</v>
      </c>
      <c r="F594" s="35">
        <v>22</v>
      </c>
      <c r="G594" s="36">
        <v>0.27945599999999998</v>
      </c>
      <c r="H594" s="18">
        <v>503.02119499999998</v>
      </c>
      <c r="I594" s="16">
        <v>0</v>
      </c>
      <c r="J594" s="16"/>
      <c r="K594" s="16"/>
      <c r="L594" s="37" t="s">
        <v>107</v>
      </c>
      <c r="M594" s="37"/>
      <c r="N594" s="37">
        <v>88</v>
      </c>
      <c r="O594" s="37"/>
      <c r="P594" s="37"/>
      <c r="Q594" s="18">
        <v>3.0740159999999999</v>
      </c>
      <c r="R594" s="18">
        <v>2.0959199999999997E-2</v>
      </c>
      <c r="S594" s="18">
        <v>5.868576</v>
      </c>
      <c r="T594" s="18">
        <v>25.151039999999998</v>
      </c>
      <c r="U594" s="18">
        <v>12.575519999999999</v>
      </c>
      <c r="V594" s="18">
        <v>160.966656</v>
      </c>
      <c r="W594" s="18">
        <v>150.90624</v>
      </c>
      <c r="X594" s="18">
        <v>100.60415999999999</v>
      </c>
      <c r="Y594" s="18">
        <v>4.4712959999999997</v>
      </c>
      <c r="Z594" s="18">
        <v>19.841376</v>
      </c>
      <c r="AA594" s="18">
        <v>29.063423999999998</v>
      </c>
      <c r="AB594" s="18">
        <v>51.699359999999999</v>
      </c>
      <c r="AC594" s="18">
        <v>15.928991999999999</v>
      </c>
      <c r="AD594" s="18">
        <v>83.836799999999997</v>
      </c>
    </row>
    <row r="595" spans="2:30" x14ac:dyDescent="0.25">
      <c r="B595" t="s">
        <v>166</v>
      </c>
      <c r="C595" t="s">
        <v>463</v>
      </c>
      <c r="D595" t="s">
        <v>149</v>
      </c>
      <c r="E595" s="35">
        <v>0.9</v>
      </c>
      <c r="F595" s="35">
        <v>26</v>
      </c>
      <c r="G595" s="36">
        <v>0.36193500000000001</v>
      </c>
      <c r="H595" s="18">
        <v>651.48277399999995</v>
      </c>
      <c r="I595" s="16">
        <v>0</v>
      </c>
      <c r="J595" s="16"/>
      <c r="K595" s="16"/>
      <c r="L595" s="37" t="s">
        <v>107</v>
      </c>
      <c r="M595" s="37"/>
      <c r="N595" s="37">
        <v>89</v>
      </c>
      <c r="O595" s="37"/>
      <c r="P595" s="37"/>
      <c r="Q595" s="18">
        <v>3.9812850000000002</v>
      </c>
      <c r="R595" s="18">
        <v>2.7145124999999999E-2</v>
      </c>
      <c r="S595" s="18">
        <v>7.6006350000000005</v>
      </c>
      <c r="T595" s="18">
        <v>32.574150000000003</v>
      </c>
      <c r="U595" s="18">
        <v>16.287075000000002</v>
      </c>
      <c r="V595" s="18">
        <v>208.47456</v>
      </c>
      <c r="W595" s="18">
        <v>195.44489999999999</v>
      </c>
      <c r="X595" s="18">
        <v>130.29660000000001</v>
      </c>
      <c r="Y595" s="18">
        <v>5.7909600000000001</v>
      </c>
      <c r="Z595" s="18">
        <v>25.697385000000001</v>
      </c>
      <c r="AA595" s="18">
        <v>37.641240000000003</v>
      </c>
      <c r="AB595" s="18">
        <v>66.957975000000005</v>
      </c>
      <c r="AC595" s="18">
        <v>20.630295</v>
      </c>
      <c r="AD595" s="18">
        <v>108.5805</v>
      </c>
    </row>
    <row r="596" spans="2:30" x14ac:dyDescent="0.25">
      <c r="B596" t="s">
        <v>269</v>
      </c>
      <c r="C596" t="s">
        <v>463</v>
      </c>
      <c r="D596" t="s">
        <v>504</v>
      </c>
      <c r="E596" s="35">
        <v>0.9</v>
      </c>
      <c r="F596" s="35">
        <v>6.6</v>
      </c>
      <c r="G596" s="36">
        <v>2.9330999999999999E-2</v>
      </c>
      <c r="H596" s="18">
        <v>52.796548000000001</v>
      </c>
      <c r="I596" s="16"/>
      <c r="J596" s="16"/>
      <c r="K596" s="16"/>
      <c r="L596" s="37" t="s">
        <v>107</v>
      </c>
      <c r="M596" s="37"/>
      <c r="N596" s="37">
        <v>90</v>
      </c>
      <c r="O596" s="37"/>
      <c r="P596" s="37"/>
      <c r="Q596" s="18">
        <v>0.32264100000000001</v>
      </c>
      <c r="R596" s="18">
        <v>2.1998249999999999E-3</v>
      </c>
      <c r="S596" s="18">
        <v>0.61595100000000003</v>
      </c>
      <c r="T596" s="18">
        <v>2.6397900000000001</v>
      </c>
      <c r="U596" s="18">
        <v>1.319895</v>
      </c>
      <c r="V596" s="18">
        <v>16.894656000000001</v>
      </c>
      <c r="W596" s="18">
        <v>15.83874</v>
      </c>
      <c r="X596" s="18">
        <v>10.55916</v>
      </c>
      <c r="Y596" s="18">
        <v>0.46929599999999999</v>
      </c>
      <c r="Z596" s="18">
        <v>2.0825010000000002</v>
      </c>
      <c r="AA596" s="18">
        <v>3.050424</v>
      </c>
      <c r="AB596" s="18">
        <v>5.4262350000000001</v>
      </c>
      <c r="AC596" s="18">
        <v>1.671867</v>
      </c>
      <c r="AD596" s="18">
        <v>8.7993000000000006</v>
      </c>
    </row>
    <row r="597" spans="2:30" x14ac:dyDescent="0.25">
      <c r="B597" t="s">
        <v>124</v>
      </c>
      <c r="C597" t="s">
        <v>463</v>
      </c>
      <c r="D597" t="s">
        <v>168</v>
      </c>
      <c r="E597" s="35">
        <v>0.9</v>
      </c>
      <c r="F597" s="35">
        <v>35</v>
      </c>
      <c r="G597" s="36">
        <v>0.41300999999999999</v>
      </c>
      <c r="H597" s="18">
        <v>743.41710799999998</v>
      </c>
      <c r="I597" s="16">
        <v>0</v>
      </c>
      <c r="J597" s="16"/>
      <c r="K597" s="16"/>
      <c r="L597" s="37" t="s">
        <v>107</v>
      </c>
      <c r="M597" s="37"/>
      <c r="N597" s="37">
        <v>91</v>
      </c>
      <c r="O597" s="37"/>
      <c r="P597" s="37"/>
      <c r="Q597" s="18">
        <v>4.5431099999999995</v>
      </c>
      <c r="R597" s="18">
        <v>3.0975749999999996E-2</v>
      </c>
      <c r="S597" s="18">
        <v>8.6732099999999992</v>
      </c>
      <c r="T597" s="18">
        <v>37.170899999999996</v>
      </c>
      <c r="U597" s="18">
        <v>18.585449999999998</v>
      </c>
      <c r="V597" s="18">
        <v>237.89375999999999</v>
      </c>
      <c r="W597" s="18">
        <v>223.02539999999999</v>
      </c>
      <c r="X597" s="18">
        <v>148.68359999999998</v>
      </c>
      <c r="Y597" s="18">
        <v>6.6081599999999998</v>
      </c>
      <c r="Z597" s="18">
        <v>29.323709999999998</v>
      </c>
      <c r="AA597" s="18">
        <v>42.953040000000001</v>
      </c>
      <c r="AB597" s="18">
        <v>76.406849999999991</v>
      </c>
      <c r="AC597" s="18">
        <v>23.54157</v>
      </c>
      <c r="AD597" s="18">
        <v>123.90299999999999</v>
      </c>
    </row>
    <row r="598" spans="2:30" x14ac:dyDescent="0.25">
      <c r="B598" t="s">
        <v>144</v>
      </c>
      <c r="C598" t="s">
        <v>463</v>
      </c>
      <c r="D598" t="s">
        <v>169</v>
      </c>
      <c r="E598" s="35">
        <v>0.9</v>
      </c>
      <c r="F598" s="35">
        <v>40</v>
      </c>
      <c r="G598" s="36">
        <v>0.75303699999999996</v>
      </c>
      <c r="H598" s="18">
        <v>1355.4671880000001</v>
      </c>
      <c r="I598" s="16">
        <v>0</v>
      </c>
      <c r="J598" s="16"/>
      <c r="K598" s="16"/>
      <c r="L598" s="37" t="s">
        <v>107</v>
      </c>
      <c r="M598" s="37"/>
      <c r="N598" s="37">
        <v>92</v>
      </c>
      <c r="O598" s="37"/>
      <c r="P598" s="37"/>
      <c r="Q598" s="18">
        <v>8.2834070000000004</v>
      </c>
      <c r="R598" s="18">
        <v>5.6477774999999994E-2</v>
      </c>
      <c r="S598" s="18">
        <v>15.813776999999998</v>
      </c>
      <c r="T598" s="18">
        <v>67.773330000000001</v>
      </c>
      <c r="U598" s="18">
        <v>33.886665000000001</v>
      </c>
      <c r="V598" s="18">
        <v>433.74931199999997</v>
      </c>
      <c r="W598" s="18">
        <v>406.63997999999998</v>
      </c>
      <c r="X598" s="18">
        <v>271.09332000000001</v>
      </c>
      <c r="Y598" s="18">
        <v>12.048591999999999</v>
      </c>
      <c r="Z598" s="18">
        <v>53.465626999999998</v>
      </c>
      <c r="AA598" s="18">
        <v>78.315847999999988</v>
      </c>
      <c r="AB598" s="18">
        <v>139.31184500000001</v>
      </c>
      <c r="AC598" s="18">
        <v>42.923108999999997</v>
      </c>
      <c r="AD598" s="18">
        <v>225.91109999999998</v>
      </c>
    </row>
    <row r="599" spans="2:30" x14ac:dyDescent="0.25">
      <c r="B599" t="s">
        <v>110</v>
      </c>
      <c r="C599" t="s">
        <v>463</v>
      </c>
      <c r="D599" t="s">
        <v>505</v>
      </c>
      <c r="E599" s="35">
        <v>0.9</v>
      </c>
      <c r="F599" s="35">
        <v>22</v>
      </c>
      <c r="G599" s="36">
        <v>0.28710400000000003</v>
      </c>
      <c r="H599" s="18">
        <v>516.78696500000001</v>
      </c>
      <c r="I599" s="16">
        <v>0</v>
      </c>
      <c r="J599" s="16"/>
      <c r="K599" s="16"/>
      <c r="L599" s="37" t="s">
        <v>107</v>
      </c>
      <c r="M599" s="37"/>
      <c r="N599" s="37">
        <v>93</v>
      </c>
      <c r="O599" s="37"/>
      <c r="P599" s="37"/>
      <c r="Q599" s="18">
        <v>3.1581440000000001</v>
      </c>
      <c r="R599" s="18">
        <v>2.1532800000000001E-2</v>
      </c>
      <c r="S599" s="18">
        <v>6.0291840000000008</v>
      </c>
      <c r="T599" s="18">
        <v>25.839360000000003</v>
      </c>
      <c r="U599" s="18">
        <v>12.919680000000001</v>
      </c>
      <c r="V599" s="18">
        <v>165.37190400000003</v>
      </c>
      <c r="W599" s="18">
        <v>155.03616000000002</v>
      </c>
      <c r="X599" s="18">
        <v>103.35744000000001</v>
      </c>
      <c r="Y599" s="18">
        <v>4.5936640000000004</v>
      </c>
      <c r="Z599" s="18">
        <v>20.384384000000001</v>
      </c>
      <c r="AA599" s="18">
        <v>29.858816000000004</v>
      </c>
      <c r="AB599" s="18">
        <v>53.114240000000002</v>
      </c>
      <c r="AC599" s="18">
        <v>16.364928000000003</v>
      </c>
      <c r="AD599" s="18">
        <v>86.131200000000007</v>
      </c>
    </row>
    <row r="600" spans="2:30" x14ac:dyDescent="0.25">
      <c r="B600" t="s">
        <v>124</v>
      </c>
      <c r="C600" t="s">
        <v>463</v>
      </c>
      <c r="D600" t="s">
        <v>506</v>
      </c>
      <c r="E600" s="35">
        <v>0.9</v>
      </c>
      <c r="F600" s="35">
        <v>35</v>
      </c>
      <c r="G600" s="36">
        <v>0.41324100000000002</v>
      </c>
      <c r="H600" s="18">
        <v>743.83299299999999</v>
      </c>
      <c r="I600" s="16">
        <v>0</v>
      </c>
      <c r="J600" s="16"/>
      <c r="K600" s="16"/>
      <c r="L600" s="37" t="s">
        <v>107</v>
      </c>
      <c r="M600" s="37"/>
      <c r="N600" s="37">
        <v>94</v>
      </c>
      <c r="O600" s="37"/>
      <c r="P600" s="37"/>
      <c r="Q600" s="18">
        <v>4.5456510000000003</v>
      </c>
      <c r="R600" s="18">
        <v>3.0993075000000002E-2</v>
      </c>
      <c r="S600" s="18">
        <v>8.6780610000000014</v>
      </c>
      <c r="T600" s="18">
        <v>37.191690000000001</v>
      </c>
      <c r="U600" s="18">
        <v>18.595845000000001</v>
      </c>
      <c r="V600" s="18">
        <v>238.02681600000003</v>
      </c>
      <c r="W600" s="18">
        <v>223.15014000000002</v>
      </c>
      <c r="X600" s="18">
        <v>148.76676</v>
      </c>
      <c r="Y600" s="18">
        <v>6.6118560000000004</v>
      </c>
      <c r="Z600" s="18">
        <v>29.340111</v>
      </c>
      <c r="AA600" s="18">
        <v>42.977064000000006</v>
      </c>
      <c r="AB600" s="18">
        <v>76.449584999999999</v>
      </c>
      <c r="AC600" s="18">
        <v>23.554737000000003</v>
      </c>
      <c r="AD600" s="18">
        <v>123.9723</v>
      </c>
    </row>
    <row r="601" spans="2:30" x14ac:dyDescent="0.25">
      <c r="B601" t="s">
        <v>166</v>
      </c>
      <c r="C601" t="s">
        <v>463</v>
      </c>
      <c r="D601" t="s">
        <v>132</v>
      </c>
      <c r="E601" s="35">
        <v>0.9</v>
      </c>
      <c r="F601" s="35">
        <v>26</v>
      </c>
      <c r="G601" s="36">
        <v>0.36210700000000001</v>
      </c>
      <c r="H601" s="18">
        <v>651.79172400000004</v>
      </c>
      <c r="I601" s="16">
        <v>0</v>
      </c>
      <c r="J601" s="16"/>
      <c r="K601" s="16"/>
      <c r="L601" s="37" t="s">
        <v>107</v>
      </c>
      <c r="M601" s="37"/>
      <c r="N601" s="37">
        <v>95</v>
      </c>
      <c r="O601" s="37"/>
      <c r="P601" s="37"/>
      <c r="Q601" s="18">
        <v>3.983177</v>
      </c>
      <c r="R601" s="18">
        <v>2.7158024999999999E-2</v>
      </c>
      <c r="S601" s="18">
        <v>7.604247</v>
      </c>
      <c r="T601" s="18">
        <v>32.58963</v>
      </c>
      <c r="U601" s="18">
        <v>16.294815</v>
      </c>
      <c r="V601" s="18">
        <v>208.573632</v>
      </c>
      <c r="W601" s="18">
        <v>195.53778</v>
      </c>
      <c r="X601" s="18">
        <v>130.35852</v>
      </c>
      <c r="Y601" s="18">
        <v>5.7937120000000002</v>
      </c>
      <c r="Z601" s="18">
        <v>25.709597000000002</v>
      </c>
      <c r="AA601" s="18">
        <v>37.659128000000003</v>
      </c>
      <c r="AB601" s="18">
        <v>66.989795000000001</v>
      </c>
      <c r="AC601" s="18">
        <v>20.640098999999999</v>
      </c>
      <c r="AD601" s="18">
        <v>108.63210000000001</v>
      </c>
    </row>
    <row r="602" spans="2:30" x14ac:dyDescent="0.25">
      <c r="B602" t="s">
        <v>144</v>
      </c>
      <c r="C602" t="s">
        <v>463</v>
      </c>
      <c r="D602" t="s">
        <v>172</v>
      </c>
      <c r="E602" s="35">
        <v>0.9</v>
      </c>
      <c r="F602" s="35">
        <v>40</v>
      </c>
      <c r="G602" s="36">
        <v>0.51731400000000005</v>
      </c>
      <c r="H602" s="18">
        <v>931.16445299999998</v>
      </c>
      <c r="I602" s="16">
        <v>0</v>
      </c>
      <c r="J602" s="16"/>
      <c r="K602" s="16"/>
      <c r="L602" s="37" t="s">
        <v>107</v>
      </c>
      <c r="M602" s="37"/>
      <c r="N602" s="37">
        <v>96</v>
      </c>
      <c r="O602" s="37"/>
      <c r="P602" s="37"/>
      <c r="Q602" s="18">
        <v>5.6904540000000008</v>
      </c>
      <c r="R602" s="18">
        <v>3.8798550000000001E-2</v>
      </c>
      <c r="S602" s="18">
        <v>10.863594000000001</v>
      </c>
      <c r="T602" s="18">
        <v>46.558260000000004</v>
      </c>
      <c r="U602" s="18">
        <v>23.279130000000002</v>
      </c>
      <c r="V602" s="18">
        <v>297.97286400000002</v>
      </c>
      <c r="W602" s="18">
        <v>279.34956000000005</v>
      </c>
      <c r="X602" s="18">
        <v>186.23304000000002</v>
      </c>
      <c r="Y602" s="18">
        <v>8.2770240000000008</v>
      </c>
      <c r="Z602" s="18">
        <v>36.729294000000003</v>
      </c>
      <c r="AA602" s="18">
        <v>53.800656000000004</v>
      </c>
      <c r="AB602" s="18">
        <v>95.703090000000003</v>
      </c>
      <c r="AC602" s="18">
        <v>29.486898000000004</v>
      </c>
      <c r="AD602" s="18">
        <v>155.19420000000002</v>
      </c>
    </row>
    <row r="603" spans="2:30" x14ac:dyDescent="0.25">
      <c r="B603" t="s">
        <v>133</v>
      </c>
      <c r="C603" t="s">
        <v>463</v>
      </c>
      <c r="D603" t="s">
        <v>507</v>
      </c>
      <c r="E603" s="35">
        <v>0.9</v>
      </c>
      <c r="F603" s="35">
        <v>50</v>
      </c>
      <c r="G603" s="36">
        <v>0.65598199999999995</v>
      </c>
      <c r="H603" s="18">
        <v>1180.7680319999999</v>
      </c>
      <c r="I603" s="16">
        <v>0</v>
      </c>
      <c r="J603" s="16"/>
      <c r="K603" s="16"/>
      <c r="L603" s="37" t="s">
        <v>107</v>
      </c>
      <c r="M603" s="37"/>
      <c r="N603" s="37">
        <v>97</v>
      </c>
      <c r="O603" s="37"/>
      <c r="P603" s="37"/>
      <c r="Q603" s="18">
        <v>7.2158019999999992</v>
      </c>
      <c r="R603" s="18">
        <v>4.9198649999999997E-2</v>
      </c>
      <c r="S603" s="18">
        <v>13.775621999999998</v>
      </c>
      <c r="T603" s="18">
        <v>59.038379999999997</v>
      </c>
      <c r="U603" s="18">
        <v>29.519189999999998</v>
      </c>
      <c r="V603" s="18">
        <v>377.84563199999997</v>
      </c>
      <c r="W603" s="18">
        <v>354.23027999999999</v>
      </c>
      <c r="X603" s="18">
        <v>236.15351999999999</v>
      </c>
      <c r="Y603" s="18">
        <v>10.495711999999999</v>
      </c>
      <c r="Z603" s="18">
        <v>46.574721999999994</v>
      </c>
      <c r="AA603" s="18">
        <v>68.222127999999998</v>
      </c>
      <c r="AB603" s="18">
        <v>121.35666999999999</v>
      </c>
      <c r="AC603" s="18">
        <v>37.390974</v>
      </c>
      <c r="AD603" s="18">
        <v>196.79459999999997</v>
      </c>
    </row>
    <row r="604" spans="2:30" x14ac:dyDescent="0.25">
      <c r="B604" t="s">
        <v>269</v>
      </c>
      <c r="C604" t="s">
        <v>463</v>
      </c>
      <c r="D604" t="s">
        <v>508</v>
      </c>
      <c r="E604" s="35">
        <v>0.9</v>
      </c>
      <c r="F604" s="35">
        <v>6.6</v>
      </c>
      <c r="G604" s="36">
        <v>5.8518000000000001E-2</v>
      </c>
      <c r="H604" s="18">
        <v>105.33171400000001</v>
      </c>
      <c r="I604" s="16"/>
      <c r="J604" s="16"/>
      <c r="K604" s="16"/>
      <c r="L604" s="37" t="s">
        <v>107</v>
      </c>
      <c r="M604" s="37"/>
      <c r="N604" s="37">
        <v>98</v>
      </c>
      <c r="O604" s="37"/>
      <c r="P604" s="37"/>
      <c r="Q604" s="18">
        <v>0.64369799999999999</v>
      </c>
      <c r="R604" s="18">
        <v>4.3888499999999997E-3</v>
      </c>
      <c r="S604" s="18">
        <v>1.2288779999999999</v>
      </c>
      <c r="T604" s="18">
        <v>5.2666199999999996</v>
      </c>
      <c r="U604" s="18">
        <v>2.6333099999999998</v>
      </c>
      <c r="V604" s="18">
        <v>33.706367999999998</v>
      </c>
      <c r="W604" s="18">
        <v>31.599720000000001</v>
      </c>
      <c r="X604" s="18">
        <v>21.066479999999999</v>
      </c>
      <c r="Y604" s="18">
        <v>0.93628800000000001</v>
      </c>
      <c r="Z604" s="18">
        <v>4.1547780000000003</v>
      </c>
      <c r="AA604" s="18">
        <v>6.0858720000000002</v>
      </c>
      <c r="AB604" s="18">
        <v>10.82583</v>
      </c>
      <c r="AC604" s="18">
        <v>3.3355260000000002</v>
      </c>
      <c r="AD604" s="18">
        <v>17.555399999999999</v>
      </c>
    </row>
    <row r="605" spans="2:30" x14ac:dyDescent="0.25">
      <c r="B605" t="s">
        <v>124</v>
      </c>
      <c r="C605" t="s">
        <v>463</v>
      </c>
      <c r="D605" t="s">
        <v>174</v>
      </c>
      <c r="E605" s="35">
        <v>0.9</v>
      </c>
      <c r="F605" s="35">
        <v>35</v>
      </c>
      <c r="G605" s="36">
        <v>0.63370899999999997</v>
      </c>
      <c r="H605" s="18">
        <v>1140.6756350000001</v>
      </c>
      <c r="I605" s="16">
        <v>0</v>
      </c>
      <c r="J605" s="16"/>
      <c r="K605" s="16"/>
      <c r="L605" s="37" t="s">
        <v>107</v>
      </c>
      <c r="M605" s="37"/>
      <c r="N605" s="37">
        <v>99</v>
      </c>
      <c r="O605" s="37"/>
      <c r="P605" s="37"/>
      <c r="Q605" s="18">
        <v>6.9707989999999995</v>
      </c>
      <c r="R605" s="18">
        <v>4.7528174999999999E-2</v>
      </c>
      <c r="S605" s="18">
        <v>13.307888999999999</v>
      </c>
      <c r="T605" s="18">
        <v>57.033809999999995</v>
      </c>
      <c r="U605" s="18">
        <v>28.516904999999998</v>
      </c>
      <c r="V605" s="18">
        <v>365.01638399999996</v>
      </c>
      <c r="W605" s="18">
        <v>342.20285999999999</v>
      </c>
      <c r="X605" s="18">
        <v>228.13523999999998</v>
      </c>
      <c r="Y605" s="18">
        <v>10.139343999999999</v>
      </c>
      <c r="Z605" s="18">
        <v>44.993338999999999</v>
      </c>
      <c r="AA605" s="18">
        <v>65.90573599999999</v>
      </c>
      <c r="AB605" s="18">
        <v>117.236165</v>
      </c>
      <c r="AC605" s="18">
        <v>36.121412999999997</v>
      </c>
      <c r="AD605" s="18">
        <v>190.11269999999999</v>
      </c>
    </row>
    <row r="606" spans="2:30" x14ac:dyDescent="0.25">
      <c r="B606" t="s">
        <v>110</v>
      </c>
      <c r="C606" t="s">
        <v>463</v>
      </c>
      <c r="D606" t="s">
        <v>175</v>
      </c>
      <c r="E606" s="35">
        <v>0.9</v>
      </c>
      <c r="F606" s="35">
        <v>22</v>
      </c>
      <c r="G606" s="36">
        <v>0.28599799999999997</v>
      </c>
      <c r="H606" s="18">
        <v>514.79656999999997</v>
      </c>
      <c r="I606" s="16">
        <v>0</v>
      </c>
      <c r="J606" s="16"/>
      <c r="K606" s="16"/>
      <c r="L606" s="37" t="s">
        <v>107</v>
      </c>
      <c r="M606" s="37"/>
      <c r="N606" s="37">
        <v>100</v>
      </c>
      <c r="O606" s="37"/>
      <c r="P606" s="37"/>
      <c r="Q606" s="18">
        <v>3.1459779999999995</v>
      </c>
      <c r="R606" s="18">
        <v>2.1449849999999996E-2</v>
      </c>
      <c r="S606" s="18">
        <v>6.0059579999999997</v>
      </c>
      <c r="T606" s="18">
        <v>25.739819999999998</v>
      </c>
      <c r="U606" s="18">
        <v>12.869909999999999</v>
      </c>
      <c r="V606" s="18">
        <v>164.734848</v>
      </c>
      <c r="W606" s="18">
        <v>154.43892</v>
      </c>
      <c r="X606" s="18">
        <v>102.95927999999999</v>
      </c>
      <c r="Y606" s="18">
        <v>4.5759679999999996</v>
      </c>
      <c r="Z606" s="18">
        <v>20.305857999999997</v>
      </c>
      <c r="AA606" s="18">
        <v>29.743791999999999</v>
      </c>
      <c r="AB606" s="18">
        <v>52.909629999999993</v>
      </c>
      <c r="AC606" s="18">
        <v>16.301886</v>
      </c>
      <c r="AD606" s="18">
        <v>85.799399999999991</v>
      </c>
    </row>
    <row r="607" spans="2:30" x14ac:dyDescent="0.25">
      <c r="B607" t="s">
        <v>166</v>
      </c>
      <c r="C607" t="s">
        <v>463</v>
      </c>
      <c r="D607" t="s">
        <v>176</v>
      </c>
      <c r="E607" s="35">
        <v>0.9</v>
      </c>
      <c r="F607" s="35">
        <v>26</v>
      </c>
      <c r="G607" s="36">
        <v>0.35352699999999998</v>
      </c>
      <c r="H607" s="18">
        <v>636.34918200000004</v>
      </c>
      <c r="I607" s="16">
        <v>0</v>
      </c>
      <c r="J607" s="16"/>
      <c r="K607" s="16"/>
      <c r="L607" s="37" t="s">
        <v>107</v>
      </c>
      <c r="M607" s="37"/>
      <c r="N607" s="37">
        <v>101</v>
      </c>
      <c r="O607" s="37"/>
      <c r="P607" s="37"/>
      <c r="Q607" s="18">
        <v>3.8887969999999998</v>
      </c>
      <c r="R607" s="18">
        <v>2.6514524999999997E-2</v>
      </c>
      <c r="S607" s="18">
        <v>7.424067</v>
      </c>
      <c r="T607" s="18">
        <v>31.817429999999998</v>
      </c>
      <c r="U607" s="18">
        <v>15.908714999999999</v>
      </c>
      <c r="V607" s="18">
        <v>203.631552</v>
      </c>
      <c r="W607" s="18">
        <v>190.90457999999998</v>
      </c>
      <c r="X607" s="18">
        <v>127.26971999999999</v>
      </c>
      <c r="Y607" s="18">
        <v>5.6564319999999997</v>
      </c>
      <c r="Z607" s="18">
        <v>25.100417</v>
      </c>
      <c r="AA607" s="18">
        <v>36.766807999999997</v>
      </c>
      <c r="AB607" s="18">
        <v>65.402495000000002</v>
      </c>
      <c r="AC607" s="18">
        <v>20.151038999999997</v>
      </c>
      <c r="AD607" s="18">
        <v>106.0581</v>
      </c>
    </row>
    <row r="608" spans="2:30" x14ac:dyDescent="0.25">
      <c r="B608" t="s">
        <v>269</v>
      </c>
      <c r="C608" t="s">
        <v>463</v>
      </c>
      <c r="D608" t="s">
        <v>509</v>
      </c>
      <c r="E608" s="35">
        <v>0.9</v>
      </c>
      <c r="F608" s="35">
        <v>6.6</v>
      </c>
      <c r="G608" s="36">
        <v>0.16372900000000001</v>
      </c>
      <c r="H608" s="18">
        <v>294.71190999999999</v>
      </c>
      <c r="I608" s="16"/>
      <c r="J608" s="16"/>
      <c r="K608" s="16"/>
      <c r="L608" s="37" t="s">
        <v>107</v>
      </c>
      <c r="M608" s="37"/>
      <c r="N608" s="37">
        <v>102</v>
      </c>
      <c r="O608" s="37"/>
      <c r="P608" s="37"/>
      <c r="Q608" s="18">
        <v>1.8010190000000001</v>
      </c>
      <c r="R608" s="18">
        <v>1.2279675E-2</v>
      </c>
      <c r="S608" s="18">
        <v>3.4383090000000003</v>
      </c>
      <c r="T608" s="18">
        <v>14.735610000000001</v>
      </c>
      <c r="U608" s="18">
        <v>7.3678050000000006</v>
      </c>
      <c r="V608" s="18">
        <v>94.307904000000008</v>
      </c>
      <c r="W608" s="18">
        <v>88.413660000000007</v>
      </c>
      <c r="X608" s="18">
        <v>58.942440000000005</v>
      </c>
      <c r="Y608" s="18">
        <v>2.6196640000000002</v>
      </c>
      <c r="Z608" s="18">
        <v>11.624759000000001</v>
      </c>
      <c r="AA608" s="18">
        <v>17.027816000000001</v>
      </c>
      <c r="AB608" s="18">
        <v>30.289865000000002</v>
      </c>
      <c r="AC608" s="18">
        <v>9.3325530000000008</v>
      </c>
      <c r="AD608" s="18">
        <v>49.118700000000004</v>
      </c>
    </row>
    <row r="609" spans="2:30" x14ac:dyDescent="0.25">
      <c r="B609" t="s">
        <v>269</v>
      </c>
      <c r="C609" t="s">
        <v>463</v>
      </c>
      <c r="D609" t="s">
        <v>510</v>
      </c>
      <c r="E609" s="35">
        <v>0.9</v>
      </c>
      <c r="F609" s="35">
        <v>6.6</v>
      </c>
      <c r="G609" s="36">
        <v>1.2286E-2</v>
      </c>
      <c r="H609" s="18">
        <v>22.115065999999999</v>
      </c>
      <c r="I609" s="16"/>
      <c r="J609" s="16"/>
      <c r="K609" s="16"/>
      <c r="L609" s="37" t="s">
        <v>107</v>
      </c>
      <c r="M609" s="37"/>
      <c r="N609" s="37">
        <v>103</v>
      </c>
      <c r="O609" s="37"/>
      <c r="P609" s="37"/>
      <c r="Q609" s="18">
        <v>0.13514599999999999</v>
      </c>
      <c r="R609" s="18">
        <v>9.2144999999999998E-4</v>
      </c>
      <c r="S609" s="18">
        <v>0.25800600000000001</v>
      </c>
      <c r="T609" s="18">
        <v>1.1057399999999999</v>
      </c>
      <c r="U609" s="18">
        <v>0.55286999999999997</v>
      </c>
      <c r="V609" s="18">
        <v>7.0767360000000004</v>
      </c>
      <c r="W609" s="18">
        <v>6.6344399999999997</v>
      </c>
      <c r="X609" s="18">
        <v>4.4229599999999998</v>
      </c>
      <c r="Y609" s="18">
        <v>0.196576</v>
      </c>
      <c r="Z609" s="18">
        <v>0.87230600000000003</v>
      </c>
      <c r="AA609" s="18">
        <v>1.277744</v>
      </c>
      <c r="AB609" s="18">
        <v>2.27291</v>
      </c>
      <c r="AC609" s="18">
        <v>0.70030199999999998</v>
      </c>
      <c r="AD609" s="18">
        <v>3.6858</v>
      </c>
    </row>
    <row r="610" spans="2:30" x14ac:dyDescent="0.25">
      <c r="B610" t="s">
        <v>108</v>
      </c>
      <c r="C610" t="s">
        <v>463</v>
      </c>
      <c r="D610" t="s">
        <v>177</v>
      </c>
      <c r="E610" s="35">
        <v>0.9</v>
      </c>
      <c r="F610" s="35">
        <v>16</v>
      </c>
      <c r="G610" s="36">
        <v>7.1678000000000006E-2</v>
      </c>
      <c r="H610" s="18">
        <v>129.019688</v>
      </c>
      <c r="I610" s="16">
        <v>0</v>
      </c>
      <c r="J610" s="16"/>
      <c r="K610" s="16"/>
      <c r="L610" s="37" t="s">
        <v>107</v>
      </c>
      <c r="M610" s="37"/>
      <c r="N610" s="37">
        <v>104</v>
      </c>
      <c r="O610" s="37"/>
      <c r="P610" s="37"/>
      <c r="Q610" s="18">
        <v>0.7884580000000001</v>
      </c>
      <c r="R610" s="18">
        <v>5.3758500000000006E-3</v>
      </c>
      <c r="S610" s="18">
        <v>1.5052380000000001</v>
      </c>
      <c r="T610" s="18">
        <v>6.4510200000000006</v>
      </c>
      <c r="U610" s="18">
        <v>3.2255100000000003</v>
      </c>
      <c r="V610" s="18">
        <v>41.286528000000004</v>
      </c>
      <c r="W610" s="18">
        <v>38.706120000000006</v>
      </c>
      <c r="X610" s="18">
        <v>25.804080000000003</v>
      </c>
      <c r="Y610" s="18">
        <v>1.1468480000000001</v>
      </c>
      <c r="Z610" s="18">
        <v>5.0891380000000002</v>
      </c>
      <c r="AA610" s="18">
        <v>7.4545120000000002</v>
      </c>
      <c r="AB610" s="18">
        <v>13.260430000000001</v>
      </c>
      <c r="AC610" s="18">
        <v>4.0856460000000006</v>
      </c>
      <c r="AD610" s="18">
        <v>21.503400000000003</v>
      </c>
    </row>
    <row r="611" spans="2:30" x14ac:dyDescent="0.25">
      <c r="B611" t="s">
        <v>108</v>
      </c>
      <c r="C611" t="s">
        <v>463</v>
      </c>
      <c r="D611" t="s">
        <v>177</v>
      </c>
      <c r="E611" s="35">
        <v>0.9</v>
      </c>
      <c r="F611" s="35">
        <v>16</v>
      </c>
      <c r="G611" s="36">
        <v>7.1678000000000006E-2</v>
      </c>
      <c r="H611" s="18">
        <v>129.019688</v>
      </c>
      <c r="I611" s="16">
        <v>0</v>
      </c>
      <c r="J611" s="16"/>
      <c r="K611" s="16"/>
      <c r="L611" s="37" t="s">
        <v>107</v>
      </c>
      <c r="M611" s="37"/>
      <c r="N611" s="37">
        <v>105</v>
      </c>
      <c r="O611" s="37"/>
      <c r="P611" s="37"/>
      <c r="Q611" s="18">
        <v>0.7884580000000001</v>
      </c>
      <c r="R611" s="18">
        <v>5.3758500000000006E-3</v>
      </c>
      <c r="S611" s="18">
        <v>1.5052380000000001</v>
      </c>
      <c r="T611" s="18">
        <v>6.4510200000000006</v>
      </c>
      <c r="U611" s="18">
        <v>3.2255100000000003</v>
      </c>
      <c r="V611" s="18">
        <v>41.286528000000004</v>
      </c>
      <c r="W611" s="18">
        <v>38.706120000000006</v>
      </c>
      <c r="X611" s="18">
        <v>25.804080000000003</v>
      </c>
      <c r="Y611" s="18">
        <v>1.1468480000000001</v>
      </c>
      <c r="Z611" s="18">
        <v>5.0891380000000002</v>
      </c>
      <c r="AA611" s="18">
        <v>7.4545120000000002</v>
      </c>
      <c r="AB611" s="18">
        <v>13.260430000000001</v>
      </c>
      <c r="AC611" s="18">
        <v>4.0856460000000006</v>
      </c>
      <c r="AD611" s="18">
        <v>21.503400000000003</v>
      </c>
    </row>
    <row r="612" spans="2:30" x14ac:dyDescent="0.25">
      <c r="B612" t="s">
        <v>269</v>
      </c>
      <c r="C612" t="s">
        <v>463</v>
      </c>
      <c r="D612" t="s">
        <v>511</v>
      </c>
      <c r="E612" s="35">
        <v>0.9</v>
      </c>
      <c r="F612" s="35">
        <v>6.6</v>
      </c>
      <c r="G612" s="36">
        <v>2.9259E-2</v>
      </c>
      <c r="H612" s="18">
        <v>52.665857000000003</v>
      </c>
      <c r="I612" s="16"/>
      <c r="J612" s="16"/>
      <c r="K612" s="16"/>
      <c r="L612" s="37" t="s">
        <v>107</v>
      </c>
      <c r="M612" s="37"/>
      <c r="N612" s="37">
        <v>106</v>
      </c>
      <c r="O612" s="37"/>
      <c r="P612" s="37"/>
      <c r="Q612" s="18">
        <v>0.321849</v>
      </c>
      <c r="R612" s="18">
        <v>2.1944249999999998E-3</v>
      </c>
      <c r="S612" s="18">
        <v>0.61443899999999996</v>
      </c>
      <c r="T612" s="18">
        <v>2.6333099999999998</v>
      </c>
      <c r="U612" s="18">
        <v>1.3166549999999999</v>
      </c>
      <c r="V612" s="18">
        <v>16.853183999999999</v>
      </c>
      <c r="W612" s="18">
        <v>15.799860000000001</v>
      </c>
      <c r="X612" s="18">
        <v>10.533239999999999</v>
      </c>
      <c r="Y612" s="18">
        <v>0.468144</v>
      </c>
      <c r="Z612" s="18">
        <v>2.0773890000000002</v>
      </c>
      <c r="AA612" s="18">
        <v>3.0429360000000001</v>
      </c>
      <c r="AB612" s="18">
        <v>5.4129149999999999</v>
      </c>
      <c r="AC612" s="18">
        <v>1.6677630000000001</v>
      </c>
      <c r="AD612" s="18">
        <v>8.7776999999999994</v>
      </c>
    </row>
    <row r="613" spans="2:30" x14ac:dyDescent="0.25">
      <c r="B613" t="s">
        <v>269</v>
      </c>
      <c r="C613" t="s">
        <v>463</v>
      </c>
      <c r="D613" t="s">
        <v>511</v>
      </c>
      <c r="E613" s="35">
        <v>0.9</v>
      </c>
      <c r="F613" s="35">
        <v>6.6</v>
      </c>
      <c r="G613" s="36">
        <v>2.9259E-2</v>
      </c>
      <c r="H613" s="18">
        <v>52.665857000000003</v>
      </c>
      <c r="I613" s="16"/>
      <c r="J613" s="16"/>
      <c r="K613" s="16"/>
      <c r="L613" s="37" t="s">
        <v>107</v>
      </c>
      <c r="M613" s="37"/>
      <c r="N613" s="37">
        <v>107</v>
      </c>
      <c r="O613" s="37"/>
      <c r="P613" s="37"/>
      <c r="Q613" s="18">
        <v>0.321849</v>
      </c>
      <c r="R613" s="18">
        <v>2.1944249999999998E-3</v>
      </c>
      <c r="S613" s="18">
        <v>0.61443899999999996</v>
      </c>
      <c r="T613" s="18">
        <v>2.6333099999999998</v>
      </c>
      <c r="U613" s="18">
        <v>1.3166549999999999</v>
      </c>
      <c r="V613" s="18">
        <v>16.853183999999999</v>
      </c>
      <c r="W613" s="18">
        <v>15.799860000000001</v>
      </c>
      <c r="X613" s="18">
        <v>10.533239999999999</v>
      </c>
      <c r="Y613" s="18">
        <v>0.468144</v>
      </c>
      <c r="Z613" s="18">
        <v>2.0773890000000002</v>
      </c>
      <c r="AA613" s="18">
        <v>3.0429360000000001</v>
      </c>
      <c r="AB613" s="18">
        <v>5.4129149999999999</v>
      </c>
      <c r="AC613" s="18">
        <v>1.6677630000000001</v>
      </c>
      <c r="AD613" s="18">
        <v>8.7776999999999994</v>
      </c>
    </row>
    <row r="614" spans="2:30" x14ac:dyDescent="0.25">
      <c r="B614" t="s">
        <v>110</v>
      </c>
      <c r="C614" t="s">
        <v>463</v>
      </c>
      <c r="D614" t="s">
        <v>181</v>
      </c>
      <c r="E614" s="35">
        <v>0.9</v>
      </c>
      <c r="F614" s="35">
        <v>22</v>
      </c>
      <c r="G614" s="36">
        <v>0.28760200000000002</v>
      </c>
      <c r="H614" s="18">
        <v>517.68422399999997</v>
      </c>
      <c r="I614" s="16">
        <v>0</v>
      </c>
      <c r="J614" s="16"/>
      <c r="K614" s="16"/>
      <c r="L614" s="37" t="s">
        <v>107</v>
      </c>
      <c r="M614" s="37"/>
      <c r="N614" s="37">
        <v>108</v>
      </c>
      <c r="O614" s="37"/>
      <c r="P614" s="37"/>
      <c r="Q614" s="18">
        <v>3.1636220000000002</v>
      </c>
      <c r="R614" s="18">
        <v>2.157015E-2</v>
      </c>
      <c r="S614" s="18">
        <v>6.0396420000000006</v>
      </c>
      <c r="T614" s="18">
        <v>25.884180000000001</v>
      </c>
      <c r="U614" s="18">
        <v>12.94209</v>
      </c>
      <c r="V614" s="18">
        <v>165.65875200000002</v>
      </c>
      <c r="W614" s="18">
        <v>155.30508</v>
      </c>
      <c r="X614" s="18">
        <v>103.53672</v>
      </c>
      <c r="Y614" s="18">
        <v>4.6016320000000004</v>
      </c>
      <c r="Z614" s="18">
        <v>20.419742000000003</v>
      </c>
      <c r="AA614" s="18">
        <v>29.910608000000003</v>
      </c>
      <c r="AB614" s="18">
        <v>53.206370000000007</v>
      </c>
      <c r="AC614" s="18">
        <v>16.393314</v>
      </c>
      <c r="AD614" s="18">
        <v>86.280600000000007</v>
      </c>
    </row>
    <row r="615" spans="2:30" x14ac:dyDescent="0.25">
      <c r="B615" t="s">
        <v>160</v>
      </c>
      <c r="C615" t="s">
        <v>463</v>
      </c>
      <c r="D615" t="s">
        <v>182</v>
      </c>
      <c r="E615" s="35">
        <v>0.9</v>
      </c>
      <c r="F615" s="35">
        <v>31</v>
      </c>
      <c r="G615" s="36">
        <v>0.52718600000000004</v>
      </c>
      <c r="H615" s="18">
        <v>948.935203</v>
      </c>
      <c r="I615" s="16">
        <v>0</v>
      </c>
      <c r="J615" s="16"/>
      <c r="K615" s="16"/>
      <c r="L615" s="37" t="s">
        <v>107</v>
      </c>
      <c r="M615" s="37"/>
      <c r="N615" s="37">
        <v>109</v>
      </c>
      <c r="O615" s="37"/>
      <c r="P615" s="37"/>
      <c r="Q615" s="18">
        <v>5.7990460000000006</v>
      </c>
      <c r="R615" s="18">
        <v>3.9538950000000003E-2</v>
      </c>
      <c r="S615" s="18">
        <v>11.070906000000001</v>
      </c>
      <c r="T615" s="18">
        <v>47.446740000000005</v>
      </c>
      <c r="U615" s="18">
        <v>23.723370000000003</v>
      </c>
      <c r="V615" s="18">
        <v>303.65913600000005</v>
      </c>
      <c r="W615" s="18">
        <v>284.68044000000003</v>
      </c>
      <c r="X615" s="18">
        <v>189.78696000000002</v>
      </c>
      <c r="Y615" s="18">
        <v>8.4349760000000007</v>
      </c>
      <c r="Z615" s="18">
        <v>37.430206000000005</v>
      </c>
      <c r="AA615" s="18">
        <v>54.827344000000004</v>
      </c>
      <c r="AB615" s="18">
        <v>97.529410000000013</v>
      </c>
      <c r="AC615" s="18">
        <v>30.049602000000004</v>
      </c>
      <c r="AD615" s="18">
        <v>158.1558</v>
      </c>
    </row>
    <row r="616" spans="2:30" x14ac:dyDescent="0.25">
      <c r="B616" t="s">
        <v>166</v>
      </c>
      <c r="C616" t="s">
        <v>463</v>
      </c>
      <c r="D616" t="s">
        <v>132</v>
      </c>
      <c r="E616" s="35">
        <v>0.9</v>
      </c>
      <c r="F616" s="35">
        <v>26</v>
      </c>
      <c r="G616" s="36">
        <v>0.36210700000000001</v>
      </c>
      <c r="H616" s="18">
        <v>651.79172400000004</v>
      </c>
      <c r="I616" s="16">
        <v>0</v>
      </c>
      <c r="J616" s="16"/>
      <c r="K616" s="16"/>
      <c r="L616" s="37" t="s">
        <v>107</v>
      </c>
      <c r="M616" s="37"/>
      <c r="N616" s="37">
        <v>110</v>
      </c>
      <c r="O616" s="37"/>
      <c r="P616" s="37"/>
      <c r="Q616" s="18">
        <v>3.983177</v>
      </c>
      <c r="R616" s="18">
        <v>2.7158024999999999E-2</v>
      </c>
      <c r="S616" s="18">
        <v>7.604247</v>
      </c>
      <c r="T616" s="18">
        <v>32.58963</v>
      </c>
      <c r="U616" s="18">
        <v>16.294815</v>
      </c>
      <c r="V616" s="18">
        <v>208.573632</v>
      </c>
      <c r="W616" s="18">
        <v>195.53778</v>
      </c>
      <c r="X616" s="18">
        <v>130.35852</v>
      </c>
      <c r="Y616" s="18">
        <v>5.7937120000000002</v>
      </c>
      <c r="Z616" s="18">
        <v>25.709597000000002</v>
      </c>
      <c r="AA616" s="18">
        <v>37.659128000000003</v>
      </c>
      <c r="AB616" s="18">
        <v>66.989795000000001</v>
      </c>
      <c r="AC616" s="18">
        <v>20.640098999999999</v>
      </c>
      <c r="AD616" s="18">
        <v>108.63210000000001</v>
      </c>
    </row>
    <row r="617" spans="2:30" x14ac:dyDescent="0.25">
      <c r="B617" t="s">
        <v>144</v>
      </c>
      <c r="C617" t="s">
        <v>463</v>
      </c>
      <c r="D617" t="s">
        <v>512</v>
      </c>
      <c r="E617" s="35">
        <v>0.9</v>
      </c>
      <c r="F617" s="35">
        <v>40</v>
      </c>
      <c r="G617" s="36">
        <v>0.490338</v>
      </c>
      <c r="H617" s="18">
        <v>882.60865899999999</v>
      </c>
      <c r="I617" s="16">
        <v>0</v>
      </c>
      <c r="J617" s="16"/>
      <c r="K617" s="16"/>
      <c r="L617" s="37" t="s">
        <v>107</v>
      </c>
      <c r="M617" s="37"/>
      <c r="N617" s="37">
        <v>111</v>
      </c>
      <c r="O617" s="37"/>
      <c r="P617" s="37"/>
      <c r="Q617" s="18">
        <v>5.3937179999999998</v>
      </c>
      <c r="R617" s="18">
        <v>3.6775349999999998E-2</v>
      </c>
      <c r="S617" s="18">
        <v>10.297098</v>
      </c>
      <c r="T617" s="18">
        <v>44.130420000000001</v>
      </c>
      <c r="U617" s="18">
        <v>22.06521</v>
      </c>
      <c r="V617" s="18">
        <v>282.43468799999999</v>
      </c>
      <c r="W617" s="18">
        <v>264.78251999999998</v>
      </c>
      <c r="X617" s="18">
        <v>176.52168</v>
      </c>
      <c r="Y617" s="18">
        <v>7.8454079999999999</v>
      </c>
      <c r="Z617" s="18">
        <v>34.813997999999998</v>
      </c>
      <c r="AA617" s="18">
        <v>50.995151999999997</v>
      </c>
      <c r="AB617" s="18">
        <v>90.712530000000001</v>
      </c>
      <c r="AC617" s="18">
        <v>27.949266000000001</v>
      </c>
      <c r="AD617" s="18">
        <v>147.10140000000001</v>
      </c>
    </row>
    <row r="618" spans="2:30" x14ac:dyDescent="0.25">
      <c r="B618" t="s">
        <v>124</v>
      </c>
      <c r="C618" t="s">
        <v>463</v>
      </c>
      <c r="D618" t="s">
        <v>193</v>
      </c>
      <c r="E618" s="35">
        <v>0.9</v>
      </c>
      <c r="F618" s="35">
        <v>35</v>
      </c>
      <c r="G618" s="36">
        <v>0.430927</v>
      </c>
      <c r="H618" s="18">
        <v>775.66817000000003</v>
      </c>
      <c r="I618" s="16">
        <v>0</v>
      </c>
      <c r="J618" s="16"/>
      <c r="K618" s="16"/>
      <c r="L618" s="37" t="s">
        <v>107</v>
      </c>
      <c r="M618" s="37"/>
      <c r="N618" s="37">
        <v>112</v>
      </c>
      <c r="O618" s="37"/>
      <c r="P618" s="37"/>
      <c r="Q618" s="18">
        <v>4.7401970000000002</v>
      </c>
      <c r="R618" s="18">
        <v>3.2319525000000002E-2</v>
      </c>
      <c r="S618" s="18">
        <v>9.0494669999999999</v>
      </c>
      <c r="T618" s="18">
        <v>38.783430000000003</v>
      </c>
      <c r="U618" s="18">
        <v>19.391715000000001</v>
      </c>
      <c r="V618" s="18">
        <v>248.21395200000001</v>
      </c>
      <c r="W618" s="18">
        <v>232.70058</v>
      </c>
      <c r="X618" s="18">
        <v>155.13372000000001</v>
      </c>
      <c r="Y618" s="18">
        <v>6.8948320000000001</v>
      </c>
      <c r="Z618" s="18">
        <v>30.595817</v>
      </c>
      <c r="AA618" s="18">
        <v>44.816408000000003</v>
      </c>
      <c r="AB618" s="18">
        <v>79.721495000000004</v>
      </c>
      <c r="AC618" s="18">
        <v>24.562839</v>
      </c>
      <c r="AD618" s="18">
        <v>129.27809999999999</v>
      </c>
    </row>
    <row r="619" spans="2:30" x14ac:dyDescent="0.25">
      <c r="B619" t="s">
        <v>110</v>
      </c>
      <c r="C619" t="s">
        <v>463</v>
      </c>
      <c r="D619" t="s">
        <v>513</v>
      </c>
      <c r="E619" s="35">
        <v>0.9</v>
      </c>
      <c r="F619" s="35">
        <v>22</v>
      </c>
      <c r="G619" s="36">
        <v>0.279976</v>
      </c>
      <c r="H619" s="18">
        <v>503.95678199999998</v>
      </c>
      <c r="I619" s="16">
        <v>0</v>
      </c>
      <c r="J619" s="16"/>
      <c r="K619" s="16"/>
      <c r="L619" s="37" t="s">
        <v>107</v>
      </c>
      <c r="M619" s="37"/>
      <c r="N619" s="37">
        <v>113</v>
      </c>
      <c r="O619" s="37"/>
      <c r="P619" s="37"/>
      <c r="Q619" s="18">
        <v>3.079736</v>
      </c>
      <c r="R619" s="18">
        <v>2.0998199999999998E-2</v>
      </c>
      <c r="S619" s="18">
        <v>5.8794959999999996</v>
      </c>
      <c r="T619" s="18">
        <v>25.197839999999999</v>
      </c>
      <c r="U619" s="18">
        <v>12.59892</v>
      </c>
      <c r="V619" s="18">
        <v>161.266176</v>
      </c>
      <c r="W619" s="18">
        <v>151.18704</v>
      </c>
      <c r="X619" s="18">
        <v>100.79136</v>
      </c>
      <c r="Y619" s="18">
        <v>4.479616</v>
      </c>
      <c r="Z619" s="18">
        <v>19.878295999999999</v>
      </c>
      <c r="AA619" s="18">
        <v>29.117504</v>
      </c>
      <c r="AB619" s="18">
        <v>51.795560000000002</v>
      </c>
      <c r="AC619" s="18">
        <v>15.958632</v>
      </c>
      <c r="AD619" s="18">
        <v>83.992800000000003</v>
      </c>
    </row>
    <row r="620" spans="2:30" x14ac:dyDescent="0.25">
      <c r="B620" t="s">
        <v>110</v>
      </c>
      <c r="C620" t="s">
        <v>463</v>
      </c>
      <c r="D620" t="s">
        <v>194</v>
      </c>
      <c r="E620" s="35">
        <v>0.9</v>
      </c>
      <c r="F620" s="35">
        <v>22</v>
      </c>
      <c r="G620" s="36">
        <v>0.178927</v>
      </c>
      <c r="H620" s="18">
        <v>322.06818399999997</v>
      </c>
      <c r="I620" s="16">
        <v>0</v>
      </c>
      <c r="J620" s="16"/>
      <c r="K620" s="16"/>
      <c r="L620" s="37" t="s">
        <v>107</v>
      </c>
      <c r="M620" s="37"/>
      <c r="N620" s="37">
        <v>114</v>
      </c>
      <c r="O620" s="37"/>
      <c r="P620" s="37"/>
      <c r="Q620" s="18">
        <v>1.968197</v>
      </c>
      <c r="R620" s="18">
        <v>1.3419525E-2</v>
      </c>
      <c r="S620" s="18">
        <v>3.7574670000000001</v>
      </c>
      <c r="T620" s="18">
        <v>16.103429999999999</v>
      </c>
      <c r="U620" s="18">
        <v>8.0517149999999997</v>
      </c>
      <c r="V620" s="18">
        <v>103.06195200000001</v>
      </c>
      <c r="W620" s="18">
        <v>96.620580000000004</v>
      </c>
      <c r="X620" s="18">
        <v>64.413719999999998</v>
      </c>
      <c r="Y620" s="18">
        <v>2.862832</v>
      </c>
      <c r="Z620" s="18">
        <v>12.703817000000001</v>
      </c>
      <c r="AA620" s="18">
        <v>18.608408000000001</v>
      </c>
      <c r="AB620" s="18">
        <v>33.101495</v>
      </c>
      <c r="AC620" s="18">
        <v>10.198839</v>
      </c>
      <c r="AD620" s="18">
        <v>53.678100000000001</v>
      </c>
    </row>
    <row r="621" spans="2:30" x14ac:dyDescent="0.25">
      <c r="B621" t="s">
        <v>110</v>
      </c>
      <c r="C621" t="s">
        <v>463</v>
      </c>
      <c r="D621" t="s">
        <v>514</v>
      </c>
      <c r="E621" s="35">
        <v>0.9</v>
      </c>
      <c r="F621" s="35">
        <v>22</v>
      </c>
      <c r="G621" s="36">
        <v>0.15692800000000001</v>
      </c>
      <c r="H621" s="18">
        <v>282.46979499999998</v>
      </c>
      <c r="I621" s="16">
        <v>0</v>
      </c>
      <c r="J621" s="16"/>
      <c r="K621" s="16"/>
      <c r="L621" s="37" t="s">
        <v>107</v>
      </c>
      <c r="M621" s="37"/>
      <c r="N621" s="37">
        <v>115</v>
      </c>
      <c r="O621" s="37"/>
      <c r="P621" s="37"/>
      <c r="Q621" s="18">
        <v>1.7262080000000002</v>
      </c>
      <c r="R621" s="18">
        <v>1.17696E-2</v>
      </c>
      <c r="S621" s="18">
        <v>3.2954880000000002</v>
      </c>
      <c r="T621" s="18">
        <v>14.123520000000001</v>
      </c>
      <c r="U621" s="18">
        <v>7.0617600000000005</v>
      </c>
      <c r="V621" s="18">
        <v>90.390528000000003</v>
      </c>
      <c r="W621" s="18">
        <v>84.741120000000009</v>
      </c>
      <c r="X621" s="18">
        <v>56.494080000000004</v>
      </c>
      <c r="Y621" s="18">
        <v>2.5108480000000002</v>
      </c>
      <c r="Z621" s="18">
        <v>11.141888000000002</v>
      </c>
      <c r="AA621" s="18">
        <v>16.320512000000001</v>
      </c>
      <c r="AB621" s="18">
        <v>29.031680000000001</v>
      </c>
      <c r="AC621" s="18">
        <v>8.944896</v>
      </c>
      <c r="AD621" s="18">
        <v>47.078400000000002</v>
      </c>
    </row>
    <row r="622" spans="2:30" x14ac:dyDescent="0.25">
      <c r="B622" t="s">
        <v>110</v>
      </c>
      <c r="C622" t="s">
        <v>463</v>
      </c>
      <c r="D622" t="s">
        <v>515</v>
      </c>
      <c r="E622" s="35">
        <v>0.9</v>
      </c>
      <c r="F622" s="35">
        <v>22</v>
      </c>
      <c r="G622" s="36">
        <v>0.36987900000000001</v>
      </c>
      <c r="H622" s="18">
        <v>665.782197</v>
      </c>
      <c r="I622" s="16">
        <v>0</v>
      </c>
      <c r="J622" s="16"/>
      <c r="K622" s="16"/>
      <c r="L622" s="37" t="s">
        <v>107</v>
      </c>
      <c r="M622" s="37"/>
      <c r="N622" s="37">
        <v>116</v>
      </c>
      <c r="O622" s="37"/>
      <c r="P622" s="37"/>
      <c r="Q622" s="18">
        <v>4.0686689999999999</v>
      </c>
      <c r="R622" s="18">
        <v>2.7740925E-2</v>
      </c>
      <c r="S622" s="18">
        <v>7.7674590000000006</v>
      </c>
      <c r="T622" s="18">
        <v>33.289110000000001</v>
      </c>
      <c r="U622" s="18">
        <v>16.644555</v>
      </c>
      <c r="V622" s="18">
        <v>213.05030400000001</v>
      </c>
      <c r="W622" s="18">
        <v>199.73466000000002</v>
      </c>
      <c r="X622" s="18">
        <v>133.15644</v>
      </c>
      <c r="Y622" s="18">
        <v>5.9180640000000002</v>
      </c>
      <c r="Z622" s="18">
        <v>26.261409</v>
      </c>
      <c r="AA622" s="18">
        <v>38.467416</v>
      </c>
      <c r="AB622" s="18">
        <v>68.427615000000003</v>
      </c>
      <c r="AC622" s="18">
        <v>21.083103000000001</v>
      </c>
      <c r="AD622" s="18">
        <v>110.9637</v>
      </c>
    </row>
    <row r="623" spans="2:30" x14ac:dyDescent="0.25">
      <c r="B623" t="s">
        <v>166</v>
      </c>
      <c r="C623" t="s">
        <v>463</v>
      </c>
      <c r="D623" t="s">
        <v>132</v>
      </c>
      <c r="E623" s="35">
        <v>0.9</v>
      </c>
      <c r="F623" s="35">
        <v>26</v>
      </c>
      <c r="G623" s="36">
        <v>0.36210700000000001</v>
      </c>
      <c r="H623" s="18">
        <v>651.79172400000004</v>
      </c>
      <c r="I623" s="16">
        <v>0</v>
      </c>
      <c r="J623" s="16"/>
      <c r="K623" s="16"/>
      <c r="L623" s="37" t="s">
        <v>107</v>
      </c>
      <c r="M623" s="37"/>
      <c r="N623" s="37">
        <v>117</v>
      </c>
      <c r="O623" s="37"/>
      <c r="P623" s="37"/>
      <c r="Q623" s="18">
        <v>3.983177</v>
      </c>
      <c r="R623" s="18">
        <v>2.7158024999999999E-2</v>
      </c>
      <c r="S623" s="18">
        <v>7.604247</v>
      </c>
      <c r="T623" s="18">
        <v>32.58963</v>
      </c>
      <c r="U623" s="18">
        <v>16.294815</v>
      </c>
      <c r="V623" s="18">
        <v>208.573632</v>
      </c>
      <c r="W623" s="18">
        <v>195.53778</v>
      </c>
      <c r="X623" s="18">
        <v>130.35852</v>
      </c>
      <c r="Y623" s="18">
        <v>5.7937120000000002</v>
      </c>
      <c r="Z623" s="18">
        <v>25.709597000000002</v>
      </c>
      <c r="AA623" s="18">
        <v>37.659128000000003</v>
      </c>
      <c r="AB623" s="18">
        <v>66.989795000000001</v>
      </c>
      <c r="AC623" s="18">
        <v>20.640098999999999</v>
      </c>
      <c r="AD623" s="18">
        <v>108.63210000000001</v>
      </c>
    </row>
    <row r="624" spans="2:30" x14ac:dyDescent="0.25">
      <c r="B624" t="s">
        <v>465</v>
      </c>
      <c r="C624" t="s">
        <v>463</v>
      </c>
      <c r="D624" t="s">
        <v>516</v>
      </c>
      <c r="E624" s="35">
        <v>0.9</v>
      </c>
      <c r="F624" s="35">
        <v>7.2</v>
      </c>
      <c r="G624" s="36">
        <v>2.6147E-2</v>
      </c>
      <c r="H624" s="18">
        <v>47.064183</v>
      </c>
      <c r="I624" s="16"/>
      <c r="J624" s="16"/>
      <c r="K624" s="16"/>
      <c r="L624" s="37" t="s">
        <v>107</v>
      </c>
      <c r="M624" s="37"/>
      <c r="N624" s="37">
        <v>118</v>
      </c>
      <c r="O624" s="37"/>
      <c r="P624" s="37"/>
      <c r="Q624" s="18">
        <v>0.28761700000000001</v>
      </c>
      <c r="R624" s="18">
        <v>1.9610249999999999E-3</v>
      </c>
      <c r="S624" s="18">
        <v>0.54908699999999999</v>
      </c>
      <c r="T624" s="18">
        <v>2.3532299999999999</v>
      </c>
      <c r="U624" s="18">
        <v>1.176615</v>
      </c>
      <c r="V624" s="18">
        <v>15.060672</v>
      </c>
      <c r="W624" s="18">
        <v>14.11938</v>
      </c>
      <c r="X624" s="18">
        <v>9.4129199999999997</v>
      </c>
      <c r="Y624" s="18">
        <v>0.418352</v>
      </c>
      <c r="Z624" s="18">
        <v>1.8564370000000001</v>
      </c>
      <c r="AA624" s="18">
        <v>2.7192880000000001</v>
      </c>
      <c r="AB624" s="18">
        <v>4.8371950000000004</v>
      </c>
      <c r="AC624" s="18">
        <v>1.4903789999999999</v>
      </c>
      <c r="AD624" s="18">
        <v>7.8441000000000001</v>
      </c>
    </row>
    <row r="625" spans="2:30" x14ac:dyDescent="0.25">
      <c r="B625" t="s">
        <v>110</v>
      </c>
      <c r="C625" t="s">
        <v>463</v>
      </c>
      <c r="D625" t="s">
        <v>205</v>
      </c>
      <c r="E625" s="35">
        <v>0.9</v>
      </c>
      <c r="F625" s="35">
        <v>22</v>
      </c>
      <c r="G625" s="36">
        <v>0.25783099999999998</v>
      </c>
      <c r="H625" s="18">
        <v>464.09512999999998</v>
      </c>
      <c r="I625" s="16">
        <v>0</v>
      </c>
      <c r="J625" s="16"/>
      <c r="K625" s="16"/>
      <c r="L625" s="37" t="s">
        <v>107</v>
      </c>
      <c r="M625" s="37"/>
      <c r="N625" s="37">
        <v>119</v>
      </c>
      <c r="O625" s="37"/>
      <c r="P625" s="37"/>
      <c r="Q625" s="18">
        <v>2.8361409999999996</v>
      </c>
      <c r="R625" s="18">
        <v>1.9337324999999999E-2</v>
      </c>
      <c r="S625" s="18">
        <v>5.4144509999999997</v>
      </c>
      <c r="T625" s="18">
        <v>23.204789999999999</v>
      </c>
      <c r="U625" s="18">
        <v>11.602395</v>
      </c>
      <c r="V625" s="18">
        <v>148.51065599999998</v>
      </c>
      <c r="W625" s="18">
        <v>139.22873999999999</v>
      </c>
      <c r="X625" s="18">
        <v>92.819159999999997</v>
      </c>
      <c r="Y625" s="18">
        <v>4.1252959999999996</v>
      </c>
      <c r="Z625" s="18">
        <v>18.306000999999998</v>
      </c>
      <c r="AA625" s="18">
        <v>26.814423999999999</v>
      </c>
      <c r="AB625" s="18">
        <v>47.698734999999999</v>
      </c>
      <c r="AC625" s="18">
        <v>14.696366999999999</v>
      </c>
      <c r="AD625" s="18">
        <v>77.349299999999999</v>
      </c>
    </row>
    <row r="626" spans="2:30" x14ac:dyDescent="0.25">
      <c r="B626" t="s">
        <v>110</v>
      </c>
      <c r="C626" t="s">
        <v>463</v>
      </c>
      <c r="D626" t="s">
        <v>189</v>
      </c>
      <c r="E626" s="35">
        <v>0.9</v>
      </c>
      <c r="F626" s="35">
        <v>22</v>
      </c>
      <c r="G626" s="36">
        <v>0.28349600000000003</v>
      </c>
      <c r="H626" s="18">
        <v>510.29252400000001</v>
      </c>
      <c r="I626" s="16">
        <v>0</v>
      </c>
      <c r="J626" s="16"/>
      <c r="K626" s="16"/>
      <c r="L626" s="37" t="s">
        <v>107</v>
      </c>
      <c r="M626" s="37"/>
      <c r="N626" s="37">
        <v>120</v>
      </c>
      <c r="O626" s="37"/>
      <c r="P626" s="37"/>
      <c r="Q626" s="18">
        <v>3.1184560000000001</v>
      </c>
      <c r="R626" s="18">
        <v>2.1262200000000002E-2</v>
      </c>
      <c r="S626" s="18">
        <v>5.9534160000000007</v>
      </c>
      <c r="T626" s="18">
        <v>25.514640000000004</v>
      </c>
      <c r="U626" s="18">
        <v>12.757320000000002</v>
      </c>
      <c r="V626" s="18">
        <v>163.29369600000001</v>
      </c>
      <c r="W626" s="18">
        <v>153.08784</v>
      </c>
      <c r="X626" s="18">
        <v>102.05856000000001</v>
      </c>
      <c r="Y626" s="18">
        <v>4.5359360000000004</v>
      </c>
      <c r="Z626" s="18">
        <v>20.128216000000002</v>
      </c>
      <c r="AA626" s="18">
        <v>29.483584000000004</v>
      </c>
      <c r="AB626" s="18">
        <v>52.446760000000005</v>
      </c>
      <c r="AC626" s="18">
        <v>16.159272000000001</v>
      </c>
      <c r="AD626" s="18">
        <v>85.048800000000014</v>
      </c>
    </row>
    <row r="627" spans="2:30" x14ac:dyDescent="0.25">
      <c r="B627" t="s">
        <v>144</v>
      </c>
      <c r="C627" t="s">
        <v>463</v>
      </c>
      <c r="D627" t="s">
        <v>157</v>
      </c>
      <c r="E627" s="35">
        <v>0.9</v>
      </c>
      <c r="F627" s="35">
        <v>40</v>
      </c>
      <c r="G627" s="36">
        <v>0.55384500000000003</v>
      </c>
      <c r="H627" s="18">
        <v>996.92177700000002</v>
      </c>
      <c r="I627" s="16">
        <v>0</v>
      </c>
      <c r="J627" s="16"/>
      <c r="K627" s="16"/>
      <c r="L627" s="37" t="s">
        <v>107</v>
      </c>
      <c r="M627" s="37"/>
      <c r="N627" s="37">
        <v>121</v>
      </c>
      <c r="O627" s="37"/>
      <c r="P627" s="37"/>
      <c r="Q627" s="18">
        <v>6.092295</v>
      </c>
      <c r="R627" s="18">
        <v>4.1538375000000002E-2</v>
      </c>
      <c r="S627" s="18">
        <v>11.630745000000001</v>
      </c>
      <c r="T627" s="18">
        <v>49.846050000000005</v>
      </c>
      <c r="U627" s="18">
        <v>24.923025000000003</v>
      </c>
      <c r="V627" s="18">
        <v>319.01472000000001</v>
      </c>
      <c r="W627" s="18">
        <v>299.0763</v>
      </c>
      <c r="X627" s="18">
        <v>199.38420000000002</v>
      </c>
      <c r="Y627" s="18">
        <v>8.8615200000000005</v>
      </c>
      <c r="Z627" s="18">
        <v>39.322994999999999</v>
      </c>
      <c r="AA627" s="18">
        <v>57.599880000000006</v>
      </c>
      <c r="AB627" s="18">
        <v>102.461325</v>
      </c>
      <c r="AC627" s="18">
        <v>31.569165000000002</v>
      </c>
      <c r="AD627" s="18">
        <v>166.15350000000001</v>
      </c>
    </row>
    <row r="628" spans="2:30" x14ac:dyDescent="0.25">
      <c r="B628" t="s">
        <v>187</v>
      </c>
      <c r="C628" t="s">
        <v>463</v>
      </c>
      <c r="D628" t="s">
        <v>184</v>
      </c>
      <c r="E628" s="35">
        <v>0.9</v>
      </c>
      <c r="F628" s="35">
        <v>55</v>
      </c>
      <c r="G628" s="36">
        <v>0.78170300000000004</v>
      </c>
      <c r="H628" s="18">
        <v>1407.065967</v>
      </c>
      <c r="I628" s="16">
        <v>0</v>
      </c>
      <c r="J628" s="16"/>
      <c r="K628" s="16"/>
      <c r="L628" s="37" t="s">
        <v>107</v>
      </c>
      <c r="M628" s="37"/>
      <c r="N628" s="37">
        <v>122</v>
      </c>
      <c r="O628" s="37"/>
      <c r="P628" s="37"/>
      <c r="Q628" s="18">
        <v>8.5987330000000011</v>
      </c>
      <c r="R628" s="18">
        <v>5.8627724999999999E-2</v>
      </c>
      <c r="S628" s="18">
        <v>16.415763000000002</v>
      </c>
      <c r="T628" s="18">
        <v>70.353270000000009</v>
      </c>
      <c r="U628" s="18">
        <v>35.176635000000005</v>
      </c>
      <c r="V628" s="18">
        <v>450.26092800000004</v>
      </c>
      <c r="W628" s="18">
        <v>422.11962</v>
      </c>
      <c r="X628" s="18">
        <v>281.41308000000004</v>
      </c>
      <c r="Y628" s="18">
        <v>12.507248000000001</v>
      </c>
      <c r="Z628" s="18">
        <v>55.500913000000004</v>
      </c>
      <c r="AA628" s="18">
        <v>81.297111999999998</v>
      </c>
      <c r="AB628" s="18">
        <v>144.61505500000001</v>
      </c>
      <c r="AC628" s="18">
        <v>44.557071000000001</v>
      </c>
      <c r="AD628" s="18">
        <v>234.51090000000002</v>
      </c>
    </row>
    <row r="629" spans="2:30" x14ac:dyDescent="0.25">
      <c r="B629" t="s">
        <v>166</v>
      </c>
      <c r="C629" t="s">
        <v>463</v>
      </c>
      <c r="D629" t="s">
        <v>125</v>
      </c>
      <c r="E629" s="35">
        <v>0.9</v>
      </c>
      <c r="F629" s="35">
        <v>26</v>
      </c>
      <c r="G629" s="36">
        <v>0.353356</v>
      </c>
      <c r="H629" s="18">
        <v>636.04022899999995</v>
      </c>
      <c r="I629" s="16">
        <v>0</v>
      </c>
      <c r="J629" s="16"/>
      <c r="K629" s="16"/>
      <c r="L629" s="37" t="s">
        <v>107</v>
      </c>
      <c r="M629" s="37"/>
      <c r="N629" s="37">
        <v>123</v>
      </c>
      <c r="O629" s="37"/>
      <c r="P629" s="37"/>
      <c r="Q629" s="18">
        <v>3.8869160000000003</v>
      </c>
      <c r="R629" s="18">
        <v>2.65017E-2</v>
      </c>
      <c r="S629" s="18">
        <v>7.4204759999999998</v>
      </c>
      <c r="T629" s="18">
        <v>31.802040000000002</v>
      </c>
      <c r="U629" s="18">
        <v>15.901020000000001</v>
      </c>
      <c r="V629" s="18">
        <v>203.53305599999999</v>
      </c>
      <c r="W629" s="18">
        <v>190.81224</v>
      </c>
      <c r="X629" s="18">
        <v>127.20816000000001</v>
      </c>
      <c r="Y629" s="18">
        <v>5.6536960000000001</v>
      </c>
      <c r="Z629" s="18">
        <v>25.088276</v>
      </c>
      <c r="AA629" s="18">
        <v>36.749023999999999</v>
      </c>
      <c r="AB629" s="18">
        <v>65.370860000000008</v>
      </c>
      <c r="AC629" s="18">
        <v>20.141292</v>
      </c>
      <c r="AD629" s="18">
        <v>106.0068</v>
      </c>
    </row>
    <row r="630" spans="2:30" x14ac:dyDescent="0.25">
      <c r="B630" t="s">
        <v>517</v>
      </c>
      <c r="C630" t="s">
        <v>463</v>
      </c>
      <c r="D630" t="s">
        <v>518</v>
      </c>
      <c r="E630" s="35">
        <v>0.9</v>
      </c>
      <c r="F630" s="35">
        <v>16.2</v>
      </c>
      <c r="G630" s="36">
        <v>7.9422000000000006E-2</v>
      </c>
      <c r="H630" s="18">
        <v>142.959834</v>
      </c>
      <c r="I630" s="16"/>
      <c r="J630" s="16"/>
      <c r="K630" s="16"/>
      <c r="L630" s="37" t="s">
        <v>107</v>
      </c>
      <c r="M630" s="37"/>
      <c r="N630" s="37">
        <v>124</v>
      </c>
      <c r="O630" s="37"/>
      <c r="P630" s="37"/>
      <c r="Q630" s="18">
        <v>0.87364200000000003</v>
      </c>
      <c r="R630" s="18">
        <v>5.95665E-3</v>
      </c>
      <c r="S630" s="18">
        <v>1.6678620000000002</v>
      </c>
      <c r="T630" s="18">
        <v>7.1479800000000004</v>
      </c>
      <c r="U630" s="18">
        <v>3.5739900000000002</v>
      </c>
      <c r="V630" s="18">
        <v>45.747072000000003</v>
      </c>
      <c r="W630" s="18">
        <v>42.887880000000003</v>
      </c>
      <c r="X630" s="18">
        <v>28.591920000000002</v>
      </c>
      <c r="Y630" s="18">
        <v>1.2707520000000001</v>
      </c>
      <c r="Z630" s="18">
        <v>5.6389620000000003</v>
      </c>
      <c r="AA630" s="18">
        <v>8.2598880000000001</v>
      </c>
      <c r="AB630" s="18">
        <v>14.693070000000001</v>
      </c>
      <c r="AC630" s="18">
        <v>4.5270540000000006</v>
      </c>
      <c r="AD630" s="18">
        <v>23.826600000000003</v>
      </c>
    </row>
    <row r="631" spans="2:30" x14ac:dyDescent="0.25">
      <c r="B631" t="s">
        <v>517</v>
      </c>
      <c r="C631" t="s">
        <v>463</v>
      </c>
      <c r="D631" t="s">
        <v>519</v>
      </c>
      <c r="E631" s="35">
        <v>0.9</v>
      </c>
      <c r="F631" s="35">
        <v>16.2</v>
      </c>
      <c r="G631" s="36">
        <v>5.2990000000000002E-2</v>
      </c>
      <c r="H631" s="18">
        <v>95.381343000000001</v>
      </c>
      <c r="I631" s="16"/>
      <c r="J631" s="16"/>
      <c r="K631" s="16"/>
      <c r="L631" s="37" t="s">
        <v>107</v>
      </c>
      <c r="M631" s="37"/>
      <c r="N631" s="37">
        <v>125</v>
      </c>
      <c r="O631" s="37"/>
      <c r="P631" s="37"/>
      <c r="Q631" s="18">
        <v>0.58289000000000002</v>
      </c>
      <c r="R631" s="18">
        <v>3.9742500000000004E-3</v>
      </c>
      <c r="S631" s="18">
        <v>1.1127899999999999</v>
      </c>
      <c r="T631" s="18">
        <v>4.7690999999999999</v>
      </c>
      <c r="U631" s="18">
        <v>2.3845499999999999</v>
      </c>
      <c r="V631" s="18">
        <v>30.52224</v>
      </c>
      <c r="W631" s="18">
        <v>28.614600000000003</v>
      </c>
      <c r="X631" s="18">
        <v>19.0764</v>
      </c>
      <c r="Y631" s="18">
        <v>0.84784000000000004</v>
      </c>
      <c r="Z631" s="18">
        <v>3.7622900000000001</v>
      </c>
      <c r="AA631" s="18">
        <v>5.5109599999999999</v>
      </c>
      <c r="AB631" s="18">
        <v>9.8031500000000005</v>
      </c>
      <c r="AC631" s="18">
        <v>3.0204300000000002</v>
      </c>
      <c r="AD631" s="18">
        <v>15.897</v>
      </c>
    </row>
    <row r="632" spans="2:30" x14ac:dyDescent="0.25">
      <c r="B632" t="s">
        <v>517</v>
      </c>
      <c r="C632" t="s">
        <v>463</v>
      </c>
      <c r="D632" t="s">
        <v>520</v>
      </c>
      <c r="E632" s="35">
        <v>0.9</v>
      </c>
      <c r="F632" s="35">
        <v>16.2</v>
      </c>
      <c r="G632" s="36">
        <v>7.9815999999999998E-2</v>
      </c>
      <c r="H632" s="18">
        <v>143.66920099999999</v>
      </c>
      <c r="I632" s="16"/>
      <c r="J632" s="16"/>
      <c r="K632" s="16"/>
      <c r="L632" s="37" t="s">
        <v>107</v>
      </c>
      <c r="M632" s="37"/>
      <c r="N632" s="37">
        <v>126</v>
      </c>
      <c r="O632" s="37"/>
      <c r="P632" s="37"/>
      <c r="Q632" s="18">
        <v>0.87797599999999998</v>
      </c>
      <c r="R632" s="18">
        <v>5.9861999999999997E-3</v>
      </c>
      <c r="S632" s="18">
        <v>1.6761360000000001</v>
      </c>
      <c r="T632" s="18">
        <v>7.18344</v>
      </c>
      <c r="U632" s="18">
        <v>3.59172</v>
      </c>
      <c r="V632" s="18">
        <v>45.974015999999999</v>
      </c>
      <c r="W632" s="18">
        <v>43.100639999999999</v>
      </c>
      <c r="X632" s="18">
        <v>28.73376</v>
      </c>
      <c r="Y632" s="18">
        <v>1.277056</v>
      </c>
      <c r="Z632" s="18">
        <v>5.6669359999999998</v>
      </c>
      <c r="AA632" s="18">
        <v>8.3008640000000007</v>
      </c>
      <c r="AB632" s="18">
        <v>14.76596</v>
      </c>
      <c r="AC632" s="18">
        <v>4.549512</v>
      </c>
      <c r="AD632" s="18">
        <v>23.944800000000001</v>
      </c>
    </row>
    <row r="633" spans="2:30" x14ac:dyDescent="0.25">
      <c r="B633" t="s">
        <v>517</v>
      </c>
      <c r="C633" t="s">
        <v>463</v>
      </c>
      <c r="D633" t="s">
        <v>519</v>
      </c>
      <c r="E633" s="35">
        <v>0.9</v>
      </c>
      <c r="F633" s="35">
        <v>16.2</v>
      </c>
      <c r="G633" s="36">
        <v>5.2990000000000002E-2</v>
      </c>
      <c r="H633" s="18">
        <v>95.381343000000001</v>
      </c>
      <c r="I633" s="16"/>
      <c r="J633" s="16"/>
      <c r="K633" s="16"/>
      <c r="L633" s="37" t="s">
        <v>107</v>
      </c>
      <c r="M633" s="37"/>
      <c r="N633" s="37">
        <v>127</v>
      </c>
      <c r="O633" s="37"/>
      <c r="P633" s="37"/>
      <c r="Q633" s="18">
        <v>0.58289000000000002</v>
      </c>
      <c r="R633" s="18">
        <v>3.9742500000000004E-3</v>
      </c>
      <c r="S633" s="18">
        <v>1.1127899999999999</v>
      </c>
      <c r="T633" s="18">
        <v>4.7690999999999999</v>
      </c>
      <c r="U633" s="18">
        <v>2.3845499999999999</v>
      </c>
      <c r="V633" s="18">
        <v>30.52224</v>
      </c>
      <c r="W633" s="18">
        <v>28.614600000000003</v>
      </c>
      <c r="X633" s="18">
        <v>19.0764</v>
      </c>
      <c r="Y633" s="18">
        <v>0.84784000000000004</v>
      </c>
      <c r="Z633" s="18">
        <v>3.7622900000000001</v>
      </c>
      <c r="AA633" s="18">
        <v>5.5109599999999999</v>
      </c>
      <c r="AB633" s="18">
        <v>9.8031500000000005</v>
      </c>
      <c r="AC633" s="18">
        <v>3.0204300000000002</v>
      </c>
      <c r="AD633" s="18">
        <v>15.897</v>
      </c>
    </row>
    <row r="634" spans="2:30" x14ac:dyDescent="0.25">
      <c r="B634" t="s">
        <v>517</v>
      </c>
      <c r="C634" t="s">
        <v>463</v>
      </c>
      <c r="D634" t="s">
        <v>518</v>
      </c>
      <c r="E634" s="35">
        <v>0.9</v>
      </c>
      <c r="F634" s="35">
        <v>16.2</v>
      </c>
      <c r="G634" s="36">
        <v>7.9422000000000006E-2</v>
      </c>
      <c r="H634" s="18">
        <v>142.959834</v>
      </c>
      <c r="I634" s="16"/>
      <c r="J634" s="16"/>
      <c r="K634" s="16"/>
      <c r="L634" s="37" t="s">
        <v>107</v>
      </c>
      <c r="M634" s="37"/>
      <c r="N634" s="37">
        <v>128</v>
      </c>
      <c r="O634" s="37"/>
      <c r="P634" s="37"/>
      <c r="Q634" s="18">
        <v>0.87364200000000003</v>
      </c>
      <c r="R634" s="18">
        <v>5.95665E-3</v>
      </c>
      <c r="S634" s="18">
        <v>1.6678620000000002</v>
      </c>
      <c r="T634" s="18">
        <v>7.1479800000000004</v>
      </c>
      <c r="U634" s="18">
        <v>3.5739900000000002</v>
      </c>
      <c r="V634" s="18">
        <v>45.747072000000003</v>
      </c>
      <c r="W634" s="18">
        <v>42.887880000000003</v>
      </c>
      <c r="X634" s="18">
        <v>28.591920000000002</v>
      </c>
      <c r="Y634" s="18">
        <v>1.2707520000000001</v>
      </c>
      <c r="Z634" s="18">
        <v>5.6389620000000003</v>
      </c>
      <c r="AA634" s="18">
        <v>8.2598880000000001</v>
      </c>
      <c r="AB634" s="18">
        <v>14.693070000000001</v>
      </c>
      <c r="AC634" s="18">
        <v>4.5270540000000006</v>
      </c>
      <c r="AD634" s="18">
        <v>23.826600000000003</v>
      </c>
    </row>
    <row r="635" spans="2:30" x14ac:dyDescent="0.25">
      <c r="B635" t="s">
        <v>517</v>
      </c>
      <c r="C635" t="s">
        <v>463</v>
      </c>
      <c r="D635" t="s">
        <v>519</v>
      </c>
      <c r="E635" s="35">
        <v>0.9</v>
      </c>
      <c r="F635" s="35">
        <v>16.2</v>
      </c>
      <c r="G635" s="36">
        <v>5.2990000000000002E-2</v>
      </c>
      <c r="H635" s="18">
        <v>95.381343000000001</v>
      </c>
      <c r="I635" s="16"/>
      <c r="J635" s="16"/>
      <c r="K635" s="16"/>
      <c r="L635" s="37" t="s">
        <v>107</v>
      </c>
      <c r="M635" s="37"/>
      <c r="N635" s="37">
        <v>129</v>
      </c>
      <c r="O635" s="37"/>
      <c r="P635" s="37"/>
      <c r="Q635" s="18">
        <v>0.58289000000000002</v>
      </c>
      <c r="R635" s="18">
        <v>3.9742500000000004E-3</v>
      </c>
      <c r="S635" s="18">
        <v>1.1127899999999999</v>
      </c>
      <c r="T635" s="18">
        <v>4.7690999999999999</v>
      </c>
      <c r="U635" s="18">
        <v>2.3845499999999999</v>
      </c>
      <c r="V635" s="18">
        <v>30.52224</v>
      </c>
      <c r="W635" s="18">
        <v>28.614600000000003</v>
      </c>
      <c r="X635" s="18">
        <v>19.0764</v>
      </c>
      <c r="Y635" s="18">
        <v>0.84784000000000004</v>
      </c>
      <c r="Z635" s="18">
        <v>3.7622900000000001</v>
      </c>
      <c r="AA635" s="18">
        <v>5.5109599999999999</v>
      </c>
      <c r="AB635" s="18">
        <v>9.8031500000000005</v>
      </c>
      <c r="AC635" s="18">
        <v>3.0204300000000002</v>
      </c>
      <c r="AD635" s="18">
        <v>15.897</v>
      </c>
    </row>
    <row r="636" spans="2:30" x14ac:dyDescent="0.25">
      <c r="B636" t="s">
        <v>517</v>
      </c>
      <c r="C636" t="s">
        <v>463</v>
      </c>
      <c r="D636" t="s">
        <v>520</v>
      </c>
      <c r="E636" s="35">
        <v>0.9</v>
      </c>
      <c r="F636" s="35">
        <v>16.2</v>
      </c>
      <c r="G636" s="36">
        <v>7.9815999999999998E-2</v>
      </c>
      <c r="H636" s="18">
        <v>143.66920099999999</v>
      </c>
      <c r="I636" s="16"/>
      <c r="J636" s="16"/>
      <c r="K636" s="16"/>
      <c r="L636" s="37" t="s">
        <v>107</v>
      </c>
      <c r="M636" s="37"/>
      <c r="N636" s="37">
        <v>130</v>
      </c>
      <c r="O636" s="37"/>
      <c r="P636" s="37"/>
      <c r="Q636" s="18">
        <v>0.87797599999999998</v>
      </c>
      <c r="R636" s="18">
        <v>5.9861999999999997E-3</v>
      </c>
      <c r="S636" s="18">
        <v>1.6761360000000001</v>
      </c>
      <c r="T636" s="18">
        <v>7.18344</v>
      </c>
      <c r="U636" s="18">
        <v>3.59172</v>
      </c>
      <c r="V636" s="18">
        <v>45.974015999999999</v>
      </c>
      <c r="W636" s="18">
        <v>43.100639999999999</v>
      </c>
      <c r="X636" s="18">
        <v>28.73376</v>
      </c>
      <c r="Y636" s="18">
        <v>1.277056</v>
      </c>
      <c r="Z636" s="18">
        <v>5.6669359999999998</v>
      </c>
      <c r="AA636" s="18">
        <v>8.3008640000000007</v>
      </c>
      <c r="AB636" s="18">
        <v>14.76596</v>
      </c>
      <c r="AC636" s="18">
        <v>4.549512</v>
      </c>
      <c r="AD636" s="18">
        <v>23.944800000000001</v>
      </c>
    </row>
    <row r="637" spans="2:30" x14ac:dyDescent="0.25">
      <c r="B637" t="s">
        <v>517</v>
      </c>
      <c r="C637" t="s">
        <v>463</v>
      </c>
      <c r="D637" t="s">
        <v>519</v>
      </c>
      <c r="E637" s="35">
        <v>0.9</v>
      </c>
      <c r="F637" s="35">
        <v>16.2</v>
      </c>
      <c r="G637" s="36">
        <v>5.2990000000000002E-2</v>
      </c>
      <c r="H637" s="18">
        <v>95.381343000000001</v>
      </c>
      <c r="I637" s="16"/>
      <c r="J637" s="16"/>
      <c r="K637" s="16"/>
      <c r="L637" s="37" t="s">
        <v>107</v>
      </c>
      <c r="M637" s="37"/>
      <c r="N637" s="37">
        <v>131</v>
      </c>
      <c r="O637" s="37"/>
      <c r="P637" s="37"/>
      <c r="Q637" s="18">
        <v>0.58289000000000002</v>
      </c>
      <c r="R637" s="18">
        <v>3.9742500000000004E-3</v>
      </c>
      <c r="S637" s="18">
        <v>1.1127899999999999</v>
      </c>
      <c r="T637" s="18">
        <v>4.7690999999999999</v>
      </c>
      <c r="U637" s="18">
        <v>2.3845499999999999</v>
      </c>
      <c r="V637" s="18">
        <v>30.52224</v>
      </c>
      <c r="W637" s="18">
        <v>28.614600000000003</v>
      </c>
      <c r="X637" s="18">
        <v>19.0764</v>
      </c>
      <c r="Y637" s="18">
        <v>0.84784000000000004</v>
      </c>
      <c r="Z637" s="18">
        <v>3.7622900000000001</v>
      </c>
      <c r="AA637" s="18">
        <v>5.5109599999999999</v>
      </c>
      <c r="AB637" s="18">
        <v>9.8031500000000005</v>
      </c>
      <c r="AC637" s="18">
        <v>3.0204300000000002</v>
      </c>
      <c r="AD637" s="18">
        <v>15.897</v>
      </c>
    </row>
    <row r="638" spans="2:30" x14ac:dyDescent="0.25">
      <c r="B638" t="s">
        <v>517</v>
      </c>
      <c r="C638" t="s">
        <v>463</v>
      </c>
      <c r="D638" t="s">
        <v>518</v>
      </c>
      <c r="E638" s="35">
        <v>0.9</v>
      </c>
      <c r="F638" s="35">
        <v>16.2</v>
      </c>
      <c r="G638" s="36">
        <v>7.9422000000000006E-2</v>
      </c>
      <c r="H638" s="18">
        <v>142.959834</v>
      </c>
      <c r="I638" s="16"/>
      <c r="J638" s="16"/>
      <c r="K638" s="16"/>
      <c r="L638" s="37" t="s">
        <v>107</v>
      </c>
      <c r="M638" s="37"/>
      <c r="N638" s="37">
        <v>132</v>
      </c>
      <c r="O638" s="37"/>
      <c r="P638" s="37"/>
      <c r="Q638" s="18">
        <v>0.87364200000000003</v>
      </c>
      <c r="R638" s="18">
        <v>5.95665E-3</v>
      </c>
      <c r="S638" s="18">
        <v>1.6678620000000002</v>
      </c>
      <c r="T638" s="18">
        <v>7.1479800000000004</v>
      </c>
      <c r="U638" s="18">
        <v>3.5739900000000002</v>
      </c>
      <c r="V638" s="18">
        <v>45.747072000000003</v>
      </c>
      <c r="W638" s="18">
        <v>42.887880000000003</v>
      </c>
      <c r="X638" s="18">
        <v>28.591920000000002</v>
      </c>
      <c r="Y638" s="18">
        <v>1.2707520000000001</v>
      </c>
      <c r="Z638" s="18">
        <v>5.6389620000000003</v>
      </c>
      <c r="AA638" s="18">
        <v>8.2598880000000001</v>
      </c>
      <c r="AB638" s="18">
        <v>14.693070000000001</v>
      </c>
      <c r="AC638" s="18">
        <v>4.5270540000000006</v>
      </c>
      <c r="AD638" s="18">
        <v>23.826600000000003</v>
      </c>
    </row>
    <row r="639" spans="2:30" x14ac:dyDescent="0.25">
      <c r="B639" t="s">
        <v>517</v>
      </c>
      <c r="C639" t="s">
        <v>463</v>
      </c>
      <c r="D639" t="s">
        <v>519</v>
      </c>
      <c r="E639" s="35">
        <v>0.9</v>
      </c>
      <c r="F639" s="35">
        <v>16.2</v>
      </c>
      <c r="G639" s="36">
        <v>5.2990000000000002E-2</v>
      </c>
      <c r="H639" s="18">
        <v>95.381343000000001</v>
      </c>
      <c r="I639" s="16"/>
      <c r="J639" s="16"/>
      <c r="K639" s="16"/>
      <c r="L639" s="37" t="s">
        <v>107</v>
      </c>
      <c r="M639" s="37"/>
      <c r="N639" s="37">
        <v>133</v>
      </c>
      <c r="O639" s="37"/>
      <c r="P639" s="37"/>
      <c r="Q639" s="18">
        <v>0.58289000000000002</v>
      </c>
      <c r="R639" s="18">
        <v>3.9742500000000004E-3</v>
      </c>
      <c r="S639" s="18">
        <v>1.1127899999999999</v>
      </c>
      <c r="T639" s="18">
        <v>4.7690999999999999</v>
      </c>
      <c r="U639" s="18">
        <v>2.3845499999999999</v>
      </c>
      <c r="V639" s="18">
        <v>30.52224</v>
      </c>
      <c r="W639" s="18">
        <v>28.614600000000003</v>
      </c>
      <c r="X639" s="18">
        <v>19.0764</v>
      </c>
      <c r="Y639" s="18">
        <v>0.84784000000000004</v>
      </c>
      <c r="Z639" s="18">
        <v>3.7622900000000001</v>
      </c>
      <c r="AA639" s="18">
        <v>5.5109599999999999</v>
      </c>
      <c r="AB639" s="18">
        <v>9.8031500000000005</v>
      </c>
      <c r="AC639" s="18">
        <v>3.0204300000000002</v>
      </c>
      <c r="AD639" s="18">
        <v>15.897</v>
      </c>
    </row>
    <row r="640" spans="2:30" x14ac:dyDescent="0.25">
      <c r="B640" t="s">
        <v>517</v>
      </c>
      <c r="C640" t="s">
        <v>463</v>
      </c>
      <c r="D640" t="s">
        <v>520</v>
      </c>
      <c r="E640" s="35">
        <v>0.9</v>
      </c>
      <c r="F640" s="35">
        <v>16.2</v>
      </c>
      <c r="G640" s="36">
        <v>7.9815999999999998E-2</v>
      </c>
      <c r="H640" s="18">
        <v>143.66920099999999</v>
      </c>
      <c r="I640" s="16"/>
      <c r="J640" s="16"/>
      <c r="K640" s="16"/>
      <c r="L640" s="37" t="s">
        <v>107</v>
      </c>
      <c r="M640" s="37"/>
      <c r="N640" s="37">
        <v>134</v>
      </c>
      <c r="O640" s="37"/>
      <c r="P640" s="37"/>
      <c r="Q640" s="18">
        <v>0.87797599999999998</v>
      </c>
      <c r="R640" s="18">
        <v>5.9861999999999997E-3</v>
      </c>
      <c r="S640" s="18">
        <v>1.6761360000000001</v>
      </c>
      <c r="T640" s="18">
        <v>7.18344</v>
      </c>
      <c r="U640" s="18">
        <v>3.59172</v>
      </c>
      <c r="V640" s="18">
        <v>45.974015999999999</v>
      </c>
      <c r="W640" s="18">
        <v>43.100639999999999</v>
      </c>
      <c r="X640" s="18">
        <v>28.73376</v>
      </c>
      <c r="Y640" s="18">
        <v>1.277056</v>
      </c>
      <c r="Z640" s="18">
        <v>5.6669359999999998</v>
      </c>
      <c r="AA640" s="18">
        <v>8.3008640000000007</v>
      </c>
      <c r="AB640" s="18">
        <v>14.76596</v>
      </c>
      <c r="AC640" s="18">
        <v>4.549512</v>
      </c>
      <c r="AD640" s="18">
        <v>23.944800000000001</v>
      </c>
    </row>
    <row r="641" spans="2:30" x14ac:dyDescent="0.25">
      <c r="B641" t="s">
        <v>517</v>
      </c>
      <c r="C641" t="s">
        <v>463</v>
      </c>
      <c r="D641" t="s">
        <v>519</v>
      </c>
      <c r="E641" s="35">
        <v>0.9</v>
      </c>
      <c r="F641" s="35">
        <v>16.2</v>
      </c>
      <c r="G641" s="36">
        <v>5.2990000000000002E-2</v>
      </c>
      <c r="H641" s="18">
        <v>95.381343000000001</v>
      </c>
      <c r="I641" s="16"/>
      <c r="J641" s="16"/>
      <c r="K641" s="16"/>
      <c r="L641" s="37" t="s">
        <v>107</v>
      </c>
      <c r="M641" s="37"/>
      <c r="N641" s="37">
        <v>135</v>
      </c>
      <c r="O641" s="37"/>
      <c r="P641" s="37"/>
      <c r="Q641" s="18">
        <v>0.58289000000000002</v>
      </c>
      <c r="R641" s="18">
        <v>3.9742500000000004E-3</v>
      </c>
      <c r="S641" s="18">
        <v>1.1127899999999999</v>
      </c>
      <c r="T641" s="18">
        <v>4.7690999999999999</v>
      </c>
      <c r="U641" s="18">
        <v>2.3845499999999999</v>
      </c>
      <c r="V641" s="18">
        <v>30.52224</v>
      </c>
      <c r="W641" s="18">
        <v>28.614600000000003</v>
      </c>
      <c r="X641" s="18">
        <v>19.0764</v>
      </c>
      <c r="Y641" s="18">
        <v>0.84784000000000004</v>
      </c>
      <c r="Z641" s="18">
        <v>3.7622900000000001</v>
      </c>
      <c r="AA641" s="18">
        <v>5.5109599999999999</v>
      </c>
      <c r="AB641" s="18">
        <v>9.8031500000000005</v>
      </c>
      <c r="AC641" s="18">
        <v>3.0204300000000002</v>
      </c>
      <c r="AD641" s="18">
        <v>15.897</v>
      </c>
    </row>
    <row r="642" spans="2:30" x14ac:dyDescent="0.25">
      <c r="B642" t="s">
        <v>517</v>
      </c>
      <c r="C642" t="s">
        <v>463</v>
      </c>
      <c r="D642" t="s">
        <v>518</v>
      </c>
      <c r="E642" s="35">
        <v>0.9</v>
      </c>
      <c r="F642" s="35">
        <v>16.2</v>
      </c>
      <c r="G642" s="36">
        <v>7.9422000000000006E-2</v>
      </c>
      <c r="H642" s="18">
        <v>142.959834</v>
      </c>
      <c r="I642" s="16"/>
      <c r="J642" s="16"/>
      <c r="K642" s="16"/>
      <c r="L642" s="37" t="s">
        <v>107</v>
      </c>
      <c r="M642" s="37"/>
      <c r="N642" s="37">
        <v>136</v>
      </c>
      <c r="O642" s="37"/>
      <c r="P642" s="37"/>
      <c r="Q642" s="18">
        <v>0.87364200000000003</v>
      </c>
      <c r="R642" s="18">
        <v>5.95665E-3</v>
      </c>
      <c r="S642" s="18">
        <v>1.6678620000000002</v>
      </c>
      <c r="T642" s="18">
        <v>7.1479800000000004</v>
      </c>
      <c r="U642" s="18">
        <v>3.5739900000000002</v>
      </c>
      <c r="V642" s="18">
        <v>45.747072000000003</v>
      </c>
      <c r="W642" s="18">
        <v>42.887880000000003</v>
      </c>
      <c r="X642" s="18">
        <v>28.591920000000002</v>
      </c>
      <c r="Y642" s="18">
        <v>1.2707520000000001</v>
      </c>
      <c r="Z642" s="18">
        <v>5.6389620000000003</v>
      </c>
      <c r="AA642" s="18">
        <v>8.2598880000000001</v>
      </c>
      <c r="AB642" s="18">
        <v>14.693070000000001</v>
      </c>
      <c r="AC642" s="18">
        <v>4.5270540000000006</v>
      </c>
      <c r="AD642" s="18">
        <v>23.826600000000003</v>
      </c>
    </row>
    <row r="643" spans="2:30" x14ac:dyDescent="0.25">
      <c r="B643" t="s">
        <v>517</v>
      </c>
      <c r="C643" t="s">
        <v>463</v>
      </c>
      <c r="D643" t="s">
        <v>519</v>
      </c>
      <c r="E643" s="35">
        <v>0.9</v>
      </c>
      <c r="F643" s="35">
        <v>16.2</v>
      </c>
      <c r="G643" s="36">
        <v>5.2990000000000002E-2</v>
      </c>
      <c r="H643" s="18">
        <v>95.381343000000001</v>
      </c>
      <c r="I643" s="16"/>
      <c r="J643" s="16"/>
      <c r="K643" s="16"/>
      <c r="L643" s="37" t="s">
        <v>107</v>
      </c>
      <c r="M643" s="37"/>
      <c r="N643" s="37">
        <v>137</v>
      </c>
      <c r="O643" s="37"/>
      <c r="P643" s="37"/>
      <c r="Q643" s="18">
        <v>0.58289000000000002</v>
      </c>
      <c r="R643" s="18">
        <v>3.9742500000000004E-3</v>
      </c>
      <c r="S643" s="18">
        <v>1.1127899999999999</v>
      </c>
      <c r="T643" s="18">
        <v>4.7690999999999999</v>
      </c>
      <c r="U643" s="18">
        <v>2.3845499999999999</v>
      </c>
      <c r="V643" s="18">
        <v>30.52224</v>
      </c>
      <c r="W643" s="18">
        <v>28.614600000000003</v>
      </c>
      <c r="X643" s="18">
        <v>19.0764</v>
      </c>
      <c r="Y643" s="18">
        <v>0.84784000000000004</v>
      </c>
      <c r="Z643" s="18">
        <v>3.7622900000000001</v>
      </c>
      <c r="AA643" s="18">
        <v>5.5109599999999999</v>
      </c>
      <c r="AB643" s="18">
        <v>9.8031500000000005</v>
      </c>
      <c r="AC643" s="18">
        <v>3.0204300000000002</v>
      </c>
      <c r="AD643" s="18">
        <v>15.897</v>
      </c>
    </row>
    <row r="644" spans="2:30" x14ac:dyDescent="0.25">
      <c r="B644" t="s">
        <v>517</v>
      </c>
      <c r="C644" t="s">
        <v>463</v>
      </c>
      <c r="D644" t="s">
        <v>520</v>
      </c>
      <c r="E644" s="35">
        <v>0.9</v>
      </c>
      <c r="F644" s="35">
        <v>16.2</v>
      </c>
      <c r="G644" s="36">
        <v>7.9815999999999998E-2</v>
      </c>
      <c r="H644" s="18">
        <v>143.66920099999999</v>
      </c>
      <c r="I644" s="16"/>
      <c r="J644" s="16"/>
      <c r="K644" s="16"/>
      <c r="L644" s="37" t="s">
        <v>107</v>
      </c>
      <c r="M644" s="37"/>
      <c r="N644" s="37">
        <v>138</v>
      </c>
      <c r="O644" s="37"/>
      <c r="P644" s="37"/>
      <c r="Q644" s="18">
        <v>0.87797599999999998</v>
      </c>
      <c r="R644" s="18">
        <v>5.9861999999999997E-3</v>
      </c>
      <c r="S644" s="18">
        <v>1.6761360000000001</v>
      </c>
      <c r="T644" s="18">
        <v>7.18344</v>
      </c>
      <c r="U644" s="18">
        <v>3.59172</v>
      </c>
      <c r="V644" s="18">
        <v>45.974015999999999</v>
      </c>
      <c r="W644" s="18">
        <v>43.100639999999999</v>
      </c>
      <c r="X644" s="18">
        <v>28.73376</v>
      </c>
      <c r="Y644" s="18">
        <v>1.277056</v>
      </c>
      <c r="Z644" s="18">
        <v>5.6669359999999998</v>
      </c>
      <c r="AA644" s="18">
        <v>8.3008640000000007</v>
      </c>
      <c r="AB644" s="18">
        <v>14.76596</v>
      </c>
      <c r="AC644" s="18">
        <v>4.549512</v>
      </c>
      <c r="AD644" s="18">
        <v>23.944800000000001</v>
      </c>
    </row>
    <row r="645" spans="2:30" x14ac:dyDescent="0.25">
      <c r="B645" t="s">
        <v>108</v>
      </c>
      <c r="C645" t="s">
        <v>463</v>
      </c>
      <c r="D645" t="s">
        <v>317</v>
      </c>
      <c r="E645" s="35">
        <v>0.9</v>
      </c>
      <c r="F645" s="35">
        <v>16</v>
      </c>
      <c r="G645" s="36">
        <v>6.5490999999999994E-2</v>
      </c>
      <c r="H645" s="18">
        <v>117.884141</v>
      </c>
      <c r="I645" s="16">
        <v>0</v>
      </c>
      <c r="J645" s="16"/>
      <c r="K645" s="16"/>
      <c r="L645" s="37" t="s">
        <v>107</v>
      </c>
      <c r="M645" s="37"/>
      <c r="N645" s="37">
        <v>139</v>
      </c>
      <c r="O645" s="37"/>
      <c r="P645" s="37"/>
      <c r="Q645" s="18">
        <v>0.72040099999999996</v>
      </c>
      <c r="R645" s="18">
        <v>4.911824999999999E-3</v>
      </c>
      <c r="S645" s="18">
        <v>1.375311</v>
      </c>
      <c r="T645" s="18">
        <v>5.8941899999999992</v>
      </c>
      <c r="U645" s="18">
        <v>2.9470949999999996</v>
      </c>
      <c r="V645" s="18">
        <v>37.722815999999995</v>
      </c>
      <c r="W645" s="18">
        <v>35.365139999999997</v>
      </c>
      <c r="X645" s="18">
        <v>23.576759999999997</v>
      </c>
      <c r="Y645" s="18">
        <v>1.0478559999999999</v>
      </c>
      <c r="Z645" s="18">
        <v>4.6498609999999996</v>
      </c>
      <c r="AA645" s="18">
        <v>6.8110639999999991</v>
      </c>
      <c r="AB645" s="18">
        <v>12.115834999999999</v>
      </c>
      <c r="AC645" s="18">
        <v>3.7329869999999996</v>
      </c>
      <c r="AD645" s="18">
        <v>19.647299999999998</v>
      </c>
    </row>
    <row r="646" spans="2:30" x14ac:dyDescent="0.25">
      <c r="B646" t="s">
        <v>108</v>
      </c>
      <c r="C646" t="s">
        <v>463</v>
      </c>
      <c r="D646" t="s">
        <v>317</v>
      </c>
      <c r="E646" s="35">
        <v>0.9</v>
      </c>
      <c r="F646" s="35">
        <v>16</v>
      </c>
      <c r="G646" s="36">
        <v>6.5490999999999994E-2</v>
      </c>
      <c r="H646" s="18">
        <v>117.884141</v>
      </c>
      <c r="I646" s="16">
        <v>0</v>
      </c>
      <c r="J646" s="16"/>
      <c r="K646" s="16"/>
      <c r="L646" s="37" t="s">
        <v>107</v>
      </c>
      <c r="M646" s="37"/>
      <c r="N646" s="37">
        <v>140</v>
      </c>
      <c r="O646" s="37"/>
      <c r="P646" s="37"/>
      <c r="Q646" s="18">
        <v>0.72040099999999996</v>
      </c>
      <c r="R646" s="18">
        <v>4.911824999999999E-3</v>
      </c>
      <c r="S646" s="18">
        <v>1.375311</v>
      </c>
      <c r="T646" s="18">
        <v>5.8941899999999992</v>
      </c>
      <c r="U646" s="18">
        <v>2.9470949999999996</v>
      </c>
      <c r="V646" s="18">
        <v>37.722815999999995</v>
      </c>
      <c r="W646" s="18">
        <v>35.365139999999997</v>
      </c>
      <c r="X646" s="18">
        <v>23.576759999999997</v>
      </c>
      <c r="Y646" s="18">
        <v>1.0478559999999999</v>
      </c>
      <c r="Z646" s="18">
        <v>4.6498609999999996</v>
      </c>
      <c r="AA646" s="18">
        <v>6.8110639999999991</v>
      </c>
      <c r="AB646" s="18">
        <v>12.115834999999999</v>
      </c>
      <c r="AC646" s="18">
        <v>3.7329869999999996</v>
      </c>
      <c r="AD646" s="18">
        <v>19.647299999999998</v>
      </c>
    </row>
    <row r="647" spans="2:30" x14ac:dyDescent="0.25">
      <c r="B647" t="s">
        <v>166</v>
      </c>
      <c r="C647" t="s">
        <v>463</v>
      </c>
      <c r="D647" t="s">
        <v>521</v>
      </c>
      <c r="E647" s="35">
        <v>0.9</v>
      </c>
      <c r="F647" s="35">
        <v>26</v>
      </c>
      <c r="G647" s="36">
        <v>0.355493</v>
      </c>
      <c r="H647" s="18">
        <v>639.88748499999997</v>
      </c>
      <c r="I647" s="16">
        <v>0</v>
      </c>
      <c r="J647" s="16"/>
      <c r="K647" s="16"/>
      <c r="L647" s="37" t="s">
        <v>107</v>
      </c>
      <c r="M647" s="37"/>
      <c r="N647" s="37">
        <v>141</v>
      </c>
      <c r="O647" s="37"/>
      <c r="P647" s="37"/>
      <c r="Q647" s="18">
        <v>3.9104230000000002</v>
      </c>
      <c r="R647" s="18">
        <v>2.6661975000000001E-2</v>
      </c>
      <c r="S647" s="18">
        <v>7.4653530000000003</v>
      </c>
      <c r="T647" s="18">
        <v>31.99437</v>
      </c>
      <c r="U647" s="18">
        <v>15.997185</v>
      </c>
      <c r="V647" s="18">
        <v>204.76396800000001</v>
      </c>
      <c r="W647" s="18">
        <v>191.96621999999999</v>
      </c>
      <c r="X647" s="18">
        <v>127.97748</v>
      </c>
      <c r="Y647" s="18">
        <v>5.6878880000000001</v>
      </c>
      <c r="Z647" s="18">
        <v>25.240003000000002</v>
      </c>
      <c r="AA647" s="18">
        <v>36.971271999999999</v>
      </c>
      <c r="AB647" s="18">
        <v>65.766204999999999</v>
      </c>
      <c r="AC647" s="18">
        <v>20.263100999999999</v>
      </c>
      <c r="AD647" s="18">
        <v>106.64790000000001</v>
      </c>
    </row>
    <row r="648" spans="2:30" x14ac:dyDescent="0.25">
      <c r="B648" t="s">
        <v>108</v>
      </c>
      <c r="C648" t="s">
        <v>463</v>
      </c>
      <c r="D648" t="s">
        <v>209</v>
      </c>
      <c r="E648" s="35">
        <v>0.9</v>
      </c>
      <c r="F648" s="35">
        <v>16</v>
      </c>
      <c r="G648" s="36">
        <v>0.157967</v>
      </c>
      <c r="H648" s="18">
        <v>284.34136699999999</v>
      </c>
      <c r="I648" s="16">
        <v>0</v>
      </c>
      <c r="J648" s="16"/>
      <c r="K648" s="16"/>
      <c r="L648" s="37" t="s">
        <v>107</v>
      </c>
      <c r="M648" s="37"/>
      <c r="N648" s="37">
        <v>142</v>
      </c>
      <c r="O648" s="37"/>
      <c r="P648" s="37"/>
      <c r="Q648" s="18">
        <v>1.7376369999999999</v>
      </c>
      <c r="R648" s="18">
        <v>1.1847524999999999E-2</v>
      </c>
      <c r="S648" s="18">
        <v>3.317307</v>
      </c>
      <c r="T648" s="18">
        <v>14.217029999999999</v>
      </c>
      <c r="U648" s="18">
        <v>7.1085149999999997</v>
      </c>
      <c r="V648" s="18">
        <v>90.988991999999996</v>
      </c>
      <c r="W648" s="18">
        <v>85.302179999999993</v>
      </c>
      <c r="X648" s="18">
        <v>56.868119999999998</v>
      </c>
      <c r="Y648" s="18">
        <v>2.5274719999999999</v>
      </c>
      <c r="Z648" s="18">
        <v>11.215657</v>
      </c>
      <c r="AA648" s="18">
        <v>16.428567999999999</v>
      </c>
      <c r="AB648" s="18">
        <v>29.223894999999999</v>
      </c>
      <c r="AC648" s="18">
        <v>9.0041189999999993</v>
      </c>
      <c r="AD648" s="18">
        <v>47.390099999999997</v>
      </c>
    </row>
    <row r="649" spans="2:30" x14ac:dyDescent="0.25">
      <c r="B649" t="s">
        <v>138</v>
      </c>
      <c r="C649" t="s">
        <v>463</v>
      </c>
      <c r="D649" t="s">
        <v>522</v>
      </c>
      <c r="E649" s="35">
        <v>0.9</v>
      </c>
      <c r="F649" s="35">
        <v>44</v>
      </c>
      <c r="G649" s="36">
        <v>0.41270499999999999</v>
      </c>
      <c r="H649" s="18">
        <v>742.86834999999996</v>
      </c>
      <c r="I649" s="16">
        <v>0</v>
      </c>
      <c r="J649" s="16"/>
      <c r="K649" s="16"/>
      <c r="L649" s="37" t="s">
        <v>107</v>
      </c>
      <c r="M649" s="37"/>
      <c r="N649" s="37">
        <v>143</v>
      </c>
      <c r="O649" s="37"/>
      <c r="P649" s="37"/>
      <c r="Q649" s="18">
        <v>4.5397549999999995</v>
      </c>
      <c r="R649" s="18">
        <v>3.0952874999999998E-2</v>
      </c>
      <c r="S649" s="18">
        <v>8.6668050000000001</v>
      </c>
      <c r="T649" s="18">
        <v>37.143450000000001</v>
      </c>
      <c r="U649" s="18">
        <v>18.571725000000001</v>
      </c>
      <c r="V649" s="18">
        <v>237.71807999999999</v>
      </c>
      <c r="W649" s="18">
        <v>222.86069999999998</v>
      </c>
      <c r="X649" s="18">
        <v>148.57380000000001</v>
      </c>
      <c r="Y649" s="18">
        <v>6.6032799999999998</v>
      </c>
      <c r="Z649" s="18">
        <v>29.302054999999999</v>
      </c>
      <c r="AA649" s="18">
        <v>42.921320000000001</v>
      </c>
      <c r="AB649" s="18">
        <v>76.350425000000001</v>
      </c>
      <c r="AC649" s="18">
        <v>23.524184999999999</v>
      </c>
      <c r="AD649" s="18">
        <v>123.8115</v>
      </c>
    </row>
    <row r="650" spans="2:30" x14ac:dyDescent="0.25">
      <c r="B650" t="s">
        <v>269</v>
      </c>
      <c r="C650" t="s">
        <v>463</v>
      </c>
      <c r="D650" t="s">
        <v>523</v>
      </c>
      <c r="E650" s="35">
        <v>0.9</v>
      </c>
      <c r="F650" s="35">
        <v>6.6</v>
      </c>
      <c r="G650" s="36">
        <v>5.5613000000000003E-2</v>
      </c>
      <c r="H650" s="18">
        <v>100.103129</v>
      </c>
      <c r="I650" s="16"/>
      <c r="J650" s="16"/>
      <c r="K650" s="16"/>
      <c r="L650" s="37" t="s">
        <v>107</v>
      </c>
      <c r="M650" s="37"/>
      <c r="N650" s="37">
        <v>144</v>
      </c>
      <c r="O650" s="37"/>
      <c r="P650" s="37"/>
      <c r="Q650" s="18">
        <v>0.61174300000000004</v>
      </c>
      <c r="R650" s="18">
        <v>4.1709750000000004E-3</v>
      </c>
      <c r="S650" s="18">
        <v>1.1678730000000002</v>
      </c>
      <c r="T650" s="18">
        <v>5.0051700000000006</v>
      </c>
      <c r="U650" s="18">
        <v>2.5025850000000003</v>
      </c>
      <c r="V650" s="18">
        <v>32.033087999999999</v>
      </c>
      <c r="W650" s="18">
        <v>30.031020000000002</v>
      </c>
      <c r="X650" s="18">
        <v>20.020680000000002</v>
      </c>
      <c r="Y650" s="18">
        <v>0.88980800000000004</v>
      </c>
      <c r="Z650" s="18">
        <v>3.9485230000000002</v>
      </c>
      <c r="AA650" s="18">
        <v>5.7837520000000007</v>
      </c>
      <c r="AB650" s="18">
        <v>10.288405000000001</v>
      </c>
      <c r="AC650" s="18">
        <v>3.1699410000000001</v>
      </c>
      <c r="AD650" s="18">
        <v>16.683900000000001</v>
      </c>
    </row>
    <row r="651" spans="2:30" x14ac:dyDescent="0.25">
      <c r="B651" t="s">
        <v>160</v>
      </c>
      <c r="C651" t="s">
        <v>463</v>
      </c>
      <c r="D651" t="s">
        <v>524</v>
      </c>
      <c r="E651" s="35">
        <v>0.9</v>
      </c>
      <c r="F651" s="35">
        <v>31</v>
      </c>
      <c r="G651" s="36">
        <v>0.480346</v>
      </c>
      <c r="H651" s="18">
        <v>864.62197100000003</v>
      </c>
      <c r="I651" s="16">
        <v>0</v>
      </c>
      <c r="J651" s="16"/>
      <c r="K651" s="16"/>
      <c r="L651" s="37" t="s">
        <v>107</v>
      </c>
      <c r="M651" s="37"/>
      <c r="N651" s="37">
        <v>145</v>
      </c>
      <c r="O651" s="37"/>
      <c r="P651" s="37"/>
      <c r="Q651" s="18">
        <v>5.2838060000000002</v>
      </c>
      <c r="R651" s="18">
        <v>3.6025950000000001E-2</v>
      </c>
      <c r="S651" s="18">
        <v>10.087266</v>
      </c>
      <c r="T651" s="18">
        <v>43.231139999999996</v>
      </c>
      <c r="U651" s="18">
        <v>21.615569999999998</v>
      </c>
      <c r="V651" s="18">
        <v>276.67929600000002</v>
      </c>
      <c r="W651" s="18">
        <v>259.38684000000001</v>
      </c>
      <c r="X651" s="18">
        <v>172.92455999999999</v>
      </c>
      <c r="Y651" s="18">
        <v>7.6855359999999999</v>
      </c>
      <c r="Z651" s="18">
        <v>34.104565999999998</v>
      </c>
      <c r="AA651" s="18">
        <v>49.955984000000001</v>
      </c>
      <c r="AB651" s="18">
        <v>88.864009999999993</v>
      </c>
      <c r="AC651" s="18">
        <v>27.379722000000001</v>
      </c>
      <c r="AD651" s="18">
        <v>144.10380000000001</v>
      </c>
    </row>
    <row r="652" spans="2:30" x14ac:dyDescent="0.25">
      <c r="B652" t="s">
        <v>144</v>
      </c>
      <c r="C652" t="s">
        <v>463</v>
      </c>
      <c r="D652" t="s">
        <v>525</v>
      </c>
      <c r="E652" s="35">
        <v>0.9</v>
      </c>
      <c r="F652" s="35">
        <v>40</v>
      </c>
      <c r="G652" s="36">
        <v>0.51291900000000001</v>
      </c>
      <c r="H652" s="18">
        <v>923.25379099999998</v>
      </c>
      <c r="I652" s="16">
        <v>0</v>
      </c>
      <c r="J652" s="16"/>
      <c r="K652" s="16"/>
      <c r="L652" s="37" t="s">
        <v>107</v>
      </c>
      <c r="M652" s="37"/>
      <c r="N652" s="37">
        <v>146</v>
      </c>
      <c r="O652" s="37"/>
      <c r="P652" s="37"/>
      <c r="Q652" s="18">
        <v>5.6421090000000005</v>
      </c>
      <c r="R652" s="18">
        <v>3.8468925000000001E-2</v>
      </c>
      <c r="S652" s="18">
        <v>10.771299000000001</v>
      </c>
      <c r="T652" s="18">
        <v>46.162710000000004</v>
      </c>
      <c r="U652" s="18">
        <v>23.081355000000002</v>
      </c>
      <c r="V652" s="18">
        <v>295.44134400000002</v>
      </c>
      <c r="W652" s="18">
        <v>276.97626000000002</v>
      </c>
      <c r="X652" s="18">
        <v>184.65084000000002</v>
      </c>
      <c r="Y652" s="18">
        <v>8.2067040000000002</v>
      </c>
      <c r="Z652" s="18">
        <v>36.417248999999998</v>
      </c>
      <c r="AA652" s="18">
        <v>53.343575999999999</v>
      </c>
      <c r="AB652" s="18">
        <v>94.890015000000005</v>
      </c>
      <c r="AC652" s="18">
        <v>29.236383</v>
      </c>
      <c r="AD652" s="18">
        <v>153.87569999999999</v>
      </c>
    </row>
    <row r="653" spans="2:30" x14ac:dyDescent="0.25">
      <c r="B653" t="s">
        <v>124</v>
      </c>
      <c r="C653" t="s">
        <v>463</v>
      </c>
      <c r="D653" t="s">
        <v>213</v>
      </c>
      <c r="E653" s="35">
        <v>0.9</v>
      </c>
      <c r="F653" s="35">
        <v>35</v>
      </c>
      <c r="G653" s="36">
        <v>0.41461799999999999</v>
      </c>
      <c r="H653" s="18">
        <v>746.31168200000002</v>
      </c>
      <c r="I653" s="16">
        <v>0</v>
      </c>
      <c r="J653" s="16"/>
      <c r="K653" s="16"/>
      <c r="L653" s="37" t="s">
        <v>107</v>
      </c>
      <c r="M653" s="37"/>
      <c r="N653" s="37">
        <v>147</v>
      </c>
      <c r="O653" s="37"/>
      <c r="P653" s="37"/>
      <c r="Q653" s="18">
        <v>4.5607980000000001</v>
      </c>
      <c r="R653" s="18">
        <v>3.1096349999999998E-2</v>
      </c>
      <c r="S653" s="18">
        <v>8.7069779999999994</v>
      </c>
      <c r="T653" s="18">
        <v>37.315619999999996</v>
      </c>
      <c r="U653" s="18">
        <v>18.657809999999998</v>
      </c>
      <c r="V653" s="18">
        <v>238.81996799999999</v>
      </c>
      <c r="W653" s="18">
        <v>223.89372</v>
      </c>
      <c r="X653" s="18">
        <v>149.26247999999998</v>
      </c>
      <c r="Y653" s="18">
        <v>6.6338879999999998</v>
      </c>
      <c r="Z653" s="18">
        <v>29.437877999999998</v>
      </c>
      <c r="AA653" s="18">
        <v>43.120272</v>
      </c>
      <c r="AB653" s="18">
        <v>76.704329999999999</v>
      </c>
      <c r="AC653" s="18">
        <v>23.633226000000001</v>
      </c>
      <c r="AD653" s="18">
        <v>124.38539999999999</v>
      </c>
    </row>
    <row r="654" spans="2:30" x14ac:dyDescent="0.25">
      <c r="B654" t="s">
        <v>371</v>
      </c>
      <c r="C654" t="s">
        <v>463</v>
      </c>
      <c r="D654" t="s">
        <v>526</v>
      </c>
      <c r="E654" s="35">
        <v>0.9</v>
      </c>
      <c r="F654" s="35">
        <v>55</v>
      </c>
      <c r="G654" s="36">
        <v>0.65374200000000005</v>
      </c>
      <c r="H654" s="18">
        <v>1176.7353390000001</v>
      </c>
      <c r="I654" s="16">
        <v>0</v>
      </c>
      <c r="J654" s="16"/>
      <c r="K654" s="16"/>
      <c r="L654" s="37" t="s">
        <v>107</v>
      </c>
      <c r="M654" s="37"/>
      <c r="N654" s="37">
        <v>148</v>
      </c>
      <c r="O654" s="37"/>
      <c r="P654" s="37"/>
      <c r="Q654" s="18">
        <v>7.1911620000000003</v>
      </c>
      <c r="R654" s="18">
        <v>4.9030650000000002E-2</v>
      </c>
      <c r="S654" s="18">
        <v>13.728582000000001</v>
      </c>
      <c r="T654" s="18">
        <v>58.836780000000005</v>
      </c>
      <c r="U654" s="18">
        <v>29.418390000000002</v>
      </c>
      <c r="V654" s="18">
        <v>376.55539200000004</v>
      </c>
      <c r="W654" s="18">
        <v>353.02068000000003</v>
      </c>
      <c r="X654" s="18">
        <v>235.34712000000002</v>
      </c>
      <c r="Y654" s="18">
        <v>10.459872000000001</v>
      </c>
      <c r="Z654" s="18">
        <v>46.415682000000004</v>
      </c>
      <c r="AA654" s="18">
        <v>67.989168000000006</v>
      </c>
      <c r="AB654" s="18">
        <v>120.94227000000001</v>
      </c>
      <c r="AC654" s="18">
        <v>37.263294000000002</v>
      </c>
      <c r="AD654" s="18">
        <v>196.12260000000001</v>
      </c>
    </row>
    <row r="655" spans="2:30" x14ac:dyDescent="0.25">
      <c r="B655" t="s">
        <v>144</v>
      </c>
      <c r="C655" t="s">
        <v>463</v>
      </c>
      <c r="D655" t="s">
        <v>215</v>
      </c>
      <c r="E655" s="35">
        <v>0.9</v>
      </c>
      <c r="F655" s="35">
        <v>40</v>
      </c>
      <c r="G655" s="36">
        <v>0.48223100000000002</v>
      </c>
      <c r="H655" s="18">
        <v>868.01529000000005</v>
      </c>
      <c r="I655" s="16">
        <v>0</v>
      </c>
      <c r="J655" s="16"/>
      <c r="K655" s="16"/>
      <c r="L655" s="37" t="s">
        <v>107</v>
      </c>
      <c r="M655" s="37"/>
      <c r="N655" s="37">
        <v>149</v>
      </c>
      <c r="O655" s="37"/>
      <c r="P655" s="37"/>
      <c r="Q655" s="18">
        <v>5.3045410000000004</v>
      </c>
      <c r="R655" s="18">
        <v>3.6167325E-2</v>
      </c>
      <c r="S655" s="18">
        <v>10.126851</v>
      </c>
      <c r="T655" s="18">
        <v>43.400790000000001</v>
      </c>
      <c r="U655" s="18">
        <v>21.700395</v>
      </c>
      <c r="V655" s="18">
        <v>277.76505600000002</v>
      </c>
      <c r="W655" s="18">
        <v>260.40474</v>
      </c>
      <c r="X655" s="18">
        <v>173.60316</v>
      </c>
      <c r="Y655" s="18">
        <v>7.7156960000000003</v>
      </c>
      <c r="Z655" s="18">
        <v>34.238401000000003</v>
      </c>
      <c r="AA655" s="18">
        <v>50.152024000000004</v>
      </c>
      <c r="AB655" s="18">
        <v>89.212735000000009</v>
      </c>
      <c r="AC655" s="18">
        <v>27.487166999999999</v>
      </c>
      <c r="AD655" s="18">
        <v>144.66929999999999</v>
      </c>
    </row>
    <row r="656" spans="2:30" x14ac:dyDescent="0.25">
      <c r="B656" t="s">
        <v>166</v>
      </c>
      <c r="C656" t="s">
        <v>463</v>
      </c>
      <c r="D656" t="s">
        <v>521</v>
      </c>
      <c r="E656" s="35">
        <v>0.9</v>
      </c>
      <c r="F656" s="35">
        <v>26</v>
      </c>
      <c r="G656" s="36">
        <v>0.355493</v>
      </c>
      <c r="H656" s="18">
        <v>639.88748499999997</v>
      </c>
      <c r="I656" s="16">
        <v>0</v>
      </c>
      <c r="J656" s="16"/>
      <c r="K656" s="16"/>
      <c r="L656" s="37" t="s">
        <v>107</v>
      </c>
      <c r="M656" s="37"/>
      <c r="N656" s="37">
        <v>150</v>
      </c>
      <c r="O656" s="37"/>
      <c r="P656" s="37"/>
      <c r="Q656" s="18">
        <v>3.9104230000000002</v>
      </c>
      <c r="R656" s="18">
        <v>2.6661975000000001E-2</v>
      </c>
      <c r="S656" s="18">
        <v>7.4653530000000003</v>
      </c>
      <c r="T656" s="18">
        <v>31.99437</v>
      </c>
      <c r="U656" s="18">
        <v>15.997185</v>
      </c>
      <c r="V656" s="18">
        <v>204.76396800000001</v>
      </c>
      <c r="W656" s="18">
        <v>191.96621999999999</v>
      </c>
      <c r="X656" s="18">
        <v>127.97748</v>
      </c>
      <c r="Y656" s="18">
        <v>5.6878880000000001</v>
      </c>
      <c r="Z656" s="18">
        <v>25.240003000000002</v>
      </c>
      <c r="AA656" s="18">
        <v>36.971271999999999</v>
      </c>
      <c r="AB656" s="18">
        <v>65.766204999999999</v>
      </c>
      <c r="AC656" s="18">
        <v>20.263100999999999</v>
      </c>
      <c r="AD656" s="18">
        <v>106.64790000000001</v>
      </c>
    </row>
    <row r="657" spans="2:30" x14ac:dyDescent="0.25">
      <c r="B657" t="s">
        <v>108</v>
      </c>
      <c r="C657" t="s">
        <v>463</v>
      </c>
      <c r="D657" t="s">
        <v>527</v>
      </c>
      <c r="E657" s="35">
        <v>0.9</v>
      </c>
      <c r="F657" s="35">
        <v>16</v>
      </c>
      <c r="G657" s="36">
        <v>0.122236</v>
      </c>
      <c r="H657" s="18">
        <v>220.02398400000001</v>
      </c>
      <c r="I657" s="16">
        <v>0</v>
      </c>
      <c r="J657" s="16"/>
      <c r="K657" s="16"/>
      <c r="L657" s="37" t="s">
        <v>107</v>
      </c>
      <c r="M657" s="37"/>
      <c r="N657" s="37">
        <v>151</v>
      </c>
      <c r="O657" s="37"/>
      <c r="P657" s="37"/>
      <c r="Q657" s="18">
        <v>1.3445959999999999</v>
      </c>
      <c r="R657" s="18">
        <v>9.1676999999999991E-3</v>
      </c>
      <c r="S657" s="18">
        <v>2.5669559999999998</v>
      </c>
      <c r="T657" s="18">
        <v>11.001239999999999</v>
      </c>
      <c r="U657" s="18">
        <v>5.5006199999999996</v>
      </c>
      <c r="V657" s="18">
        <v>70.407935999999992</v>
      </c>
      <c r="W657" s="18">
        <v>66.007440000000003</v>
      </c>
      <c r="X657" s="18">
        <v>44.004959999999997</v>
      </c>
      <c r="Y657" s="18">
        <v>1.955776</v>
      </c>
      <c r="Z657" s="18">
        <v>8.6787559999999999</v>
      </c>
      <c r="AA657" s="18">
        <v>12.712543999999999</v>
      </c>
      <c r="AB657" s="18">
        <v>22.613659999999999</v>
      </c>
      <c r="AC657" s="18">
        <v>6.9674519999999998</v>
      </c>
      <c r="AD657" s="18">
        <v>36.6708</v>
      </c>
    </row>
    <row r="658" spans="2:30" x14ac:dyDescent="0.25">
      <c r="B658" t="s">
        <v>124</v>
      </c>
      <c r="C658" t="s">
        <v>463</v>
      </c>
      <c r="D658" t="s">
        <v>528</v>
      </c>
      <c r="E658" s="35">
        <v>0.9</v>
      </c>
      <c r="F658" s="35">
        <v>35</v>
      </c>
      <c r="G658" s="36">
        <v>0.59723300000000001</v>
      </c>
      <c r="H658" s="18">
        <v>1075.018613</v>
      </c>
      <c r="I658" s="16">
        <v>0</v>
      </c>
      <c r="J658" s="16"/>
      <c r="K658" s="16"/>
      <c r="L658" s="37" t="s">
        <v>107</v>
      </c>
      <c r="M658" s="37"/>
      <c r="N658" s="37">
        <v>152</v>
      </c>
      <c r="O658" s="37"/>
      <c r="P658" s="37"/>
      <c r="Q658" s="18">
        <v>6.5695630000000005</v>
      </c>
      <c r="R658" s="18">
        <v>4.4792474999999998E-2</v>
      </c>
      <c r="S658" s="18">
        <v>12.541893</v>
      </c>
      <c r="T658" s="18">
        <v>53.750970000000002</v>
      </c>
      <c r="U658" s="18">
        <v>26.875485000000001</v>
      </c>
      <c r="V658" s="18">
        <v>344.00620800000002</v>
      </c>
      <c r="W658" s="18">
        <v>322.50582000000003</v>
      </c>
      <c r="X658" s="18">
        <v>215.00388000000001</v>
      </c>
      <c r="Y658" s="18">
        <v>9.5557280000000002</v>
      </c>
      <c r="Z658" s="18">
        <v>42.403542999999999</v>
      </c>
      <c r="AA658" s="18">
        <v>62.112231999999999</v>
      </c>
      <c r="AB658" s="18">
        <v>110.488105</v>
      </c>
      <c r="AC658" s="18">
        <v>34.042281000000003</v>
      </c>
      <c r="AD658" s="18">
        <v>179.16990000000001</v>
      </c>
    </row>
    <row r="659" spans="2:30" x14ac:dyDescent="0.25">
      <c r="B659" t="s">
        <v>108</v>
      </c>
      <c r="C659" t="s">
        <v>463</v>
      </c>
      <c r="D659" t="s">
        <v>529</v>
      </c>
      <c r="E659" s="35">
        <v>0.9</v>
      </c>
      <c r="F659" s="35">
        <v>16</v>
      </c>
      <c r="G659" s="36">
        <v>6.5810999999999995E-2</v>
      </c>
      <c r="H659" s="18">
        <v>118.460117</v>
      </c>
      <c r="I659" s="16">
        <v>0</v>
      </c>
      <c r="J659" s="16"/>
      <c r="K659" s="16"/>
      <c r="L659" s="37" t="s">
        <v>107</v>
      </c>
      <c r="M659" s="37"/>
      <c r="N659" s="37">
        <v>153</v>
      </c>
      <c r="O659" s="37"/>
      <c r="P659" s="37"/>
      <c r="Q659" s="18">
        <v>0.72392099999999993</v>
      </c>
      <c r="R659" s="18">
        <v>4.9358249999999996E-3</v>
      </c>
      <c r="S659" s="18">
        <v>1.3820309999999998</v>
      </c>
      <c r="T659" s="18">
        <v>5.9229899999999995</v>
      </c>
      <c r="U659" s="18">
        <v>2.9614949999999998</v>
      </c>
      <c r="V659" s="18">
        <v>37.907135999999994</v>
      </c>
      <c r="W659" s="18">
        <v>35.537939999999999</v>
      </c>
      <c r="X659" s="18">
        <v>23.691959999999998</v>
      </c>
      <c r="Y659" s="18">
        <v>1.0529759999999999</v>
      </c>
      <c r="Z659" s="18">
        <v>4.6725809999999992</v>
      </c>
      <c r="AA659" s="18">
        <v>6.8443439999999995</v>
      </c>
      <c r="AB659" s="18">
        <v>12.175034999999999</v>
      </c>
      <c r="AC659" s="18">
        <v>3.7512269999999996</v>
      </c>
      <c r="AD659" s="18">
        <v>19.743299999999998</v>
      </c>
    </row>
    <row r="660" spans="2:30" x14ac:dyDescent="0.25">
      <c r="B660" t="s">
        <v>269</v>
      </c>
      <c r="C660" t="s">
        <v>463</v>
      </c>
      <c r="D660" t="s">
        <v>530</v>
      </c>
      <c r="E660" s="35">
        <v>0.9</v>
      </c>
      <c r="F660" s="35">
        <v>6.6</v>
      </c>
      <c r="G660" s="36">
        <v>3.2660000000000002E-2</v>
      </c>
      <c r="H660" s="18">
        <v>58.788626999999998</v>
      </c>
      <c r="I660" s="16"/>
      <c r="J660" s="16"/>
      <c r="K660" s="16"/>
      <c r="L660" s="37" t="s">
        <v>107</v>
      </c>
      <c r="M660" s="37"/>
      <c r="N660" s="37">
        <v>154</v>
      </c>
      <c r="O660" s="37"/>
      <c r="P660" s="37"/>
      <c r="Q660" s="18">
        <v>0.35926000000000002</v>
      </c>
      <c r="R660" s="18">
        <v>2.4494999999999999E-3</v>
      </c>
      <c r="S660" s="18">
        <v>0.68586000000000003</v>
      </c>
      <c r="T660" s="18">
        <v>2.9394</v>
      </c>
      <c r="U660" s="18">
        <v>1.4697</v>
      </c>
      <c r="V660" s="18">
        <v>18.812160000000002</v>
      </c>
      <c r="W660" s="18">
        <v>17.636400000000002</v>
      </c>
      <c r="X660" s="18">
        <v>11.7576</v>
      </c>
      <c r="Y660" s="18">
        <v>0.52256000000000002</v>
      </c>
      <c r="Z660" s="18">
        <v>2.3188599999999999</v>
      </c>
      <c r="AA660" s="18">
        <v>3.3966400000000001</v>
      </c>
      <c r="AB660" s="18">
        <v>6.0421000000000005</v>
      </c>
      <c r="AC660" s="18">
        <v>1.8616200000000001</v>
      </c>
      <c r="AD660" s="18">
        <v>9.798</v>
      </c>
    </row>
    <row r="661" spans="2:30" x14ac:dyDescent="0.25">
      <c r="B661" t="s">
        <v>108</v>
      </c>
      <c r="C661" t="s">
        <v>463</v>
      </c>
      <c r="D661" t="s">
        <v>531</v>
      </c>
      <c r="E661" s="35">
        <v>0.9</v>
      </c>
      <c r="F661" s="35">
        <v>16</v>
      </c>
      <c r="G661" s="36">
        <v>8.6425000000000002E-2</v>
      </c>
      <c r="H661" s="18">
        <v>155.56440699999999</v>
      </c>
      <c r="I661" s="16">
        <v>0</v>
      </c>
      <c r="J661" s="16"/>
      <c r="K661" s="16"/>
      <c r="L661" s="37" t="s">
        <v>107</v>
      </c>
      <c r="M661" s="37"/>
      <c r="N661" s="37">
        <v>155</v>
      </c>
      <c r="O661" s="37"/>
      <c r="P661" s="37"/>
      <c r="Q661" s="18">
        <v>0.95067500000000005</v>
      </c>
      <c r="R661" s="18">
        <v>6.4818749999999998E-3</v>
      </c>
      <c r="S661" s="18">
        <v>1.8149250000000001</v>
      </c>
      <c r="T661" s="18">
        <v>7.7782499999999999</v>
      </c>
      <c r="U661" s="18">
        <v>3.8891249999999999</v>
      </c>
      <c r="V661" s="18">
        <v>49.780799999999999</v>
      </c>
      <c r="W661" s="18">
        <v>46.669499999999999</v>
      </c>
      <c r="X661" s="18">
        <v>31.113</v>
      </c>
      <c r="Y661" s="18">
        <v>1.3828</v>
      </c>
      <c r="Z661" s="18">
        <v>6.1361749999999997</v>
      </c>
      <c r="AA661" s="18">
        <v>8.9882000000000009</v>
      </c>
      <c r="AB661" s="18">
        <v>15.988625000000001</v>
      </c>
      <c r="AC661" s="18">
        <v>4.9262250000000005</v>
      </c>
      <c r="AD661" s="18">
        <v>25.927500000000002</v>
      </c>
    </row>
    <row r="662" spans="2:30" x14ac:dyDescent="0.25">
      <c r="B662" t="s">
        <v>166</v>
      </c>
      <c r="C662" t="s">
        <v>463</v>
      </c>
      <c r="D662" t="s">
        <v>221</v>
      </c>
      <c r="E662" s="35">
        <v>0.9</v>
      </c>
      <c r="F662" s="35">
        <v>26</v>
      </c>
      <c r="G662" s="36">
        <v>0.33590700000000001</v>
      </c>
      <c r="H662" s="18">
        <v>604.63292000000001</v>
      </c>
      <c r="I662" s="16">
        <v>0</v>
      </c>
      <c r="J662" s="16"/>
      <c r="K662" s="16"/>
      <c r="L662" s="37" t="s">
        <v>107</v>
      </c>
      <c r="M662" s="37"/>
      <c r="N662" s="37">
        <v>156</v>
      </c>
      <c r="O662" s="37"/>
      <c r="P662" s="37"/>
      <c r="Q662" s="18">
        <v>3.6949770000000002</v>
      </c>
      <c r="R662" s="18">
        <v>2.5193025000000001E-2</v>
      </c>
      <c r="S662" s="18">
        <v>7.0540470000000006</v>
      </c>
      <c r="T662" s="18">
        <v>30.231630000000003</v>
      </c>
      <c r="U662" s="18">
        <v>15.115815000000001</v>
      </c>
      <c r="V662" s="18">
        <v>193.48243200000002</v>
      </c>
      <c r="W662" s="18">
        <v>181.38978</v>
      </c>
      <c r="X662" s="18">
        <v>120.92652000000001</v>
      </c>
      <c r="Y662" s="18">
        <v>5.3745120000000002</v>
      </c>
      <c r="Z662" s="18">
        <v>23.849397</v>
      </c>
      <c r="AA662" s="18">
        <v>34.934328000000001</v>
      </c>
      <c r="AB662" s="18">
        <v>62.142795</v>
      </c>
      <c r="AC662" s="18">
        <v>19.146699000000002</v>
      </c>
      <c r="AD662" s="18">
        <v>100.77210000000001</v>
      </c>
    </row>
    <row r="663" spans="2:30" x14ac:dyDescent="0.25">
      <c r="B663" t="s">
        <v>116</v>
      </c>
      <c r="C663" t="s">
        <v>463</v>
      </c>
      <c r="D663" t="s">
        <v>532</v>
      </c>
      <c r="E663" s="35">
        <v>0.9</v>
      </c>
      <c r="F663" s="35">
        <v>50</v>
      </c>
      <c r="G663" s="36">
        <v>0.91413900000000003</v>
      </c>
      <c r="H663" s="18">
        <v>1645.450587</v>
      </c>
      <c r="I663" s="16">
        <v>0</v>
      </c>
      <c r="J663" s="16"/>
      <c r="K663" s="16"/>
      <c r="L663" s="37" t="s">
        <v>107</v>
      </c>
      <c r="M663" s="37"/>
      <c r="N663" s="37">
        <v>157</v>
      </c>
      <c r="O663" s="37"/>
      <c r="P663" s="37"/>
      <c r="Q663" s="18">
        <v>10.055529</v>
      </c>
      <c r="R663" s="18">
        <v>6.8560424999999994E-2</v>
      </c>
      <c r="S663" s="18">
        <v>19.196919000000001</v>
      </c>
      <c r="T663" s="18">
        <v>82.272509999999997</v>
      </c>
      <c r="U663" s="18">
        <v>41.136254999999998</v>
      </c>
      <c r="V663" s="18">
        <v>526.54406400000005</v>
      </c>
      <c r="W663" s="18">
        <v>493.63506000000001</v>
      </c>
      <c r="X663" s="18">
        <v>329.09003999999999</v>
      </c>
      <c r="Y663" s="18">
        <v>14.626224000000001</v>
      </c>
      <c r="Z663" s="18">
        <v>64.903869</v>
      </c>
      <c r="AA663" s="18">
        <v>95.070456000000007</v>
      </c>
      <c r="AB663" s="18">
        <v>169.11571499999999</v>
      </c>
      <c r="AC663" s="18">
        <v>52.105923000000004</v>
      </c>
      <c r="AD663" s="18">
        <v>274.24170000000004</v>
      </c>
    </row>
    <row r="664" spans="2:30" x14ac:dyDescent="0.25">
      <c r="B664" t="s">
        <v>160</v>
      </c>
      <c r="C664" t="s">
        <v>463</v>
      </c>
      <c r="D664" t="s">
        <v>184</v>
      </c>
      <c r="E664" s="35">
        <v>0.9</v>
      </c>
      <c r="F664" s="35">
        <v>31</v>
      </c>
      <c r="G664" s="36">
        <v>0.44059599999999999</v>
      </c>
      <c r="H664" s="18">
        <v>793.07354499999997</v>
      </c>
      <c r="I664" s="16">
        <v>0</v>
      </c>
      <c r="J664" s="16"/>
      <c r="K664" s="16"/>
      <c r="L664" s="37" t="s">
        <v>107</v>
      </c>
      <c r="M664" s="37"/>
      <c r="N664" s="37">
        <v>158</v>
      </c>
      <c r="O664" s="37"/>
      <c r="P664" s="37"/>
      <c r="Q664" s="18">
        <v>4.8465559999999996</v>
      </c>
      <c r="R664" s="18">
        <v>3.3044699999999996E-2</v>
      </c>
      <c r="S664" s="18">
        <v>9.252516</v>
      </c>
      <c r="T664" s="18">
        <v>39.653639999999996</v>
      </c>
      <c r="U664" s="18">
        <v>19.826819999999998</v>
      </c>
      <c r="V664" s="18">
        <v>253.78329600000001</v>
      </c>
      <c r="W664" s="18">
        <v>237.92184</v>
      </c>
      <c r="X664" s="18">
        <v>158.61455999999998</v>
      </c>
      <c r="Y664" s="18">
        <v>7.0495359999999998</v>
      </c>
      <c r="Z664" s="18">
        <v>31.282315999999998</v>
      </c>
      <c r="AA664" s="18">
        <v>45.821984</v>
      </c>
      <c r="AB664" s="18">
        <v>81.510260000000002</v>
      </c>
      <c r="AC664" s="18">
        <v>25.113972</v>
      </c>
      <c r="AD664" s="18">
        <v>132.1788</v>
      </c>
    </row>
    <row r="665" spans="2:30" x14ac:dyDescent="0.25">
      <c r="B665" t="s">
        <v>124</v>
      </c>
      <c r="C665" t="s">
        <v>463</v>
      </c>
      <c r="D665" t="s">
        <v>533</v>
      </c>
      <c r="E665" s="35">
        <v>0.9</v>
      </c>
      <c r="F665" s="35">
        <v>35</v>
      </c>
      <c r="G665" s="36">
        <v>0.67687399999999998</v>
      </c>
      <c r="H665" s="18">
        <v>1218.3724729999999</v>
      </c>
      <c r="I665" s="16">
        <v>0</v>
      </c>
      <c r="J665" s="16"/>
      <c r="K665" s="16"/>
      <c r="L665" s="37" t="s">
        <v>107</v>
      </c>
      <c r="M665" s="37"/>
      <c r="N665" s="37">
        <v>159</v>
      </c>
      <c r="O665" s="37"/>
      <c r="P665" s="37"/>
      <c r="Q665" s="18">
        <v>7.445614</v>
      </c>
      <c r="R665" s="18">
        <v>5.076555E-2</v>
      </c>
      <c r="S665" s="18">
        <v>14.214354</v>
      </c>
      <c r="T665" s="18">
        <v>60.918659999999996</v>
      </c>
      <c r="U665" s="18">
        <v>30.459329999999998</v>
      </c>
      <c r="V665" s="18">
        <v>389.87942399999997</v>
      </c>
      <c r="W665" s="18">
        <v>365.51195999999999</v>
      </c>
      <c r="X665" s="18">
        <v>243.67463999999998</v>
      </c>
      <c r="Y665" s="18">
        <v>10.829984</v>
      </c>
      <c r="Z665" s="18">
        <v>48.058053999999998</v>
      </c>
      <c r="AA665" s="18">
        <v>70.394896000000003</v>
      </c>
      <c r="AB665" s="18">
        <v>125.22169</v>
      </c>
      <c r="AC665" s="18">
        <v>38.581817999999998</v>
      </c>
      <c r="AD665" s="18">
        <v>203.06219999999999</v>
      </c>
    </row>
    <row r="666" spans="2:30" x14ac:dyDescent="0.25">
      <c r="B666" t="s">
        <v>355</v>
      </c>
      <c r="C666" t="s">
        <v>463</v>
      </c>
      <c r="D666" t="s">
        <v>534</v>
      </c>
      <c r="E666" s="35">
        <v>0.9</v>
      </c>
      <c r="F666" s="35">
        <v>62</v>
      </c>
      <c r="G666" s="36">
        <v>0.89152600000000004</v>
      </c>
      <c r="H666" s="18">
        <v>1604.746333</v>
      </c>
      <c r="I666" s="16">
        <v>0</v>
      </c>
      <c r="J666" s="16"/>
      <c r="K666" s="16"/>
      <c r="L666" s="37" t="s">
        <v>107</v>
      </c>
      <c r="M666" s="37"/>
      <c r="N666" s="37">
        <v>160</v>
      </c>
      <c r="O666" s="37"/>
      <c r="P666" s="37"/>
      <c r="Q666" s="18">
        <v>9.8067860000000007</v>
      </c>
      <c r="R666" s="18">
        <v>6.6864450000000006E-2</v>
      </c>
      <c r="S666" s="18">
        <v>18.722046000000002</v>
      </c>
      <c r="T666" s="18">
        <v>80.237340000000003</v>
      </c>
      <c r="U666" s="18">
        <v>40.118670000000002</v>
      </c>
      <c r="V666" s="18">
        <v>513.51897600000007</v>
      </c>
      <c r="W666" s="18">
        <v>481.42404000000005</v>
      </c>
      <c r="X666" s="18">
        <v>320.94936000000001</v>
      </c>
      <c r="Y666" s="18">
        <v>14.264416000000001</v>
      </c>
      <c r="Z666" s="18">
        <v>63.298346000000002</v>
      </c>
      <c r="AA666" s="18">
        <v>92.718704000000002</v>
      </c>
      <c r="AB666" s="18">
        <v>164.93231</v>
      </c>
      <c r="AC666" s="18">
        <v>50.816982000000003</v>
      </c>
      <c r="AD666" s="18">
        <v>267.45780000000002</v>
      </c>
    </row>
    <row r="667" spans="2:30" x14ac:dyDescent="0.25">
      <c r="B667" t="s">
        <v>371</v>
      </c>
      <c r="C667" t="s">
        <v>463</v>
      </c>
      <c r="D667" t="s">
        <v>535</v>
      </c>
      <c r="E667" s="35">
        <v>0.9</v>
      </c>
      <c r="F667" s="35">
        <v>55</v>
      </c>
      <c r="G667" s="36">
        <v>0.67207399999999995</v>
      </c>
      <c r="H667" s="18">
        <v>1209.733997</v>
      </c>
      <c r="I667" s="16">
        <v>0</v>
      </c>
      <c r="J667" s="16"/>
      <c r="K667" s="16"/>
      <c r="L667" s="37" t="s">
        <v>107</v>
      </c>
      <c r="M667" s="37"/>
      <c r="N667" s="37">
        <v>161</v>
      </c>
      <c r="O667" s="37"/>
      <c r="P667" s="37"/>
      <c r="Q667" s="18">
        <v>7.3928139999999996</v>
      </c>
      <c r="R667" s="18">
        <v>5.0405549999999993E-2</v>
      </c>
      <c r="S667" s="18">
        <v>14.113553999999999</v>
      </c>
      <c r="T667" s="18">
        <v>60.486659999999993</v>
      </c>
      <c r="U667" s="18">
        <v>30.243329999999997</v>
      </c>
      <c r="V667" s="18">
        <v>387.11462399999999</v>
      </c>
      <c r="W667" s="18">
        <v>362.91995999999995</v>
      </c>
      <c r="X667" s="18">
        <v>241.94663999999997</v>
      </c>
      <c r="Y667" s="18">
        <v>10.753183999999999</v>
      </c>
      <c r="Z667" s="18">
        <v>47.717253999999997</v>
      </c>
      <c r="AA667" s="18">
        <v>69.895696000000001</v>
      </c>
      <c r="AB667" s="18">
        <v>124.33368999999999</v>
      </c>
      <c r="AC667" s="18">
        <v>38.308217999999997</v>
      </c>
      <c r="AD667" s="18">
        <v>201.62219999999999</v>
      </c>
    </row>
    <row r="668" spans="2:30" x14ac:dyDescent="0.25">
      <c r="B668" t="s">
        <v>112</v>
      </c>
      <c r="C668" t="s">
        <v>463</v>
      </c>
      <c r="D668" t="s">
        <v>237</v>
      </c>
      <c r="E668" s="35">
        <v>0.9</v>
      </c>
      <c r="F668" s="35">
        <v>60</v>
      </c>
      <c r="G668" s="36">
        <v>0.87796600000000002</v>
      </c>
      <c r="H668" s="18">
        <v>1580.339209</v>
      </c>
      <c r="I668" s="16">
        <v>0</v>
      </c>
      <c r="J668" s="16"/>
      <c r="K668" s="16"/>
      <c r="L668" s="37" t="s">
        <v>107</v>
      </c>
      <c r="M668" s="37"/>
      <c r="N668" s="37">
        <v>162</v>
      </c>
      <c r="O668" s="37"/>
      <c r="P668" s="37"/>
      <c r="Q668" s="18">
        <v>9.6576260000000005</v>
      </c>
      <c r="R668" s="18">
        <v>6.5847450000000002E-2</v>
      </c>
      <c r="S668" s="18">
        <v>18.437286</v>
      </c>
      <c r="T668" s="18">
        <v>79.016940000000005</v>
      </c>
      <c r="U668" s="18">
        <v>39.508470000000003</v>
      </c>
      <c r="V668" s="18">
        <v>505.708416</v>
      </c>
      <c r="W668" s="18">
        <v>474.10164000000003</v>
      </c>
      <c r="X668" s="18">
        <v>316.06776000000002</v>
      </c>
      <c r="Y668" s="18">
        <v>14.047456</v>
      </c>
      <c r="Z668" s="18">
        <v>62.335585999999999</v>
      </c>
      <c r="AA668" s="18">
        <v>91.308464000000001</v>
      </c>
      <c r="AB668" s="18">
        <v>162.42371</v>
      </c>
      <c r="AC668" s="18">
        <v>50.044062000000004</v>
      </c>
      <c r="AD668" s="18">
        <v>263.38979999999998</v>
      </c>
    </row>
    <row r="669" spans="2:30" x14ac:dyDescent="0.25">
      <c r="B669" t="s">
        <v>166</v>
      </c>
      <c r="C669" t="s">
        <v>463</v>
      </c>
      <c r="D669" t="s">
        <v>236</v>
      </c>
      <c r="E669" s="35">
        <v>0.9</v>
      </c>
      <c r="F669" s="35">
        <v>26</v>
      </c>
      <c r="G669" s="36">
        <v>0.35583999999999999</v>
      </c>
      <c r="H669" s="18">
        <v>640.51146000000006</v>
      </c>
      <c r="I669" s="16">
        <v>0</v>
      </c>
      <c r="J669" s="16"/>
      <c r="K669" s="16"/>
      <c r="L669" s="37" t="s">
        <v>107</v>
      </c>
      <c r="M669" s="37"/>
      <c r="N669" s="37">
        <v>163</v>
      </c>
      <c r="O669" s="37"/>
      <c r="P669" s="37"/>
      <c r="Q669" s="18">
        <v>3.9142399999999999</v>
      </c>
      <c r="R669" s="18">
        <v>2.6688E-2</v>
      </c>
      <c r="S669" s="18">
        <v>7.4726400000000002</v>
      </c>
      <c r="T669" s="18">
        <v>32.025599999999997</v>
      </c>
      <c r="U669" s="18">
        <v>16.012799999999999</v>
      </c>
      <c r="V669" s="18">
        <v>204.96384</v>
      </c>
      <c r="W669" s="18">
        <v>192.15359999999998</v>
      </c>
      <c r="X669" s="18">
        <v>128.10239999999999</v>
      </c>
      <c r="Y669" s="18">
        <v>5.6934399999999998</v>
      </c>
      <c r="Z669" s="18">
        <v>25.26464</v>
      </c>
      <c r="AA669" s="18">
        <v>37.007359999999998</v>
      </c>
      <c r="AB669" s="18">
        <v>65.830399999999997</v>
      </c>
      <c r="AC669" s="18">
        <v>20.282879999999999</v>
      </c>
      <c r="AD669" s="18">
        <v>106.752</v>
      </c>
    </row>
    <row r="670" spans="2:30" x14ac:dyDescent="0.25">
      <c r="B670" t="s">
        <v>124</v>
      </c>
      <c r="C670" t="s">
        <v>463</v>
      </c>
      <c r="D670" t="s">
        <v>533</v>
      </c>
      <c r="E670" s="35">
        <v>0.9</v>
      </c>
      <c r="F670" s="35">
        <v>35</v>
      </c>
      <c r="G670" s="36">
        <v>0.67687399999999998</v>
      </c>
      <c r="H670" s="18">
        <v>1218.3724729999999</v>
      </c>
      <c r="I670" s="16">
        <v>0</v>
      </c>
      <c r="J670" s="16"/>
      <c r="K670" s="16"/>
      <c r="L670" s="37" t="s">
        <v>107</v>
      </c>
      <c r="M670" s="37"/>
      <c r="N670" s="37">
        <v>164</v>
      </c>
      <c r="O670" s="37"/>
      <c r="P670" s="37"/>
      <c r="Q670" s="18">
        <v>7.445614</v>
      </c>
      <c r="R670" s="18">
        <v>5.076555E-2</v>
      </c>
      <c r="S670" s="18">
        <v>14.214354</v>
      </c>
      <c r="T670" s="18">
        <v>60.918659999999996</v>
      </c>
      <c r="U670" s="18">
        <v>30.459329999999998</v>
      </c>
      <c r="V670" s="18">
        <v>389.87942399999997</v>
      </c>
      <c r="W670" s="18">
        <v>365.51195999999999</v>
      </c>
      <c r="X670" s="18">
        <v>243.67463999999998</v>
      </c>
      <c r="Y670" s="18">
        <v>10.829984</v>
      </c>
      <c r="Z670" s="18">
        <v>48.058053999999998</v>
      </c>
      <c r="AA670" s="18">
        <v>70.394896000000003</v>
      </c>
      <c r="AB670" s="18">
        <v>125.22169</v>
      </c>
      <c r="AC670" s="18">
        <v>38.581817999999998</v>
      </c>
      <c r="AD670" s="18">
        <v>203.06219999999999</v>
      </c>
    </row>
    <row r="671" spans="2:30" x14ac:dyDescent="0.25">
      <c r="B671" t="s">
        <v>269</v>
      </c>
      <c r="C671" t="s">
        <v>463</v>
      </c>
      <c r="D671" t="s">
        <v>536</v>
      </c>
      <c r="E671" s="35">
        <v>0.9</v>
      </c>
      <c r="F671" s="35">
        <v>6.6</v>
      </c>
      <c r="G671" s="36">
        <v>9.2491000000000004E-2</v>
      </c>
      <c r="H671" s="18">
        <v>166.483396</v>
      </c>
      <c r="I671" s="16"/>
      <c r="J671" s="16"/>
      <c r="K671" s="16"/>
      <c r="L671" s="37" t="s">
        <v>107</v>
      </c>
      <c r="M671" s="37"/>
      <c r="N671" s="37">
        <v>165</v>
      </c>
      <c r="O671" s="37"/>
      <c r="P671" s="37"/>
      <c r="Q671" s="18">
        <v>1.017401</v>
      </c>
      <c r="R671" s="18">
        <v>6.9368249999999998E-3</v>
      </c>
      <c r="S671" s="18">
        <v>1.9423110000000001</v>
      </c>
      <c r="T671" s="18">
        <v>8.3241899999999998</v>
      </c>
      <c r="U671" s="18">
        <v>4.1620949999999999</v>
      </c>
      <c r="V671" s="18">
        <v>53.274816000000001</v>
      </c>
      <c r="W671" s="18">
        <v>49.945140000000002</v>
      </c>
      <c r="X671" s="18">
        <v>33.296759999999999</v>
      </c>
      <c r="Y671" s="18">
        <v>1.4798560000000001</v>
      </c>
      <c r="Z671" s="18">
        <v>6.5668610000000003</v>
      </c>
      <c r="AA671" s="18">
        <v>9.6190639999999998</v>
      </c>
      <c r="AB671" s="18">
        <v>17.110835000000002</v>
      </c>
      <c r="AC671" s="18">
        <v>5.2719870000000002</v>
      </c>
      <c r="AD671" s="18">
        <v>27.747300000000003</v>
      </c>
    </row>
    <row r="672" spans="2:30" x14ac:dyDescent="0.25">
      <c r="B672" t="s">
        <v>144</v>
      </c>
      <c r="C672" t="s">
        <v>463</v>
      </c>
      <c r="D672" t="s">
        <v>240</v>
      </c>
      <c r="E672" s="35">
        <v>0.9</v>
      </c>
      <c r="F672" s="35">
        <v>40</v>
      </c>
      <c r="G672" s="36">
        <v>0.51779200000000003</v>
      </c>
      <c r="H672" s="18">
        <v>932.02535699999999</v>
      </c>
      <c r="I672" s="16">
        <v>0</v>
      </c>
      <c r="J672" s="16"/>
      <c r="K672" s="16"/>
      <c r="L672" s="37" t="s">
        <v>107</v>
      </c>
      <c r="M672" s="37"/>
      <c r="N672" s="37">
        <v>166</v>
      </c>
      <c r="O672" s="37"/>
      <c r="P672" s="37"/>
      <c r="Q672" s="18">
        <v>5.6957120000000003</v>
      </c>
      <c r="R672" s="18">
        <v>3.8834399999999998E-2</v>
      </c>
      <c r="S672" s="18">
        <v>10.873632000000001</v>
      </c>
      <c r="T672" s="18">
        <v>46.601280000000003</v>
      </c>
      <c r="U672" s="18">
        <v>23.300640000000001</v>
      </c>
      <c r="V672" s="18">
        <v>298.24819200000002</v>
      </c>
      <c r="W672" s="18">
        <v>279.60768000000002</v>
      </c>
      <c r="X672" s="18">
        <v>186.40512000000001</v>
      </c>
      <c r="Y672" s="18">
        <v>8.2846720000000005</v>
      </c>
      <c r="Z672" s="18">
        <v>36.763232000000002</v>
      </c>
      <c r="AA672" s="18">
        <v>53.850368000000003</v>
      </c>
      <c r="AB672" s="18">
        <v>95.791520000000006</v>
      </c>
      <c r="AC672" s="18">
        <v>29.514144000000002</v>
      </c>
      <c r="AD672" s="18">
        <v>155.33760000000001</v>
      </c>
    </row>
    <row r="673" spans="2:30" x14ac:dyDescent="0.25">
      <c r="B673" t="s">
        <v>124</v>
      </c>
      <c r="C673" t="s">
        <v>463</v>
      </c>
      <c r="D673" t="s">
        <v>537</v>
      </c>
      <c r="E673" s="35">
        <v>0.9</v>
      </c>
      <c r="F673" s="35">
        <v>35</v>
      </c>
      <c r="G673" s="36">
        <v>0.67726799999999998</v>
      </c>
      <c r="H673" s="18">
        <v>1219.082725</v>
      </c>
      <c r="I673" s="16">
        <v>0</v>
      </c>
      <c r="J673" s="16"/>
      <c r="K673" s="16"/>
      <c r="L673" s="37" t="s">
        <v>107</v>
      </c>
      <c r="M673" s="37"/>
      <c r="N673" s="37">
        <v>167</v>
      </c>
      <c r="O673" s="37"/>
      <c r="P673" s="37"/>
      <c r="Q673" s="18">
        <v>7.449948</v>
      </c>
      <c r="R673" s="18">
        <v>5.0795099999999996E-2</v>
      </c>
      <c r="S673" s="18">
        <v>14.222628</v>
      </c>
      <c r="T673" s="18">
        <v>60.954119999999996</v>
      </c>
      <c r="U673" s="18">
        <v>30.477059999999998</v>
      </c>
      <c r="V673" s="18">
        <v>390.10636799999997</v>
      </c>
      <c r="W673" s="18">
        <v>365.72471999999999</v>
      </c>
      <c r="X673" s="18">
        <v>243.81647999999998</v>
      </c>
      <c r="Y673" s="18">
        <v>10.836288</v>
      </c>
      <c r="Z673" s="18">
        <v>48.086027999999999</v>
      </c>
      <c r="AA673" s="18">
        <v>70.435872000000003</v>
      </c>
      <c r="AB673" s="18">
        <v>125.29458</v>
      </c>
      <c r="AC673" s="18">
        <v>38.604275999999999</v>
      </c>
      <c r="AD673" s="18">
        <v>203.18039999999999</v>
      </c>
    </row>
    <row r="674" spans="2:30" x14ac:dyDescent="0.25">
      <c r="B674" t="s">
        <v>166</v>
      </c>
      <c r="C674" t="s">
        <v>463</v>
      </c>
      <c r="D674" t="s">
        <v>247</v>
      </c>
      <c r="E674" s="35">
        <v>0.9</v>
      </c>
      <c r="F674" s="35">
        <v>26</v>
      </c>
      <c r="G674" s="36">
        <v>0.34214699999999998</v>
      </c>
      <c r="H674" s="18">
        <v>615.864463</v>
      </c>
      <c r="I674" s="16">
        <v>0</v>
      </c>
      <c r="J674" s="16"/>
      <c r="K674" s="16"/>
      <c r="L674" s="37" t="s">
        <v>107</v>
      </c>
      <c r="M674" s="37"/>
      <c r="N674" s="37">
        <v>168</v>
      </c>
      <c r="O674" s="37"/>
      <c r="P674" s="37"/>
      <c r="Q674" s="18">
        <v>3.763617</v>
      </c>
      <c r="R674" s="18">
        <v>2.5661024999999997E-2</v>
      </c>
      <c r="S674" s="18">
        <v>7.1850869999999993</v>
      </c>
      <c r="T674" s="18">
        <v>30.793229999999998</v>
      </c>
      <c r="U674" s="18">
        <v>15.396614999999999</v>
      </c>
      <c r="V674" s="18">
        <v>197.07667199999997</v>
      </c>
      <c r="W674" s="18">
        <v>184.75937999999999</v>
      </c>
      <c r="X674" s="18">
        <v>123.17291999999999</v>
      </c>
      <c r="Y674" s="18">
        <v>5.4743519999999997</v>
      </c>
      <c r="Z674" s="18">
        <v>24.292437</v>
      </c>
      <c r="AA674" s="18">
        <v>35.583287999999996</v>
      </c>
      <c r="AB674" s="18">
        <v>63.297194999999995</v>
      </c>
      <c r="AC674" s="18">
        <v>19.502378999999998</v>
      </c>
      <c r="AD674" s="18">
        <v>102.64409999999999</v>
      </c>
    </row>
    <row r="675" spans="2:30" x14ac:dyDescent="0.25">
      <c r="B675" t="s">
        <v>124</v>
      </c>
      <c r="C675" t="s">
        <v>463</v>
      </c>
      <c r="D675" t="s">
        <v>538</v>
      </c>
      <c r="E675" s="35">
        <v>0.9</v>
      </c>
      <c r="F675" s="35">
        <v>35</v>
      </c>
      <c r="G675" s="36">
        <v>0.653976</v>
      </c>
      <c r="H675" s="18">
        <v>1177.15615</v>
      </c>
      <c r="I675" s="16">
        <v>0</v>
      </c>
      <c r="J675" s="16"/>
      <c r="K675" s="16"/>
      <c r="L675" s="37" t="s">
        <v>107</v>
      </c>
      <c r="M675" s="37"/>
      <c r="N675" s="37">
        <v>169</v>
      </c>
      <c r="O675" s="37"/>
      <c r="P675" s="37"/>
      <c r="Q675" s="18">
        <v>7.1937360000000004</v>
      </c>
      <c r="R675" s="18">
        <v>4.90482E-2</v>
      </c>
      <c r="S675" s="18">
        <v>13.733496000000001</v>
      </c>
      <c r="T675" s="18">
        <v>58.857840000000003</v>
      </c>
      <c r="U675" s="18">
        <v>29.428920000000002</v>
      </c>
      <c r="V675" s="18">
        <v>376.69017600000001</v>
      </c>
      <c r="W675" s="18">
        <v>353.14704</v>
      </c>
      <c r="X675" s="18">
        <v>235.43136000000001</v>
      </c>
      <c r="Y675" s="18">
        <v>10.463616</v>
      </c>
      <c r="Z675" s="18">
        <v>46.432296000000001</v>
      </c>
      <c r="AA675" s="18">
        <v>68.013503999999998</v>
      </c>
      <c r="AB675" s="18">
        <v>120.98556000000001</v>
      </c>
      <c r="AC675" s="18">
        <v>37.276631999999999</v>
      </c>
      <c r="AD675" s="18">
        <v>196.19280000000001</v>
      </c>
    </row>
    <row r="676" spans="2:30" x14ac:dyDescent="0.25">
      <c r="B676" t="s">
        <v>110</v>
      </c>
      <c r="C676" t="s">
        <v>463</v>
      </c>
      <c r="D676" t="s">
        <v>254</v>
      </c>
      <c r="E676" s="35">
        <v>0.9</v>
      </c>
      <c r="F676" s="35">
        <v>22</v>
      </c>
      <c r="G676" s="36">
        <v>0.27059</v>
      </c>
      <c r="H676" s="18">
        <v>487.06146999999999</v>
      </c>
      <c r="I676" s="16">
        <v>0</v>
      </c>
      <c r="J676" s="16"/>
      <c r="K676" s="16"/>
      <c r="L676" s="37" t="s">
        <v>107</v>
      </c>
      <c r="M676" s="37"/>
      <c r="N676" s="37">
        <v>170</v>
      </c>
      <c r="O676" s="37"/>
      <c r="P676" s="37"/>
      <c r="Q676" s="18">
        <v>2.9764900000000001</v>
      </c>
      <c r="R676" s="18">
        <v>2.029425E-2</v>
      </c>
      <c r="S676" s="18">
        <v>5.6823899999999998</v>
      </c>
      <c r="T676" s="18">
        <v>24.353100000000001</v>
      </c>
      <c r="U676" s="18">
        <v>12.176550000000001</v>
      </c>
      <c r="V676" s="18">
        <v>155.85983999999999</v>
      </c>
      <c r="W676" s="18">
        <v>146.11859999999999</v>
      </c>
      <c r="X676" s="18">
        <v>97.412400000000005</v>
      </c>
      <c r="Y676" s="18">
        <v>4.32944</v>
      </c>
      <c r="Z676" s="18">
        <v>19.21189</v>
      </c>
      <c r="AA676" s="18">
        <v>28.141359999999999</v>
      </c>
      <c r="AB676" s="18">
        <v>50.059150000000002</v>
      </c>
      <c r="AC676" s="18">
        <v>15.423629999999999</v>
      </c>
      <c r="AD676" s="18">
        <v>81.176999999999992</v>
      </c>
    </row>
    <row r="677" spans="2:30" x14ac:dyDescent="0.25">
      <c r="B677" t="s">
        <v>124</v>
      </c>
      <c r="C677" t="s">
        <v>463</v>
      </c>
      <c r="D677" t="s">
        <v>539</v>
      </c>
      <c r="E677" s="35">
        <v>0.9</v>
      </c>
      <c r="F677" s="35">
        <v>35</v>
      </c>
      <c r="G677" s="36">
        <v>0.67848299999999995</v>
      </c>
      <c r="H677" s="18">
        <v>1221.269646</v>
      </c>
      <c r="I677" s="16">
        <v>0</v>
      </c>
      <c r="J677" s="16"/>
      <c r="K677" s="16"/>
      <c r="L677" s="37" t="s">
        <v>107</v>
      </c>
      <c r="M677" s="37"/>
      <c r="N677" s="37">
        <v>171</v>
      </c>
      <c r="O677" s="37"/>
      <c r="P677" s="37"/>
      <c r="Q677" s="18">
        <v>7.4633129999999994</v>
      </c>
      <c r="R677" s="18">
        <v>5.0886224999999993E-2</v>
      </c>
      <c r="S677" s="18">
        <v>14.248142999999999</v>
      </c>
      <c r="T677" s="18">
        <v>61.063469999999995</v>
      </c>
      <c r="U677" s="18">
        <v>30.531734999999998</v>
      </c>
      <c r="V677" s="18">
        <v>390.80620799999997</v>
      </c>
      <c r="W677" s="18">
        <v>366.38081999999997</v>
      </c>
      <c r="X677" s="18">
        <v>244.25387999999998</v>
      </c>
      <c r="Y677" s="18">
        <v>10.855727999999999</v>
      </c>
      <c r="Z677" s="18">
        <v>48.172292999999996</v>
      </c>
      <c r="AA677" s="18">
        <v>70.562231999999995</v>
      </c>
      <c r="AB677" s="18">
        <v>125.51935499999999</v>
      </c>
      <c r="AC677" s="18">
        <v>38.673530999999997</v>
      </c>
      <c r="AD677" s="18">
        <v>203.54489999999998</v>
      </c>
    </row>
    <row r="678" spans="2:30" x14ac:dyDescent="0.25">
      <c r="B678" t="s">
        <v>110</v>
      </c>
      <c r="C678" t="s">
        <v>463</v>
      </c>
      <c r="D678" t="s">
        <v>258</v>
      </c>
      <c r="E678" s="35">
        <v>0.9</v>
      </c>
      <c r="F678" s="35">
        <v>22</v>
      </c>
      <c r="G678" s="36">
        <v>0.27792299999999998</v>
      </c>
      <c r="H678" s="18">
        <v>500.26093300000002</v>
      </c>
      <c r="I678" s="16">
        <v>0</v>
      </c>
      <c r="J678" s="16"/>
      <c r="K678" s="16"/>
      <c r="L678" s="37" t="s">
        <v>107</v>
      </c>
      <c r="M678" s="37"/>
      <c r="N678" s="37">
        <v>172</v>
      </c>
      <c r="O678" s="37"/>
      <c r="P678" s="37"/>
      <c r="Q678" s="18">
        <v>3.0571529999999996</v>
      </c>
      <c r="R678" s="18">
        <v>2.0844224999999997E-2</v>
      </c>
      <c r="S678" s="18">
        <v>5.8363829999999997</v>
      </c>
      <c r="T678" s="18">
        <v>25.013069999999999</v>
      </c>
      <c r="U678" s="18">
        <v>12.506535</v>
      </c>
      <c r="V678" s="18">
        <v>160.08364799999998</v>
      </c>
      <c r="W678" s="18">
        <v>150.07841999999999</v>
      </c>
      <c r="X678" s="18">
        <v>100.05228</v>
      </c>
      <c r="Y678" s="18">
        <v>4.4467679999999996</v>
      </c>
      <c r="Z678" s="18">
        <v>19.732532999999997</v>
      </c>
      <c r="AA678" s="18">
        <v>28.903991999999999</v>
      </c>
      <c r="AB678" s="18">
        <v>51.415754999999997</v>
      </c>
      <c r="AC678" s="18">
        <v>15.841610999999999</v>
      </c>
      <c r="AD678" s="18">
        <v>83.376899999999992</v>
      </c>
    </row>
    <row r="679" spans="2:30" x14ac:dyDescent="0.25">
      <c r="B679" t="s">
        <v>371</v>
      </c>
      <c r="C679" t="s">
        <v>463</v>
      </c>
      <c r="D679" t="s">
        <v>260</v>
      </c>
      <c r="E679" s="35">
        <v>0.9</v>
      </c>
      <c r="F679" s="35">
        <v>55</v>
      </c>
      <c r="G679" s="36">
        <v>0.72010600000000002</v>
      </c>
      <c r="H679" s="18">
        <v>1296.1904790000001</v>
      </c>
      <c r="I679" s="16">
        <v>0</v>
      </c>
      <c r="J679" s="16"/>
      <c r="K679" s="16"/>
      <c r="L679" s="37" t="s">
        <v>107</v>
      </c>
      <c r="M679" s="37"/>
      <c r="N679" s="37">
        <v>173</v>
      </c>
      <c r="O679" s="37"/>
      <c r="P679" s="37"/>
      <c r="Q679" s="18">
        <v>7.9211660000000004</v>
      </c>
      <c r="R679" s="18">
        <v>5.4007949999999999E-2</v>
      </c>
      <c r="S679" s="18">
        <v>15.122226000000001</v>
      </c>
      <c r="T679" s="18">
        <v>64.809539999999998</v>
      </c>
      <c r="U679" s="18">
        <v>32.404769999999999</v>
      </c>
      <c r="V679" s="18">
        <v>414.78105600000004</v>
      </c>
      <c r="W679" s="18">
        <v>388.85723999999999</v>
      </c>
      <c r="X679" s="18">
        <v>259.23815999999999</v>
      </c>
      <c r="Y679" s="18">
        <v>11.521696</v>
      </c>
      <c r="Z679" s="18">
        <v>51.127526000000003</v>
      </c>
      <c r="AA679" s="18">
        <v>74.891024000000002</v>
      </c>
      <c r="AB679" s="18">
        <v>133.21961000000002</v>
      </c>
      <c r="AC679" s="18">
        <v>41.046042</v>
      </c>
      <c r="AD679" s="18">
        <v>216.0318</v>
      </c>
    </row>
    <row r="680" spans="2:30" x14ac:dyDescent="0.25">
      <c r="B680" t="s">
        <v>116</v>
      </c>
      <c r="C680" t="s">
        <v>463</v>
      </c>
      <c r="D680" t="s">
        <v>540</v>
      </c>
      <c r="E680" s="35">
        <v>0.9</v>
      </c>
      <c r="F680" s="35">
        <v>50</v>
      </c>
      <c r="G680" s="36">
        <v>0.652308</v>
      </c>
      <c r="H680" s="18">
        <v>1174.1551509999999</v>
      </c>
      <c r="I680" s="16">
        <v>0</v>
      </c>
      <c r="J680" s="16"/>
      <c r="K680" s="16"/>
      <c r="L680" s="37" t="s">
        <v>107</v>
      </c>
      <c r="M680" s="37"/>
      <c r="N680" s="37">
        <v>174</v>
      </c>
      <c r="O680" s="37"/>
      <c r="P680" s="37"/>
      <c r="Q680" s="18">
        <v>7.1753879999999999</v>
      </c>
      <c r="R680" s="18">
        <v>4.8923099999999997E-2</v>
      </c>
      <c r="S680" s="18">
        <v>13.698468</v>
      </c>
      <c r="T680" s="18">
        <v>58.707720000000002</v>
      </c>
      <c r="U680" s="18">
        <v>29.353860000000001</v>
      </c>
      <c r="V680" s="18">
        <v>375.72940799999998</v>
      </c>
      <c r="W680" s="18">
        <v>352.24632000000003</v>
      </c>
      <c r="X680" s="18">
        <v>234.83088000000001</v>
      </c>
      <c r="Y680" s="18">
        <v>10.436928</v>
      </c>
      <c r="Z680" s="18">
        <v>46.313867999999999</v>
      </c>
      <c r="AA680" s="18">
        <v>67.840031999999994</v>
      </c>
      <c r="AB680" s="18">
        <v>120.67698</v>
      </c>
      <c r="AC680" s="18">
        <v>37.181556</v>
      </c>
      <c r="AD680" s="18">
        <v>195.69239999999999</v>
      </c>
    </row>
    <row r="681" spans="2:30" x14ac:dyDescent="0.25">
      <c r="B681" t="s">
        <v>124</v>
      </c>
      <c r="C681" t="s">
        <v>463</v>
      </c>
      <c r="D681" t="s">
        <v>267</v>
      </c>
      <c r="E681" s="35">
        <v>0.9</v>
      </c>
      <c r="F681" s="35">
        <v>35</v>
      </c>
      <c r="G681" s="36">
        <v>0.38685199999999997</v>
      </c>
      <c r="H681" s="18">
        <v>696.33371599999998</v>
      </c>
      <c r="I681" s="16">
        <v>0</v>
      </c>
      <c r="J681" s="16"/>
      <c r="K681" s="16"/>
      <c r="L681" s="37" t="s">
        <v>107</v>
      </c>
      <c r="M681" s="37"/>
      <c r="N681" s="37">
        <v>175</v>
      </c>
      <c r="O681" s="37"/>
      <c r="P681" s="37"/>
      <c r="Q681" s="18">
        <v>4.2553719999999995</v>
      </c>
      <c r="R681" s="18">
        <v>2.9013899999999995E-2</v>
      </c>
      <c r="S681" s="18">
        <v>8.1238919999999997</v>
      </c>
      <c r="T681" s="18">
        <v>34.816679999999998</v>
      </c>
      <c r="U681" s="18">
        <v>17.408339999999999</v>
      </c>
      <c r="V681" s="18">
        <v>222.826752</v>
      </c>
      <c r="W681" s="18">
        <v>208.90007999999997</v>
      </c>
      <c r="X681" s="18">
        <v>139.26671999999999</v>
      </c>
      <c r="Y681" s="18">
        <v>6.1896319999999996</v>
      </c>
      <c r="Z681" s="18">
        <v>27.466491999999999</v>
      </c>
      <c r="AA681" s="18">
        <v>40.232607999999999</v>
      </c>
      <c r="AB681" s="18">
        <v>71.567619999999991</v>
      </c>
      <c r="AC681" s="18">
        <v>22.050563999999998</v>
      </c>
      <c r="AD681" s="18">
        <v>116.0556</v>
      </c>
    </row>
    <row r="682" spans="2:30" x14ac:dyDescent="0.25">
      <c r="B682" t="s">
        <v>144</v>
      </c>
      <c r="C682" t="s">
        <v>463</v>
      </c>
      <c r="D682" t="s">
        <v>268</v>
      </c>
      <c r="E682" s="35">
        <v>0.9</v>
      </c>
      <c r="F682" s="35">
        <v>40</v>
      </c>
      <c r="G682" s="36">
        <v>0.44185000000000002</v>
      </c>
      <c r="H682" s="18">
        <v>795.32997999999998</v>
      </c>
      <c r="I682" s="16">
        <v>0</v>
      </c>
      <c r="J682" s="16"/>
      <c r="K682" s="16"/>
      <c r="L682" s="37" t="s">
        <v>107</v>
      </c>
      <c r="M682" s="37"/>
      <c r="N682" s="37">
        <v>176</v>
      </c>
      <c r="O682" s="37"/>
      <c r="P682" s="37"/>
      <c r="Q682" s="18">
        <v>4.8603500000000004</v>
      </c>
      <c r="R682" s="18">
        <v>3.3138750000000002E-2</v>
      </c>
      <c r="S682" s="18">
        <v>9.2788500000000003</v>
      </c>
      <c r="T682" s="18">
        <v>39.766500000000001</v>
      </c>
      <c r="U682" s="18">
        <v>19.88325</v>
      </c>
      <c r="V682" s="18">
        <v>254.50560000000002</v>
      </c>
      <c r="W682" s="18">
        <v>238.59900000000002</v>
      </c>
      <c r="X682" s="18">
        <v>159.066</v>
      </c>
      <c r="Y682" s="18">
        <v>7.0696000000000003</v>
      </c>
      <c r="Z682" s="18">
        <v>31.371350000000003</v>
      </c>
      <c r="AA682" s="18">
        <v>45.952400000000004</v>
      </c>
      <c r="AB682" s="18">
        <v>81.742249999999999</v>
      </c>
      <c r="AC682" s="18">
        <v>25.185449999999999</v>
      </c>
      <c r="AD682" s="18">
        <v>132.55500000000001</v>
      </c>
    </row>
    <row r="683" spans="2:30" x14ac:dyDescent="0.25">
      <c r="B683" t="s">
        <v>110</v>
      </c>
      <c r="C683" t="s">
        <v>463</v>
      </c>
      <c r="D683" t="s">
        <v>258</v>
      </c>
      <c r="E683" s="35">
        <v>0.9</v>
      </c>
      <c r="F683" s="35">
        <v>22</v>
      </c>
      <c r="G683" s="36">
        <v>0.27792299999999998</v>
      </c>
      <c r="H683" s="18">
        <v>500.26093300000002</v>
      </c>
      <c r="I683" s="16">
        <v>0</v>
      </c>
      <c r="J683" s="16"/>
      <c r="K683" s="16"/>
      <c r="L683" s="37" t="s">
        <v>107</v>
      </c>
      <c r="M683" s="37"/>
      <c r="N683" s="37">
        <v>177</v>
      </c>
      <c r="O683" s="37"/>
      <c r="P683" s="37"/>
      <c r="Q683" s="18">
        <v>3.0571529999999996</v>
      </c>
      <c r="R683" s="18">
        <v>2.0844224999999997E-2</v>
      </c>
      <c r="S683" s="18">
        <v>5.8363829999999997</v>
      </c>
      <c r="T683" s="18">
        <v>25.013069999999999</v>
      </c>
      <c r="U683" s="18">
        <v>12.506535</v>
      </c>
      <c r="V683" s="18">
        <v>160.08364799999998</v>
      </c>
      <c r="W683" s="18">
        <v>150.07841999999999</v>
      </c>
      <c r="X683" s="18">
        <v>100.05228</v>
      </c>
      <c r="Y683" s="18">
        <v>4.4467679999999996</v>
      </c>
      <c r="Z683" s="18">
        <v>19.732532999999997</v>
      </c>
      <c r="AA683" s="18">
        <v>28.903991999999999</v>
      </c>
      <c r="AB683" s="18">
        <v>51.415754999999997</v>
      </c>
      <c r="AC683" s="18">
        <v>15.841610999999999</v>
      </c>
      <c r="AD683" s="18">
        <v>83.376899999999992</v>
      </c>
    </row>
    <row r="684" spans="2:30" x14ac:dyDescent="0.25">
      <c r="B684" t="s">
        <v>124</v>
      </c>
      <c r="C684" t="s">
        <v>463</v>
      </c>
      <c r="D684" t="s">
        <v>533</v>
      </c>
      <c r="E684" s="35">
        <v>0.9</v>
      </c>
      <c r="F684" s="35">
        <v>35</v>
      </c>
      <c r="G684" s="36">
        <v>0.67687399999999998</v>
      </c>
      <c r="H684" s="18">
        <v>1218.3724729999999</v>
      </c>
      <c r="I684" s="16">
        <v>0</v>
      </c>
      <c r="J684" s="16"/>
      <c r="K684" s="16"/>
      <c r="L684" s="37" t="s">
        <v>107</v>
      </c>
      <c r="M684" s="37"/>
      <c r="N684" s="37">
        <v>178</v>
      </c>
      <c r="O684" s="37"/>
      <c r="P684" s="37"/>
      <c r="Q684" s="18">
        <v>7.445614</v>
      </c>
      <c r="R684" s="18">
        <v>5.076555E-2</v>
      </c>
      <c r="S684" s="18">
        <v>14.214354</v>
      </c>
      <c r="T684" s="18">
        <v>60.918659999999996</v>
      </c>
      <c r="U684" s="18">
        <v>30.459329999999998</v>
      </c>
      <c r="V684" s="18">
        <v>389.87942399999997</v>
      </c>
      <c r="W684" s="18">
        <v>365.51195999999999</v>
      </c>
      <c r="X684" s="18">
        <v>243.67463999999998</v>
      </c>
      <c r="Y684" s="18">
        <v>10.829984</v>
      </c>
      <c r="Z684" s="18">
        <v>48.058053999999998</v>
      </c>
      <c r="AA684" s="18">
        <v>70.394896000000003</v>
      </c>
      <c r="AB684" s="18">
        <v>125.22169</v>
      </c>
      <c r="AC684" s="18">
        <v>38.581817999999998</v>
      </c>
      <c r="AD684" s="18">
        <v>203.06219999999999</v>
      </c>
    </row>
    <row r="685" spans="2:30" x14ac:dyDescent="0.25">
      <c r="B685" t="s">
        <v>517</v>
      </c>
      <c r="C685" t="s">
        <v>463</v>
      </c>
      <c r="D685" t="s">
        <v>518</v>
      </c>
      <c r="E685" s="35">
        <v>0.9</v>
      </c>
      <c r="F685" s="35">
        <v>16.2</v>
      </c>
      <c r="G685" s="36">
        <v>7.9422000000000006E-2</v>
      </c>
      <c r="H685" s="18">
        <v>142.959834</v>
      </c>
      <c r="I685" s="16"/>
      <c r="J685" s="16"/>
      <c r="K685" s="16"/>
      <c r="L685" s="37" t="s">
        <v>107</v>
      </c>
      <c r="M685" s="37"/>
      <c r="N685" s="37">
        <v>179</v>
      </c>
      <c r="O685" s="37"/>
      <c r="P685" s="37"/>
      <c r="Q685" s="18">
        <v>0.87364200000000003</v>
      </c>
      <c r="R685" s="18">
        <v>5.95665E-3</v>
      </c>
      <c r="S685" s="18">
        <v>1.6678620000000002</v>
      </c>
      <c r="T685" s="18">
        <v>7.1479800000000004</v>
      </c>
      <c r="U685" s="18">
        <v>3.5739900000000002</v>
      </c>
      <c r="V685" s="18">
        <v>45.747072000000003</v>
      </c>
      <c r="W685" s="18">
        <v>42.887880000000003</v>
      </c>
      <c r="X685" s="18">
        <v>28.591920000000002</v>
      </c>
      <c r="Y685" s="18">
        <v>1.2707520000000001</v>
      </c>
      <c r="Z685" s="18">
        <v>5.6389620000000003</v>
      </c>
      <c r="AA685" s="18">
        <v>8.2598880000000001</v>
      </c>
      <c r="AB685" s="18">
        <v>14.693070000000001</v>
      </c>
      <c r="AC685" s="18">
        <v>4.5270540000000006</v>
      </c>
      <c r="AD685" s="18">
        <v>23.826600000000003</v>
      </c>
    </row>
    <row r="686" spans="2:30" x14ac:dyDescent="0.25">
      <c r="B686" t="s">
        <v>517</v>
      </c>
      <c r="C686" t="s">
        <v>463</v>
      </c>
      <c r="D686" t="s">
        <v>519</v>
      </c>
      <c r="E686" s="35">
        <v>0.9</v>
      </c>
      <c r="F686" s="35">
        <v>16.2</v>
      </c>
      <c r="G686" s="36">
        <v>5.2990000000000002E-2</v>
      </c>
      <c r="H686" s="18">
        <v>95.381343000000001</v>
      </c>
      <c r="I686" s="16"/>
      <c r="J686" s="16"/>
      <c r="K686" s="16"/>
      <c r="L686" s="37" t="s">
        <v>107</v>
      </c>
      <c r="M686" s="37"/>
      <c r="N686" s="37">
        <v>180</v>
      </c>
      <c r="O686" s="37"/>
      <c r="P686" s="37"/>
      <c r="Q686" s="18">
        <v>0.58289000000000002</v>
      </c>
      <c r="R686" s="18">
        <v>3.9742500000000004E-3</v>
      </c>
      <c r="S686" s="18">
        <v>1.1127899999999999</v>
      </c>
      <c r="T686" s="18">
        <v>4.7690999999999999</v>
      </c>
      <c r="U686" s="18">
        <v>2.3845499999999999</v>
      </c>
      <c r="V686" s="18">
        <v>30.52224</v>
      </c>
      <c r="W686" s="18">
        <v>28.614600000000003</v>
      </c>
      <c r="X686" s="18">
        <v>19.0764</v>
      </c>
      <c r="Y686" s="18">
        <v>0.84784000000000004</v>
      </c>
      <c r="Z686" s="18">
        <v>3.7622900000000001</v>
      </c>
      <c r="AA686" s="18">
        <v>5.5109599999999999</v>
      </c>
      <c r="AB686" s="18">
        <v>9.8031500000000005</v>
      </c>
      <c r="AC686" s="18">
        <v>3.0204300000000002</v>
      </c>
      <c r="AD686" s="18">
        <v>15.897</v>
      </c>
    </row>
    <row r="687" spans="2:30" x14ac:dyDescent="0.25">
      <c r="B687" t="s">
        <v>517</v>
      </c>
      <c r="C687" t="s">
        <v>463</v>
      </c>
      <c r="D687" t="s">
        <v>520</v>
      </c>
      <c r="E687" s="35">
        <v>0.9</v>
      </c>
      <c r="F687" s="35">
        <v>16.2</v>
      </c>
      <c r="G687" s="36">
        <v>7.9815999999999998E-2</v>
      </c>
      <c r="H687" s="18">
        <v>143.66920099999999</v>
      </c>
      <c r="I687" s="16"/>
      <c r="J687" s="16"/>
      <c r="K687" s="16"/>
      <c r="L687" s="37" t="s">
        <v>107</v>
      </c>
      <c r="M687" s="37"/>
      <c r="N687" s="37">
        <v>181</v>
      </c>
      <c r="O687" s="37"/>
      <c r="P687" s="37"/>
      <c r="Q687" s="18">
        <v>0.87797599999999998</v>
      </c>
      <c r="R687" s="18">
        <v>5.9861999999999997E-3</v>
      </c>
      <c r="S687" s="18">
        <v>1.6761360000000001</v>
      </c>
      <c r="T687" s="18">
        <v>7.18344</v>
      </c>
      <c r="U687" s="18">
        <v>3.59172</v>
      </c>
      <c r="V687" s="18">
        <v>45.974015999999999</v>
      </c>
      <c r="W687" s="18">
        <v>43.100639999999999</v>
      </c>
      <c r="X687" s="18">
        <v>28.73376</v>
      </c>
      <c r="Y687" s="18">
        <v>1.277056</v>
      </c>
      <c r="Z687" s="18">
        <v>5.6669359999999998</v>
      </c>
      <c r="AA687" s="18">
        <v>8.3008640000000007</v>
      </c>
      <c r="AB687" s="18">
        <v>14.76596</v>
      </c>
      <c r="AC687" s="18">
        <v>4.549512</v>
      </c>
      <c r="AD687" s="18">
        <v>23.944800000000001</v>
      </c>
    </row>
    <row r="688" spans="2:30" x14ac:dyDescent="0.25">
      <c r="B688" t="s">
        <v>517</v>
      </c>
      <c r="C688" t="s">
        <v>463</v>
      </c>
      <c r="D688" t="s">
        <v>519</v>
      </c>
      <c r="E688" s="35">
        <v>0.9</v>
      </c>
      <c r="F688" s="35">
        <v>16.2</v>
      </c>
      <c r="G688" s="36">
        <v>5.2990000000000002E-2</v>
      </c>
      <c r="H688" s="18">
        <v>95.381343000000001</v>
      </c>
      <c r="I688" s="16"/>
      <c r="J688" s="16"/>
      <c r="K688" s="16"/>
      <c r="L688" s="37" t="s">
        <v>107</v>
      </c>
      <c r="M688" s="37"/>
      <c r="N688" s="37">
        <v>182</v>
      </c>
      <c r="O688" s="37"/>
      <c r="P688" s="37"/>
      <c r="Q688" s="18">
        <v>0.58289000000000002</v>
      </c>
      <c r="R688" s="18">
        <v>3.9742500000000004E-3</v>
      </c>
      <c r="S688" s="18">
        <v>1.1127899999999999</v>
      </c>
      <c r="T688" s="18">
        <v>4.7690999999999999</v>
      </c>
      <c r="U688" s="18">
        <v>2.3845499999999999</v>
      </c>
      <c r="V688" s="18">
        <v>30.52224</v>
      </c>
      <c r="W688" s="18">
        <v>28.614600000000003</v>
      </c>
      <c r="X688" s="18">
        <v>19.0764</v>
      </c>
      <c r="Y688" s="18">
        <v>0.84784000000000004</v>
      </c>
      <c r="Z688" s="18">
        <v>3.7622900000000001</v>
      </c>
      <c r="AA688" s="18">
        <v>5.5109599999999999</v>
      </c>
      <c r="AB688" s="18">
        <v>9.8031500000000005</v>
      </c>
      <c r="AC688" s="18">
        <v>3.0204300000000002</v>
      </c>
      <c r="AD688" s="18">
        <v>15.897</v>
      </c>
    </row>
    <row r="689" spans="2:30" x14ac:dyDescent="0.25">
      <c r="B689" t="s">
        <v>517</v>
      </c>
      <c r="C689" t="s">
        <v>463</v>
      </c>
      <c r="D689" t="s">
        <v>518</v>
      </c>
      <c r="E689" s="35">
        <v>0.9</v>
      </c>
      <c r="F689" s="35">
        <v>16.2</v>
      </c>
      <c r="G689" s="36">
        <v>7.9422000000000006E-2</v>
      </c>
      <c r="H689" s="18">
        <v>142.959834</v>
      </c>
      <c r="I689" s="16"/>
      <c r="J689" s="16"/>
      <c r="K689" s="16"/>
      <c r="L689" s="37" t="s">
        <v>107</v>
      </c>
      <c r="M689" s="37"/>
      <c r="N689" s="37">
        <v>183</v>
      </c>
      <c r="O689" s="37"/>
      <c r="P689" s="37"/>
      <c r="Q689" s="18">
        <v>0.87364200000000003</v>
      </c>
      <c r="R689" s="18">
        <v>5.95665E-3</v>
      </c>
      <c r="S689" s="18">
        <v>1.6678620000000002</v>
      </c>
      <c r="T689" s="18">
        <v>7.1479800000000004</v>
      </c>
      <c r="U689" s="18">
        <v>3.5739900000000002</v>
      </c>
      <c r="V689" s="18">
        <v>45.747072000000003</v>
      </c>
      <c r="W689" s="18">
        <v>42.887880000000003</v>
      </c>
      <c r="X689" s="18">
        <v>28.591920000000002</v>
      </c>
      <c r="Y689" s="18">
        <v>1.2707520000000001</v>
      </c>
      <c r="Z689" s="18">
        <v>5.6389620000000003</v>
      </c>
      <c r="AA689" s="18">
        <v>8.2598880000000001</v>
      </c>
      <c r="AB689" s="18">
        <v>14.693070000000001</v>
      </c>
      <c r="AC689" s="18">
        <v>4.5270540000000006</v>
      </c>
      <c r="AD689" s="18">
        <v>23.826600000000003</v>
      </c>
    </row>
    <row r="690" spans="2:30" x14ac:dyDescent="0.25">
      <c r="B690" t="s">
        <v>517</v>
      </c>
      <c r="C690" t="s">
        <v>463</v>
      </c>
      <c r="D690" t="s">
        <v>519</v>
      </c>
      <c r="E690" s="35">
        <v>0.9</v>
      </c>
      <c r="F690" s="35">
        <v>16.2</v>
      </c>
      <c r="G690" s="36">
        <v>5.2990000000000002E-2</v>
      </c>
      <c r="H690" s="18">
        <v>95.381343000000001</v>
      </c>
      <c r="I690" s="16"/>
      <c r="J690" s="16"/>
      <c r="K690" s="16"/>
      <c r="L690" s="37" t="s">
        <v>107</v>
      </c>
      <c r="M690" s="37"/>
      <c r="N690" s="37">
        <v>184</v>
      </c>
      <c r="O690" s="37"/>
      <c r="P690" s="37"/>
      <c r="Q690" s="18">
        <v>0.58289000000000002</v>
      </c>
      <c r="R690" s="18">
        <v>3.9742500000000004E-3</v>
      </c>
      <c r="S690" s="18">
        <v>1.1127899999999999</v>
      </c>
      <c r="T690" s="18">
        <v>4.7690999999999999</v>
      </c>
      <c r="U690" s="18">
        <v>2.3845499999999999</v>
      </c>
      <c r="V690" s="18">
        <v>30.52224</v>
      </c>
      <c r="W690" s="18">
        <v>28.614600000000003</v>
      </c>
      <c r="X690" s="18">
        <v>19.0764</v>
      </c>
      <c r="Y690" s="18">
        <v>0.84784000000000004</v>
      </c>
      <c r="Z690" s="18">
        <v>3.7622900000000001</v>
      </c>
      <c r="AA690" s="18">
        <v>5.5109599999999999</v>
      </c>
      <c r="AB690" s="18">
        <v>9.8031500000000005</v>
      </c>
      <c r="AC690" s="18">
        <v>3.0204300000000002</v>
      </c>
      <c r="AD690" s="18">
        <v>15.897</v>
      </c>
    </row>
    <row r="691" spans="2:30" x14ac:dyDescent="0.25">
      <c r="B691" t="s">
        <v>517</v>
      </c>
      <c r="C691" t="s">
        <v>463</v>
      </c>
      <c r="D691" t="s">
        <v>520</v>
      </c>
      <c r="E691" s="35">
        <v>0.9</v>
      </c>
      <c r="F691" s="35">
        <v>16.2</v>
      </c>
      <c r="G691" s="36">
        <v>7.9815999999999998E-2</v>
      </c>
      <c r="H691" s="18">
        <v>143.66920099999999</v>
      </c>
      <c r="I691" s="16"/>
      <c r="J691" s="16"/>
      <c r="K691" s="16"/>
      <c r="L691" s="37" t="s">
        <v>107</v>
      </c>
      <c r="M691" s="37"/>
      <c r="N691" s="37">
        <v>185</v>
      </c>
      <c r="O691" s="37"/>
      <c r="P691" s="37"/>
      <c r="Q691" s="18">
        <v>0.87797599999999998</v>
      </c>
      <c r="R691" s="18">
        <v>5.9861999999999997E-3</v>
      </c>
      <c r="S691" s="18">
        <v>1.6761360000000001</v>
      </c>
      <c r="T691" s="18">
        <v>7.18344</v>
      </c>
      <c r="U691" s="18">
        <v>3.59172</v>
      </c>
      <c r="V691" s="18">
        <v>45.974015999999999</v>
      </c>
      <c r="W691" s="18">
        <v>43.100639999999999</v>
      </c>
      <c r="X691" s="18">
        <v>28.73376</v>
      </c>
      <c r="Y691" s="18">
        <v>1.277056</v>
      </c>
      <c r="Z691" s="18">
        <v>5.6669359999999998</v>
      </c>
      <c r="AA691" s="18">
        <v>8.3008640000000007</v>
      </c>
      <c r="AB691" s="18">
        <v>14.76596</v>
      </c>
      <c r="AC691" s="18">
        <v>4.549512</v>
      </c>
      <c r="AD691" s="18">
        <v>23.944800000000001</v>
      </c>
    </row>
    <row r="692" spans="2:30" x14ac:dyDescent="0.25">
      <c r="B692" t="s">
        <v>517</v>
      </c>
      <c r="C692" t="s">
        <v>463</v>
      </c>
      <c r="D692" t="s">
        <v>518</v>
      </c>
      <c r="E692" s="35">
        <v>0.9</v>
      </c>
      <c r="F692" s="35">
        <v>16.2</v>
      </c>
      <c r="G692" s="36">
        <v>7.9422000000000006E-2</v>
      </c>
      <c r="H692" s="18">
        <v>142.959834</v>
      </c>
      <c r="I692" s="16"/>
      <c r="J692" s="16"/>
      <c r="K692" s="16"/>
      <c r="L692" s="37" t="s">
        <v>107</v>
      </c>
      <c r="M692" s="37"/>
      <c r="N692" s="37">
        <v>186</v>
      </c>
      <c r="O692" s="37"/>
      <c r="P692" s="37"/>
      <c r="Q692" s="18">
        <v>0.87364200000000003</v>
      </c>
      <c r="R692" s="18">
        <v>5.95665E-3</v>
      </c>
      <c r="S692" s="18">
        <v>1.6678620000000002</v>
      </c>
      <c r="T692" s="18">
        <v>7.1479800000000004</v>
      </c>
      <c r="U692" s="18">
        <v>3.5739900000000002</v>
      </c>
      <c r="V692" s="18">
        <v>45.747072000000003</v>
      </c>
      <c r="W692" s="18">
        <v>42.887880000000003</v>
      </c>
      <c r="X692" s="18">
        <v>28.591920000000002</v>
      </c>
      <c r="Y692" s="18">
        <v>1.2707520000000001</v>
      </c>
      <c r="Z692" s="18">
        <v>5.6389620000000003</v>
      </c>
      <c r="AA692" s="18">
        <v>8.2598880000000001</v>
      </c>
      <c r="AB692" s="18">
        <v>14.693070000000001</v>
      </c>
      <c r="AC692" s="18">
        <v>4.5270540000000006</v>
      </c>
      <c r="AD692" s="18">
        <v>23.826600000000003</v>
      </c>
    </row>
    <row r="693" spans="2:30" x14ac:dyDescent="0.25">
      <c r="B693" t="s">
        <v>517</v>
      </c>
      <c r="C693" t="s">
        <v>463</v>
      </c>
      <c r="D693" t="s">
        <v>519</v>
      </c>
      <c r="E693" s="35">
        <v>0.9</v>
      </c>
      <c r="F693" s="35">
        <v>16.2</v>
      </c>
      <c r="G693" s="36">
        <v>5.2990000000000002E-2</v>
      </c>
      <c r="H693" s="18">
        <v>95.381343000000001</v>
      </c>
      <c r="I693" s="16"/>
      <c r="J693" s="16"/>
      <c r="K693" s="16"/>
      <c r="L693" s="37" t="s">
        <v>107</v>
      </c>
      <c r="M693" s="37"/>
      <c r="N693" s="37">
        <v>187</v>
      </c>
      <c r="O693" s="37"/>
      <c r="P693" s="37"/>
      <c r="Q693" s="18">
        <v>0.58289000000000002</v>
      </c>
      <c r="R693" s="18">
        <v>3.9742500000000004E-3</v>
      </c>
      <c r="S693" s="18">
        <v>1.1127899999999999</v>
      </c>
      <c r="T693" s="18">
        <v>4.7690999999999999</v>
      </c>
      <c r="U693" s="18">
        <v>2.3845499999999999</v>
      </c>
      <c r="V693" s="18">
        <v>30.52224</v>
      </c>
      <c r="W693" s="18">
        <v>28.614600000000003</v>
      </c>
      <c r="X693" s="18">
        <v>19.0764</v>
      </c>
      <c r="Y693" s="18">
        <v>0.84784000000000004</v>
      </c>
      <c r="Z693" s="18">
        <v>3.7622900000000001</v>
      </c>
      <c r="AA693" s="18">
        <v>5.5109599999999999</v>
      </c>
      <c r="AB693" s="18">
        <v>9.8031500000000005</v>
      </c>
      <c r="AC693" s="18">
        <v>3.0204300000000002</v>
      </c>
      <c r="AD693" s="18">
        <v>15.897</v>
      </c>
    </row>
    <row r="694" spans="2:30" x14ac:dyDescent="0.25">
      <c r="B694" t="s">
        <v>517</v>
      </c>
      <c r="C694" t="s">
        <v>463</v>
      </c>
      <c r="D694" t="s">
        <v>520</v>
      </c>
      <c r="E694" s="35">
        <v>0.9</v>
      </c>
      <c r="F694" s="35">
        <v>16.2</v>
      </c>
      <c r="G694" s="36">
        <v>7.9815999999999998E-2</v>
      </c>
      <c r="H694" s="18">
        <v>143.66920099999999</v>
      </c>
      <c r="I694" s="16"/>
      <c r="J694" s="16"/>
      <c r="K694" s="16"/>
      <c r="L694" s="37" t="s">
        <v>107</v>
      </c>
      <c r="M694" s="37"/>
      <c r="N694" s="37">
        <v>188</v>
      </c>
      <c r="O694" s="37"/>
      <c r="P694" s="37"/>
      <c r="Q694" s="18">
        <v>0.87797599999999998</v>
      </c>
      <c r="R694" s="18">
        <v>5.9861999999999997E-3</v>
      </c>
      <c r="S694" s="18">
        <v>1.6761360000000001</v>
      </c>
      <c r="T694" s="18">
        <v>7.18344</v>
      </c>
      <c r="U694" s="18">
        <v>3.59172</v>
      </c>
      <c r="V694" s="18">
        <v>45.974015999999999</v>
      </c>
      <c r="W694" s="18">
        <v>43.100639999999999</v>
      </c>
      <c r="X694" s="18">
        <v>28.73376</v>
      </c>
      <c r="Y694" s="18">
        <v>1.277056</v>
      </c>
      <c r="Z694" s="18">
        <v>5.6669359999999998</v>
      </c>
      <c r="AA694" s="18">
        <v>8.3008640000000007</v>
      </c>
      <c r="AB694" s="18">
        <v>14.76596</v>
      </c>
      <c r="AC694" s="18">
        <v>4.549512</v>
      </c>
      <c r="AD694" s="18">
        <v>23.944800000000001</v>
      </c>
    </row>
    <row r="695" spans="2:30" x14ac:dyDescent="0.25">
      <c r="B695" t="s">
        <v>517</v>
      </c>
      <c r="C695" t="s">
        <v>463</v>
      </c>
      <c r="D695" t="s">
        <v>519</v>
      </c>
      <c r="E695" s="35">
        <v>0.9</v>
      </c>
      <c r="F695" s="35">
        <v>16.2</v>
      </c>
      <c r="G695" s="36">
        <v>5.2990000000000002E-2</v>
      </c>
      <c r="H695" s="18">
        <v>95.381343000000001</v>
      </c>
      <c r="I695" s="16"/>
      <c r="J695" s="16"/>
      <c r="K695" s="16"/>
      <c r="L695" s="37" t="s">
        <v>107</v>
      </c>
      <c r="M695" s="37"/>
      <c r="N695" s="37">
        <v>189</v>
      </c>
      <c r="O695" s="37"/>
      <c r="P695" s="37"/>
      <c r="Q695" s="18">
        <v>0.58289000000000002</v>
      </c>
      <c r="R695" s="18">
        <v>3.9742500000000004E-3</v>
      </c>
      <c r="S695" s="18">
        <v>1.1127899999999999</v>
      </c>
      <c r="T695" s="18">
        <v>4.7690999999999999</v>
      </c>
      <c r="U695" s="18">
        <v>2.3845499999999999</v>
      </c>
      <c r="V695" s="18">
        <v>30.52224</v>
      </c>
      <c r="W695" s="18">
        <v>28.614600000000003</v>
      </c>
      <c r="X695" s="18">
        <v>19.0764</v>
      </c>
      <c r="Y695" s="18">
        <v>0.84784000000000004</v>
      </c>
      <c r="Z695" s="18">
        <v>3.7622900000000001</v>
      </c>
      <c r="AA695" s="18">
        <v>5.5109599999999999</v>
      </c>
      <c r="AB695" s="18">
        <v>9.8031500000000005</v>
      </c>
      <c r="AC695" s="18">
        <v>3.0204300000000002</v>
      </c>
      <c r="AD695" s="18">
        <v>15.897</v>
      </c>
    </row>
    <row r="696" spans="2:30" x14ac:dyDescent="0.25">
      <c r="B696" t="s">
        <v>517</v>
      </c>
      <c r="C696" t="s">
        <v>463</v>
      </c>
      <c r="D696" t="s">
        <v>518</v>
      </c>
      <c r="E696" s="35">
        <v>0.9</v>
      </c>
      <c r="F696" s="35">
        <v>16.2</v>
      </c>
      <c r="G696" s="36">
        <v>7.9422000000000006E-2</v>
      </c>
      <c r="H696" s="18">
        <v>142.959834</v>
      </c>
      <c r="I696" s="16"/>
      <c r="J696" s="16"/>
      <c r="K696" s="16"/>
      <c r="L696" s="37" t="s">
        <v>107</v>
      </c>
      <c r="M696" s="37"/>
      <c r="N696" s="37">
        <v>190</v>
      </c>
      <c r="O696" s="37"/>
      <c r="P696" s="37"/>
      <c r="Q696" s="18">
        <v>0.87364200000000003</v>
      </c>
      <c r="R696" s="18">
        <v>5.95665E-3</v>
      </c>
      <c r="S696" s="18">
        <v>1.6678620000000002</v>
      </c>
      <c r="T696" s="18">
        <v>7.1479800000000004</v>
      </c>
      <c r="U696" s="18">
        <v>3.5739900000000002</v>
      </c>
      <c r="V696" s="18">
        <v>45.747072000000003</v>
      </c>
      <c r="W696" s="18">
        <v>42.887880000000003</v>
      </c>
      <c r="X696" s="18">
        <v>28.591920000000002</v>
      </c>
      <c r="Y696" s="18">
        <v>1.2707520000000001</v>
      </c>
      <c r="Z696" s="18">
        <v>5.6389620000000003</v>
      </c>
      <c r="AA696" s="18">
        <v>8.2598880000000001</v>
      </c>
      <c r="AB696" s="18">
        <v>14.693070000000001</v>
      </c>
      <c r="AC696" s="18">
        <v>4.5270540000000006</v>
      </c>
      <c r="AD696" s="18">
        <v>23.826600000000003</v>
      </c>
    </row>
    <row r="697" spans="2:30" x14ac:dyDescent="0.25">
      <c r="B697" t="s">
        <v>517</v>
      </c>
      <c r="C697" t="s">
        <v>463</v>
      </c>
      <c r="D697" t="s">
        <v>519</v>
      </c>
      <c r="E697" s="35">
        <v>0.9</v>
      </c>
      <c r="F697" s="35">
        <v>16.2</v>
      </c>
      <c r="G697" s="36">
        <v>5.2990000000000002E-2</v>
      </c>
      <c r="H697" s="18">
        <v>95.381343000000001</v>
      </c>
      <c r="I697" s="16"/>
      <c r="J697" s="16"/>
      <c r="K697" s="16"/>
      <c r="L697" s="37" t="s">
        <v>107</v>
      </c>
      <c r="M697" s="37"/>
      <c r="N697" s="37">
        <v>191</v>
      </c>
      <c r="O697" s="37"/>
      <c r="P697" s="37"/>
      <c r="Q697" s="18">
        <v>0.58289000000000002</v>
      </c>
      <c r="R697" s="18">
        <v>3.9742500000000004E-3</v>
      </c>
      <c r="S697" s="18">
        <v>1.1127899999999999</v>
      </c>
      <c r="T697" s="18">
        <v>4.7690999999999999</v>
      </c>
      <c r="U697" s="18">
        <v>2.3845499999999999</v>
      </c>
      <c r="V697" s="18">
        <v>30.52224</v>
      </c>
      <c r="W697" s="18">
        <v>28.614600000000003</v>
      </c>
      <c r="X697" s="18">
        <v>19.0764</v>
      </c>
      <c r="Y697" s="18">
        <v>0.84784000000000004</v>
      </c>
      <c r="Z697" s="18">
        <v>3.7622900000000001</v>
      </c>
      <c r="AA697" s="18">
        <v>5.5109599999999999</v>
      </c>
      <c r="AB697" s="18">
        <v>9.8031500000000005</v>
      </c>
      <c r="AC697" s="18">
        <v>3.0204300000000002</v>
      </c>
      <c r="AD697" s="18">
        <v>15.897</v>
      </c>
    </row>
    <row r="698" spans="2:30" x14ac:dyDescent="0.25">
      <c r="B698" t="s">
        <v>517</v>
      </c>
      <c r="C698" t="s">
        <v>463</v>
      </c>
      <c r="D698" t="s">
        <v>520</v>
      </c>
      <c r="E698" s="35">
        <v>0.9</v>
      </c>
      <c r="F698" s="35">
        <v>16.2</v>
      </c>
      <c r="G698" s="36">
        <v>7.9815999999999998E-2</v>
      </c>
      <c r="H698" s="18">
        <v>143.66920099999999</v>
      </c>
      <c r="I698" s="16"/>
      <c r="J698" s="16"/>
      <c r="K698" s="16"/>
      <c r="L698" s="37" t="s">
        <v>107</v>
      </c>
      <c r="M698" s="37"/>
      <c r="N698" s="37">
        <v>192</v>
      </c>
      <c r="O698" s="37"/>
      <c r="P698" s="37"/>
      <c r="Q698" s="18">
        <v>0.87797599999999998</v>
      </c>
      <c r="R698" s="18">
        <v>5.9861999999999997E-3</v>
      </c>
      <c r="S698" s="18">
        <v>1.6761360000000001</v>
      </c>
      <c r="T698" s="18">
        <v>7.18344</v>
      </c>
      <c r="U698" s="18">
        <v>3.59172</v>
      </c>
      <c r="V698" s="18">
        <v>45.974015999999999</v>
      </c>
      <c r="W698" s="18">
        <v>43.100639999999999</v>
      </c>
      <c r="X698" s="18">
        <v>28.73376</v>
      </c>
      <c r="Y698" s="18">
        <v>1.277056</v>
      </c>
      <c r="Z698" s="18">
        <v>5.6669359999999998</v>
      </c>
      <c r="AA698" s="18">
        <v>8.3008640000000007</v>
      </c>
      <c r="AB698" s="18">
        <v>14.76596</v>
      </c>
      <c r="AC698" s="18">
        <v>4.549512</v>
      </c>
      <c r="AD698" s="18">
        <v>23.944800000000001</v>
      </c>
    </row>
    <row r="699" spans="2:30" x14ac:dyDescent="0.25">
      <c r="B699" t="s">
        <v>269</v>
      </c>
      <c r="C699" t="s">
        <v>463</v>
      </c>
      <c r="D699" t="s">
        <v>362</v>
      </c>
      <c r="E699" s="35">
        <v>0.9</v>
      </c>
      <c r="F699" s="35">
        <v>6.6</v>
      </c>
      <c r="G699" s="36">
        <v>0.14286199999999999</v>
      </c>
      <c r="H699" s="18">
        <v>257.15193900000003</v>
      </c>
      <c r="I699" s="16"/>
      <c r="J699" s="16"/>
      <c r="K699" s="16"/>
      <c r="L699" s="37" t="s">
        <v>107</v>
      </c>
      <c r="M699" s="37"/>
      <c r="N699" s="37">
        <v>193</v>
      </c>
      <c r="O699" s="37"/>
      <c r="P699" s="37"/>
      <c r="Q699" s="18">
        <v>1.5714819999999998</v>
      </c>
      <c r="R699" s="18">
        <v>1.0714649999999999E-2</v>
      </c>
      <c r="S699" s="18">
        <v>3.0001019999999996</v>
      </c>
      <c r="T699" s="18">
        <v>12.857579999999999</v>
      </c>
      <c r="U699" s="18">
        <v>6.4287899999999993</v>
      </c>
      <c r="V699" s="18">
        <v>82.288511999999997</v>
      </c>
      <c r="W699" s="18">
        <v>77.145479999999992</v>
      </c>
      <c r="X699" s="18">
        <v>51.430319999999995</v>
      </c>
      <c r="Y699" s="18">
        <v>2.2857919999999998</v>
      </c>
      <c r="Z699" s="18">
        <v>10.143201999999999</v>
      </c>
      <c r="AA699" s="18">
        <v>14.857647999999999</v>
      </c>
      <c r="AB699" s="18">
        <v>26.429469999999998</v>
      </c>
      <c r="AC699" s="18">
        <v>8.1431339999999999</v>
      </c>
      <c r="AD699" s="18">
        <v>42.858599999999996</v>
      </c>
    </row>
    <row r="700" spans="2:30" x14ac:dyDescent="0.25">
      <c r="B700" t="s">
        <v>110</v>
      </c>
      <c r="C700" t="s">
        <v>463</v>
      </c>
      <c r="D700" t="s">
        <v>254</v>
      </c>
      <c r="E700" s="35">
        <v>0.9</v>
      </c>
      <c r="F700" s="35">
        <v>22</v>
      </c>
      <c r="G700" s="36">
        <v>0.27059</v>
      </c>
      <c r="H700" s="18">
        <v>487.06146999999999</v>
      </c>
      <c r="I700" s="16">
        <v>0</v>
      </c>
      <c r="J700" s="16"/>
      <c r="K700" s="16"/>
      <c r="L700" s="37" t="s">
        <v>107</v>
      </c>
      <c r="M700" s="37"/>
      <c r="N700" s="37">
        <v>194</v>
      </c>
      <c r="O700" s="37"/>
      <c r="P700" s="37"/>
      <c r="Q700" s="18">
        <v>2.9764900000000001</v>
      </c>
      <c r="R700" s="18">
        <v>2.029425E-2</v>
      </c>
      <c r="S700" s="18">
        <v>5.6823899999999998</v>
      </c>
      <c r="T700" s="18">
        <v>24.353100000000001</v>
      </c>
      <c r="U700" s="18">
        <v>12.176550000000001</v>
      </c>
      <c r="V700" s="18">
        <v>155.85983999999999</v>
      </c>
      <c r="W700" s="18">
        <v>146.11859999999999</v>
      </c>
      <c r="X700" s="18">
        <v>97.412400000000005</v>
      </c>
      <c r="Y700" s="18">
        <v>4.32944</v>
      </c>
      <c r="Z700" s="18">
        <v>19.21189</v>
      </c>
      <c r="AA700" s="18">
        <v>28.141359999999999</v>
      </c>
      <c r="AB700" s="18">
        <v>50.059150000000002</v>
      </c>
      <c r="AC700" s="18">
        <v>15.423629999999999</v>
      </c>
      <c r="AD700" s="18">
        <v>81.176999999999992</v>
      </c>
    </row>
    <row r="701" spans="2:30" x14ac:dyDescent="0.25">
      <c r="B701" t="s">
        <v>124</v>
      </c>
      <c r="C701" t="s">
        <v>463</v>
      </c>
      <c r="D701" t="s">
        <v>541</v>
      </c>
      <c r="E701" s="35">
        <v>0.9</v>
      </c>
      <c r="F701" s="35">
        <v>35</v>
      </c>
      <c r="G701" s="36">
        <v>0.65214099999999997</v>
      </c>
      <c r="H701" s="18">
        <v>1173.8542849999999</v>
      </c>
      <c r="I701" s="16">
        <v>0</v>
      </c>
      <c r="J701" s="16"/>
      <c r="K701" s="16"/>
      <c r="L701" s="37" t="s">
        <v>107</v>
      </c>
      <c r="M701" s="37"/>
      <c r="N701" s="37">
        <v>195</v>
      </c>
      <c r="O701" s="37"/>
      <c r="P701" s="37"/>
      <c r="Q701" s="18">
        <v>7.1735509999999998</v>
      </c>
      <c r="R701" s="18">
        <v>4.8910574999999998E-2</v>
      </c>
      <c r="S701" s="18">
        <v>13.694960999999999</v>
      </c>
      <c r="T701" s="18">
        <v>58.692689999999999</v>
      </c>
      <c r="U701" s="18">
        <v>29.346344999999999</v>
      </c>
      <c r="V701" s="18">
        <v>375.633216</v>
      </c>
      <c r="W701" s="18">
        <v>352.15613999999999</v>
      </c>
      <c r="X701" s="18">
        <v>234.77076</v>
      </c>
      <c r="Y701" s="18">
        <v>10.434256</v>
      </c>
      <c r="Z701" s="18">
        <v>46.302011</v>
      </c>
      <c r="AA701" s="18">
        <v>67.822664000000003</v>
      </c>
      <c r="AB701" s="18">
        <v>120.646085</v>
      </c>
      <c r="AC701" s="18">
        <v>37.172036999999996</v>
      </c>
      <c r="AD701" s="18">
        <v>195.64229999999998</v>
      </c>
    </row>
    <row r="702" spans="2:30" x14ac:dyDescent="0.25">
      <c r="B702" t="s">
        <v>160</v>
      </c>
      <c r="C702" t="s">
        <v>463</v>
      </c>
      <c r="D702" t="s">
        <v>273</v>
      </c>
      <c r="E702" s="35">
        <v>0.9</v>
      </c>
      <c r="F702" s="35">
        <v>31</v>
      </c>
      <c r="G702" s="36">
        <v>0.401951</v>
      </c>
      <c r="H702" s="18">
        <v>723.51237500000002</v>
      </c>
      <c r="I702" s="16">
        <v>0</v>
      </c>
      <c r="J702" s="16"/>
      <c r="K702" s="16"/>
      <c r="L702" s="37" t="s">
        <v>107</v>
      </c>
      <c r="M702" s="37"/>
      <c r="N702" s="37">
        <v>196</v>
      </c>
      <c r="O702" s="37"/>
      <c r="P702" s="37"/>
      <c r="Q702" s="18">
        <v>4.4214609999999999</v>
      </c>
      <c r="R702" s="18">
        <v>3.0146324999999998E-2</v>
      </c>
      <c r="S702" s="18">
        <v>8.4409709999999993</v>
      </c>
      <c r="T702" s="18">
        <v>36.17559</v>
      </c>
      <c r="U702" s="18">
        <v>18.087795</v>
      </c>
      <c r="V702" s="18">
        <v>231.523776</v>
      </c>
      <c r="W702" s="18">
        <v>217.05354</v>
      </c>
      <c r="X702" s="18">
        <v>144.70236</v>
      </c>
      <c r="Y702" s="18">
        <v>6.431216</v>
      </c>
      <c r="Z702" s="18">
        <v>28.538520999999999</v>
      </c>
      <c r="AA702" s="18">
        <v>41.802903999999998</v>
      </c>
      <c r="AB702" s="18">
        <v>74.360934999999998</v>
      </c>
      <c r="AC702" s="18">
        <v>22.911207000000001</v>
      </c>
      <c r="AD702" s="18">
        <v>120.5853</v>
      </c>
    </row>
    <row r="703" spans="2:30" x14ac:dyDescent="0.25">
      <c r="B703" t="s">
        <v>144</v>
      </c>
      <c r="C703" t="s">
        <v>463</v>
      </c>
      <c r="D703" t="s">
        <v>274</v>
      </c>
      <c r="E703" s="35">
        <v>0.9</v>
      </c>
      <c r="F703" s="35">
        <v>40</v>
      </c>
      <c r="G703" s="36">
        <v>0.61357600000000001</v>
      </c>
      <c r="H703" s="18">
        <v>1104.437402</v>
      </c>
      <c r="I703" s="16">
        <v>0</v>
      </c>
      <c r="J703" s="16"/>
      <c r="K703" s="16"/>
      <c r="L703" s="37" t="s">
        <v>107</v>
      </c>
      <c r="M703" s="37"/>
      <c r="N703" s="37">
        <v>197</v>
      </c>
      <c r="O703" s="37"/>
      <c r="P703" s="37"/>
      <c r="Q703" s="18">
        <v>6.7493360000000004</v>
      </c>
      <c r="R703" s="18">
        <v>4.6018200000000002E-2</v>
      </c>
      <c r="S703" s="18">
        <v>12.885096000000001</v>
      </c>
      <c r="T703" s="18">
        <v>55.22184</v>
      </c>
      <c r="U703" s="18">
        <v>27.61092</v>
      </c>
      <c r="V703" s="18">
        <v>353.41977600000001</v>
      </c>
      <c r="W703" s="18">
        <v>331.33104000000003</v>
      </c>
      <c r="X703" s="18">
        <v>220.88736</v>
      </c>
      <c r="Y703" s="18">
        <v>9.8172160000000002</v>
      </c>
      <c r="Z703" s="18">
        <v>43.563896</v>
      </c>
      <c r="AA703" s="18">
        <v>63.811903999999998</v>
      </c>
      <c r="AB703" s="18">
        <v>113.51156</v>
      </c>
      <c r="AC703" s="18">
        <v>34.973832000000002</v>
      </c>
      <c r="AD703" s="18">
        <v>184.0728</v>
      </c>
    </row>
    <row r="704" spans="2:30" x14ac:dyDescent="0.25">
      <c r="B704" t="s">
        <v>108</v>
      </c>
      <c r="C704" t="s">
        <v>463</v>
      </c>
      <c r="D704" t="s">
        <v>542</v>
      </c>
      <c r="E704" s="35">
        <v>0.9</v>
      </c>
      <c r="F704" s="35">
        <v>16</v>
      </c>
      <c r="G704" s="36">
        <v>6.4744999999999997E-2</v>
      </c>
      <c r="H704" s="18">
        <v>116.540195</v>
      </c>
      <c r="I704" s="16">
        <v>0</v>
      </c>
      <c r="J704" s="16"/>
      <c r="K704" s="16"/>
      <c r="L704" s="37" t="s">
        <v>107</v>
      </c>
      <c r="M704" s="37"/>
      <c r="N704" s="37">
        <v>198</v>
      </c>
      <c r="O704" s="37"/>
      <c r="P704" s="37"/>
      <c r="Q704" s="18">
        <v>0.71219499999999991</v>
      </c>
      <c r="R704" s="18">
        <v>4.8558749999999999E-3</v>
      </c>
      <c r="S704" s="18">
        <v>1.359645</v>
      </c>
      <c r="T704" s="18">
        <v>5.8270499999999998</v>
      </c>
      <c r="U704" s="18">
        <v>2.9135249999999999</v>
      </c>
      <c r="V704" s="18">
        <v>37.293120000000002</v>
      </c>
      <c r="W704" s="18">
        <v>34.962299999999999</v>
      </c>
      <c r="X704" s="18">
        <v>23.308199999999999</v>
      </c>
      <c r="Y704" s="18">
        <v>1.03592</v>
      </c>
      <c r="Z704" s="18">
        <v>4.596895</v>
      </c>
      <c r="AA704" s="18">
        <v>6.7334800000000001</v>
      </c>
      <c r="AB704" s="18">
        <v>11.977824999999999</v>
      </c>
      <c r="AC704" s="18">
        <v>3.6904649999999997</v>
      </c>
      <c r="AD704" s="18">
        <v>19.423500000000001</v>
      </c>
    </row>
    <row r="705" spans="2:30" x14ac:dyDescent="0.25">
      <c r="B705" t="s">
        <v>108</v>
      </c>
      <c r="C705" t="s">
        <v>463</v>
      </c>
      <c r="D705" t="s">
        <v>542</v>
      </c>
      <c r="E705" s="35">
        <v>0.9</v>
      </c>
      <c r="F705" s="35">
        <v>16</v>
      </c>
      <c r="G705" s="36">
        <v>6.4744999999999997E-2</v>
      </c>
      <c r="H705" s="18">
        <v>116.540195</v>
      </c>
      <c r="I705" s="16">
        <v>0</v>
      </c>
      <c r="J705" s="16"/>
      <c r="K705" s="16"/>
      <c r="L705" s="37" t="s">
        <v>107</v>
      </c>
      <c r="M705" s="37"/>
      <c r="N705" s="37">
        <v>199</v>
      </c>
      <c r="O705" s="37"/>
      <c r="P705" s="37"/>
      <c r="Q705" s="18">
        <v>0.71219499999999991</v>
      </c>
      <c r="R705" s="18">
        <v>4.8558749999999999E-3</v>
      </c>
      <c r="S705" s="18">
        <v>1.359645</v>
      </c>
      <c r="T705" s="18">
        <v>5.8270499999999998</v>
      </c>
      <c r="U705" s="18">
        <v>2.9135249999999999</v>
      </c>
      <c r="V705" s="18">
        <v>37.293120000000002</v>
      </c>
      <c r="W705" s="18">
        <v>34.962299999999999</v>
      </c>
      <c r="X705" s="18">
        <v>23.308199999999999</v>
      </c>
      <c r="Y705" s="18">
        <v>1.03592</v>
      </c>
      <c r="Z705" s="18">
        <v>4.596895</v>
      </c>
      <c r="AA705" s="18">
        <v>6.7334800000000001</v>
      </c>
      <c r="AB705" s="18">
        <v>11.977824999999999</v>
      </c>
      <c r="AC705" s="18">
        <v>3.6904649999999997</v>
      </c>
      <c r="AD705" s="18">
        <v>19.423500000000001</v>
      </c>
    </row>
    <row r="706" spans="2:30" x14ac:dyDescent="0.25">
      <c r="B706" t="s">
        <v>108</v>
      </c>
      <c r="C706" t="s">
        <v>463</v>
      </c>
      <c r="D706" t="s">
        <v>542</v>
      </c>
      <c r="E706" s="35">
        <v>0.9</v>
      </c>
      <c r="F706" s="35">
        <v>16</v>
      </c>
      <c r="G706" s="36">
        <v>6.4744999999999997E-2</v>
      </c>
      <c r="H706" s="18">
        <v>116.540195</v>
      </c>
      <c r="I706" s="16">
        <v>0</v>
      </c>
      <c r="J706" s="16"/>
      <c r="K706" s="16"/>
      <c r="L706" s="37" t="s">
        <v>107</v>
      </c>
      <c r="M706" s="37"/>
      <c r="N706" s="37">
        <v>200</v>
      </c>
      <c r="O706" s="37"/>
      <c r="P706" s="37"/>
      <c r="Q706" s="18">
        <v>0.71219499999999991</v>
      </c>
      <c r="R706" s="18">
        <v>4.8558749999999999E-3</v>
      </c>
      <c r="S706" s="18">
        <v>1.359645</v>
      </c>
      <c r="T706" s="18">
        <v>5.8270499999999998</v>
      </c>
      <c r="U706" s="18">
        <v>2.9135249999999999</v>
      </c>
      <c r="V706" s="18">
        <v>37.293120000000002</v>
      </c>
      <c r="W706" s="18">
        <v>34.962299999999999</v>
      </c>
      <c r="X706" s="18">
        <v>23.308199999999999</v>
      </c>
      <c r="Y706" s="18">
        <v>1.03592</v>
      </c>
      <c r="Z706" s="18">
        <v>4.596895</v>
      </c>
      <c r="AA706" s="18">
        <v>6.7334800000000001</v>
      </c>
      <c r="AB706" s="18">
        <v>11.977824999999999</v>
      </c>
      <c r="AC706" s="18">
        <v>3.6904649999999997</v>
      </c>
      <c r="AD706" s="18">
        <v>19.423500000000001</v>
      </c>
    </row>
    <row r="707" spans="2:30" x14ac:dyDescent="0.25">
      <c r="B707" t="s">
        <v>108</v>
      </c>
      <c r="C707" t="s">
        <v>463</v>
      </c>
      <c r="D707" t="s">
        <v>542</v>
      </c>
      <c r="E707" s="35">
        <v>0.9</v>
      </c>
      <c r="F707" s="35">
        <v>16</v>
      </c>
      <c r="G707" s="36">
        <v>6.4744999999999997E-2</v>
      </c>
      <c r="H707" s="18">
        <v>116.540195</v>
      </c>
      <c r="I707" s="16">
        <v>0</v>
      </c>
      <c r="J707" s="16"/>
      <c r="K707" s="16"/>
      <c r="L707" s="37" t="s">
        <v>107</v>
      </c>
      <c r="M707" s="37"/>
      <c r="N707" s="37">
        <v>201</v>
      </c>
      <c r="O707" s="37"/>
      <c r="P707" s="37"/>
      <c r="Q707" s="18">
        <v>0.71219499999999991</v>
      </c>
      <c r="R707" s="18">
        <v>4.8558749999999999E-3</v>
      </c>
      <c r="S707" s="18">
        <v>1.359645</v>
      </c>
      <c r="T707" s="18">
        <v>5.8270499999999998</v>
      </c>
      <c r="U707" s="18">
        <v>2.9135249999999999</v>
      </c>
      <c r="V707" s="18">
        <v>37.293120000000002</v>
      </c>
      <c r="W707" s="18">
        <v>34.962299999999999</v>
      </c>
      <c r="X707" s="18">
        <v>23.308199999999999</v>
      </c>
      <c r="Y707" s="18">
        <v>1.03592</v>
      </c>
      <c r="Z707" s="18">
        <v>4.596895</v>
      </c>
      <c r="AA707" s="18">
        <v>6.7334800000000001</v>
      </c>
      <c r="AB707" s="18">
        <v>11.977824999999999</v>
      </c>
      <c r="AC707" s="18">
        <v>3.6904649999999997</v>
      </c>
      <c r="AD707" s="18">
        <v>19.423500000000001</v>
      </c>
    </row>
    <row r="708" spans="2:30" x14ac:dyDescent="0.25">
      <c r="B708" t="s">
        <v>108</v>
      </c>
      <c r="C708" t="s">
        <v>463</v>
      </c>
      <c r="D708" t="s">
        <v>543</v>
      </c>
      <c r="E708" s="35">
        <v>0.9</v>
      </c>
      <c r="F708" s="35">
        <v>16</v>
      </c>
      <c r="G708" s="36">
        <v>5.3225000000000001E-2</v>
      </c>
      <c r="H708" s="18">
        <v>95.805038999999994</v>
      </c>
      <c r="I708" s="16">
        <v>0</v>
      </c>
      <c r="J708" s="16"/>
      <c r="K708" s="16"/>
      <c r="L708" s="37" t="s">
        <v>107</v>
      </c>
      <c r="M708" s="37"/>
      <c r="N708" s="37">
        <v>202</v>
      </c>
      <c r="O708" s="37"/>
      <c r="P708" s="37"/>
      <c r="Q708" s="18">
        <v>0.58547499999999997</v>
      </c>
      <c r="R708" s="18">
        <v>3.9918749999999998E-3</v>
      </c>
      <c r="S708" s="18">
        <v>1.1177250000000001</v>
      </c>
      <c r="T708" s="18">
        <v>4.7902500000000003</v>
      </c>
      <c r="U708" s="18">
        <v>2.3951250000000002</v>
      </c>
      <c r="V708" s="18">
        <v>30.657600000000002</v>
      </c>
      <c r="W708" s="18">
        <v>28.741500000000002</v>
      </c>
      <c r="X708" s="18">
        <v>19.161000000000001</v>
      </c>
      <c r="Y708" s="18">
        <v>0.85160000000000002</v>
      </c>
      <c r="Z708" s="18">
        <v>3.778975</v>
      </c>
      <c r="AA708" s="18">
        <v>5.5354000000000001</v>
      </c>
      <c r="AB708" s="18">
        <v>9.8466249999999995</v>
      </c>
      <c r="AC708" s="18">
        <v>3.0338250000000002</v>
      </c>
      <c r="AD708" s="18">
        <v>15.967500000000001</v>
      </c>
    </row>
    <row r="709" spans="2:30" x14ac:dyDescent="0.25">
      <c r="B709" t="s">
        <v>108</v>
      </c>
      <c r="C709" t="s">
        <v>463</v>
      </c>
      <c r="D709" t="s">
        <v>544</v>
      </c>
      <c r="E709" s="35">
        <v>0.9</v>
      </c>
      <c r="F709" s="35">
        <v>16</v>
      </c>
      <c r="G709" s="36">
        <v>5.5145E-2</v>
      </c>
      <c r="H709" s="18">
        <v>99.260897999999997</v>
      </c>
      <c r="I709" s="16">
        <v>0</v>
      </c>
      <c r="J709" s="16"/>
      <c r="K709" s="16"/>
      <c r="L709" s="37" t="s">
        <v>107</v>
      </c>
      <c r="M709" s="37"/>
      <c r="N709" s="37">
        <v>203</v>
      </c>
      <c r="O709" s="37"/>
      <c r="P709" s="37"/>
      <c r="Q709" s="18">
        <v>0.606595</v>
      </c>
      <c r="R709" s="18">
        <v>4.1358749999999998E-3</v>
      </c>
      <c r="S709" s="18">
        <v>1.158045</v>
      </c>
      <c r="T709" s="18">
        <v>4.96305</v>
      </c>
      <c r="U709" s="18">
        <v>2.481525</v>
      </c>
      <c r="V709" s="18">
        <v>31.76352</v>
      </c>
      <c r="W709" s="18">
        <v>29.778300000000002</v>
      </c>
      <c r="X709" s="18">
        <v>19.8522</v>
      </c>
      <c r="Y709" s="18">
        <v>0.88231999999999999</v>
      </c>
      <c r="Z709" s="18">
        <v>3.915295</v>
      </c>
      <c r="AA709" s="18">
        <v>5.73508</v>
      </c>
      <c r="AB709" s="18">
        <v>10.201824999999999</v>
      </c>
      <c r="AC709" s="18">
        <v>3.143265</v>
      </c>
      <c r="AD709" s="18">
        <v>16.543500000000002</v>
      </c>
    </row>
    <row r="710" spans="2:30" x14ac:dyDescent="0.25">
      <c r="B710" t="s">
        <v>108</v>
      </c>
      <c r="C710" t="s">
        <v>463</v>
      </c>
      <c r="D710" t="s">
        <v>545</v>
      </c>
      <c r="E710" s="35">
        <v>0.9</v>
      </c>
      <c r="F710" s="35">
        <v>16</v>
      </c>
      <c r="G710" s="36">
        <v>5.6958000000000002E-2</v>
      </c>
      <c r="H710" s="18">
        <v>102.524766</v>
      </c>
      <c r="I710" s="16">
        <v>0</v>
      </c>
      <c r="J710" s="16"/>
      <c r="K710" s="16"/>
      <c r="L710" s="37" t="s">
        <v>107</v>
      </c>
      <c r="M710" s="37"/>
      <c r="N710" s="37">
        <v>204</v>
      </c>
      <c r="O710" s="37"/>
      <c r="P710" s="37"/>
      <c r="Q710" s="18">
        <v>0.62653800000000004</v>
      </c>
      <c r="R710" s="18">
        <v>4.2718499999999998E-3</v>
      </c>
      <c r="S710" s="18">
        <v>1.196118</v>
      </c>
      <c r="T710" s="18">
        <v>5.12622</v>
      </c>
      <c r="U710" s="18">
        <v>2.56311</v>
      </c>
      <c r="V710" s="18">
        <v>32.807808000000001</v>
      </c>
      <c r="W710" s="18">
        <v>30.75732</v>
      </c>
      <c r="X710" s="18">
        <v>20.50488</v>
      </c>
      <c r="Y710" s="18">
        <v>0.91132800000000003</v>
      </c>
      <c r="Z710" s="18">
        <v>4.0440180000000003</v>
      </c>
      <c r="AA710" s="18">
        <v>5.9236320000000005</v>
      </c>
      <c r="AB710" s="18">
        <v>10.537230000000001</v>
      </c>
      <c r="AC710" s="18">
        <v>3.2466059999999999</v>
      </c>
      <c r="AD710" s="18">
        <v>17.087399999999999</v>
      </c>
    </row>
    <row r="711" spans="2:30" x14ac:dyDescent="0.25">
      <c r="B711" t="s">
        <v>110</v>
      </c>
      <c r="C711" t="s">
        <v>463</v>
      </c>
      <c r="D711" t="s">
        <v>546</v>
      </c>
      <c r="E711" s="35">
        <v>0.9</v>
      </c>
      <c r="F711" s="35">
        <v>22</v>
      </c>
      <c r="G711" s="36">
        <v>0.27809200000000001</v>
      </c>
      <c r="H711" s="18">
        <v>500.565425</v>
      </c>
      <c r="I711" s="16">
        <v>0</v>
      </c>
      <c r="J711" s="16"/>
      <c r="K711" s="16"/>
      <c r="L711" s="37" t="s">
        <v>107</v>
      </c>
      <c r="M711" s="37"/>
      <c r="N711" s="37">
        <v>205</v>
      </c>
      <c r="O711" s="37"/>
      <c r="P711" s="37"/>
      <c r="Q711" s="18">
        <v>3.0590120000000001</v>
      </c>
      <c r="R711" s="18">
        <v>2.0856900000000001E-2</v>
      </c>
      <c r="S711" s="18">
        <v>5.8399320000000001</v>
      </c>
      <c r="T711" s="18">
        <v>25.028280000000002</v>
      </c>
      <c r="U711" s="18">
        <v>12.514140000000001</v>
      </c>
      <c r="V711" s="18">
        <v>160.180992</v>
      </c>
      <c r="W711" s="18">
        <v>150.16968</v>
      </c>
      <c r="X711" s="18">
        <v>100.11312000000001</v>
      </c>
      <c r="Y711" s="18">
        <v>4.4494720000000001</v>
      </c>
      <c r="Z711" s="18">
        <v>19.744532</v>
      </c>
      <c r="AA711" s="18">
        <v>28.921568000000001</v>
      </c>
      <c r="AB711" s="18">
        <v>51.447020000000002</v>
      </c>
      <c r="AC711" s="18">
        <v>15.851244000000001</v>
      </c>
      <c r="AD711" s="18">
        <v>83.427599999999998</v>
      </c>
    </row>
    <row r="712" spans="2:30" x14ac:dyDescent="0.25">
      <c r="B712" t="s">
        <v>124</v>
      </c>
      <c r="C712" t="s">
        <v>463</v>
      </c>
      <c r="D712" t="s">
        <v>547</v>
      </c>
      <c r="E712" s="35">
        <v>0.9</v>
      </c>
      <c r="F712" s="35">
        <v>35</v>
      </c>
      <c r="G712" s="36">
        <v>0.67472399999999999</v>
      </c>
      <c r="H712" s="18">
        <v>1214.5027030000001</v>
      </c>
      <c r="I712" s="16">
        <v>0</v>
      </c>
      <c r="J712" s="16"/>
      <c r="K712" s="16"/>
      <c r="L712" s="37" t="s">
        <v>107</v>
      </c>
      <c r="M712" s="37"/>
      <c r="N712" s="37">
        <v>206</v>
      </c>
      <c r="O712" s="37"/>
      <c r="P712" s="37"/>
      <c r="Q712" s="18">
        <v>7.421964</v>
      </c>
      <c r="R712" s="18">
        <v>5.0604299999999998E-2</v>
      </c>
      <c r="S712" s="18">
        <v>14.169204000000001</v>
      </c>
      <c r="T712" s="18">
        <v>60.725160000000002</v>
      </c>
      <c r="U712" s="18">
        <v>30.362580000000001</v>
      </c>
      <c r="V712" s="18">
        <v>388.64102400000002</v>
      </c>
      <c r="W712" s="18">
        <v>364.35095999999999</v>
      </c>
      <c r="X712" s="18">
        <v>242.90064000000001</v>
      </c>
      <c r="Y712" s="18">
        <v>10.795584</v>
      </c>
      <c r="Z712" s="18">
        <v>47.905403999999997</v>
      </c>
      <c r="AA712" s="18">
        <v>70.171295999999998</v>
      </c>
      <c r="AB712" s="18">
        <v>124.82393999999999</v>
      </c>
      <c r="AC712" s="18">
        <v>38.459268000000002</v>
      </c>
      <c r="AD712" s="18">
        <v>202.41720000000001</v>
      </c>
    </row>
    <row r="713" spans="2:30" x14ac:dyDescent="0.25">
      <c r="B713" t="s">
        <v>110</v>
      </c>
      <c r="C713" t="s">
        <v>463</v>
      </c>
      <c r="D713" t="s">
        <v>284</v>
      </c>
      <c r="E713" s="35">
        <v>0.9</v>
      </c>
      <c r="F713" s="35">
        <v>22</v>
      </c>
      <c r="G713" s="36">
        <v>0.27850900000000001</v>
      </c>
      <c r="H713" s="18">
        <v>501.31689</v>
      </c>
      <c r="I713" s="16">
        <v>0</v>
      </c>
      <c r="J713" s="16"/>
      <c r="K713" s="16"/>
      <c r="L713" s="37" t="s">
        <v>107</v>
      </c>
      <c r="M713" s="37"/>
      <c r="N713" s="37">
        <v>207</v>
      </c>
      <c r="O713" s="37"/>
      <c r="P713" s="37"/>
      <c r="Q713" s="18">
        <v>3.063599</v>
      </c>
      <c r="R713" s="18">
        <v>2.0888174999999998E-2</v>
      </c>
      <c r="S713" s="18">
        <v>5.8486890000000002</v>
      </c>
      <c r="T713" s="18">
        <v>25.065809999999999</v>
      </c>
      <c r="U713" s="18">
        <v>12.532905</v>
      </c>
      <c r="V713" s="18">
        <v>160.42118400000001</v>
      </c>
      <c r="W713" s="18">
        <v>150.39485999999999</v>
      </c>
      <c r="X713" s="18">
        <v>100.26324</v>
      </c>
      <c r="Y713" s="18">
        <v>4.4561440000000001</v>
      </c>
      <c r="Z713" s="18">
        <v>19.774139000000002</v>
      </c>
      <c r="AA713" s="18">
        <v>28.964936000000002</v>
      </c>
      <c r="AB713" s="18">
        <v>51.524165000000004</v>
      </c>
      <c r="AC713" s="18">
        <v>15.875013000000001</v>
      </c>
      <c r="AD713" s="18">
        <v>83.552700000000002</v>
      </c>
    </row>
    <row r="714" spans="2:30" x14ac:dyDescent="0.25">
      <c r="B714" t="s">
        <v>244</v>
      </c>
      <c r="C714" t="s">
        <v>463</v>
      </c>
      <c r="D714" t="s">
        <v>548</v>
      </c>
      <c r="E714" s="35">
        <v>0.9</v>
      </c>
      <c r="F714" s="35">
        <v>36</v>
      </c>
      <c r="G714" s="36">
        <v>0.577658</v>
      </c>
      <c r="H714" s="18">
        <v>1039.783799</v>
      </c>
      <c r="I714" s="16">
        <v>0</v>
      </c>
      <c r="J714" s="16"/>
      <c r="K714" s="16"/>
      <c r="L714" s="37" t="s">
        <v>107</v>
      </c>
      <c r="M714" s="37"/>
      <c r="N714" s="37">
        <v>208</v>
      </c>
      <c r="O714" s="37"/>
      <c r="P714" s="37"/>
      <c r="Q714" s="18">
        <v>6.3542380000000005</v>
      </c>
      <c r="R714" s="18">
        <v>4.3324349999999998E-2</v>
      </c>
      <c r="S714" s="18">
        <v>12.130818</v>
      </c>
      <c r="T714" s="18">
        <v>51.989220000000003</v>
      </c>
      <c r="U714" s="18">
        <v>25.994610000000002</v>
      </c>
      <c r="V714" s="18">
        <v>332.73100799999997</v>
      </c>
      <c r="W714" s="18">
        <v>311.93531999999999</v>
      </c>
      <c r="X714" s="18">
        <v>207.95688000000001</v>
      </c>
      <c r="Y714" s="18">
        <v>9.2425280000000001</v>
      </c>
      <c r="Z714" s="18">
        <v>41.013717999999997</v>
      </c>
      <c r="AA714" s="18">
        <v>60.076431999999997</v>
      </c>
      <c r="AB714" s="18">
        <v>106.86673</v>
      </c>
      <c r="AC714" s="18">
        <v>32.926506000000003</v>
      </c>
      <c r="AD714" s="18">
        <v>173.29740000000001</v>
      </c>
    </row>
    <row r="715" spans="2:30" x14ac:dyDescent="0.25">
      <c r="B715" t="s">
        <v>269</v>
      </c>
      <c r="C715" t="s">
        <v>463</v>
      </c>
      <c r="D715" t="s">
        <v>357</v>
      </c>
      <c r="E715" s="35">
        <v>0.9</v>
      </c>
      <c r="F715" s="35">
        <v>6.6</v>
      </c>
      <c r="G715" s="36">
        <v>4.7826E-2</v>
      </c>
      <c r="H715" s="18">
        <v>86.086896999999993</v>
      </c>
      <c r="I715" s="16"/>
      <c r="J715" s="16"/>
      <c r="K715" s="16"/>
      <c r="L715" s="37" t="s">
        <v>107</v>
      </c>
      <c r="M715" s="37"/>
      <c r="N715" s="37">
        <v>209</v>
      </c>
      <c r="O715" s="37"/>
      <c r="P715" s="37"/>
      <c r="Q715" s="18">
        <v>0.52608600000000005</v>
      </c>
      <c r="R715" s="18">
        <v>3.5869499999999998E-3</v>
      </c>
      <c r="S715" s="18">
        <v>1.004346</v>
      </c>
      <c r="T715" s="18">
        <v>4.3043399999999998</v>
      </c>
      <c r="U715" s="18">
        <v>2.1521699999999999</v>
      </c>
      <c r="V715" s="18">
        <v>27.547775999999999</v>
      </c>
      <c r="W715" s="18">
        <v>25.826039999999999</v>
      </c>
      <c r="X715" s="18">
        <v>17.217359999999999</v>
      </c>
      <c r="Y715" s="18">
        <v>0.76521600000000001</v>
      </c>
      <c r="Z715" s="18">
        <v>3.3956460000000002</v>
      </c>
      <c r="AA715" s="18">
        <v>4.9739040000000001</v>
      </c>
      <c r="AB715" s="18">
        <v>8.8478100000000008</v>
      </c>
      <c r="AC715" s="18">
        <v>2.7260819999999999</v>
      </c>
      <c r="AD715" s="18">
        <v>14.347799999999999</v>
      </c>
    </row>
    <row r="716" spans="2:30" x14ac:dyDescent="0.25">
      <c r="B716" t="s">
        <v>124</v>
      </c>
      <c r="C716" t="s">
        <v>463</v>
      </c>
      <c r="D716" t="s">
        <v>549</v>
      </c>
      <c r="E716" s="35">
        <v>0.9</v>
      </c>
      <c r="F716" s="35">
        <v>35</v>
      </c>
      <c r="G716" s="36">
        <v>0.32268799999999997</v>
      </c>
      <c r="H716" s="18">
        <v>580.83841600000005</v>
      </c>
      <c r="I716" s="16">
        <v>0</v>
      </c>
      <c r="J716" s="16"/>
      <c r="K716" s="16"/>
      <c r="L716" s="37" t="s">
        <v>107</v>
      </c>
      <c r="M716" s="37"/>
      <c r="N716" s="37">
        <v>210</v>
      </c>
      <c r="O716" s="37"/>
      <c r="P716" s="37"/>
      <c r="Q716" s="18">
        <v>3.5495679999999998</v>
      </c>
      <c r="R716" s="18">
        <v>2.4201599999999997E-2</v>
      </c>
      <c r="S716" s="18">
        <v>6.7764479999999994</v>
      </c>
      <c r="T716" s="18">
        <v>29.041919999999998</v>
      </c>
      <c r="U716" s="18">
        <v>14.520959999999999</v>
      </c>
      <c r="V716" s="18">
        <v>185.86828799999998</v>
      </c>
      <c r="W716" s="18">
        <v>174.25152</v>
      </c>
      <c r="X716" s="18">
        <v>116.16767999999999</v>
      </c>
      <c r="Y716" s="18">
        <v>5.1630079999999996</v>
      </c>
      <c r="Z716" s="18">
        <v>22.910847999999998</v>
      </c>
      <c r="AA716" s="18">
        <v>33.559551999999996</v>
      </c>
      <c r="AB716" s="18">
        <v>59.697279999999992</v>
      </c>
      <c r="AC716" s="18">
        <v>18.393215999999999</v>
      </c>
      <c r="AD716" s="18">
        <v>96.806399999999996</v>
      </c>
    </row>
    <row r="717" spans="2:30" x14ac:dyDescent="0.25">
      <c r="B717" t="s">
        <v>124</v>
      </c>
      <c r="C717" t="s">
        <v>463</v>
      </c>
      <c r="D717" t="s">
        <v>290</v>
      </c>
      <c r="E717" s="35">
        <v>0.9</v>
      </c>
      <c r="F717" s="35">
        <v>35</v>
      </c>
      <c r="G717" s="36">
        <v>0.36911899999999997</v>
      </c>
      <c r="H717" s="18">
        <v>664.41501500000004</v>
      </c>
      <c r="I717" s="16">
        <v>0</v>
      </c>
      <c r="J717" s="16"/>
      <c r="K717" s="16"/>
      <c r="L717" s="37" t="s">
        <v>107</v>
      </c>
      <c r="M717" s="37"/>
      <c r="N717" s="37">
        <v>211</v>
      </c>
      <c r="O717" s="37"/>
      <c r="P717" s="37"/>
      <c r="Q717" s="18">
        <v>4.0603090000000002</v>
      </c>
      <c r="R717" s="18">
        <v>2.7683924999999998E-2</v>
      </c>
      <c r="S717" s="18">
        <v>7.751498999999999</v>
      </c>
      <c r="T717" s="18">
        <v>33.220709999999997</v>
      </c>
      <c r="U717" s="18">
        <v>16.610354999999998</v>
      </c>
      <c r="V717" s="18">
        <v>212.61254399999999</v>
      </c>
      <c r="W717" s="18">
        <v>199.32425999999998</v>
      </c>
      <c r="X717" s="18">
        <v>132.88283999999999</v>
      </c>
      <c r="Y717" s="18">
        <v>5.9059039999999996</v>
      </c>
      <c r="Z717" s="18">
        <v>26.207448999999997</v>
      </c>
      <c r="AA717" s="18">
        <v>38.388375999999994</v>
      </c>
      <c r="AB717" s="18">
        <v>68.287014999999997</v>
      </c>
      <c r="AC717" s="18">
        <v>21.039783</v>
      </c>
      <c r="AD717" s="18">
        <v>110.73569999999999</v>
      </c>
    </row>
    <row r="718" spans="2:30" x14ac:dyDescent="0.25">
      <c r="B718" t="s">
        <v>124</v>
      </c>
      <c r="C718" t="s">
        <v>463</v>
      </c>
      <c r="D718" t="s">
        <v>290</v>
      </c>
      <c r="E718" s="35">
        <v>0.9</v>
      </c>
      <c r="F718" s="35">
        <v>35</v>
      </c>
      <c r="G718" s="36">
        <v>0.36913400000000002</v>
      </c>
      <c r="H718" s="18">
        <v>664.441012</v>
      </c>
      <c r="I718" s="16">
        <v>0</v>
      </c>
      <c r="J718" s="16"/>
      <c r="K718" s="16"/>
      <c r="L718" s="37" t="s">
        <v>107</v>
      </c>
      <c r="M718" s="37"/>
      <c r="N718" s="37">
        <v>212</v>
      </c>
      <c r="O718" s="37"/>
      <c r="P718" s="37"/>
      <c r="Q718" s="18">
        <v>4.0604740000000001</v>
      </c>
      <c r="R718" s="18">
        <v>2.7685049999999999E-2</v>
      </c>
      <c r="S718" s="18">
        <v>7.7518140000000004</v>
      </c>
      <c r="T718" s="18">
        <v>33.222059999999999</v>
      </c>
      <c r="U718" s="18">
        <v>16.61103</v>
      </c>
      <c r="V718" s="18">
        <v>212.621184</v>
      </c>
      <c r="W718" s="18">
        <v>199.33236000000002</v>
      </c>
      <c r="X718" s="18">
        <v>132.88824</v>
      </c>
      <c r="Y718" s="18">
        <v>5.9061440000000003</v>
      </c>
      <c r="Z718" s="18">
        <v>26.208514000000001</v>
      </c>
      <c r="AA718" s="18">
        <v>38.389935999999999</v>
      </c>
      <c r="AB718" s="18">
        <v>68.289789999999996</v>
      </c>
      <c r="AC718" s="18">
        <v>21.040638000000001</v>
      </c>
      <c r="AD718" s="18">
        <v>110.7402</v>
      </c>
    </row>
    <row r="719" spans="2:30" x14ac:dyDescent="0.25">
      <c r="B719" t="s">
        <v>124</v>
      </c>
      <c r="C719" t="s">
        <v>463</v>
      </c>
      <c r="D719" t="s">
        <v>290</v>
      </c>
      <c r="E719" s="35">
        <v>0.9</v>
      </c>
      <c r="F719" s="35">
        <v>35</v>
      </c>
      <c r="G719" s="36">
        <v>0.36916199999999999</v>
      </c>
      <c r="H719" s="18">
        <v>664.49171000000001</v>
      </c>
      <c r="I719" s="16">
        <v>0</v>
      </c>
      <c r="J719" s="16"/>
      <c r="K719" s="16"/>
      <c r="L719" s="37" t="s">
        <v>107</v>
      </c>
      <c r="M719" s="37"/>
      <c r="N719" s="37">
        <v>213</v>
      </c>
      <c r="O719" s="37"/>
      <c r="P719" s="37"/>
      <c r="Q719" s="18">
        <v>4.0607819999999997</v>
      </c>
      <c r="R719" s="18">
        <v>2.7687149999999997E-2</v>
      </c>
      <c r="S719" s="18">
        <v>7.752402</v>
      </c>
      <c r="T719" s="18">
        <v>33.224579999999996</v>
      </c>
      <c r="U719" s="18">
        <v>16.612289999999998</v>
      </c>
      <c r="V719" s="18">
        <v>212.63731200000001</v>
      </c>
      <c r="W719" s="18">
        <v>199.34747999999999</v>
      </c>
      <c r="X719" s="18">
        <v>132.89831999999998</v>
      </c>
      <c r="Y719" s="18">
        <v>5.9065919999999998</v>
      </c>
      <c r="Z719" s="18">
        <v>26.210501999999998</v>
      </c>
      <c r="AA719" s="18">
        <v>38.392848000000001</v>
      </c>
      <c r="AB719" s="18">
        <v>68.294969999999992</v>
      </c>
      <c r="AC719" s="18">
        <v>21.042234000000001</v>
      </c>
      <c r="AD719" s="18">
        <v>110.7486</v>
      </c>
    </row>
    <row r="720" spans="2:30" x14ac:dyDescent="0.25">
      <c r="B720" t="s">
        <v>550</v>
      </c>
      <c r="C720" t="s">
        <v>463</v>
      </c>
      <c r="D720" t="s">
        <v>303</v>
      </c>
      <c r="E720" s="35">
        <v>0.9</v>
      </c>
      <c r="F720" s="35">
        <v>10.3</v>
      </c>
      <c r="G720" s="36">
        <v>3.7834E-2</v>
      </c>
      <c r="H720" s="18">
        <v>68.101432000000003</v>
      </c>
      <c r="I720" s="16"/>
      <c r="J720" s="16"/>
      <c r="K720" s="16"/>
      <c r="L720" s="37" t="s">
        <v>107</v>
      </c>
      <c r="M720" s="37"/>
      <c r="N720" s="37">
        <v>214</v>
      </c>
      <c r="O720" s="37"/>
      <c r="P720" s="37"/>
      <c r="Q720" s="18">
        <v>0.41617399999999999</v>
      </c>
      <c r="R720" s="18">
        <v>2.8375499999999999E-3</v>
      </c>
      <c r="S720" s="18">
        <v>0.79451399999999994</v>
      </c>
      <c r="T720" s="18">
        <v>3.4050599999999998</v>
      </c>
      <c r="U720" s="18">
        <v>1.7025299999999999</v>
      </c>
      <c r="V720" s="18">
        <v>21.792383999999998</v>
      </c>
      <c r="W720" s="18">
        <v>20.43036</v>
      </c>
      <c r="X720" s="18">
        <v>13.620239999999999</v>
      </c>
      <c r="Y720" s="18">
        <v>0.60534399999999999</v>
      </c>
      <c r="Z720" s="18">
        <v>2.6862140000000001</v>
      </c>
      <c r="AA720" s="18">
        <v>3.934736</v>
      </c>
      <c r="AB720" s="18">
        <v>6.9992900000000002</v>
      </c>
      <c r="AC720" s="18">
        <v>2.1565379999999998</v>
      </c>
      <c r="AD720" s="18">
        <v>11.350199999999999</v>
      </c>
    </row>
    <row r="721" spans="2:30" x14ac:dyDescent="0.25">
      <c r="B721" t="s">
        <v>124</v>
      </c>
      <c r="C721" t="s">
        <v>463</v>
      </c>
      <c r="D721" t="s">
        <v>290</v>
      </c>
      <c r="E721" s="35">
        <v>0.9</v>
      </c>
      <c r="F721" s="35">
        <v>35</v>
      </c>
      <c r="G721" s="36">
        <v>0.36911899999999997</v>
      </c>
      <c r="H721" s="18">
        <v>664.41501500000004</v>
      </c>
      <c r="I721" s="16">
        <v>0</v>
      </c>
      <c r="J721" s="16"/>
      <c r="K721" s="16"/>
      <c r="L721" s="37" t="s">
        <v>107</v>
      </c>
      <c r="M721" s="37"/>
      <c r="N721" s="37">
        <v>215</v>
      </c>
      <c r="O721" s="37"/>
      <c r="P721" s="37"/>
      <c r="Q721" s="18">
        <v>4.0603090000000002</v>
      </c>
      <c r="R721" s="18">
        <v>2.7683924999999998E-2</v>
      </c>
      <c r="S721" s="18">
        <v>7.751498999999999</v>
      </c>
      <c r="T721" s="18">
        <v>33.220709999999997</v>
      </c>
      <c r="U721" s="18">
        <v>16.610354999999998</v>
      </c>
      <c r="V721" s="18">
        <v>212.61254399999999</v>
      </c>
      <c r="W721" s="18">
        <v>199.32425999999998</v>
      </c>
      <c r="X721" s="18">
        <v>132.88283999999999</v>
      </c>
      <c r="Y721" s="18">
        <v>5.9059039999999996</v>
      </c>
      <c r="Z721" s="18">
        <v>26.207448999999997</v>
      </c>
      <c r="AA721" s="18">
        <v>38.388375999999994</v>
      </c>
      <c r="AB721" s="18">
        <v>68.287014999999997</v>
      </c>
      <c r="AC721" s="18">
        <v>21.039783</v>
      </c>
      <c r="AD721" s="18">
        <v>110.73569999999999</v>
      </c>
    </row>
    <row r="722" spans="2:30" x14ac:dyDescent="0.25">
      <c r="B722" t="s">
        <v>124</v>
      </c>
      <c r="C722" t="s">
        <v>463</v>
      </c>
      <c r="D722" t="s">
        <v>551</v>
      </c>
      <c r="E722" s="35">
        <v>0.9</v>
      </c>
      <c r="F722" s="35">
        <v>35</v>
      </c>
      <c r="G722" s="36">
        <v>0.685697</v>
      </c>
      <c r="H722" s="18">
        <v>1234.2551699999999</v>
      </c>
      <c r="I722" s="16">
        <v>0</v>
      </c>
      <c r="J722" s="16"/>
      <c r="K722" s="16"/>
      <c r="L722" s="37" t="s">
        <v>107</v>
      </c>
      <c r="M722" s="37"/>
      <c r="N722" s="37">
        <v>216</v>
      </c>
      <c r="O722" s="37"/>
      <c r="P722" s="37"/>
      <c r="Q722" s="18">
        <v>7.5426669999999998</v>
      </c>
      <c r="R722" s="18">
        <v>5.1427275000000001E-2</v>
      </c>
      <c r="S722" s="18">
        <v>14.399637</v>
      </c>
      <c r="T722" s="18">
        <v>61.712730000000001</v>
      </c>
      <c r="U722" s="18">
        <v>30.856365</v>
      </c>
      <c r="V722" s="18">
        <v>394.96147200000001</v>
      </c>
      <c r="W722" s="18">
        <v>370.27638000000002</v>
      </c>
      <c r="X722" s="18">
        <v>246.85092</v>
      </c>
      <c r="Y722" s="18">
        <v>10.971152</v>
      </c>
      <c r="Z722" s="18">
        <v>48.684486999999997</v>
      </c>
      <c r="AA722" s="18">
        <v>71.312488000000002</v>
      </c>
      <c r="AB722" s="18">
        <v>126.853945</v>
      </c>
      <c r="AC722" s="18">
        <v>39.084729000000003</v>
      </c>
      <c r="AD722" s="18">
        <v>205.70910000000001</v>
      </c>
    </row>
    <row r="723" spans="2:30" x14ac:dyDescent="0.25">
      <c r="B723" t="s">
        <v>110</v>
      </c>
      <c r="C723" t="s">
        <v>463</v>
      </c>
      <c r="D723" t="s">
        <v>552</v>
      </c>
      <c r="E723" s="35">
        <v>0.9</v>
      </c>
      <c r="F723" s="35">
        <v>22</v>
      </c>
      <c r="G723" s="36">
        <v>0.27854699999999999</v>
      </c>
      <c r="H723" s="18">
        <v>501.38462600000003</v>
      </c>
      <c r="I723" s="16">
        <v>0</v>
      </c>
      <c r="J723" s="16"/>
      <c r="K723" s="16"/>
      <c r="L723" s="37" t="s">
        <v>107</v>
      </c>
      <c r="M723" s="37"/>
      <c r="N723" s="37">
        <v>217</v>
      </c>
      <c r="O723" s="37"/>
      <c r="P723" s="37"/>
      <c r="Q723" s="18">
        <v>3.0640169999999998</v>
      </c>
      <c r="R723" s="18">
        <v>2.0891024999999997E-2</v>
      </c>
      <c r="S723" s="18">
        <v>5.8494869999999999</v>
      </c>
      <c r="T723" s="18">
        <v>25.069229999999997</v>
      </c>
      <c r="U723" s="18">
        <v>12.534614999999999</v>
      </c>
      <c r="V723" s="18">
        <v>160.443072</v>
      </c>
      <c r="W723" s="18">
        <v>150.41538</v>
      </c>
      <c r="X723" s="18">
        <v>100.27691999999999</v>
      </c>
      <c r="Y723" s="18">
        <v>4.4567519999999998</v>
      </c>
      <c r="Z723" s="18">
        <v>19.776837</v>
      </c>
      <c r="AA723" s="18">
        <v>28.968888</v>
      </c>
      <c r="AB723" s="18">
        <v>51.531194999999997</v>
      </c>
      <c r="AC723" s="18">
        <v>15.877179</v>
      </c>
      <c r="AD723" s="18">
        <v>83.564099999999996</v>
      </c>
    </row>
    <row r="724" spans="2:30" x14ac:dyDescent="0.25">
      <c r="B724" t="s">
        <v>110</v>
      </c>
      <c r="C724" t="s">
        <v>463</v>
      </c>
      <c r="D724" t="s">
        <v>297</v>
      </c>
      <c r="E724" s="35">
        <v>0.9</v>
      </c>
      <c r="F724" s="35">
        <v>22</v>
      </c>
      <c r="G724" s="36">
        <v>0.26443</v>
      </c>
      <c r="H724" s="18">
        <v>475.97392100000002</v>
      </c>
      <c r="I724" s="16">
        <v>0</v>
      </c>
      <c r="J724" s="16"/>
      <c r="K724" s="16"/>
      <c r="L724" s="37" t="s">
        <v>107</v>
      </c>
      <c r="M724" s="37"/>
      <c r="N724" s="37">
        <v>218</v>
      </c>
      <c r="O724" s="37"/>
      <c r="P724" s="37"/>
      <c r="Q724" s="18">
        <v>2.9087299999999998</v>
      </c>
      <c r="R724" s="18">
        <v>1.9832249999999999E-2</v>
      </c>
      <c r="S724" s="18">
        <v>5.5530299999999997</v>
      </c>
      <c r="T724" s="18">
        <v>23.7987</v>
      </c>
      <c r="U724" s="18">
        <v>11.89935</v>
      </c>
      <c r="V724" s="18">
        <v>152.31168</v>
      </c>
      <c r="W724" s="18">
        <v>142.79220000000001</v>
      </c>
      <c r="X724" s="18">
        <v>95.194800000000001</v>
      </c>
      <c r="Y724" s="18">
        <v>4.23088</v>
      </c>
      <c r="Z724" s="18">
        <v>18.774529999999999</v>
      </c>
      <c r="AA724" s="18">
        <v>27.500720000000001</v>
      </c>
      <c r="AB724" s="18">
        <v>48.919550000000001</v>
      </c>
      <c r="AC724" s="18">
        <v>15.072509999999999</v>
      </c>
      <c r="AD724" s="18">
        <v>79.328999999999994</v>
      </c>
    </row>
    <row r="725" spans="2:30" x14ac:dyDescent="0.25">
      <c r="B725" t="s">
        <v>244</v>
      </c>
      <c r="C725" t="s">
        <v>463</v>
      </c>
      <c r="D725" t="s">
        <v>553</v>
      </c>
      <c r="E725" s="35">
        <v>0.9</v>
      </c>
      <c r="F725" s="35">
        <v>36</v>
      </c>
      <c r="G725" s="36">
        <v>0.58965699999999999</v>
      </c>
      <c r="H725" s="18">
        <v>1061.38292</v>
      </c>
      <c r="I725" s="16">
        <v>0</v>
      </c>
      <c r="J725" s="16"/>
      <c r="K725" s="16"/>
      <c r="L725" s="37" t="s">
        <v>107</v>
      </c>
      <c r="M725" s="37"/>
      <c r="N725" s="37">
        <v>219</v>
      </c>
      <c r="O725" s="37"/>
      <c r="P725" s="37"/>
      <c r="Q725" s="18">
        <v>6.4862269999999995</v>
      </c>
      <c r="R725" s="18">
        <v>4.4224275E-2</v>
      </c>
      <c r="S725" s="18">
        <v>12.382797</v>
      </c>
      <c r="T725" s="18">
        <v>53.069130000000001</v>
      </c>
      <c r="U725" s="18">
        <v>26.534565000000001</v>
      </c>
      <c r="V725" s="18">
        <v>339.64243199999999</v>
      </c>
      <c r="W725" s="18">
        <v>318.41478000000001</v>
      </c>
      <c r="X725" s="18">
        <v>212.27652</v>
      </c>
      <c r="Y725" s="18">
        <v>9.4345119999999998</v>
      </c>
      <c r="Z725" s="18">
        <v>41.865646999999996</v>
      </c>
      <c r="AA725" s="18">
        <v>61.324328000000001</v>
      </c>
      <c r="AB725" s="18">
        <v>109.086545</v>
      </c>
      <c r="AC725" s="18">
        <v>33.610449000000003</v>
      </c>
      <c r="AD725" s="18">
        <v>176.89709999999999</v>
      </c>
    </row>
    <row r="726" spans="2:30" x14ac:dyDescent="0.25">
      <c r="B726" t="s">
        <v>108</v>
      </c>
      <c r="C726" t="s">
        <v>463</v>
      </c>
      <c r="D726" t="s">
        <v>554</v>
      </c>
      <c r="E726" s="35">
        <v>0.9</v>
      </c>
      <c r="F726" s="35">
        <v>16</v>
      </c>
      <c r="G726" s="36">
        <v>5.3117999999999999E-2</v>
      </c>
      <c r="H726" s="18">
        <v>95.613046999999995</v>
      </c>
      <c r="I726" s="16">
        <v>0</v>
      </c>
      <c r="J726" s="16"/>
      <c r="K726" s="16"/>
      <c r="L726" s="37" t="s">
        <v>107</v>
      </c>
      <c r="M726" s="37"/>
      <c r="N726" s="37">
        <v>220</v>
      </c>
      <c r="O726" s="37"/>
      <c r="P726" s="37"/>
      <c r="Q726" s="18">
        <v>0.58429799999999998</v>
      </c>
      <c r="R726" s="18">
        <v>3.9838499999999997E-3</v>
      </c>
      <c r="S726" s="18">
        <v>1.115478</v>
      </c>
      <c r="T726" s="18">
        <v>4.7806199999999999</v>
      </c>
      <c r="U726" s="18">
        <v>2.3903099999999999</v>
      </c>
      <c r="V726" s="18">
        <v>30.595967999999999</v>
      </c>
      <c r="W726" s="18">
        <v>28.683720000000001</v>
      </c>
      <c r="X726" s="18">
        <v>19.122479999999999</v>
      </c>
      <c r="Y726" s="18">
        <v>0.84988799999999998</v>
      </c>
      <c r="Z726" s="18">
        <v>3.7713779999999999</v>
      </c>
      <c r="AA726" s="18">
        <v>5.5242719999999998</v>
      </c>
      <c r="AB726" s="18">
        <v>9.8268299999999993</v>
      </c>
      <c r="AC726" s="18">
        <v>3.0277259999999999</v>
      </c>
      <c r="AD726" s="18">
        <v>15.9354</v>
      </c>
    </row>
    <row r="727" spans="2:30" x14ac:dyDescent="0.25">
      <c r="B727" t="s">
        <v>108</v>
      </c>
      <c r="C727" t="s">
        <v>463</v>
      </c>
      <c r="D727" t="s">
        <v>555</v>
      </c>
      <c r="E727" s="35">
        <v>0.9</v>
      </c>
      <c r="F727" s="35">
        <v>16</v>
      </c>
      <c r="G727" s="36">
        <v>5.4292E-2</v>
      </c>
      <c r="H727" s="18">
        <v>97.724960999999993</v>
      </c>
      <c r="I727" s="16">
        <v>0</v>
      </c>
      <c r="J727" s="16"/>
      <c r="K727" s="16"/>
      <c r="L727" s="37" t="s">
        <v>107</v>
      </c>
      <c r="M727" s="37"/>
      <c r="N727" s="37">
        <v>221</v>
      </c>
      <c r="O727" s="37"/>
      <c r="P727" s="37"/>
      <c r="Q727" s="18">
        <v>0.59721199999999997</v>
      </c>
      <c r="R727" s="18">
        <v>4.0718999999999998E-3</v>
      </c>
      <c r="S727" s="18">
        <v>1.1401319999999999</v>
      </c>
      <c r="T727" s="18">
        <v>4.8862800000000002</v>
      </c>
      <c r="U727" s="18">
        <v>2.4431400000000001</v>
      </c>
      <c r="V727" s="18">
        <v>31.272192</v>
      </c>
      <c r="W727" s="18">
        <v>29.317679999999999</v>
      </c>
      <c r="X727" s="18">
        <v>19.545120000000001</v>
      </c>
      <c r="Y727" s="18">
        <v>0.868672</v>
      </c>
      <c r="Z727" s="18">
        <v>3.8547319999999998</v>
      </c>
      <c r="AA727" s="18">
        <v>5.6463679999999998</v>
      </c>
      <c r="AB727" s="18">
        <v>10.04402</v>
      </c>
      <c r="AC727" s="18">
        <v>3.0946440000000002</v>
      </c>
      <c r="AD727" s="18">
        <v>16.287600000000001</v>
      </c>
    </row>
    <row r="728" spans="2:30" x14ac:dyDescent="0.25">
      <c r="B728" t="s">
        <v>269</v>
      </c>
      <c r="C728" t="s">
        <v>463</v>
      </c>
      <c r="D728" t="s">
        <v>556</v>
      </c>
      <c r="E728" s="35">
        <v>0.9</v>
      </c>
      <c r="F728" s="35">
        <v>6.6</v>
      </c>
      <c r="G728" s="36">
        <v>2.2615E-2</v>
      </c>
      <c r="H728" s="18">
        <v>40.707543999999999</v>
      </c>
      <c r="I728" s="16"/>
      <c r="J728" s="16"/>
      <c r="K728" s="16"/>
      <c r="L728" s="37" t="s">
        <v>107</v>
      </c>
      <c r="M728" s="37"/>
      <c r="N728" s="37">
        <v>222</v>
      </c>
      <c r="O728" s="37"/>
      <c r="P728" s="37"/>
      <c r="Q728" s="18">
        <v>0.24876499999999999</v>
      </c>
      <c r="R728" s="18">
        <v>1.6961249999999999E-3</v>
      </c>
      <c r="S728" s="18">
        <v>0.47491499999999998</v>
      </c>
      <c r="T728" s="18">
        <v>2.0353499999999998</v>
      </c>
      <c r="U728" s="18">
        <v>1.0176749999999999</v>
      </c>
      <c r="V728" s="18">
        <v>13.02624</v>
      </c>
      <c r="W728" s="18">
        <v>12.2121</v>
      </c>
      <c r="X728" s="18">
        <v>8.1413999999999991</v>
      </c>
      <c r="Y728" s="18">
        <v>0.36183999999999999</v>
      </c>
      <c r="Z728" s="18">
        <v>1.6056649999999999</v>
      </c>
      <c r="AA728" s="18">
        <v>2.3519600000000001</v>
      </c>
      <c r="AB728" s="18">
        <v>4.1837749999999998</v>
      </c>
      <c r="AC728" s="18">
        <v>1.2890550000000001</v>
      </c>
      <c r="AD728" s="18">
        <v>6.7844999999999995</v>
      </c>
    </row>
    <row r="729" spans="2:30" x14ac:dyDescent="0.25">
      <c r="B729" t="s">
        <v>108</v>
      </c>
      <c r="C729" t="s">
        <v>463</v>
      </c>
      <c r="D729" t="s">
        <v>469</v>
      </c>
      <c r="E729" s="35">
        <v>0.9</v>
      </c>
      <c r="F729" s="35">
        <v>16</v>
      </c>
      <c r="G729" s="36">
        <v>5.6425000000000003E-2</v>
      </c>
      <c r="H729" s="18">
        <v>101.56480500000001</v>
      </c>
      <c r="I729" s="16">
        <v>0</v>
      </c>
      <c r="J729" s="16"/>
      <c r="K729" s="16"/>
      <c r="L729" s="37" t="s">
        <v>107</v>
      </c>
      <c r="M729" s="37"/>
      <c r="N729" s="37">
        <v>223</v>
      </c>
      <c r="O729" s="37"/>
      <c r="P729" s="37"/>
      <c r="Q729" s="18">
        <v>0.62067500000000009</v>
      </c>
      <c r="R729" s="18">
        <v>4.2318750000000004E-3</v>
      </c>
      <c r="S729" s="18">
        <v>1.184925</v>
      </c>
      <c r="T729" s="18">
        <v>5.0782500000000006</v>
      </c>
      <c r="U729" s="18">
        <v>2.5391250000000003</v>
      </c>
      <c r="V729" s="18">
        <v>32.500799999999998</v>
      </c>
      <c r="W729" s="18">
        <v>30.4695</v>
      </c>
      <c r="X729" s="18">
        <v>20.313000000000002</v>
      </c>
      <c r="Y729" s="18">
        <v>0.90280000000000005</v>
      </c>
      <c r="Z729" s="18">
        <v>4.0061749999999998</v>
      </c>
      <c r="AA729" s="18">
        <v>5.8681999999999999</v>
      </c>
      <c r="AB729" s="18">
        <v>10.438625</v>
      </c>
      <c r="AC729" s="18">
        <v>3.2162250000000001</v>
      </c>
      <c r="AD729" s="18">
        <v>16.927500000000002</v>
      </c>
    </row>
    <row r="730" spans="2:30" x14ac:dyDescent="0.25">
      <c r="B730" t="s">
        <v>269</v>
      </c>
      <c r="C730" t="s">
        <v>463</v>
      </c>
      <c r="D730" t="s">
        <v>557</v>
      </c>
      <c r="E730" s="35">
        <v>0.9</v>
      </c>
      <c r="F730" s="35">
        <v>6.6</v>
      </c>
      <c r="G730" s="36">
        <v>2.4126999999999999E-2</v>
      </c>
      <c r="H730" s="18">
        <v>43.428223000000003</v>
      </c>
      <c r="I730" s="16"/>
      <c r="J730" s="16"/>
      <c r="K730" s="16"/>
      <c r="L730" s="37" t="s">
        <v>107</v>
      </c>
      <c r="M730" s="37"/>
      <c r="N730" s="37">
        <v>224</v>
      </c>
      <c r="O730" s="37"/>
      <c r="P730" s="37"/>
      <c r="Q730" s="18">
        <v>0.26539699999999999</v>
      </c>
      <c r="R730" s="18">
        <v>1.8095249999999998E-3</v>
      </c>
      <c r="S730" s="18">
        <v>0.50666699999999998</v>
      </c>
      <c r="T730" s="18">
        <v>2.17143</v>
      </c>
      <c r="U730" s="18">
        <v>1.085715</v>
      </c>
      <c r="V730" s="18">
        <v>13.897152</v>
      </c>
      <c r="W730" s="18">
        <v>13.02858</v>
      </c>
      <c r="X730" s="18">
        <v>8.6857199999999999</v>
      </c>
      <c r="Y730" s="18">
        <v>0.38603199999999999</v>
      </c>
      <c r="Z730" s="18">
        <v>1.713017</v>
      </c>
      <c r="AA730" s="18">
        <v>2.5092080000000001</v>
      </c>
      <c r="AB730" s="18">
        <v>4.463495</v>
      </c>
      <c r="AC730" s="18">
        <v>1.3752389999999999</v>
      </c>
      <c r="AD730" s="18">
        <v>7.2380999999999993</v>
      </c>
    </row>
    <row r="731" spans="2:30" x14ac:dyDescent="0.25">
      <c r="B731" t="s">
        <v>166</v>
      </c>
      <c r="C731" t="s">
        <v>463</v>
      </c>
      <c r="D731" t="s">
        <v>558</v>
      </c>
      <c r="E731" s="35">
        <v>0.9</v>
      </c>
      <c r="F731" s="35">
        <v>26</v>
      </c>
      <c r="G731" s="36">
        <v>0.31909900000000002</v>
      </c>
      <c r="H731" s="18">
        <v>574.37731199999996</v>
      </c>
      <c r="I731" s="16">
        <v>0</v>
      </c>
      <c r="J731" s="16"/>
      <c r="K731" s="16"/>
      <c r="L731" s="37" t="s">
        <v>107</v>
      </c>
      <c r="M731" s="37"/>
      <c r="N731" s="37">
        <v>225</v>
      </c>
      <c r="O731" s="37"/>
      <c r="P731" s="37"/>
      <c r="Q731" s="18">
        <v>3.5100890000000002</v>
      </c>
      <c r="R731" s="18">
        <v>2.3932425E-2</v>
      </c>
      <c r="S731" s="18">
        <v>6.701079</v>
      </c>
      <c r="T731" s="18">
        <v>28.718910000000001</v>
      </c>
      <c r="U731" s="18">
        <v>14.359455000000001</v>
      </c>
      <c r="V731" s="18">
        <v>183.80102400000001</v>
      </c>
      <c r="W731" s="18">
        <v>172.31346000000002</v>
      </c>
      <c r="X731" s="18">
        <v>114.87564</v>
      </c>
      <c r="Y731" s="18">
        <v>5.1055840000000003</v>
      </c>
      <c r="Z731" s="18">
        <v>22.656029</v>
      </c>
      <c r="AA731" s="18">
        <v>33.186295999999999</v>
      </c>
      <c r="AB731" s="18">
        <v>59.033315000000002</v>
      </c>
      <c r="AC731" s="18">
        <v>18.188643000000003</v>
      </c>
      <c r="AD731" s="18">
        <v>95.729700000000008</v>
      </c>
    </row>
    <row r="732" spans="2:30" x14ac:dyDescent="0.25">
      <c r="B732" t="s">
        <v>144</v>
      </c>
      <c r="C732" t="s">
        <v>463</v>
      </c>
      <c r="D732" t="s">
        <v>113</v>
      </c>
      <c r="E732" s="35">
        <v>0.9</v>
      </c>
      <c r="F732" s="35">
        <v>40</v>
      </c>
      <c r="G732" s="36">
        <v>0.78180799999999995</v>
      </c>
      <c r="H732" s="18">
        <v>1407.255236</v>
      </c>
      <c r="I732" s="16">
        <v>0</v>
      </c>
      <c r="J732" s="16"/>
      <c r="K732" s="16"/>
      <c r="L732" s="37" t="s">
        <v>107</v>
      </c>
      <c r="M732" s="37"/>
      <c r="N732" s="37">
        <v>226</v>
      </c>
      <c r="O732" s="37"/>
      <c r="P732" s="37"/>
      <c r="Q732" s="18">
        <v>8.599888</v>
      </c>
      <c r="R732" s="18">
        <v>5.8635599999999996E-2</v>
      </c>
      <c r="S732" s="18">
        <v>16.417967999999998</v>
      </c>
      <c r="T732" s="18">
        <v>70.362719999999996</v>
      </c>
      <c r="U732" s="18">
        <v>35.181359999999998</v>
      </c>
      <c r="V732" s="18">
        <v>450.32140799999996</v>
      </c>
      <c r="W732" s="18">
        <v>422.17631999999998</v>
      </c>
      <c r="X732" s="18">
        <v>281.45087999999998</v>
      </c>
      <c r="Y732" s="18">
        <v>12.508927999999999</v>
      </c>
      <c r="Z732" s="18">
        <v>55.508367999999997</v>
      </c>
      <c r="AA732" s="18">
        <v>81.308031999999997</v>
      </c>
      <c r="AB732" s="18">
        <v>144.63448</v>
      </c>
      <c r="AC732" s="18">
        <v>44.563055999999996</v>
      </c>
      <c r="AD732" s="18">
        <v>234.54239999999999</v>
      </c>
    </row>
    <row r="733" spans="2:30" x14ac:dyDescent="0.25">
      <c r="B733" t="s">
        <v>110</v>
      </c>
      <c r="C733" t="s">
        <v>463</v>
      </c>
      <c r="D733" t="s">
        <v>312</v>
      </c>
      <c r="E733" s="35">
        <v>0.9</v>
      </c>
      <c r="F733" s="35">
        <v>22</v>
      </c>
      <c r="G733" s="36">
        <v>0.24213799999999999</v>
      </c>
      <c r="H733" s="18">
        <v>435.847554</v>
      </c>
      <c r="I733" s="16">
        <v>0</v>
      </c>
      <c r="J733" s="16"/>
      <c r="K733" s="16"/>
      <c r="L733" s="37" t="s">
        <v>107</v>
      </c>
      <c r="M733" s="37"/>
      <c r="N733" s="37">
        <v>227</v>
      </c>
      <c r="O733" s="37"/>
      <c r="P733" s="37"/>
      <c r="Q733" s="18">
        <v>2.6635179999999998</v>
      </c>
      <c r="R733" s="18">
        <v>1.8160349999999999E-2</v>
      </c>
      <c r="S733" s="18">
        <v>5.0848979999999999</v>
      </c>
      <c r="T733" s="18">
        <v>21.79242</v>
      </c>
      <c r="U733" s="18">
        <v>10.89621</v>
      </c>
      <c r="V733" s="18">
        <v>139.47148799999999</v>
      </c>
      <c r="W733" s="18">
        <v>130.75451999999999</v>
      </c>
      <c r="X733" s="18">
        <v>87.16968</v>
      </c>
      <c r="Y733" s="18">
        <v>3.8742079999999999</v>
      </c>
      <c r="Z733" s="18">
        <v>17.191797999999999</v>
      </c>
      <c r="AA733" s="18">
        <v>25.182351999999998</v>
      </c>
      <c r="AB733" s="18">
        <v>44.795529999999999</v>
      </c>
      <c r="AC733" s="18">
        <v>13.801866</v>
      </c>
      <c r="AD733" s="18">
        <v>72.641400000000004</v>
      </c>
    </row>
    <row r="734" spans="2:30" x14ac:dyDescent="0.25">
      <c r="B734" t="s">
        <v>141</v>
      </c>
      <c r="C734" t="s">
        <v>463</v>
      </c>
      <c r="D734" t="s">
        <v>313</v>
      </c>
      <c r="E734" s="35">
        <v>0.9</v>
      </c>
      <c r="F734" s="35">
        <v>46</v>
      </c>
      <c r="G734" s="36">
        <v>0.75161100000000003</v>
      </c>
      <c r="H734" s="18">
        <v>1352.8996440000001</v>
      </c>
      <c r="I734" s="16">
        <v>0</v>
      </c>
      <c r="J734" s="16"/>
      <c r="K734" s="16"/>
      <c r="L734" s="37" t="s">
        <v>107</v>
      </c>
      <c r="M734" s="37"/>
      <c r="N734" s="37">
        <v>228</v>
      </c>
      <c r="O734" s="37"/>
      <c r="P734" s="37"/>
      <c r="Q734" s="18">
        <v>8.2677209999999999</v>
      </c>
      <c r="R734" s="18">
        <v>5.6370824999999999E-2</v>
      </c>
      <c r="S734" s="18">
        <v>15.783831000000001</v>
      </c>
      <c r="T734" s="18">
        <v>67.644990000000007</v>
      </c>
      <c r="U734" s="18">
        <v>33.822495000000004</v>
      </c>
      <c r="V734" s="18">
        <v>432.92793600000005</v>
      </c>
      <c r="W734" s="18">
        <v>405.86994000000004</v>
      </c>
      <c r="X734" s="18">
        <v>270.57996000000003</v>
      </c>
      <c r="Y734" s="18">
        <v>12.025776</v>
      </c>
      <c r="Z734" s="18">
        <v>53.364381000000002</v>
      </c>
      <c r="AA734" s="18">
        <v>78.167544000000007</v>
      </c>
      <c r="AB734" s="18">
        <v>139.048035</v>
      </c>
      <c r="AC734" s="18">
        <v>42.841827000000002</v>
      </c>
      <c r="AD734" s="18">
        <v>225.48330000000001</v>
      </c>
    </row>
    <row r="735" spans="2:30" x14ac:dyDescent="0.25">
      <c r="B735" t="s">
        <v>110</v>
      </c>
      <c r="C735" t="s">
        <v>463</v>
      </c>
      <c r="D735" t="s">
        <v>315</v>
      </c>
      <c r="E735" s="35">
        <v>0.9</v>
      </c>
      <c r="F735" s="35">
        <v>22</v>
      </c>
      <c r="G735" s="36">
        <v>0.25035099999999999</v>
      </c>
      <c r="H735" s="18">
        <v>450.63095199999998</v>
      </c>
      <c r="I735" s="16">
        <v>0</v>
      </c>
      <c r="J735" s="16"/>
      <c r="K735" s="16"/>
      <c r="L735" s="37" t="s">
        <v>107</v>
      </c>
      <c r="M735" s="37"/>
      <c r="N735" s="37">
        <v>229</v>
      </c>
      <c r="O735" s="37"/>
      <c r="P735" s="37"/>
      <c r="Q735" s="18">
        <v>2.7538609999999997</v>
      </c>
      <c r="R735" s="18">
        <v>1.8776325E-2</v>
      </c>
      <c r="S735" s="18">
        <v>5.257371</v>
      </c>
      <c r="T735" s="18">
        <v>22.531589999999998</v>
      </c>
      <c r="U735" s="18">
        <v>11.265794999999999</v>
      </c>
      <c r="V735" s="18">
        <v>144.20217600000001</v>
      </c>
      <c r="W735" s="18">
        <v>135.18953999999999</v>
      </c>
      <c r="X735" s="18">
        <v>90.126359999999991</v>
      </c>
      <c r="Y735" s="18">
        <v>4.0056159999999998</v>
      </c>
      <c r="Z735" s="18">
        <v>17.774920999999999</v>
      </c>
      <c r="AA735" s="18">
        <v>26.036504000000001</v>
      </c>
      <c r="AB735" s="18">
        <v>46.314934999999998</v>
      </c>
      <c r="AC735" s="18">
        <v>14.270007</v>
      </c>
      <c r="AD735" s="18">
        <v>75.1053</v>
      </c>
    </row>
    <row r="736" spans="2:30" x14ac:dyDescent="0.25">
      <c r="B736" t="s">
        <v>108</v>
      </c>
      <c r="C736" t="s">
        <v>463</v>
      </c>
      <c r="D736" t="s">
        <v>322</v>
      </c>
      <c r="E736" s="35">
        <v>0.9</v>
      </c>
      <c r="F736" s="35">
        <v>16</v>
      </c>
      <c r="G736" s="36">
        <v>3.8825999999999999E-2</v>
      </c>
      <c r="H736" s="18">
        <v>69.886094</v>
      </c>
      <c r="I736" s="16">
        <v>0</v>
      </c>
      <c r="J736" s="16"/>
      <c r="K736" s="16"/>
      <c r="L736" s="37" t="s">
        <v>107</v>
      </c>
      <c r="M736" s="37"/>
      <c r="N736" s="37">
        <v>230</v>
      </c>
      <c r="O736" s="37"/>
      <c r="P736" s="37"/>
      <c r="Q736" s="18">
        <v>0.42708599999999997</v>
      </c>
      <c r="R736" s="18">
        <v>2.91195E-3</v>
      </c>
      <c r="S736" s="18">
        <v>0.81534600000000002</v>
      </c>
      <c r="T736" s="18">
        <v>3.4943399999999998</v>
      </c>
      <c r="U736" s="18">
        <v>1.7471699999999999</v>
      </c>
      <c r="V736" s="18">
        <v>22.363776000000001</v>
      </c>
      <c r="W736" s="18">
        <v>20.96604</v>
      </c>
      <c r="X736" s="18">
        <v>13.977359999999999</v>
      </c>
      <c r="Y736" s="18">
        <v>0.62121599999999999</v>
      </c>
      <c r="Z736" s="18">
        <v>2.7566459999999999</v>
      </c>
      <c r="AA736" s="18">
        <v>4.0379040000000002</v>
      </c>
      <c r="AB736" s="18">
        <v>7.1828099999999999</v>
      </c>
      <c r="AC736" s="18">
        <v>2.213082</v>
      </c>
      <c r="AD736" s="18">
        <v>11.6478</v>
      </c>
    </row>
    <row r="737" spans="2:30" x14ac:dyDescent="0.25">
      <c r="B737" t="s">
        <v>108</v>
      </c>
      <c r="C737" t="s">
        <v>463</v>
      </c>
      <c r="D737" t="s">
        <v>322</v>
      </c>
      <c r="E737" s="35">
        <v>0.9</v>
      </c>
      <c r="F737" s="35">
        <v>16</v>
      </c>
      <c r="G737" s="36">
        <v>3.8825999999999999E-2</v>
      </c>
      <c r="H737" s="18">
        <v>69.886094</v>
      </c>
      <c r="I737" s="16">
        <v>0</v>
      </c>
      <c r="J737" s="16"/>
      <c r="K737" s="16"/>
      <c r="L737" s="37" t="s">
        <v>107</v>
      </c>
      <c r="M737" s="37"/>
      <c r="N737" s="37">
        <v>231</v>
      </c>
      <c r="O737" s="37"/>
      <c r="P737" s="37"/>
      <c r="Q737" s="18">
        <v>0.42708599999999997</v>
      </c>
      <c r="R737" s="18">
        <v>2.91195E-3</v>
      </c>
      <c r="S737" s="18">
        <v>0.81534600000000002</v>
      </c>
      <c r="T737" s="18">
        <v>3.4943399999999998</v>
      </c>
      <c r="U737" s="18">
        <v>1.7471699999999999</v>
      </c>
      <c r="V737" s="18">
        <v>22.363776000000001</v>
      </c>
      <c r="W737" s="18">
        <v>20.96604</v>
      </c>
      <c r="X737" s="18">
        <v>13.977359999999999</v>
      </c>
      <c r="Y737" s="18">
        <v>0.62121599999999999</v>
      </c>
      <c r="Z737" s="18">
        <v>2.7566459999999999</v>
      </c>
      <c r="AA737" s="18">
        <v>4.0379040000000002</v>
      </c>
      <c r="AB737" s="18">
        <v>7.1828099999999999</v>
      </c>
      <c r="AC737" s="18">
        <v>2.213082</v>
      </c>
      <c r="AD737" s="18">
        <v>11.6478</v>
      </c>
    </row>
    <row r="738" spans="2:30" x14ac:dyDescent="0.25">
      <c r="B738" t="s">
        <v>144</v>
      </c>
      <c r="C738" t="s">
        <v>463</v>
      </c>
      <c r="D738" t="s">
        <v>559</v>
      </c>
      <c r="E738" s="35">
        <v>0.9</v>
      </c>
      <c r="F738" s="35">
        <v>40</v>
      </c>
      <c r="G738" s="36">
        <v>0.62159900000000001</v>
      </c>
      <c r="H738" s="18">
        <v>1118.877628</v>
      </c>
      <c r="I738" s="16">
        <v>0</v>
      </c>
      <c r="J738" s="16"/>
      <c r="K738" s="16"/>
      <c r="L738" s="37" t="s">
        <v>107</v>
      </c>
      <c r="M738" s="37"/>
      <c r="N738" s="37">
        <v>232</v>
      </c>
      <c r="O738" s="37"/>
      <c r="P738" s="37"/>
      <c r="Q738" s="18">
        <v>6.8375890000000004</v>
      </c>
      <c r="R738" s="18">
        <v>4.6619925E-2</v>
      </c>
      <c r="S738" s="18">
        <v>13.053579000000001</v>
      </c>
      <c r="T738" s="18">
        <v>55.943910000000002</v>
      </c>
      <c r="U738" s="18">
        <v>27.971955000000001</v>
      </c>
      <c r="V738" s="18">
        <v>358.04102399999999</v>
      </c>
      <c r="W738" s="18">
        <v>335.66345999999999</v>
      </c>
      <c r="X738" s="18">
        <v>223.77564000000001</v>
      </c>
      <c r="Y738" s="18">
        <v>9.9455840000000002</v>
      </c>
      <c r="Z738" s="18">
        <v>44.133529000000003</v>
      </c>
      <c r="AA738" s="18">
        <v>64.646296000000007</v>
      </c>
      <c r="AB738" s="18">
        <v>114.99581500000001</v>
      </c>
      <c r="AC738" s="18">
        <v>35.431142999999999</v>
      </c>
      <c r="AD738" s="18">
        <v>186.47970000000001</v>
      </c>
    </row>
    <row r="739" spans="2:30" x14ac:dyDescent="0.25">
      <c r="B739" t="s">
        <v>141</v>
      </c>
      <c r="C739" t="s">
        <v>463</v>
      </c>
      <c r="D739" t="s">
        <v>316</v>
      </c>
      <c r="E739" s="35">
        <v>0.9</v>
      </c>
      <c r="F739" s="35">
        <v>46</v>
      </c>
      <c r="G739" s="36">
        <v>0.76878400000000002</v>
      </c>
      <c r="H739" s="18">
        <v>1383.8103860000001</v>
      </c>
      <c r="I739" s="16">
        <v>0</v>
      </c>
      <c r="J739" s="16"/>
      <c r="K739" s="16"/>
      <c r="L739" s="37" t="s">
        <v>107</v>
      </c>
      <c r="M739" s="37"/>
      <c r="N739" s="37">
        <v>233</v>
      </c>
      <c r="O739" s="37"/>
      <c r="P739" s="37"/>
      <c r="Q739" s="18">
        <v>8.4566239999999997</v>
      </c>
      <c r="R739" s="18">
        <v>5.7658799999999996E-2</v>
      </c>
      <c r="S739" s="18">
        <v>16.144463999999999</v>
      </c>
      <c r="T739" s="18">
        <v>69.190560000000005</v>
      </c>
      <c r="U739" s="18">
        <v>34.595280000000002</v>
      </c>
      <c r="V739" s="18">
        <v>442.81958400000002</v>
      </c>
      <c r="W739" s="18">
        <v>415.14336000000003</v>
      </c>
      <c r="X739" s="18">
        <v>276.76224000000002</v>
      </c>
      <c r="Y739" s="18">
        <v>12.300544</v>
      </c>
      <c r="Z739" s="18">
        <v>54.583663999999999</v>
      </c>
      <c r="AA739" s="18">
        <v>79.953536</v>
      </c>
      <c r="AB739" s="18">
        <v>142.22504000000001</v>
      </c>
      <c r="AC739" s="18">
        <v>43.820688000000004</v>
      </c>
      <c r="AD739" s="18">
        <v>230.6352</v>
      </c>
    </row>
    <row r="740" spans="2:30" x14ac:dyDescent="0.25">
      <c r="B740" t="s">
        <v>110</v>
      </c>
      <c r="C740" t="s">
        <v>463</v>
      </c>
      <c r="D740" t="s">
        <v>315</v>
      </c>
      <c r="E740" s="35">
        <v>0.9</v>
      </c>
      <c r="F740" s="35">
        <v>22</v>
      </c>
      <c r="G740" s="36">
        <v>0.25035099999999999</v>
      </c>
      <c r="H740" s="18">
        <v>450.63095199999998</v>
      </c>
      <c r="I740" s="16">
        <v>0</v>
      </c>
      <c r="J740" s="16"/>
      <c r="K740" s="16"/>
      <c r="L740" s="37" t="s">
        <v>107</v>
      </c>
      <c r="M740" s="37"/>
      <c r="N740" s="37">
        <v>234</v>
      </c>
      <c r="O740" s="37"/>
      <c r="P740" s="37"/>
      <c r="Q740" s="18">
        <v>2.7538609999999997</v>
      </c>
      <c r="R740" s="18">
        <v>1.8776325E-2</v>
      </c>
      <c r="S740" s="18">
        <v>5.257371</v>
      </c>
      <c r="T740" s="18">
        <v>22.531589999999998</v>
      </c>
      <c r="U740" s="18">
        <v>11.265794999999999</v>
      </c>
      <c r="V740" s="18">
        <v>144.20217600000001</v>
      </c>
      <c r="W740" s="18">
        <v>135.18953999999999</v>
      </c>
      <c r="X740" s="18">
        <v>90.126359999999991</v>
      </c>
      <c r="Y740" s="18">
        <v>4.0056159999999998</v>
      </c>
      <c r="Z740" s="18">
        <v>17.774920999999999</v>
      </c>
      <c r="AA740" s="18">
        <v>26.036504000000001</v>
      </c>
      <c r="AB740" s="18">
        <v>46.314934999999998</v>
      </c>
      <c r="AC740" s="18">
        <v>14.270007</v>
      </c>
      <c r="AD740" s="18">
        <v>75.1053</v>
      </c>
    </row>
    <row r="741" spans="2:30" x14ac:dyDescent="0.25">
      <c r="B741" t="s">
        <v>144</v>
      </c>
      <c r="C741" t="s">
        <v>463</v>
      </c>
      <c r="D741" t="s">
        <v>560</v>
      </c>
      <c r="E741" s="35">
        <v>0.9</v>
      </c>
      <c r="F741" s="35">
        <v>40</v>
      </c>
      <c r="G741" s="36">
        <v>0.46051599999999998</v>
      </c>
      <c r="H741" s="18">
        <v>828.92861300000004</v>
      </c>
      <c r="I741" s="16">
        <v>0</v>
      </c>
      <c r="J741" s="16"/>
      <c r="K741" s="16"/>
      <c r="L741" s="37" t="s">
        <v>107</v>
      </c>
      <c r="M741" s="37"/>
      <c r="N741" s="37">
        <v>235</v>
      </c>
      <c r="O741" s="37"/>
      <c r="P741" s="37"/>
      <c r="Q741" s="18">
        <v>5.0656759999999998</v>
      </c>
      <c r="R741" s="18">
        <v>3.4538699999999999E-2</v>
      </c>
      <c r="S741" s="18">
        <v>9.6708359999999995</v>
      </c>
      <c r="T741" s="18">
        <v>41.446439999999996</v>
      </c>
      <c r="U741" s="18">
        <v>20.723219999999998</v>
      </c>
      <c r="V741" s="18">
        <v>265.25721599999997</v>
      </c>
      <c r="W741" s="18">
        <v>248.67864</v>
      </c>
      <c r="X741" s="18">
        <v>165.78575999999998</v>
      </c>
      <c r="Y741" s="18">
        <v>7.3682559999999997</v>
      </c>
      <c r="Z741" s="18">
        <v>32.696635999999998</v>
      </c>
      <c r="AA741" s="18">
        <v>47.893664000000001</v>
      </c>
      <c r="AB741" s="18">
        <v>85.195459999999997</v>
      </c>
      <c r="AC741" s="18">
        <v>26.249412</v>
      </c>
      <c r="AD741" s="18">
        <v>138.15479999999999</v>
      </c>
    </row>
    <row r="742" spans="2:30" x14ac:dyDescent="0.25">
      <c r="B742" t="s">
        <v>269</v>
      </c>
      <c r="C742" t="s">
        <v>463</v>
      </c>
      <c r="D742" t="s">
        <v>561</v>
      </c>
      <c r="E742" s="35">
        <v>0.9</v>
      </c>
      <c r="F742" s="35">
        <v>6.6</v>
      </c>
      <c r="G742" s="36">
        <v>7.8361E-2</v>
      </c>
      <c r="H742" s="18">
        <v>141.04946000000001</v>
      </c>
      <c r="I742" s="16"/>
      <c r="J742" s="16"/>
      <c r="K742" s="16"/>
      <c r="L742" s="37" t="s">
        <v>107</v>
      </c>
      <c r="M742" s="37"/>
      <c r="N742" s="37">
        <v>236</v>
      </c>
      <c r="O742" s="37"/>
      <c r="P742" s="37"/>
      <c r="Q742" s="18">
        <v>0.86197100000000004</v>
      </c>
      <c r="R742" s="18">
        <v>5.8770749999999998E-3</v>
      </c>
      <c r="S742" s="18">
        <v>1.645581</v>
      </c>
      <c r="T742" s="18">
        <v>7.0524899999999997</v>
      </c>
      <c r="U742" s="18">
        <v>3.5262449999999999</v>
      </c>
      <c r="V742" s="18">
        <v>45.135936000000001</v>
      </c>
      <c r="W742" s="18">
        <v>42.31494</v>
      </c>
      <c r="X742" s="18">
        <v>28.209959999999999</v>
      </c>
      <c r="Y742" s="18">
        <v>1.253776</v>
      </c>
      <c r="Z742" s="18">
        <v>5.563631</v>
      </c>
      <c r="AA742" s="18">
        <v>8.1495440000000006</v>
      </c>
      <c r="AB742" s="18">
        <v>14.496784999999999</v>
      </c>
      <c r="AC742" s="18">
        <v>4.466577</v>
      </c>
      <c r="AD742" s="18">
        <v>23.508299999999998</v>
      </c>
    </row>
    <row r="743" spans="2:30" x14ac:dyDescent="0.25">
      <c r="B743" t="s">
        <v>144</v>
      </c>
      <c r="C743" t="s">
        <v>463</v>
      </c>
      <c r="D743" t="s">
        <v>562</v>
      </c>
      <c r="E743" s="35">
        <v>0.9</v>
      </c>
      <c r="F743" s="35">
        <v>40</v>
      </c>
      <c r="G743" s="36">
        <v>0.45998299999999998</v>
      </c>
      <c r="H743" s="18">
        <v>827.96865200000002</v>
      </c>
      <c r="I743" s="16">
        <v>0</v>
      </c>
      <c r="J743" s="16"/>
      <c r="K743" s="16"/>
      <c r="L743" s="37" t="s">
        <v>107</v>
      </c>
      <c r="M743" s="37"/>
      <c r="N743" s="37">
        <v>237</v>
      </c>
      <c r="O743" s="37"/>
      <c r="P743" s="37"/>
      <c r="Q743" s="18">
        <v>5.0598130000000001</v>
      </c>
      <c r="R743" s="18">
        <v>3.4498724999999994E-2</v>
      </c>
      <c r="S743" s="18">
        <v>9.6596429999999991</v>
      </c>
      <c r="T743" s="18">
        <v>41.398469999999996</v>
      </c>
      <c r="U743" s="18">
        <v>20.699234999999998</v>
      </c>
      <c r="V743" s="18">
        <v>264.95020799999998</v>
      </c>
      <c r="W743" s="18">
        <v>248.39081999999999</v>
      </c>
      <c r="X743" s="18">
        <v>165.59387999999998</v>
      </c>
      <c r="Y743" s="18">
        <v>7.3597279999999996</v>
      </c>
      <c r="Z743" s="18">
        <v>32.658792999999996</v>
      </c>
      <c r="AA743" s="18">
        <v>47.838231999999998</v>
      </c>
      <c r="AB743" s="18">
        <v>85.096854999999991</v>
      </c>
      <c r="AC743" s="18">
        <v>26.219030999999998</v>
      </c>
      <c r="AD743" s="18">
        <v>137.9949</v>
      </c>
    </row>
    <row r="744" spans="2:30" x14ac:dyDescent="0.25">
      <c r="B744" t="s">
        <v>144</v>
      </c>
      <c r="C744" t="s">
        <v>463</v>
      </c>
      <c r="D744" t="s">
        <v>563</v>
      </c>
      <c r="E744" s="35">
        <v>0.9</v>
      </c>
      <c r="F744" s="35">
        <v>40</v>
      </c>
      <c r="G744" s="36">
        <v>0.46211600000000003</v>
      </c>
      <c r="H744" s="18">
        <v>831.80849599999999</v>
      </c>
      <c r="I744" s="16">
        <v>0</v>
      </c>
      <c r="J744" s="16"/>
      <c r="K744" s="16"/>
      <c r="L744" s="37" t="s">
        <v>107</v>
      </c>
      <c r="M744" s="37"/>
      <c r="N744" s="37">
        <v>238</v>
      </c>
      <c r="O744" s="37"/>
      <c r="P744" s="37"/>
      <c r="Q744" s="18">
        <v>5.0832760000000006</v>
      </c>
      <c r="R744" s="18">
        <v>3.4658700000000001E-2</v>
      </c>
      <c r="S744" s="18">
        <v>9.7044360000000012</v>
      </c>
      <c r="T744" s="18">
        <v>41.590440000000001</v>
      </c>
      <c r="U744" s="18">
        <v>20.79522</v>
      </c>
      <c r="V744" s="18">
        <v>266.17881600000004</v>
      </c>
      <c r="W744" s="18">
        <v>249.54264000000001</v>
      </c>
      <c r="X744" s="18">
        <v>166.36176</v>
      </c>
      <c r="Y744" s="18">
        <v>7.3938560000000004</v>
      </c>
      <c r="Z744" s="18">
        <v>32.810236000000003</v>
      </c>
      <c r="AA744" s="18">
        <v>48.060064000000004</v>
      </c>
      <c r="AB744" s="18">
        <v>85.491460000000004</v>
      </c>
      <c r="AC744" s="18">
        <v>26.340612</v>
      </c>
      <c r="AD744" s="18">
        <v>138.63480000000001</v>
      </c>
    </row>
    <row r="745" spans="2:30" x14ac:dyDescent="0.25">
      <c r="B745" t="s">
        <v>144</v>
      </c>
      <c r="C745" t="s">
        <v>463</v>
      </c>
      <c r="D745" t="s">
        <v>564</v>
      </c>
      <c r="E745" s="35">
        <v>0.9</v>
      </c>
      <c r="F745" s="35">
        <v>40</v>
      </c>
      <c r="G745" s="36">
        <v>0.62118200000000001</v>
      </c>
      <c r="H745" s="18">
        <v>1118.1271369999999</v>
      </c>
      <c r="I745" s="16">
        <v>0</v>
      </c>
      <c r="J745" s="16"/>
      <c r="K745" s="16"/>
      <c r="L745" s="37" t="s">
        <v>107</v>
      </c>
      <c r="M745" s="37"/>
      <c r="N745" s="37">
        <v>239</v>
      </c>
      <c r="O745" s="37"/>
      <c r="P745" s="37"/>
      <c r="Q745" s="18">
        <v>6.8330020000000005</v>
      </c>
      <c r="R745" s="18">
        <v>4.6588650000000002E-2</v>
      </c>
      <c r="S745" s="18">
        <v>13.044822</v>
      </c>
      <c r="T745" s="18">
        <v>55.906379999999999</v>
      </c>
      <c r="U745" s="18">
        <v>27.953189999999999</v>
      </c>
      <c r="V745" s="18">
        <v>357.80083200000001</v>
      </c>
      <c r="W745" s="18">
        <v>335.43828000000002</v>
      </c>
      <c r="X745" s="18">
        <v>223.62551999999999</v>
      </c>
      <c r="Y745" s="18">
        <v>9.9389120000000002</v>
      </c>
      <c r="Z745" s="18">
        <v>44.103922000000004</v>
      </c>
      <c r="AA745" s="18">
        <v>64.602928000000006</v>
      </c>
      <c r="AB745" s="18">
        <v>114.91867000000001</v>
      </c>
      <c r="AC745" s="18">
        <v>35.407373999999997</v>
      </c>
      <c r="AD745" s="18">
        <v>186.3546</v>
      </c>
    </row>
    <row r="746" spans="2:30" x14ac:dyDescent="0.25">
      <c r="B746" t="s">
        <v>141</v>
      </c>
      <c r="C746" t="s">
        <v>463</v>
      </c>
      <c r="D746" t="s">
        <v>316</v>
      </c>
      <c r="E746" s="35">
        <v>0.9</v>
      </c>
      <c r="F746" s="35">
        <v>46</v>
      </c>
      <c r="G746" s="36">
        <v>0.76878400000000002</v>
      </c>
      <c r="H746" s="18">
        <v>1383.8103860000001</v>
      </c>
      <c r="I746" s="16">
        <v>0</v>
      </c>
      <c r="J746" s="16"/>
      <c r="K746" s="16"/>
      <c r="L746" s="37" t="s">
        <v>107</v>
      </c>
      <c r="M746" s="37"/>
      <c r="N746" s="37">
        <v>240</v>
      </c>
      <c r="O746" s="37"/>
      <c r="P746" s="37"/>
      <c r="Q746" s="18">
        <v>8.4566239999999997</v>
      </c>
      <c r="R746" s="18">
        <v>5.7658799999999996E-2</v>
      </c>
      <c r="S746" s="18">
        <v>16.144463999999999</v>
      </c>
      <c r="T746" s="18">
        <v>69.190560000000005</v>
      </c>
      <c r="U746" s="18">
        <v>34.595280000000002</v>
      </c>
      <c r="V746" s="18">
        <v>442.81958400000002</v>
      </c>
      <c r="W746" s="18">
        <v>415.14336000000003</v>
      </c>
      <c r="X746" s="18">
        <v>276.76224000000002</v>
      </c>
      <c r="Y746" s="18">
        <v>12.300544</v>
      </c>
      <c r="Z746" s="18">
        <v>54.583663999999999</v>
      </c>
      <c r="AA746" s="18">
        <v>79.953536</v>
      </c>
      <c r="AB746" s="18">
        <v>142.22504000000001</v>
      </c>
      <c r="AC746" s="18">
        <v>43.820688000000004</v>
      </c>
      <c r="AD746" s="18">
        <v>230.6352</v>
      </c>
    </row>
    <row r="747" spans="2:30" x14ac:dyDescent="0.25">
      <c r="B747" t="s">
        <v>110</v>
      </c>
      <c r="C747" t="s">
        <v>463</v>
      </c>
      <c r="D747" t="s">
        <v>315</v>
      </c>
      <c r="E747" s="35">
        <v>0.9</v>
      </c>
      <c r="F747" s="35">
        <v>22</v>
      </c>
      <c r="G747" s="36">
        <v>0.25035099999999999</v>
      </c>
      <c r="H747" s="18">
        <v>450.63095199999998</v>
      </c>
      <c r="I747" s="16">
        <v>0</v>
      </c>
      <c r="J747" s="16"/>
      <c r="K747" s="16"/>
      <c r="L747" s="37" t="s">
        <v>107</v>
      </c>
      <c r="M747" s="37"/>
      <c r="N747" s="37">
        <v>241</v>
      </c>
      <c r="O747" s="37"/>
      <c r="P747" s="37"/>
      <c r="Q747" s="18">
        <v>2.7538609999999997</v>
      </c>
      <c r="R747" s="18">
        <v>1.8776325E-2</v>
      </c>
      <c r="S747" s="18">
        <v>5.257371</v>
      </c>
      <c r="T747" s="18">
        <v>22.531589999999998</v>
      </c>
      <c r="U747" s="18">
        <v>11.265794999999999</v>
      </c>
      <c r="V747" s="18">
        <v>144.20217600000001</v>
      </c>
      <c r="W747" s="18">
        <v>135.18953999999999</v>
      </c>
      <c r="X747" s="18">
        <v>90.126359999999991</v>
      </c>
      <c r="Y747" s="18">
        <v>4.0056159999999998</v>
      </c>
      <c r="Z747" s="18">
        <v>17.774920999999999</v>
      </c>
      <c r="AA747" s="18">
        <v>26.036504000000001</v>
      </c>
      <c r="AB747" s="18">
        <v>46.314934999999998</v>
      </c>
      <c r="AC747" s="18">
        <v>14.270007</v>
      </c>
      <c r="AD747" s="18">
        <v>75.1053</v>
      </c>
    </row>
    <row r="748" spans="2:30" x14ac:dyDescent="0.25">
      <c r="B748" t="s">
        <v>108</v>
      </c>
      <c r="C748" t="s">
        <v>463</v>
      </c>
      <c r="D748" t="s">
        <v>565</v>
      </c>
      <c r="E748" s="35">
        <v>0.9</v>
      </c>
      <c r="F748" s="35">
        <v>16</v>
      </c>
      <c r="G748" s="36">
        <v>6.9331000000000004E-2</v>
      </c>
      <c r="H748" s="18">
        <v>124.79585899999999</v>
      </c>
      <c r="I748" s="16">
        <v>0</v>
      </c>
      <c r="J748" s="16"/>
      <c r="K748" s="16"/>
      <c r="L748" s="37" t="s">
        <v>107</v>
      </c>
      <c r="M748" s="37"/>
      <c r="N748" s="37">
        <v>242</v>
      </c>
      <c r="O748" s="37"/>
      <c r="P748" s="37"/>
      <c r="Q748" s="18">
        <v>0.76264100000000001</v>
      </c>
      <c r="R748" s="18">
        <v>5.1998249999999999E-3</v>
      </c>
      <c r="S748" s="18">
        <v>1.455951</v>
      </c>
      <c r="T748" s="18">
        <v>6.2397900000000002</v>
      </c>
      <c r="U748" s="18">
        <v>3.1198950000000001</v>
      </c>
      <c r="V748" s="18">
        <v>39.934656000000004</v>
      </c>
      <c r="W748" s="18">
        <v>37.438740000000003</v>
      </c>
      <c r="X748" s="18">
        <v>24.959160000000001</v>
      </c>
      <c r="Y748" s="18">
        <v>1.1092960000000001</v>
      </c>
      <c r="Z748" s="18">
        <v>4.9225010000000005</v>
      </c>
      <c r="AA748" s="18">
        <v>7.2104240000000006</v>
      </c>
      <c r="AB748" s="18">
        <v>12.826235</v>
      </c>
      <c r="AC748" s="18">
        <v>3.951867</v>
      </c>
      <c r="AD748" s="18">
        <v>20.799300000000002</v>
      </c>
    </row>
    <row r="749" spans="2:30" x14ac:dyDescent="0.25">
      <c r="B749" t="s">
        <v>108</v>
      </c>
      <c r="C749" t="s">
        <v>463</v>
      </c>
      <c r="D749" t="s">
        <v>409</v>
      </c>
      <c r="E749" s="35">
        <v>0.9</v>
      </c>
      <c r="F749" s="35">
        <v>16</v>
      </c>
      <c r="G749" s="36">
        <v>6.7624000000000004E-2</v>
      </c>
      <c r="H749" s="18">
        <v>121.723984</v>
      </c>
      <c r="I749" s="16">
        <v>0</v>
      </c>
      <c r="J749" s="16"/>
      <c r="K749" s="16"/>
      <c r="L749" s="37" t="s">
        <v>107</v>
      </c>
      <c r="M749" s="37"/>
      <c r="N749" s="37">
        <v>243</v>
      </c>
      <c r="O749" s="37"/>
      <c r="P749" s="37"/>
      <c r="Q749" s="18">
        <v>0.74386400000000008</v>
      </c>
      <c r="R749" s="18">
        <v>5.0718000000000004E-3</v>
      </c>
      <c r="S749" s="18">
        <v>1.420104</v>
      </c>
      <c r="T749" s="18">
        <v>6.0861600000000005</v>
      </c>
      <c r="U749" s="18">
        <v>3.0430800000000002</v>
      </c>
      <c r="V749" s="18">
        <v>38.951424000000003</v>
      </c>
      <c r="W749" s="18">
        <v>36.516960000000005</v>
      </c>
      <c r="X749" s="18">
        <v>24.344640000000002</v>
      </c>
      <c r="Y749" s="18">
        <v>1.0819840000000001</v>
      </c>
      <c r="Z749" s="18">
        <v>4.801304</v>
      </c>
      <c r="AA749" s="18">
        <v>7.032896</v>
      </c>
      <c r="AB749" s="18">
        <v>12.510440000000001</v>
      </c>
      <c r="AC749" s="18">
        <v>3.854568</v>
      </c>
      <c r="AD749" s="18">
        <v>20.287200000000002</v>
      </c>
    </row>
    <row r="750" spans="2:30" x14ac:dyDescent="0.25">
      <c r="B750" t="s">
        <v>108</v>
      </c>
      <c r="C750" t="s">
        <v>463</v>
      </c>
      <c r="D750" t="s">
        <v>566</v>
      </c>
      <c r="E750" s="35">
        <v>0.9</v>
      </c>
      <c r="F750" s="35">
        <v>16</v>
      </c>
      <c r="G750" s="36">
        <v>6.5918000000000004E-2</v>
      </c>
      <c r="H750" s="18">
        <v>118.652109</v>
      </c>
      <c r="I750" s="16">
        <v>0</v>
      </c>
      <c r="J750" s="16"/>
      <c r="K750" s="16"/>
      <c r="L750" s="37" t="s">
        <v>107</v>
      </c>
      <c r="M750" s="37"/>
      <c r="N750" s="37">
        <v>244</v>
      </c>
      <c r="O750" s="37"/>
      <c r="P750" s="37"/>
      <c r="Q750" s="18">
        <v>0.72509800000000002</v>
      </c>
      <c r="R750" s="18">
        <v>4.9438500000000005E-3</v>
      </c>
      <c r="S750" s="18">
        <v>1.3842780000000001</v>
      </c>
      <c r="T750" s="18">
        <v>5.93262</v>
      </c>
      <c r="U750" s="18">
        <v>2.96631</v>
      </c>
      <c r="V750" s="18">
        <v>37.968768000000004</v>
      </c>
      <c r="W750" s="18">
        <v>35.59572</v>
      </c>
      <c r="X750" s="18">
        <v>23.73048</v>
      </c>
      <c r="Y750" s="18">
        <v>1.0546880000000001</v>
      </c>
      <c r="Z750" s="18">
        <v>4.6801780000000006</v>
      </c>
      <c r="AA750" s="18">
        <v>6.8554720000000007</v>
      </c>
      <c r="AB750" s="18">
        <v>12.194830000000001</v>
      </c>
      <c r="AC750" s="18">
        <v>3.7573260000000004</v>
      </c>
      <c r="AD750" s="18">
        <v>19.775400000000001</v>
      </c>
    </row>
    <row r="751" spans="2:30" x14ac:dyDescent="0.25">
      <c r="B751" t="s">
        <v>269</v>
      </c>
      <c r="C751" t="s">
        <v>463</v>
      </c>
      <c r="D751" t="s">
        <v>567</v>
      </c>
      <c r="E751" s="35">
        <v>0.9</v>
      </c>
      <c r="F751" s="35">
        <v>6.6</v>
      </c>
      <c r="G751" s="36">
        <v>2.6134999999999999E-2</v>
      </c>
      <c r="H751" s="18">
        <v>47.042886000000003</v>
      </c>
      <c r="I751" s="16"/>
      <c r="J751" s="16"/>
      <c r="K751" s="16"/>
      <c r="L751" s="37" t="s">
        <v>107</v>
      </c>
      <c r="M751" s="37"/>
      <c r="N751" s="37">
        <v>245</v>
      </c>
      <c r="O751" s="37"/>
      <c r="P751" s="37"/>
      <c r="Q751" s="18">
        <v>0.28748499999999999</v>
      </c>
      <c r="R751" s="18">
        <v>1.9601249999999996E-3</v>
      </c>
      <c r="S751" s="18">
        <v>0.54883499999999996</v>
      </c>
      <c r="T751" s="18">
        <v>2.35215</v>
      </c>
      <c r="U751" s="18">
        <v>1.176075</v>
      </c>
      <c r="V751" s="18">
        <v>15.053759999999999</v>
      </c>
      <c r="W751" s="18">
        <v>14.1129</v>
      </c>
      <c r="X751" s="18">
        <v>9.4085999999999999</v>
      </c>
      <c r="Y751" s="18">
        <v>0.41815999999999998</v>
      </c>
      <c r="Z751" s="18">
        <v>1.8555849999999998</v>
      </c>
      <c r="AA751" s="18">
        <v>2.7180399999999998</v>
      </c>
      <c r="AB751" s="18">
        <v>4.834975</v>
      </c>
      <c r="AC751" s="18">
        <v>1.489695</v>
      </c>
      <c r="AD751" s="18">
        <v>7.8404999999999996</v>
      </c>
    </row>
    <row r="752" spans="2:30" x14ac:dyDescent="0.25">
      <c r="B752" t="s">
        <v>108</v>
      </c>
      <c r="C752" t="s">
        <v>463</v>
      </c>
      <c r="D752" t="s">
        <v>314</v>
      </c>
      <c r="E752" s="35">
        <v>0.9</v>
      </c>
      <c r="F752" s="35">
        <v>16</v>
      </c>
      <c r="G752" s="36">
        <v>6.4104999999999995E-2</v>
      </c>
      <c r="H752" s="18">
        <v>115.38824200000001</v>
      </c>
      <c r="I752" s="16">
        <v>0</v>
      </c>
      <c r="J752" s="16"/>
      <c r="K752" s="16"/>
      <c r="L752" s="37" t="s">
        <v>107</v>
      </c>
      <c r="M752" s="37"/>
      <c r="N752" s="37">
        <v>246</v>
      </c>
      <c r="O752" s="37"/>
      <c r="P752" s="37"/>
      <c r="Q752" s="18">
        <v>0.70515499999999998</v>
      </c>
      <c r="R752" s="18">
        <v>4.8078749999999996E-3</v>
      </c>
      <c r="S752" s="18">
        <v>1.3462049999999999</v>
      </c>
      <c r="T752" s="18">
        <v>5.76945</v>
      </c>
      <c r="U752" s="18">
        <v>2.884725</v>
      </c>
      <c r="V752" s="18">
        <v>36.924479999999996</v>
      </c>
      <c r="W752" s="18">
        <v>34.616699999999994</v>
      </c>
      <c r="X752" s="18">
        <v>23.0778</v>
      </c>
      <c r="Y752" s="18">
        <v>1.0256799999999999</v>
      </c>
      <c r="Z752" s="18">
        <v>4.5514549999999998</v>
      </c>
      <c r="AA752" s="18">
        <v>6.6669199999999993</v>
      </c>
      <c r="AB752" s="18">
        <v>11.859425</v>
      </c>
      <c r="AC752" s="18">
        <v>3.6539849999999996</v>
      </c>
      <c r="AD752" s="18">
        <v>19.231499999999997</v>
      </c>
    </row>
    <row r="753" spans="2:30" x14ac:dyDescent="0.25">
      <c r="B753" t="s">
        <v>108</v>
      </c>
      <c r="C753" t="s">
        <v>463</v>
      </c>
      <c r="D753" t="s">
        <v>314</v>
      </c>
      <c r="E753" s="35">
        <v>0.9</v>
      </c>
      <c r="F753" s="35">
        <v>16</v>
      </c>
      <c r="G753" s="36">
        <v>6.4104999999999995E-2</v>
      </c>
      <c r="H753" s="18">
        <v>115.38824200000001</v>
      </c>
      <c r="I753" s="16">
        <v>0</v>
      </c>
      <c r="J753" s="16"/>
      <c r="K753" s="16"/>
      <c r="L753" s="37" t="s">
        <v>107</v>
      </c>
      <c r="M753" s="37"/>
      <c r="N753" s="37">
        <v>247</v>
      </c>
      <c r="O753" s="37"/>
      <c r="P753" s="37"/>
      <c r="Q753" s="18">
        <v>0.70515499999999998</v>
      </c>
      <c r="R753" s="18">
        <v>4.8078749999999996E-3</v>
      </c>
      <c r="S753" s="18">
        <v>1.3462049999999999</v>
      </c>
      <c r="T753" s="18">
        <v>5.76945</v>
      </c>
      <c r="U753" s="18">
        <v>2.884725</v>
      </c>
      <c r="V753" s="18">
        <v>36.924479999999996</v>
      </c>
      <c r="W753" s="18">
        <v>34.616699999999994</v>
      </c>
      <c r="X753" s="18">
        <v>23.0778</v>
      </c>
      <c r="Y753" s="18">
        <v>1.0256799999999999</v>
      </c>
      <c r="Z753" s="18">
        <v>4.5514549999999998</v>
      </c>
      <c r="AA753" s="18">
        <v>6.6669199999999993</v>
      </c>
      <c r="AB753" s="18">
        <v>11.859425</v>
      </c>
      <c r="AC753" s="18">
        <v>3.6539849999999996</v>
      </c>
      <c r="AD753" s="18">
        <v>19.231499999999997</v>
      </c>
    </row>
    <row r="754" spans="2:30" x14ac:dyDescent="0.25">
      <c r="B754" t="s">
        <v>108</v>
      </c>
      <c r="C754" t="s">
        <v>463</v>
      </c>
      <c r="D754" t="s">
        <v>568</v>
      </c>
      <c r="E754" s="35">
        <v>0.9</v>
      </c>
      <c r="F754" s="35">
        <v>16</v>
      </c>
      <c r="G754" s="36">
        <v>5.8237999999999998E-2</v>
      </c>
      <c r="H754" s="18">
        <v>104.828672</v>
      </c>
      <c r="I754" s="16">
        <v>0</v>
      </c>
      <c r="J754" s="16"/>
      <c r="K754" s="16"/>
      <c r="L754" s="37" t="s">
        <v>107</v>
      </c>
      <c r="M754" s="37"/>
      <c r="N754" s="37">
        <v>248</v>
      </c>
      <c r="O754" s="37"/>
      <c r="P754" s="37"/>
      <c r="Q754" s="18">
        <v>0.64061800000000002</v>
      </c>
      <c r="R754" s="18">
        <v>4.3678499999999995E-3</v>
      </c>
      <c r="S754" s="18">
        <v>1.222998</v>
      </c>
      <c r="T754" s="18">
        <v>5.2414199999999997</v>
      </c>
      <c r="U754" s="18">
        <v>2.6207099999999999</v>
      </c>
      <c r="V754" s="18">
        <v>33.545088</v>
      </c>
      <c r="W754" s="18">
        <v>31.448519999999998</v>
      </c>
      <c r="X754" s="18">
        <v>20.965679999999999</v>
      </c>
      <c r="Y754" s="18">
        <v>0.93180799999999997</v>
      </c>
      <c r="Z754" s="18">
        <v>4.1348979999999997</v>
      </c>
      <c r="AA754" s="18">
        <v>6.0567519999999995</v>
      </c>
      <c r="AB754" s="18">
        <v>10.77403</v>
      </c>
      <c r="AC754" s="18">
        <v>3.319566</v>
      </c>
      <c r="AD754" s="18">
        <v>17.471399999999999</v>
      </c>
    </row>
    <row r="755" spans="2:30" x14ac:dyDescent="0.25">
      <c r="B755" t="s">
        <v>108</v>
      </c>
      <c r="C755" t="s">
        <v>463</v>
      </c>
      <c r="D755" t="s">
        <v>568</v>
      </c>
      <c r="E755" s="35">
        <v>0.9</v>
      </c>
      <c r="F755" s="35">
        <v>16</v>
      </c>
      <c r="G755" s="36">
        <v>5.8237999999999998E-2</v>
      </c>
      <c r="H755" s="18">
        <v>104.828672</v>
      </c>
      <c r="I755" s="16">
        <v>0</v>
      </c>
      <c r="J755" s="16"/>
      <c r="K755" s="16"/>
      <c r="L755" s="37" t="s">
        <v>107</v>
      </c>
      <c r="M755" s="37"/>
      <c r="N755" s="37">
        <v>249</v>
      </c>
      <c r="O755" s="37"/>
      <c r="P755" s="37"/>
      <c r="Q755" s="18">
        <v>0.64061800000000002</v>
      </c>
      <c r="R755" s="18">
        <v>4.3678499999999995E-3</v>
      </c>
      <c r="S755" s="18">
        <v>1.222998</v>
      </c>
      <c r="T755" s="18">
        <v>5.2414199999999997</v>
      </c>
      <c r="U755" s="18">
        <v>2.6207099999999999</v>
      </c>
      <c r="V755" s="18">
        <v>33.545088</v>
      </c>
      <c r="W755" s="18">
        <v>31.448519999999998</v>
      </c>
      <c r="X755" s="18">
        <v>20.965679999999999</v>
      </c>
      <c r="Y755" s="18">
        <v>0.93180799999999997</v>
      </c>
      <c r="Z755" s="18">
        <v>4.1348979999999997</v>
      </c>
      <c r="AA755" s="18">
        <v>6.0567519999999995</v>
      </c>
      <c r="AB755" s="18">
        <v>10.77403</v>
      </c>
      <c r="AC755" s="18">
        <v>3.319566</v>
      </c>
      <c r="AD755" s="18">
        <v>17.471399999999999</v>
      </c>
    </row>
    <row r="756" spans="2:30" x14ac:dyDescent="0.25">
      <c r="B756" t="s">
        <v>144</v>
      </c>
      <c r="C756" t="s">
        <v>463</v>
      </c>
      <c r="D756" t="s">
        <v>569</v>
      </c>
      <c r="E756" s="35">
        <v>0.9</v>
      </c>
      <c r="F756" s="35">
        <v>40</v>
      </c>
      <c r="G756" s="36">
        <v>0.61277599999999999</v>
      </c>
      <c r="H756" s="18">
        <v>1102.9974609999999</v>
      </c>
      <c r="I756" s="16">
        <v>0</v>
      </c>
      <c r="J756" s="16"/>
      <c r="K756" s="16"/>
      <c r="L756" s="37" t="s">
        <v>107</v>
      </c>
      <c r="M756" s="37"/>
      <c r="N756" s="37">
        <v>250</v>
      </c>
      <c r="O756" s="37"/>
      <c r="P756" s="37"/>
      <c r="Q756" s="18">
        <v>6.7405359999999996</v>
      </c>
      <c r="R756" s="18">
        <v>4.5958199999999998E-2</v>
      </c>
      <c r="S756" s="18">
        <v>12.868295999999999</v>
      </c>
      <c r="T756" s="18">
        <v>55.149839999999998</v>
      </c>
      <c r="U756" s="18">
        <v>27.574919999999999</v>
      </c>
      <c r="V756" s="18">
        <v>352.95897600000001</v>
      </c>
      <c r="W756" s="18">
        <v>330.89904000000001</v>
      </c>
      <c r="X756" s="18">
        <v>220.59935999999999</v>
      </c>
      <c r="Y756" s="18">
        <v>9.8044159999999998</v>
      </c>
      <c r="Z756" s="18">
        <v>43.507095999999997</v>
      </c>
      <c r="AA756" s="18">
        <v>63.728704</v>
      </c>
      <c r="AB756" s="18">
        <v>113.36355999999999</v>
      </c>
      <c r="AC756" s="18">
        <v>34.928232000000001</v>
      </c>
      <c r="AD756" s="18">
        <v>183.83279999999999</v>
      </c>
    </row>
    <row r="757" spans="2:30" x14ac:dyDescent="0.25">
      <c r="B757" t="s">
        <v>166</v>
      </c>
      <c r="C757" t="s">
        <v>463</v>
      </c>
      <c r="D757" t="s">
        <v>324</v>
      </c>
      <c r="E757" s="35">
        <v>0.9</v>
      </c>
      <c r="F757" s="35">
        <v>26</v>
      </c>
      <c r="G757" s="36">
        <v>0.28512300000000002</v>
      </c>
      <c r="H757" s="18">
        <v>513.22064</v>
      </c>
      <c r="I757" s="16">
        <v>0</v>
      </c>
      <c r="J757" s="16"/>
      <c r="K757" s="16"/>
      <c r="L757" s="37" t="s">
        <v>107</v>
      </c>
      <c r="M757" s="37"/>
      <c r="N757" s="37">
        <v>251</v>
      </c>
      <c r="O757" s="37"/>
      <c r="P757" s="37"/>
      <c r="Q757" s="18">
        <v>3.1363530000000002</v>
      </c>
      <c r="R757" s="18">
        <v>2.1384225E-2</v>
      </c>
      <c r="S757" s="18">
        <v>5.9875830000000008</v>
      </c>
      <c r="T757" s="18">
        <v>25.661070000000002</v>
      </c>
      <c r="U757" s="18">
        <v>12.830535000000001</v>
      </c>
      <c r="V757" s="18">
        <v>164.23084800000001</v>
      </c>
      <c r="W757" s="18">
        <v>153.96642</v>
      </c>
      <c r="X757" s="18">
        <v>102.64428000000001</v>
      </c>
      <c r="Y757" s="18">
        <v>4.5619680000000002</v>
      </c>
      <c r="Z757" s="18">
        <v>20.243733000000002</v>
      </c>
      <c r="AA757" s="18">
        <v>29.652792000000002</v>
      </c>
      <c r="AB757" s="18">
        <v>52.747755000000005</v>
      </c>
      <c r="AC757" s="18">
        <v>16.252011</v>
      </c>
      <c r="AD757" s="18">
        <v>85.536900000000003</v>
      </c>
    </row>
    <row r="758" spans="2:30" x14ac:dyDescent="0.25">
      <c r="B758" t="s">
        <v>371</v>
      </c>
      <c r="C758" t="s">
        <v>463</v>
      </c>
      <c r="D758" t="s">
        <v>313</v>
      </c>
      <c r="E758" s="35">
        <v>0.9</v>
      </c>
      <c r="F758" s="35">
        <v>55</v>
      </c>
      <c r="G758" s="36">
        <v>0.89866500000000005</v>
      </c>
      <c r="H758" s="18">
        <v>1617.5974000000001</v>
      </c>
      <c r="I758" s="16">
        <v>0</v>
      </c>
      <c r="J758" s="16"/>
      <c r="K758" s="16"/>
      <c r="L758" s="37" t="s">
        <v>107</v>
      </c>
      <c r="M758" s="37"/>
      <c r="N758" s="37">
        <v>252</v>
      </c>
      <c r="O758" s="37"/>
      <c r="P758" s="37"/>
      <c r="Q758" s="18">
        <v>9.8853150000000003</v>
      </c>
      <c r="R758" s="18">
        <v>6.7399874999999998E-2</v>
      </c>
      <c r="S758" s="18">
        <v>18.871964999999999</v>
      </c>
      <c r="T758" s="18">
        <v>80.879850000000005</v>
      </c>
      <c r="U758" s="18">
        <v>40.439925000000002</v>
      </c>
      <c r="V758" s="18">
        <v>517.63103999999998</v>
      </c>
      <c r="W758" s="18">
        <v>485.27910000000003</v>
      </c>
      <c r="X758" s="18">
        <v>323.51940000000002</v>
      </c>
      <c r="Y758" s="18">
        <v>14.378640000000001</v>
      </c>
      <c r="Z758" s="18">
        <v>63.805215000000004</v>
      </c>
      <c r="AA758" s="18">
        <v>93.461160000000007</v>
      </c>
      <c r="AB758" s="18">
        <v>166.25302500000001</v>
      </c>
      <c r="AC758" s="18">
        <v>51.223905000000002</v>
      </c>
      <c r="AD758" s="18">
        <v>269.59950000000003</v>
      </c>
    </row>
    <row r="759" spans="2:30" x14ac:dyDescent="0.25">
      <c r="B759" t="s">
        <v>166</v>
      </c>
      <c r="C759" t="s">
        <v>570</v>
      </c>
      <c r="D759" t="s">
        <v>571</v>
      </c>
      <c r="E759" s="35">
        <v>0.9</v>
      </c>
      <c r="F759" s="35">
        <v>26</v>
      </c>
      <c r="G759" s="36">
        <v>0.33420800000000001</v>
      </c>
      <c r="H759" s="18">
        <v>601.57412999999997</v>
      </c>
      <c r="I759" s="16">
        <v>0</v>
      </c>
      <c r="J759" s="16"/>
      <c r="K759" s="16"/>
      <c r="L759" s="37" t="s">
        <v>107</v>
      </c>
      <c r="M759" s="37"/>
      <c r="N759" s="37">
        <v>253</v>
      </c>
      <c r="O759" s="37"/>
      <c r="P759" s="37"/>
      <c r="Q759" s="18">
        <v>3.676288</v>
      </c>
      <c r="R759" s="18">
        <v>2.50656E-2</v>
      </c>
      <c r="S759" s="18">
        <v>7.0183679999999997</v>
      </c>
      <c r="T759" s="18">
        <v>30.078720000000001</v>
      </c>
      <c r="U759" s="18">
        <v>15.03936</v>
      </c>
      <c r="V759" s="18">
        <v>192.50380799999999</v>
      </c>
      <c r="W759" s="18">
        <v>180.47232</v>
      </c>
      <c r="X759" s="18">
        <v>120.31488</v>
      </c>
      <c r="Y759" s="18">
        <v>5.3473280000000001</v>
      </c>
      <c r="Z759" s="18">
        <v>23.728767999999999</v>
      </c>
      <c r="AA759" s="18">
        <v>34.757632000000001</v>
      </c>
      <c r="AB759" s="18">
        <v>61.828479999999999</v>
      </c>
      <c r="AC759" s="18">
        <v>19.049856000000002</v>
      </c>
      <c r="AD759" s="18">
        <v>100.2624</v>
      </c>
    </row>
    <row r="760" spans="2:30" x14ac:dyDescent="0.25">
      <c r="B760" t="s">
        <v>108</v>
      </c>
      <c r="C760" t="s">
        <v>570</v>
      </c>
      <c r="D760" t="s">
        <v>572</v>
      </c>
      <c r="E760" s="35">
        <v>0.9</v>
      </c>
      <c r="F760" s="35">
        <v>16</v>
      </c>
      <c r="G760" s="36">
        <v>2.5142000000000001E-2</v>
      </c>
      <c r="H760" s="18">
        <v>45.256307999999997</v>
      </c>
      <c r="I760" s="16">
        <v>0</v>
      </c>
      <c r="J760" s="16"/>
      <c r="K760" s="16"/>
      <c r="L760" s="37" t="s">
        <v>107</v>
      </c>
      <c r="M760" s="37"/>
      <c r="N760" s="37">
        <v>254</v>
      </c>
      <c r="O760" s="37"/>
      <c r="P760" s="37"/>
      <c r="Q760" s="18">
        <v>0.27656200000000003</v>
      </c>
      <c r="R760" s="18">
        <v>1.88565E-3</v>
      </c>
      <c r="S760" s="18">
        <v>0.52798200000000006</v>
      </c>
      <c r="T760" s="18">
        <v>2.2627800000000002</v>
      </c>
      <c r="U760" s="18">
        <v>1.1313900000000001</v>
      </c>
      <c r="V760" s="18">
        <v>14.481792</v>
      </c>
      <c r="W760" s="18">
        <v>13.576680000000001</v>
      </c>
      <c r="X760" s="18">
        <v>9.0511200000000009</v>
      </c>
      <c r="Y760" s="18">
        <v>0.40227200000000002</v>
      </c>
      <c r="Z760" s="18">
        <v>1.7850820000000001</v>
      </c>
      <c r="AA760" s="18">
        <v>2.6147680000000002</v>
      </c>
      <c r="AB760" s="18">
        <v>4.6512700000000002</v>
      </c>
      <c r="AC760" s="18">
        <v>1.4330940000000001</v>
      </c>
      <c r="AD760" s="18">
        <v>7.5426000000000002</v>
      </c>
    </row>
    <row r="761" spans="2:30" x14ac:dyDescent="0.25">
      <c r="B761" t="s">
        <v>244</v>
      </c>
      <c r="C761" t="s">
        <v>570</v>
      </c>
      <c r="D761" t="s">
        <v>573</v>
      </c>
      <c r="E761" s="35">
        <v>0.9</v>
      </c>
      <c r="F761" s="35">
        <v>36</v>
      </c>
      <c r="G761" s="36">
        <v>0.51599399999999995</v>
      </c>
      <c r="H761" s="18">
        <v>928.78984400000002</v>
      </c>
      <c r="I761" s="16">
        <v>2</v>
      </c>
      <c r="J761" s="16"/>
      <c r="K761" s="16"/>
      <c r="L761" s="37" t="s">
        <v>107</v>
      </c>
      <c r="M761" s="37"/>
      <c r="N761" s="37">
        <v>255</v>
      </c>
      <c r="O761" s="37"/>
      <c r="P761" s="37"/>
      <c r="Q761" s="18">
        <v>5.6759339999999998</v>
      </c>
      <c r="R761" s="18">
        <v>3.8699549999999992E-2</v>
      </c>
      <c r="S761" s="18">
        <v>10.835873999999999</v>
      </c>
      <c r="T761" s="18">
        <v>46.439459999999997</v>
      </c>
      <c r="U761" s="18">
        <v>23.219729999999998</v>
      </c>
      <c r="V761" s="18">
        <v>297.21254399999998</v>
      </c>
      <c r="W761" s="18">
        <v>278.63675999999998</v>
      </c>
      <c r="X761" s="18">
        <v>185.75783999999999</v>
      </c>
      <c r="Y761" s="18">
        <v>8.2559039999999992</v>
      </c>
      <c r="Z761" s="18">
        <v>36.635573999999998</v>
      </c>
      <c r="AA761" s="18">
        <v>53.663375999999992</v>
      </c>
      <c r="AB761" s="18">
        <v>95.458889999999997</v>
      </c>
      <c r="AC761" s="18">
        <v>29.411657999999996</v>
      </c>
      <c r="AD761" s="18">
        <v>154.79819999999998</v>
      </c>
    </row>
    <row r="762" spans="2:30" x14ac:dyDescent="0.25">
      <c r="B762" t="s">
        <v>166</v>
      </c>
      <c r="C762" t="s">
        <v>570</v>
      </c>
      <c r="D762" t="s">
        <v>574</v>
      </c>
      <c r="E762" s="35">
        <v>0.9</v>
      </c>
      <c r="F762" s="35">
        <v>26</v>
      </c>
      <c r="G762" s="36">
        <v>0.30159399999999997</v>
      </c>
      <c r="H762" s="18">
        <v>542.86992899999996</v>
      </c>
      <c r="I762" s="16">
        <v>0</v>
      </c>
      <c r="J762" s="16"/>
      <c r="K762" s="16"/>
      <c r="L762" s="37" t="s">
        <v>107</v>
      </c>
      <c r="M762" s="37"/>
      <c r="N762" s="37">
        <v>256</v>
      </c>
      <c r="O762" s="37"/>
      <c r="P762" s="37"/>
      <c r="Q762" s="18">
        <v>3.3175339999999998</v>
      </c>
      <c r="R762" s="18">
        <v>2.2619549999999999E-2</v>
      </c>
      <c r="S762" s="18">
        <v>6.3334739999999998</v>
      </c>
      <c r="T762" s="18">
        <v>27.143459999999997</v>
      </c>
      <c r="U762" s="18">
        <v>13.571729999999999</v>
      </c>
      <c r="V762" s="18">
        <v>173.718144</v>
      </c>
      <c r="W762" s="18">
        <v>162.86076</v>
      </c>
      <c r="X762" s="18">
        <v>108.57383999999999</v>
      </c>
      <c r="Y762" s="18">
        <v>4.8255039999999996</v>
      </c>
      <c r="Z762" s="18">
        <v>21.413173999999998</v>
      </c>
      <c r="AA762" s="18">
        <v>31.365775999999997</v>
      </c>
      <c r="AB762" s="18">
        <v>55.794889999999995</v>
      </c>
      <c r="AC762" s="18">
        <v>17.190857999999999</v>
      </c>
      <c r="AD762" s="18">
        <v>90.478199999999987</v>
      </c>
    </row>
    <row r="763" spans="2:30" x14ac:dyDescent="0.25">
      <c r="B763" t="s">
        <v>108</v>
      </c>
      <c r="C763" t="s">
        <v>570</v>
      </c>
      <c r="D763" t="s">
        <v>575</v>
      </c>
      <c r="E763" s="35">
        <v>0.9</v>
      </c>
      <c r="F763" s="35">
        <v>16</v>
      </c>
      <c r="G763" s="36">
        <v>7.1911000000000003E-2</v>
      </c>
      <c r="H763" s="18">
        <v>129.440574</v>
      </c>
      <c r="I763" s="16">
        <v>0</v>
      </c>
      <c r="J763" s="16"/>
      <c r="K763" s="16"/>
      <c r="L763" s="37" t="s">
        <v>107</v>
      </c>
      <c r="M763" s="37"/>
      <c r="N763" s="37">
        <v>257</v>
      </c>
      <c r="O763" s="37"/>
      <c r="P763" s="37"/>
      <c r="Q763" s="18">
        <v>0.79102099999999997</v>
      </c>
      <c r="R763" s="18">
        <v>5.393325E-3</v>
      </c>
      <c r="S763" s="18">
        <v>1.5101310000000001</v>
      </c>
      <c r="T763" s="18">
        <v>6.4719899999999999</v>
      </c>
      <c r="U763" s="18">
        <v>3.235995</v>
      </c>
      <c r="V763" s="18">
        <v>41.420736000000005</v>
      </c>
      <c r="W763" s="18">
        <v>38.831940000000003</v>
      </c>
      <c r="X763" s="18">
        <v>25.88796</v>
      </c>
      <c r="Y763" s="18">
        <v>1.150576</v>
      </c>
      <c r="Z763" s="18">
        <v>5.1056810000000006</v>
      </c>
      <c r="AA763" s="18">
        <v>7.4787440000000007</v>
      </c>
      <c r="AB763" s="18">
        <v>13.303535</v>
      </c>
      <c r="AC763" s="18">
        <v>4.0989269999999998</v>
      </c>
      <c r="AD763" s="18">
        <v>21.5733</v>
      </c>
    </row>
    <row r="764" spans="2:30" x14ac:dyDescent="0.25">
      <c r="B764" t="s">
        <v>166</v>
      </c>
      <c r="C764" t="s">
        <v>570</v>
      </c>
      <c r="D764" t="s">
        <v>576</v>
      </c>
      <c r="E764" s="35">
        <v>0.9</v>
      </c>
      <c r="F764" s="35">
        <v>26</v>
      </c>
      <c r="G764" s="36">
        <v>0.158248</v>
      </c>
      <c r="H764" s="18">
        <v>284.845933</v>
      </c>
      <c r="I764" s="16">
        <v>0</v>
      </c>
      <c r="J764" s="16"/>
      <c r="K764" s="16"/>
      <c r="L764" s="37" t="s">
        <v>107</v>
      </c>
      <c r="M764" s="37"/>
      <c r="N764" s="37">
        <v>258</v>
      </c>
      <c r="O764" s="37"/>
      <c r="P764" s="37"/>
      <c r="Q764" s="18">
        <v>1.7407280000000001</v>
      </c>
      <c r="R764" s="18">
        <v>1.18686E-2</v>
      </c>
      <c r="S764" s="18">
        <v>3.3232080000000002</v>
      </c>
      <c r="T764" s="18">
        <v>14.242319999999999</v>
      </c>
      <c r="U764" s="18">
        <v>7.1211599999999997</v>
      </c>
      <c r="V764" s="18">
        <v>91.150847999999996</v>
      </c>
      <c r="W764" s="18">
        <v>85.453919999999997</v>
      </c>
      <c r="X764" s="18">
        <v>56.969279999999998</v>
      </c>
      <c r="Y764" s="18">
        <v>2.531968</v>
      </c>
      <c r="Z764" s="18">
        <v>11.235607999999999</v>
      </c>
      <c r="AA764" s="18">
        <v>16.457792000000001</v>
      </c>
      <c r="AB764" s="18">
        <v>29.275880000000001</v>
      </c>
      <c r="AC764" s="18">
        <v>9.0201360000000008</v>
      </c>
      <c r="AD764" s="18">
        <v>47.474400000000003</v>
      </c>
    </row>
    <row r="765" spans="2:30" x14ac:dyDescent="0.25">
      <c r="B765" t="s">
        <v>166</v>
      </c>
      <c r="C765" t="s">
        <v>570</v>
      </c>
      <c r="D765" t="s">
        <v>456</v>
      </c>
      <c r="E765" s="35">
        <v>0.9</v>
      </c>
      <c r="F765" s="35">
        <v>26</v>
      </c>
      <c r="G765" s="36">
        <v>0.29118899999999998</v>
      </c>
      <c r="H765" s="18">
        <v>524.14019499999995</v>
      </c>
      <c r="I765" s="16">
        <v>0</v>
      </c>
      <c r="J765" s="16"/>
      <c r="K765" s="16"/>
      <c r="L765" s="37" t="s">
        <v>107</v>
      </c>
      <c r="M765" s="37"/>
      <c r="N765" s="37">
        <v>259</v>
      </c>
      <c r="O765" s="37"/>
      <c r="P765" s="37"/>
      <c r="Q765" s="18">
        <v>3.2030789999999998</v>
      </c>
      <c r="R765" s="18">
        <v>2.1839174999999999E-2</v>
      </c>
      <c r="S765" s="18">
        <v>6.1149689999999994</v>
      </c>
      <c r="T765" s="18">
        <v>26.207009999999997</v>
      </c>
      <c r="U765" s="18">
        <v>13.103504999999998</v>
      </c>
      <c r="V765" s="18">
        <v>167.724864</v>
      </c>
      <c r="W765" s="18">
        <v>157.24205999999998</v>
      </c>
      <c r="X765" s="18">
        <v>104.82803999999999</v>
      </c>
      <c r="Y765" s="18">
        <v>4.6590239999999996</v>
      </c>
      <c r="Z765" s="18">
        <v>20.674418999999997</v>
      </c>
      <c r="AA765" s="18">
        <v>30.283655999999997</v>
      </c>
      <c r="AB765" s="18">
        <v>53.869964999999993</v>
      </c>
      <c r="AC765" s="18">
        <v>16.597773</v>
      </c>
      <c r="AD765" s="18">
        <v>87.356699999999989</v>
      </c>
    </row>
    <row r="766" spans="2:30" x14ac:dyDescent="0.25">
      <c r="B766" t="s">
        <v>119</v>
      </c>
      <c r="C766" t="s">
        <v>570</v>
      </c>
      <c r="D766" t="s">
        <v>577</v>
      </c>
      <c r="E766" s="35">
        <v>0.9</v>
      </c>
      <c r="F766" s="35">
        <v>19</v>
      </c>
      <c r="G766" s="36">
        <v>0.11898400000000001</v>
      </c>
      <c r="H766" s="18">
        <v>214.17067900000001</v>
      </c>
      <c r="I766" s="16">
        <v>0</v>
      </c>
      <c r="J766" s="16"/>
      <c r="K766" s="16"/>
      <c r="L766" s="37" t="s">
        <v>107</v>
      </c>
      <c r="M766" s="37"/>
      <c r="N766" s="37">
        <v>260</v>
      </c>
      <c r="O766" s="37"/>
      <c r="P766" s="37"/>
      <c r="Q766" s="18">
        <v>1.308824</v>
      </c>
      <c r="R766" s="18">
        <v>8.9238000000000008E-3</v>
      </c>
      <c r="S766" s="18">
        <v>2.4986640000000002</v>
      </c>
      <c r="T766" s="18">
        <v>10.70856</v>
      </c>
      <c r="U766" s="18">
        <v>5.3542800000000002</v>
      </c>
      <c r="V766" s="18">
        <v>68.534784000000002</v>
      </c>
      <c r="W766" s="18">
        <v>64.251360000000005</v>
      </c>
      <c r="X766" s="18">
        <v>42.834240000000001</v>
      </c>
      <c r="Y766" s="18">
        <v>1.9037440000000001</v>
      </c>
      <c r="Z766" s="18">
        <v>8.4478640000000009</v>
      </c>
      <c r="AA766" s="18">
        <v>12.374336000000001</v>
      </c>
      <c r="AB766" s="18">
        <v>22.012040000000002</v>
      </c>
      <c r="AC766" s="18">
        <v>6.7820880000000008</v>
      </c>
      <c r="AD766" s="18">
        <v>35.6952</v>
      </c>
    </row>
    <row r="767" spans="2:30" x14ac:dyDescent="0.25">
      <c r="B767" t="s">
        <v>244</v>
      </c>
      <c r="C767" t="s">
        <v>570</v>
      </c>
      <c r="D767" t="s">
        <v>574</v>
      </c>
      <c r="E767" s="35">
        <v>0.9</v>
      </c>
      <c r="F767" s="35">
        <v>36</v>
      </c>
      <c r="G767" s="36">
        <v>0.41759200000000002</v>
      </c>
      <c r="H767" s="18">
        <v>751.66605600000003</v>
      </c>
      <c r="I767" s="16">
        <v>0</v>
      </c>
      <c r="J767" s="16"/>
      <c r="K767" s="16"/>
      <c r="L767" s="37" t="s">
        <v>107</v>
      </c>
      <c r="M767" s="37"/>
      <c r="N767" s="37">
        <v>261</v>
      </c>
      <c r="O767" s="37"/>
      <c r="P767" s="37"/>
      <c r="Q767" s="18">
        <v>4.5935120000000005</v>
      </c>
      <c r="R767" s="18">
        <v>3.1319399999999997E-2</v>
      </c>
      <c r="S767" s="18">
        <v>8.7694320000000001</v>
      </c>
      <c r="T767" s="18">
        <v>37.583280000000002</v>
      </c>
      <c r="U767" s="18">
        <v>18.791640000000001</v>
      </c>
      <c r="V767" s="18">
        <v>240.53299200000001</v>
      </c>
      <c r="W767" s="18">
        <v>225.49968000000001</v>
      </c>
      <c r="X767" s="18">
        <v>150.33312000000001</v>
      </c>
      <c r="Y767" s="18">
        <v>6.6814720000000003</v>
      </c>
      <c r="Z767" s="18">
        <v>29.649032000000002</v>
      </c>
      <c r="AA767" s="18">
        <v>43.429568000000003</v>
      </c>
      <c r="AB767" s="18">
        <v>77.254519999999999</v>
      </c>
      <c r="AC767" s="18">
        <v>23.802744000000001</v>
      </c>
      <c r="AD767" s="18">
        <v>125.27760000000001</v>
      </c>
    </row>
    <row r="768" spans="2:30" x14ac:dyDescent="0.25">
      <c r="B768" t="s">
        <v>108</v>
      </c>
      <c r="C768" t="s">
        <v>570</v>
      </c>
      <c r="D768" t="s">
        <v>578</v>
      </c>
      <c r="E768" s="35">
        <v>0.9</v>
      </c>
      <c r="F768" s="35">
        <v>16</v>
      </c>
      <c r="G768" s="36">
        <v>3.4132000000000003E-2</v>
      </c>
      <c r="H768" s="18">
        <v>61.438437</v>
      </c>
      <c r="I768" s="16">
        <v>0</v>
      </c>
      <c r="J768" s="16"/>
      <c r="K768" s="16"/>
      <c r="L768" s="37" t="s">
        <v>107</v>
      </c>
      <c r="M768" s="37"/>
      <c r="N768" s="37">
        <v>262</v>
      </c>
      <c r="O768" s="37"/>
      <c r="P768" s="37"/>
      <c r="Q768" s="18">
        <v>0.37545200000000001</v>
      </c>
      <c r="R768" s="18">
        <v>2.5598999999999999E-3</v>
      </c>
      <c r="S768" s="18">
        <v>0.71677200000000008</v>
      </c>
      <c r="T768" s="18">
        <v>3.0718800000000002</v>
      </c>
      <c r="U768" s="18">
        <v>1.5359400000000001</v>
      </c>
      <c r="V768" s="18">
        <v>19.660032000000001</v>
      </c>
      <c r="W768" s="18">
        <v>18.431280000000001</v>
      </c>
      <c r="X768" s="18">
        <v>12.287520000000001</v>
      </c>
      <c r="Y768" s="18">
        <v>0.54611200000000004</v>
      </c>
      <c r="Z768" s="18">
        <v>2.4233720000000001</v>
      </c>
      <c r="AA768" s="18">
        <v>3.5497280000000004</v>
      </c>
      <c r="AB768" s="18">
        <v>6.3144200000000001</v>
      </c>
      <c r="AC768" s="18">
        <v>1.9455240000000003</v>
      </c>
      <c r="AD768" s="18">
        <v>10.239600000000001</v>
      </c>
    </row>
    <row r="769" spans="2:30" x14ac:dyDescent="0.25">
      <c r="B769" t="s">
        <v>108</v>
      </c>
      <c r="C769" t="s">
        <v>570</v>
      </c>
      <c r="D769" t="s">
        <v>457</v>
      </c>
      <c r="E769" s="35">
        <v>0.9</v>
      </c>
      <c r="F769" s="35">
        <v>16</v>
      </c>
      <c r="G769" s="36">
        <v>3.7651999999999998E-2</v>
      </c>
      <c r="H769" s="18">
        <v>67.774180000000001</v>
      </c>
      <c r="I769" s="16">
        <v>0</v>
      </c>
      <c r="J769" s="16"/>
      <c r="K769" s="16"/>
      <c r="L769" s="37" t="s">
        <v>107</v>
      </c>
      <c r="M769" s="37"/>
      <c r="N769" s="37">
        <v>263</v>
      </c>
      <c r="O769" s="37"/>
      <c r="P769" s="37"/>
      <c r="Q769" s="18">
        <v>0.41417199999999998</v>
      </c>
      <c r="R769" s="18">
        <v>2.8238999999999998E-3</v>
      </c>
      <c r="S769" s="18">
        <v>0.79069199999999995</v>
      </c>
      <c r="T769" s="18">
        <v>3.3886799999999999</v>
      </c>
      <c r="U769" s="18">
        <v>1.69434</v>
      </c>
      <c r="V769" s="18">
        <v>21.687552</v>
      </c>
      <c r="W769" s="18">
        <v>20.332079999999998</v>
      </c>
      <c r="X769" s="18">
        <v>13.55472</v>
      </c>
      <c r="Y769" s="18">
        <v>0.60243199999999997</v>
      </c>
      <c r="Z769" s="18">
        <v>2.673292</v>
      </c>
      <c r="AA769" s="18">
        <v>3.9158079999999997</v>
      </c>
      <c r="AB769" s="18">
        <v>6.9656199999999995</v>
      </c>
      <c r="AC769" s="18">
        <v>2.1461639999999997</v>
      </c>
      <c r="AD769" s="18">
        <v>11.295599999999999</v>
      </c>
    </row>
    <row r="770" spans="2:30" x14ac:dyDescent="0.25">
      <c r="B770" t="s">
        <v>108</v>
      </c>
      <c r="C770" t="s">
        <v>570</v>
      </c>
      <c r="D770" t="s">
        <v>457</v>
      </c>
      <c r="E770" s="35">
        <v>0.9</v>
      </c>
      <c r="F770" s="35">
        <v>16</v>
      </c>
      <c r="G770" s="36">
        <v>3.7651999999999998E-2</v>
      </c>
      <c r="H770" s="18">
        <v>67.774180000000001</v>
      </c>
      <c r="I770" s="16">
        <v>0</v>
      </c>
      <c r="J770" s="16"/>
      <c r="K770" s="16"/>
      <c r="L770" s="37" t="s">
        <v>107</v>
      </c>
      <c r="M770" s="37"/>
      <c r="N770" s="37">
        <v>264</v>
      </c>
      <c r="O770" s="37"/>
      <c r="P770" s="37"/>
      <c r="Q770" s="18">
        <v>0.41417199999999998</v>
      </c>
      <c r="R770" s="18">
        <v>2.8238999999999998E-3</v>
      </c>
      <c r="S770" s="18">
        <v>0.79069199999999995</v>
      </c>
      <c r="T770" s="18">
        <v>3.3886799999999999</v>
      </c>
      <c r="U770" s="18">
        <v>1.69434</v>
      </c>
      <c r="V770" s="18">
        <v>21.687552</v>
      </c>
      <c r="W770" s="18">
        <v>20.332079999999998</v>
      </c>
      <c r="X770" s="18">
        <v>13.55472</v>
      </c>
      <c r="Y770" s="18">
        <v>0.60243199999999997</v>
      </c>
      <c r="Z770" s="18">
        <v>2.673292</v>
      </c>
      <c r="AA770" s="18">
        <v>3.9158079999999997</v>
      </c>
      <c r="AB770" s="18">
        <v>6.9656199999999995</v>
      </c>
      <c r="AC770" s="18">
        <v>2.1461639999999997</v>
      </c>
      <c r="AD770" s="18">
        <v>11.295599999999999</v>
      </c>
    </row>
    <row r="771" spans="2:30" x14ac:dyDescent="0.25">
      <c r="B771" t="s">
        <v>108</v>
      </c>
      <c r="C771" t="s">
        <v>570</v>
      </c>
      <c r="D771" t="s">
        <v>457</v>
      </c>
      <c r="E771" s="35">
        <v>0.9</v>
      </c>
      <c r="F771" s="35">
        <v>16</v>
      </c>
      <c r="G771" s="36">
        <v>3.7651999999999998E-2</v>
      </c>
      <c r="H771" s="18">
        <v>67.774180000000001</v>
      </c>
      <c r="I771" s="16">
        <v>0</v>
      </c>
      <c r="J771" s="16"/>
      <c r="K771" s="16"/>
      <c r="L771" s="37" t="s">
        <v>107</v>
      </c>
      <c r="M771" s="37"/>
      <c r="N771" s="37">
        <v>265</v>
      </c>
      <c r="O771" s="37"/>
      <c r="P771" s="37"/>
      <c r="Q771" s="18">
        <v>0.41417199999999998</v>
      </c>
      <c r="R771" s="18">
        <v>2.8238999999999998E-3</v>
      </c>
      <c r="S771" s="18">
        <v>0.79069199999999995</v>
      </c>
      <c r="T771" s="18">
        <v>3.3886799999999999</v>
      </c>
      <c r="U771" s="18">
        <v>1.69434</v>
      </c>
      <c r="V771" s="18">
        <v>21.687552</v>
      </c>
      <c r="W771" s="18">
        <v>20.332079999999998</v>
      </c>
      <c r="X771" s="18">
        <v>13.55472</v>
      </c>
      <c r="Y771" s="18">
        <v>0.60243199999999997</v>
      </c>
      <c r="Z771" s="18">
        <v>2.673292</v>
      </c>
      <c r="AA771" s="18">
        <v>3.9158079999999997</v>
      </c>
      <c r="AB771" s="18">
        <v>6.9656199999999995</v>
      </c>
      <c r="AC771" s="18">
        <v>2.1461639999999997</v>
      </c>
      <c r="AD771" s="18">
        <v>11.295599999999999</v>
      </c>
    </row>
    <row r="772" spans="2:30" x14ac:dyDescent="0.25">
      <c r="B772" t="s">
        <v>108</v>
      </c>
      <c r="C772" t="s">
        <v>570</v>
      </c>
      <c r="D772" t="s">
        <v>457</v>
      </c>
      <c r="E772" s="35">
        <v>0.9</v>
      </c>
      <c r="F772" s="35">
        <v>16</v>
      </c>
      <c r="G772" s="36">
        <v>3.7651999999999998E-2</v>
      </c>
      <c r="H772" s="18">
        <v>67.774180000000001</v>
      </c>
      <c r="I772" s="16">
        <v>0</v>
      </c>
      <c r="J772" s="16"/>
      <c r="K772" s="16"/>
      <c r="L772" s="37" t="s">
        <v>107</v>
      </c>
      <c r="M772" s="37"/>
      <c r="N772" s="37">
        <v>266</v>
      </c>
      <c r="O772" s="37"/>
      <c r="P772" s="37"/>
      <c r="Q772" s="18">
        <v>0.41417199999999998</v>
      </c>
      <c r="R772" s="18">
        <v>2.8238999999999998E-3</v>
      </c>
      <c r="S772" s="18">
        <v>0.79069199999999995</v>
      </c>
      <c r="T772" s="18">
        <v>3.3886799999999999</v>
      </c>
      <c r="U772" s="18">
        <v>1.69434</v>
      </c>
      <c r="V772" s="18">
        <v>21.687552</v>
      </c>
      <c r="W772" s="18">
        <v>20.332079999999998</v>
      </c>
      <c r="X772" s="18">
        <v>13.55472</v>
      </c>
      <c r="Y772" s="18">
        <v>0.60243199999999997</v>
      </c>
      <c r="Z772" s="18">
        <v>2.673292</v>
      </c>
      <c r="AA772" s="18">
        <v>3.9158079999999997</v>
      </c>
      <c r="AB772" s="18">
        <v>6.9656199999999995</v>
      </c>
      <c r="AC772" s="18">
        <v>2.1461639999999997</v>
      </c>
      <c r="AD772" s="18">
        <v>11.295599999999999</v>
      </c>
    </row>
    <row r="773" spans="2:30" x14ac:dyDescent="0.25">
      <c r="B773" t="s">
        <v>108</v>
      </c>
      <c r="C773" t="s">
        <v>570</v>
      </c>
      <c r="D773" t="s">
        <v>579</v>
      </c>
      <c r="E773" s="35">
        <v>0.9</v>
      </c>
      <c r="F773" s="35">
        <v>16</v>
      </c>
      <c r="G773" s="36">
        <v>7.2056999999999996E-2</v>
      </c>
      <c r="H773" s="18">
        <v>129.70284899999999</v>
      </c>
      <c r="I773" s="16">
        <v>0</v>
      </c>
      <c r="J773" s="16"/>
      <c r="K773" s="16"/>
      <c r="L773" s="37" t="s">
        <v>107</v>
      </c>
      <c r="M773" s="37"/>
      <c r="N773" s="37">
        <v>267</v>
      </c>
      <c r="O773" s="37"/>
      <c r="P773" s="37"/>
      <c r="Q773" s="18">
        <v>0.79262699999999997</v>
      </c>
      <c r="R773" s="18">
        <v>5.4042749999999992E-3</v>
      </c>
      <c r="S773" s="18">
        <v>1.5131969999999999</v>
      </c>
      <c r="T773" s="18">
        <v>6.4851299999999998</v>
      </c>
      <c r="U773" s="18">
        <v>3.2425649999999999</v>
      </c>
      <c r="V773" s="18">
        <v>41.504832</v>
      </c>
      <c r="W773" s="18">
        <v>38.910779999999995</v>
      </c>
      <c r="X773" s="18">
        <v>25.940519999999999</v>
      </c>
      <c r="Y773" s="18">
        <v>1.1529119999999999</v>
      </c>
      <c r="Z773" s="18">
        <v>5.116047</v>
      </c>
      <c r="AA773" s="18">
        <v>7.4939279999999995</v>
      </c>
      <c r="AB773" s="18">
        <v>13.330544999999999</v>
      </c>
      <c r="AC773" s="18">
        <v>4.1072489999999995</v>
      </c>
      <c r="AD773" s="18">
        <v>21.617099999999997</v>
      </c>
    </row>
    <row r="774" spans="2:30" x14ac:dyDescent="0.25">
      <c r="B774" t="s">
        <v>166</v>
      </c>
      <c r="C774" t="s">
        <v>570</v>
      </c>
      <c r="D774" t="s">
        <v>580</v>
      </c>
      <c r="E774" s="35">
        <v>0.9</v>
      </c>
      <c r="F774" s="35">
        <v>26</v>
      </c>
      <c r="G774" s="36">
        <v>0.15512799999999999</v>
      </c>
      <c r="H774" s="18">
        <v>279.23016100000001</v>
      </c>
      <c r="I774" s="16">
        <v>0</v>
      </c>
      <c r="J774" s="16"/>
      <c r="K774" s="16"/>
      <c r="L774" s="37" t="s">
        <v>107</v>
      </c>
      <c r="M774" s="37"/>
      <c r="N774" s="37">
        <v>268</v>
      </c>
      <c r="O774" s="37"/>
      <c r="P774" s="37"/>
      <c r="Q774" s="18">
        <v>1.7064079999999999</v>
      </c>
      <c r="R774" s="18">
        <v>1.1634599999999998E-2</v>
      </c>
      <c r="S774" s="18">
        <v>3.2576879999999999</v>
      </c>
      <c r="T774" s="18">
        <v>13.961519999999998</v>
      </c>
      <c r="U774" s="18">
        <v>6.9807599999999992</v>
      </c>
      <c r="V774" s="18">
        <v>89.35372799999999</v>
      </c>
      <c r="W774" s="18">
        <v>83.769119999999987</v>
      </c>
      <c r="X774" s="18">
        <v>55.846079999999994</v>
      </c>
      <c r="Y774" s="18">
        <v>2.4820479999999998</v>
      </c>
      <c r="Z774" s="18">
        <v>11.014087999999999</v>
      </c>
      <c r="AA774" s="18">
        <v>16.133312</v>
      </c>
      <c r="AB774" s="18">
        <v>28.69868</v>
      </c>
      <c r="AC774" s="18">
        <v>8.8422959999999993</v>
      </c>
      <c r="AD774" s="18">
        <v>46.538399999999996</v>
      </c>
    </row>
    <row r="775" spans="2:30" x14ac:dyDescent="0.25">
      <c r="B775" t="s">
        <v>160</v>
      </c>
      <c r="C775" t="s">
        <v>570</v>
      </c>
      <c r="D775" t="s">
        <v>581</v>
      </c>
      <c r="E775" s="35">
        <v>0.9</v>
      </c>
      <c r="F775" s="35">
        <v>31</v>
      </c>
      <c r="G775" s="36">
        <v>0.34057399999999999</v>
      </c>
      <c r="H775" s="18">
        <v>613.032871</v>
      </c>
      <c r="I775" s="16">
        <v>0</v>
      </c>
      <c r="J775" s="16"/>
      <c r="K775" s="16"/>
      <c r="L775" s="37" t="s">
        <v>107</v>
      </c>
      <c r="M775" s="37"/>
      <c r="N775" s="37">
        <v>269</v>
      </c>
      <c r="O775" s="37"/>
      <c r="P775" s="37"/>
      <c r="Q775" s="18">
        <v>3.7463139999999999</v>
      </c>
      <c r="R775" s="18">
        <v>2.5543049999999998E-2</v>
      </c>
      <c r="S775" s="18">
        <v>7.1520539999999997</v>
      </c>
      <c r="T775" s="18">
        <v>30.65166</v>
      </c>
      <c r="U775" s="18">
        <v>15.32583</v>
      </c>
      <c r="V775" s="18">
        <v>196.170624</v>
      </c>
      <c r="W775" s="18">
        <v>183.90995999999998</v>
      </c>
      <c r="X775" s="18">
        <v>122.60664</v>
      </c>
      <c r="Y775" s="18">
        <v>5.4491839999999998</v>
      </c>
      <c r="Z775" s="18">
        <v>24.180754</v>
      </c>
      <c r="AA775" s="18">
        <v>35.419696000000002</v>
      </c>
      <c r="AB775" s="18">
        <v>63.006189999999997</v>
      </c>
      <c r="AC775" s="18">
        <v>19.412717999999998</v>
      </c>
      <c r="AD775" s="18">
        <v>102.17219999999999</v>
      </c>
    </row>
    <row r="776" spans="2:30" x14ac:dyDescent="0.25">
      <c r="B776" t="s">
        <v>119</v>
      </c>
      <c r="C776" t="s">
        <v>570</v>
      </c>
      <c r="D776" t="s">
        <v>582</v>
      </c>
      <c r="E776" s="35">
        <v>0.9</v>
      </c>
      <c r="F776" s="35">
        <v>19</v>
      </c>
      <c r="G776" s="36">
        <v>0.15808800000000001</v>
      </c>
      <c r="H776" s="18">
        <v>284.55788899999999</v>
      </c>
      <c r="I776" s="16">
        <v>0</v>
      </c>
      <c r="J776" s="16"/>
      <c r="K776" s="16"/>
      <c r="L776" s="37" t="s">
        <v>107</v>
      </c>
      <c r="M776" s="37"/>
      <c r="N776" s="37">
        <v>270</v>
      </c>
      <c r="O776" s="37"/>
      <c r="P776" s="37"/>
      <c r="Q776" s="18">
        <v>1.7389680000000001</v>
      </c>
      <c r="R776" s="18">
        <v>1.18566E-2</v>
      </c>
      <c r="S776" s="18">
        <v>3.3198480000000004</v>
      </c>
      <c r="T776" s="18">
        <v>14.227920000000001</v>
      </c>
      <c r="U776" s="18">
        <v>7.1139600000000005</v>
      </c>
      <c r="V776" s="18">
        <v>91.058688000000004</v>
      </c>
      <c r="W776" s="18">
        <v>85.367519999999999</v>
      </c>
      <c r="X776" s="18">
        <v>56.911680000000004</v>
      </c>
      <c r="Y776" s="18">
        <v>2.5294080000000001</v>
      </c>
      <c r="Z776" s="18">
        <v>11.224248000000001</v>
      </c>
      <c r="AA776" s="18">
        <v>16.441152000000002</v>
      </c>
      <c r="AB776" s="18">
        <v>29.246280000000002</v>
      </c>
      <c r="AC776" s="18">
        <v>9.0110159999999997</v>
      </c>
      <c r="AD776" s="18">
        <v>47.426400000000001</v>
      </c>
    </row>
    <row r="777" spans="2:30" x14ac:dyDescent="0.25">
      <c r="B777" t="s">
        <v>108</v>
      </c>
      <c r="C777" t="s">
        <v>570</v>
      </c>
      <c r="D777" t="s">
        <v>583</v>
      </c>
      <c r="E777" s="35">
        <v>0.9</v>
      </c>
      <c r="F777" s="35">
        <v>16</v>
      </c>
      <c r="G777" s="36">
        <v>6.9758000000000001E-2</v>
      </c>
      <c r="H777" s="18">
        <v>125.563828</v>
      </c>
      <c r="I777" s="16">
        <v>0</v>
      </c>
      <c r="J777" s="16"/>
      <c r="K777" s="16"/>
      <c r="L777" s="37" t="s">
        <v>107</v>
      </c>
      <c r="M777" s="37"/>
      <c r="N777" s="37">
        <v>271</v>
      </c>
      <c r="O777" s="37"/>
      <c r="P777" s="37"/>
      <c r="Q777" s="18">
        <v>0.76733799999999996</v>
      </c>
      <c r="R777" s="18">
        <v>5.2318499999999997E-3</v>
      </c>
      <c r="S777" s="18">
        <v>1.4649179999999999</v>
      </c>
      <c r="T777" s="18">
        <v>6.2782200000000001</v>
      </c>
      <c r="U777" s="18">
        <v>3.1391100000000001</v>
      </c>
      <c r="V777" s="18">
        <v>40.180607999999999</v>
      </c>
      <c r="W777" s="18">
        <v>37.669319999999999</v>
      </c>
      <c r="X777" s="18">
        <v>25.112880000000001</v>
      </c>
      <c r="Y777" s="18">
        <v>1.116128</v>
      </c>
      <c r="Z777" s="18">
        <v>4.9528179999999997</v>
      </c>
      <c r="AA777" s="18">
        <v>7.2548320000000004</v>
      </c>
      <c r="AB777" s="18">
        <v>12.90523</v>
      </c>
      <c r="AC777" s="18">
        <v>3.9762059999999999</v>
      </c>
      <c r="AD777" s="18">
        <v>20.927399999999999</v>
      </c>
    </row>
    <row r="778" spans="2:30" x14ac:dyDescent="0.25">
      <c r="B778" t="s">
        <v>108</v>
      </c>
      <c r="C778" t="s">
        <v>570</v>
      </c>
      <c r="D778" t="s">
        <v>583</v>
      </c>
      <c r="E778" s="35">
        <v>0.9</v>
      </c>
      <c r="F778" s="35">
        <v>16</v>
      </c>
      <c r="G778" s="36">
        <v>6.9758000000000001E-2</v>
      </c>
      <c r="H778" s="18">
        <v>125.563828</v>
      </c>
      <c r="I778" s="16">
        <v>0</v>
      </c>
      <c r="J778" s="16"/>
      <c r="K778" s="16"/>
      <c r="L778" s="37" t="s">
        <v>107</v>
      </c>
      <c r="M778" s="37"/>
      <c r="N778" s="37">
        <v>272</v>
      </c>
      <c r="O778" s="37"/>
      <c r="P778" s="37"/>
      <c r="Q778" s="18">
        <v>0.76733799999999996</v>
      </c>
      <c r="R778" s="18">
        <v>5.2318499999999997E-3</v>
      </c>
      <c r="S778" s="18">
        <v>1.4649179999999999</v>
      </c>
      <c r="T778" s="18">
        <v>6.2782200000000001</v>
      </c>
      <c r="U778" s="18">
        <v>3.1391100000000001</v>
      </c>
      <c r="V778" s="18">
        <v>40.180607999999999</v>
      </c>
      <c r="W778" s="18">
        <v>37.669319999999999</v>
      </c>
      <c r="X778" s="18">
        <v>25.112880000000001</v>
      </c>
      <c r="Y778" s="18">
        <v>1.116128</v>
      </c>
      <c r="Z778" s="18">
        <v>4.9528179999999997</v>
      </c>
      <c r="AA778" s="18">
        <v>7.2548320000000004</v>
      </c>
      <c r="AB778" s="18">
        <v>12.90523</v>
      </c>
      <c r="AC778" s="18">
        <v>3.9762059999999999</v>
      </c>
      <c r="AD778" s="18">
        <v>20.927399999999999</v>
      </c>
    </row>
    <row r="779" spans="2:30" x14ac:dyDescent="0.25">
      <c r="B779" t="s">
        <v>166</v>
      </c>
      <c r="C779" t="s">
        <v>570</v>
      </c>
      <c r="D779" t="s">
        <v>584</v>
      </c>
      <c r="E779" s="35">
        <v>0.9</v>
      </c>
      <c r="F779" s="35">
        <v>26</v>
      </c>
      <c r="G779" s="36">
        <v>0.279229</v>
      </c>
      <c r="H779" s="18">
        <v>502.61230999999998</v>
      </c>
      <c r="I779" s="16">
        <v>2</v>
      </c>
      <c r="J779" s="16"/>
      <c r="K779" s="16"/>
      <c r="L779" s="37" t="s">
        <v>107</v>
      </c>
      <c r="M779" s="37"/>
      <c r="N779" s="37">
        <v>273</v>
      </c>
      <c r="O779" s="37"/>
      <c r="P779" s="37"/>
      <c r="Q779" s="18">
        <v>3.0715189999999999</v>
      </c>
      <c r="R779" s="18">
        <v>2.0942175E-2</v>
      </c>
      <c r="S779" s="18">
        <v>5.8638089999999998</v>
      </c>
      <c r="T779" s="18">
        <v>25.130610000000001</v>
      </c>
      <c r="U779" s="18">
        <v>12.565305</v>
      </c>
      <c r="V779" s="18">
        <v>160.835904</v>
      </c>
      <c r="W779" s="18">
        <v>150.78366</v>
      </c>
      <c r="X779" s="18">
        <v>100.52244</v>
      </c>
      <c r="Y779" s="18">
        <v>4.4676640000000001</v>
      </c>
      <c r="Z779" s="18">
        <v>19.825258999999999</v>
      </c>
      <c r="AA779" s="18">
        <v>29.039816000000002</v>
      </c>
      <c r="AB779" s="18">
        <v>51.657364999999999</v>
      </c>
      <c r="AC779" s="18">
        <v>15.916053</v>
      </c>
      <c r="AD779" s="18">
        <v>83.768699999999995</v>
      </c>
    </row>
    <row r="780" spans="2:30" x14ac:dyDescent="0.25">
      <c r="B780" t="s">
        <v>144</v>
      </c>
      <c r="C780" t="s">
        <v>570</v>
      </c>
      <c r="D780" t="s">
        <v>585</v>
      </c>
      <c r="E780" s="35">
        <v>0.9</v>
      </c>
      <c r="F780" s="35">
        <v>40</v>
      </c>
      <c r="G780" s="36">
        <v>0.56956200000000001</v>
      </c>
      <c r="H780" s="18">
        <v>1025.211221</v>
      </c>
      <c r="I780" s="16">
        <v>0</v>
      </c>
      <c r="J780" s="16"/>
      <c r="K780" s="16"/>
      <c r="L780" s="37" t="s">
        <v>107</v>
      </c>
      <c r="M780" s="37"/>
      <c r="N780" s="37">
        <v>274</v>
      </c>
      <c r="O780" s="37"/>
      <c r="P780" s="37"/>
      <c r="Q780" s="18">
        <v>6.2651820000000003</v>
      </c>
      <c r="R780" s="18">
        <v>4.2717150000000002E-2</v>
      </c>
      <c r="S780" s="18">
        <v>11.960802000000001</v>
      </c>
      <c r="T780" s="18">
        <v>51.260580000000004</v>
      </c>
      <c r="U780" s="18">
        <v>25.630290000000002</v>
      </c>
      <c r="V780" s="18">
        <v>328.06771200000003</v>
      </c>
      <c r="W780" s="18">
        <v>307.56348000000003</v>
      </c>
      <c r="X780" s="18">
        <v>205.04232000000002</v>
      </c>
      <c r="Y780" s="18">
        <v>9.1129920000000002</v>
      </c>
      <c r="Z780" s="18">
        <v>40.438901999999999</v>
      </c>
      <c r="AA780" s="18">
        <v>59.234448</v>
      </c>
      <c r="AB780" s="18">
        <v>105.36897</v>
      </c>
      <c r="AC780" s="18">
        <v>32.465034000000003</v>
      </c>
      <c r="AD780" s="18">
        <v>170.86860000000001</v>
      </c>
    </row>
    <row r="781" spans="2:30" x14ac:dyDescent="0.25">
      <c r="B781" t="s">
        <v>244</v>
      </c>
      <c r="C781" t="s">
        <v>570</v>
      </c>
      <c r="D781" t="s">
        <v>586</v>
      </c>
      <c r="E781" s="35">
        <v>0.9</v>
      </c>
      <c r="F781" s="35">
        <v>36</v>
      </c>
      <c r="G781" s="36">
        <v>0.52555399999999997</v>
      </c>
      <c r="H781" s="18">
        <v>945.99733500000002</v>
      </c>
      <c r="I781" s="16">
        <v>2</v>
      </c>
      <c r="J781" s="16"/>
      <c r="K781" s="16"/>
      <c r="L781" s="37" t="s">
        <v>107</v>
      </c>
      <c r="M781" s="37"/>
      <c r="N781" s="37">
        <v>275</v>
      </c>
      <c r="O781" s="37"/>
      <c r="P781" s="37"/>
      <c r="Q781" s="18">
        <v>5.7810939999999995</v>
      </c>
      <c r="R781" s="18">
        <v>3.9416549999999995E-2</v>
      </c>
      <c r="S781" s="18">
        <v>11.036633999999999</v>
      </c>
      <c r="T781" s="18">
        <v>47.299859999999995</v>
      </c>
      <c r="U781" s="18">
        <v>23.649929999999998</v>
      </c>
      <c r="V781" s="18">
        <v>302.71910399999996</v>
      </c>
      <c r="W781" s="18">
        <v>283.79915999999997</v>
      </c>
      <c r="X781" s="18">
        <v>189.19943999999998</v>
      </c>
      <c r="Y781" s="18">
        <v>8.4088639999999995</v>
      </c>
      <c r="Z781" s="18">
        <v>37.314333999999995</v>
      </c>
      <c r="AA781" s="18">
        <v>54.657615999999997</v>
      </c>
      <c r="AB781" s="18">
        <v>97.227489999999989</v>
      </c>
      <c r="AC781" s="18">
        <v>29.956577999999997</v>
      </c>
      <c r="AD781" s="18">
        <v>157.6662</v>
      </c>
    </row>
    <row r="782" spans="2:30" x14ac:dyDescent="0.25">
      <c r="B782" t="s">
        <v>119</v>
      </c>
      <c r="C782" t="s">
        <v>570</v>
      </c>
      <c r="D782" t="s">
        <v>587</v>
      </c>
      <c r="E782" s="35">
        <v>0.9</v>
      </c>
      <c r="F782" s="35">
        <v>19</v>
      </c>
      <c r="G782" s="36">
        <v>0.121216</v>
      </c>
      <c r="H782" s="18">
        <v>218.18823499999999</v>
      </c>
      <c r="I782" s="16">
        <v>0</v>
      </c>
      <c r="J782" s="16"/>
      <c r="K782" s="16"/>
      <c r="L782" s="37" t="s">
        <v>107</v>
      </c>
      <c r="M782" s="37"/>
      <c r="N782" s="37">
        <v>276</v>
      </c>
      <c r="O782" s="37"/>
      <c r="P782" s="37"/>
      <c r="Q782" s="18">
        <v>1.3333760000000001</v>
      </c>
      <c r="R782" s="18">
        <v>9.0912000000000007E-3</v>
      </c>
      <c r="S782" s="18">
        <v>2.5455360000000002</v>
      </c>
      <c r="T782" s="18">
        <v>10.90944</v>
      </c>
      <c r="U782" s="18">
        <v>5.45472</v>
      </c>
      <c r="V782" s="18">
        <v>69.820416000000009</v>
      </c>
      <c r="W782" s="18">
        <v>65.456640000000007</v>
      </c>
      <c r="X782" s="18">
        <v>43.63776</v>
      </c>
      <c r="Y782" s="18">
        <v>1.9394560000000001</v>
      </c>
      <c r="Z782" s="18">
        <v>8.6063360000000007</v>
      </c>
      <c r="AA782" s="18">
        <v>12.606464000000001</v>
      </c>
      <c r="AB782" s="18">
        <v>22.424960000000002</v>
      </c>
      <c r="AC782" s="18">
        <v>6.9093119999999999</v>
      </c>
      <c r="AD782" s="18">
        <v>36.364800000000002</v>
      </c>
    </row>
    <row r="783" spans="2:30" x14ac:dyDescent="0.25">
      <c r="B783" t="s">
        <v>110</v>
      </c>
      <c r="C783" t="s">
        <v>570</v>
      </c>
      <c r="D783" t="s">
        <v>588</v>
      </c>
      <c r="E783" s="35">
        <v>0.9</v>
      </c>
      <c r="F783" s="35">
        <v>22</v>
      </c>
      <c r="G783" s="36">
        <v>0.259737</v>
      </c>
      <c r="H783" s="18">
        <v>467.52626500000002</v>
      </c>
      <c r="I783" s="16">
        <v>0</v>
      </c>
      <c r="J783" s="16"/>
      <c r="K783" s="16"/>
      <c r="L783" s="37" t="s">
        <v>107</v>
      </c>
      <c r="M783" s="37"/>
      <c r="N783" s="37">
        <v>277</v>
      </c>
      <c r="O783" s="37"/>
      <c r="P783" s="37"/>
      <c r="Q783" s="18">
        <v>2.8571070000000001</v>
      </c>
      <c r="R783" s="18">
        <v>1.9480274999999998E-2</v>
      </c>
      <c r="S783" s="18">
        <v>5.4544769999999998</v>
      </c>
      <c r="T783" s="18">
        <v>23.376329999999999</v>
      </c>
      <c r="U783" s="18">
        <v>11.688165</v>
      </c>
      <c r="V783" s="18">
        <v>149.60851199999999</v>
      </c>
      <c r="W783" s="18">
        <v>140.25798</v>
      </c>
      <c r="X783" s="18">
        <v>93.505319999999998</v>
      </c>
      <c r="Y783" s="18">
        <v>4.1557919999999999</v>
      </c>
      <c r="Z783" s="18">
        <v>18.441327000000001</v>
      </c>
      <c r="AA783" s="18">
        <v>27.012647999999999</v>
      </c>
      <c r="AB783" s="18">
        <v>48.051344999999998</v>
      </c>
      <c r="AC783" s="18">
        <v>14.805009</v>
      </c>
      <c r="AD783" s="18">
        <v>77.921099999999996</v>
      </c>
    </row>
    <row r="784" spans="2:30" x14ac:dyDescent="0.25">
      <c r="B784" t="s">
        <v>166</v>
      </c>
      <c r="C784" t="s">
        <v>570</v>
      </c>
      <c r="D784" t="s">
        <v>196</v>
      </c>
      <c r="E784" s="35">
        <v>0.9</v>
      </c>
      <c r="F784" s="35">
        <v>26</v>
      </c>
      <c r="G784" s="36">
        <v>0.22012499999999999</v>
      </c>
      <c r="H784" s="18">
        <v>396.22539999999998</v>
      </c>
      <c r="I784" s="16">
        <v>0</v>
      </c>
      <c r="J784" s="16"/>
      <c r="K784" s="16"/>
      <c r="L784" s="37" t="s">
        <v>107</v>
      </c>
      <c r="M784" s="37"/>
      <c r="N784" s="37">
        <v>278</v>
      </c>
      <c r="O784" s="37"/>
      <c r="P784" s="37"/>
      <c r="Q784" s="18">
        <v>2.4213749999999998</v>
      </c>
      <c r="R784" s="18">
        <v>1.6509375E-2</v>
      </c>
      <c r="S784" s="18">
        <v>4.6226249999999993</v>
      </c>
      <c r="T784" s="18">
        <v>19.811249999999998</v>
      </c>
      <c r="U784" s="18">
        <v>9.9056249999999988</v>
      </c>
      <c r="V784" s="18">
        <v>126.79199999999999</v>
      </c>
      <c r="W784" s="18">
        <v>118.86749999999999</v>
      </c>
      <c r="X784" s="18">
        <v>79.24499999999999</v>
      </c>
      <c r="Y784" s="18">
        <v>3.5219999999999998</v>
      </c>
      <c r="Z784" s="18">
        <v>15.628874999999999</v>
      </c>
      <c r="AA784" s="18">
        <v>22.892999999999997</v>
      </c>
      <c r="AB784" s="18">
        <v>40.723124999999996</v>
      </c>
      <c r="AC784" s="18">
        <v>12.547124999999999</v>
      </c>
      <c r="AD784" s="18">
        <v>66.037499999999994</v>
      </c>
    </row>
    <row r="785" spans="2:30" x14ac:dyDescent="0.25">
      <c r="B785" t="s">
        <v>108</v>
      </c>
      <c r="C785" t="s">
        <v>570</v>
      </c>
      <c r="D785" t="s">
        <v>589</v>
      </c>
      <c r="E785" s="35">
        <v>0.9</v>
      </c>
      <c r="F785" s="35">
        <v>16</v>
      </c>
      <c r="G785" s="36">
        <v>6.2019999999999999E-2</v>
      </c>
      <c r="H785" s="18">
        <v>111.636646</v>
      </c>
      <c r="I785" s="16">
        <v>0</v>
      </c>
      <c r="J785" s="16"/>
      <c r="K785" s="16"/>
      <c r="L785" s="37" t="s">
        <v>107</v>
      </c>
      <c r="M785" s="37"/>
      <c r="N785" s="37">
        <v>279</v>
      </c>
      <c r="O785" s="37"/>
      <c r="P785" s="37"/>
      <c r="Q785" s="18">
        <v>0.68221999999999994</v>
      </c>
      <c r="R785" s="18">
        <v>4.6514999999999994E-3</v>
      </c>
      <c r="S785" s="18">
        <v>1.3024199999999999</v>
      </c>
      <c r="T785" s="18">
        <v>5.5818000000000003</v>
      </c>
      <c r="U785" s="18">
        <v>2.7909000000000002</v>
      </c>
      <c r="V785" s="18">
        <v>35.723520000000001</v>
      </c>
      <c r="W785" s="18">
        <v>33.4908</v>
      </c>
      <c r="X785" s="18">
        <v>22.327200000000001</v>
      </c>
      <c r="Y785" s="18">
        <v>0.99231999999999998</v>
      </c>
      <c r="Z785" s="18">
        <v>4.4034199999999997</v>
      </c>
      <c r="AA785" s="18">
        <v>6.4500799999999998</v>
      </c>
      <c r="AB785" s="18">
        <v>11.473699999999999</v>
      </c>
      <c r="AC785" s="18">
        <v>3.5351399999999997</v>
      </c>
      <c r="AD785" s="18">
        <v>18.605999999999998</v>
      </c>
    </row>
    <row r="786" spans="2:30" x14ac:dyDescent="0.25">
      <c r="B786" t="s">
        <v>108</v>
      </c>
      <c r="C786" t="s">
        <v>570</v>
      </c>
      <c r="D786" t="s">
        <v>572</v>
      </c>
      <c r="E786" s="35">
        <v>0.9</v>
      </c>
      <c r="F786" s="35">
        <v>16</v>
      </c>
      <c r="G786" s="36">
        <v>2.5135999999999999E-2</v>
      </c>
      <c r="H786" s="18">
        <v>45.245252000000001</v>
      </c>
      <c r="I786" s="16">
        <v>0</v>
      </c>
      <c r="J786" s="16"/>
      <c r="K786" s="16"/>
      <c r="L786" s="37" t="s">
        <v>107</v>
      </c>
      <c r="M786" s="37"/>
      <c r="N786" s="37">
        <v>280</v>
      </c>
      <c r="O786" s="37"/>
      <c r="P786" s="37"/>
      <c r="Q786" s="18">
        <v>0.27649599999999996</v>
      </c>
      <c r="R786" s="18">
        <v>1.8851999999999999E-3</v>
      </c>
      <c r="S786" s="18">
        <v>0.52785599999999999</v>
      </c>
      <c r="T786" s="18">
        <v>2.2622399999999998</v>
      </c>
      <c r="U786" s="18">
        <v>1.1311199999999999</v>
      </c>
      <c r="V786" s="18">
        <v>14.478335999999999</v>
      </c>
      <c r="W786" s="18">
        <v>13.57344</v>
      </c>
      <c r="X786" s="18">
        <v>9.0489599999999992</v>
      </c>
      <c r="Y786" s="18">
        <v>0.40217599999999998</v>
      </c>
      <c r="Z786" s="18">
        <v>1.7846559999999998</v>
      </c>
      <c r="AA786" s="18">
        <v>2.614144</v>
      </c>
      <c r="AB786" s="18">
        <v>4.6501599999999996</v>
      </c>
      <c r="AC786" s="18">
        <v>1.432752</v>
      </c>
      <c r="AD786" s="18">
        <v>7.5407999999999999</v>
      </c>
    </row>
    <row r="787" spans="2:30" x14ac:dyDescent="0.25">
      <c r="B787" t="s">
        <v>166</v>
      </c>
      <c r="C787" t="s">
        <v>570</v>
      </c>
      <c r="D787" t="s">
        <v>590</v>
      </c>
      <c r="E787" s="35">
        <v>0.9</v>
      </c>
      <c r="F787" s="35">
        <v>26</v>
      </c>
      <c r="G787" s="36">
        <v>0.38227899999999998</v>
      </c>
      <c r="H787" s="18">
        <v>688.10259499999995</v>
      </c>
      <c r="I787" s="16">
        <v>0</v>
      </c>
      <c r="J787" s="16"/>
      <c r="K787" s="16"/>
      <c r="L787" s="37" t="s">
        <v>107</v>
      </c>
      <c r="M787" s="37"/>
      <c r="N787" s="37">
        <v>281</v>
      </c>
      <c r="O787" s="37"/>
      <c r="P787" s="37"/>
      <c r="Q787" s="18">
        <v>4.2050689999999999</v>
      </c>
      <c r="R787" s="18">
        <v>2.8670924999999996E-2</v>
      </c>
      <c r="S787" s="18">
        <v>8.0278589999999994</v>
      </c>
      <c r="T787" s="18">
        <v>34.405110000000001</v>
      </c>
      <c r="U787" s="18">
        <v>17.202555</v>
      </c>
      <c r="V787" s="18">
        <v>220.19270399999999</v>
      </c>
      <c r="W787" s="18">
        <v>206.43065999999999</v>
      </c>
      <c r="X787" s="18">
        <v>137.62044</v>
      </c>
      <c r="Y787" s="18">
        <v>6.1164639999999997</v>
      </c>
      <c r="Z787" s="18">
        <v>27.141808999999999</v>
      </c>
      <c r="AA787" s="18">
        <v>39.757016</v>
      </c>
      <c r="AB787" s="18">
        <v>70.721615</v>
      </c>
      <c r="AC787" s="18">
        <v>21.789902999999999</v>
      </c>
      <c r="AD787" s="18">
        <v>114.68369999999999</v>
      </c>
    </row>
    <row r="788" spans="2:30" x14ac:dyDescent="0.25">
      <c r="B788" t="s">
        <v>108</v>
      </c>
      <c r="C788" t="s">
        <v>570</v>
      </c>
      <c r="D788" t="s">
        <v>591</v>
      </c>
      <c r="E788" s="35">
        <v>0.9</v>
      </c>
      <c r="F788" s="35">
        <v>16</v>
      </c>
      <c r="G788" s="36">
        <v>6.3001000000000001E-2</v>
      </c>
      <c r="H788" s="18">
        <v>113.401241</v>
      </c>
      <c r="I788" s="16">
        <v>0</v>
      </c>
      <c r="J788" s="16"/>
      <c r="K788" s="16"/>
      <c r="L788" s="37" t="s">
        <v>107</v>
      </c>
      <c r="M788" s="37"/>
      <c r="N788" s="37">
        <v>282</v>
      </c>
      <c r="O788" s="37"/>
      <c r="P788" s="37"/>
      <c r="Q788" s="18">
        <v>0.69301100000000004</v>
      </c>
      <c r="R788" s="18">
        <v>4.7250749999999996E-3</v>
      </c>
      <c r="S788" s="18">
        <v>1.323021</v>
      </c>
      <c r="T788" s="18">
        <v>5.6700900000000001</v>
      </c>
      <c r="U788" s="18">
        <v>2.835045</v>
      </c>
      <c r="V788" s="18">
        <v>36.288575999999999</v>
      </c>
      <c r="W788" s="18">
        <v>34.020540000000004</v>
      </c>
      <c r="X788" s="18">
        <v>22.68036</v>
      </c>
      <c r="Y788" s="18">
        <v>1.008016</v>
      </c>
      <c r="Z788" s="18">
        <v>4.473071</v>
      </c>
      <c r="AA788" s="18">
        <v>6.5521039999999999</v>
      </c>
      <c r="AB788" s="18">
        <v>11.655184999999999</v>
      </c>
      <c r="AC788" s="18">
        <v>3.5910570000000002</v>
      </c>
      <c r="AD788" s="18">
        <v>18.900300000000001</v>
      </c>
    </row>
    <row r="789" spans="2:30" x14ac:dyDescent="0.25">
      <c r="B789" t="s">
        <v>108</v>
      </c>
      <c r="C789" t="s">
        <v>570</v>
      </c>
      <c r="D789" t="s">
        <v>592</v>
      </c>
      <c r="E789" s="35">
        <v>0.9</v>
      </c>
      <c r="F789" s="35">
        <v>16</v>
      </c>
      <c r="G789" s="36">
        <v>6.3965999999999995E-2</v>
      </c>
      <c r="H789" s="18">
        <v>115.13903500000001</v>
      </c>
      <c r="I789" s="16">
        <v>0</v>
      </c>
      <c r="J789" s="16"/>
      <c r="K789" s="16"/>
      <c r="L789" s="37" t="s">
        <v>107</v>
      </c>
      <c r="M789" s="37"/>
      <c r="N789" s="37">
        <v>283</v>
      </c>
      <c r="O789" s="37"/>
      <c r="P789" s="37"/>
      <c r="Q789" s="18">
        <v>0.70362599999999997</v>
      </c>
      <c r="R789" s="18">
        <v>4.7974499999999991E-3</v>
      </c>
      <c r="S789" s="18">
        <v>1.343286</v>
      </c>
      <c r="T789" s="18">
        <v>5.7569399999999993</v>
      </c>
      <c r="U789" s="18">
        <v>2.8784699999999996</v>
      </c>
      <c r="V789" s="18">
        <v>36.844415999999995</v>
      </c>
      <c r="W789" s="18">
        <v>34.541639999999994</v>
      </c>
      <c r="X789" s="18">
        <v>23.027759999999997</v>
      </c>
      <c r="Y789" s="18">
        <v>1.0234559999999999</v>
      </c>
      <c r="Z789" s="18">
        <v>4.5415859999999997</v>
      </c>
      <c r="AA789" s="18">
        <v>6.6524639999999993</v>
      </c>
      <c r="AB789" s="18">
        <v>11.83371</v>
      </c>
      <c r="AC789" s="18">
        <v>3.6460619999999997</v>
      </c>
      <c r="AD789" s="18">
        <v>19.189799999999998</v>
      </c>
    </row>
    <row r="790" spans="2:30" x14ac:dyDescent="0.25">
      <c r="B790" t="s">
        <v>108</v>
      </c>
      <c r="C790" t="s">
        <v>570</v>
      </c>
      <c r="D790" t="s">
        <v>593</v>
      </c>
      <c r="E790" s="35">
        <v>0.9</v>
      </c>
      <c r="F790" s="35">
        <v>16</v>
      </c>
      <c r="G790" s="36">
        <v>7.3917999999999998E-2</v>
      </c>
      <c r="H790" s="18">
        <v>133.051523</v>
      </c>
      <c r="I790" s="16">
        <v>0</v>
      </c>
      <c r="J790" s="16"/>
      <c r="K790" s="16"/>
      <c r="L790" s="37" t="s">
        <v>107</v>
      </c>
      <c r="M790" s="37"/>
      <c r="N790" s="37">
        <v>284</v>
      </c>
      <c r="O790" s="37"/>
      <c r="P790" s="37"/>
      <c r="Q790" s="18">
        <v>0.81309799999999999</v>
      </c>
      <c r="R790" s="18">
        <v>5.5438499999999995E-3</v>
      </c>
      <c r="S790" s="18">
        <v>1.552278</v>
      </c>
      <c r="T790" s="18">
        <v>6.6526199999999998</v>
      </c>
      <c r="U790" s="18">
        <v>3.3263099999999999</v>
      </c>
      <c r="V790" s="18">
        <v>42.576768000000001</v>
      </c>
      <c r="W790" s="18">
        <v>39.91572</v>
      </c>
      <c r="X790" s="18">
        <v>26.610479999999999</v>
      </c>
      <c r="Y790" s="18">
        <v>1.182688</v>
      </c>
      <c r="Z790" s="18">
        <v>5.2481780000000002</v>
      </c>
      <c r="AA790" s="18">
        <v>7.6874719999999996</v>
      </c>
      <c r="AB790" s="18">
        <v>13.67483</v>
      </c>
      <c r="AC790" s="18">
        <v>4.2133259999999995</v>
      </c>
      <c r="AD790" s="18">
        <v>22.1754</v>
      </c>
    </row>
    <row r="791" spans="2:30" x14ac:dyDescent="0.25">
      <c r="B791" t="s">
        <v>166</v>
      </c>
      <c r="C791" t="s">
        <v>570</v>
      </c>
      <c r="D791" t="s">
        <v>594</v>
      </c>
      <c r="E791" s="35">
        <v>0.9</v>
      </c>
      <c r="F791" s="35">
        <v>26</v>
      </c>
      <c r="G791" s="36">
        <v>0.11994299999999999</v>
      </c>
      <c r="H791" s="18">
        <v>215.896738</v>
      </c>
      <c r="I791" s="16">
        <v>0</v>
      </c>
      <c r="J791" s="16"/>
      <c r="K791" s="16"/>
      <c r="L791" s="37" t="s">
        <v>107</v>
      </c>
      <c r="M791" s="37"/>
      <c r="N791" s="37">
        <v>285</v>
      </c>
      <c r="O791" s="37"/>
      <c r="P791" s="37"/>
      <c r="Q791" s="18">
        <v>1.3193729999999999</v>
      </c>
      <c r="R791" s="18">
        <v>8.9957249999999996E-3</v>
      </c>
      <c r="S791" s="18">
        <v>2.5188029999999997</v>
      </c>
      <c r="T791" s="18">
        <v>10.79487</v>
      </c>
      <c r="U791" s="18">
        <v>5.3974349999999998</v>
      </c>
      <c r="V791" s="18">
        <v>69.087167999999991</v>
      </c>
      <c r="W791" s="18">
        <v>64.76921999999999</v>
      </c>
      <c r="X791" s="18">
        <v>43.179479999999998</v>
      </c>
      <c r="Y791" s="18">
        <v>1.9190879999999999</v>
      </c>
      <c r="Z791" s="18">
        <v>8.5159529999999997</v>
      </c>
      <c r="AA791" s="18">
        <v>12.474072</v>
      </c>
      <c r="AB791" s="18">
        <v>22.189454999999999</v>
      </c>
      <c r="AC791" s="18">
        <v>6.8367509999999996</v>
      </c>
      <c r="AD791" s="18">
        <v>35.982900000000001</v>
      </c>
    </row>
    <row r="792" spans="2:30" x14ac:dyDescent="0.25">
      <c r="B792" t="s">
        <v>108</v>
      </c>
      <c r="C792" t="s">
        <v>570</v>
      </c>
      <c r="D792" t="s">
        <v>595</v>
      </c>
      <c r="E792" s="35">
        <v>0.9</v>
      </c>
      <c r="F792" s="35">
        <v>16</v>
      </c>
      <c r="G792" s="36">
        <v>2.5132999999999999E-2</v>
      </c>
      <c r="H792" s="18">
        <v>45.240164999999998</v>
      </c>
      <c r="I792" s="16">
        <v>0</v>
      </c>
      <c r="J792" s="16"/>
      <c r="K792" s="16"/>
      <c r="L792" s="37" t="s">
        <v>107</v>
      </c>
      <c r="M792" s="37"/>
      <c r="N792" s="37">
        <v>286</v>
      </c>
      <c r="O792" s="37"/>
      <c r="P792" s="37"/>
      <c r="Q792" s="18">
        <v>0.27646300000000001</v>
      </c>
      <c r="R792" s="18">
        <v>1.8849749999999999E-3</v>
      </c>
      <c r="S792" s="18">
        <v>0.52779299999999996</v>
      </c>
      <c r="T792" s="18">
        <v>2.2619699999999998</v>
      </c>
      <c r="U792" s="18">
        <v>1.1309849999999999</v>
      </c>
      <c r="V792" s="18">
        <v>14.476607999999999</v>
      </c>
      <c r="W792" s="18">
        <v>13.571819999999999</v>
      </c>
      <c r="X792" s="18">
        <v>9.0478799999999993</v>
      </c>
      <c r="Y792" s="18">
        <v>0.40212799999999999</v>
      </c>
      <c r="Z792" s="18">
        <v>1.784443</v>
      </c>
      <c r="AA792" s="18">
        <v>2.6138319999999999</v>
      </c>
      <c r="AB792" s="18">
        <v>4.6496050000000002</v>
      </c>
      <c r="AC792" s="18">
        <v>1.4325809999999999</v>
      </c>
      <c r="AD792" s="18">
        <v>7.5398999999999994</v>
      </c>
    </row>
    <row r="793" spans="2:30" x14ac:dyDescent="0.25">
      <c r="B793" t="s">
        <v>108</v>
      </c>
      <c r="C793" t="s">
        <v>570</v>
      </c>
      <c r="D793" t="s">
        <v>280</v>
      </c>
      <c r="E793" s="35">
        <v>0.9</v>
      </c>
      <c r="F793" s="35">
        <v>16</v>
      </c>
      <c r="G793" s="36">
        <v>5.8878E-2</v>
      </c>
      <c r="H793" s="18">
        <v>105.980625</v>
      </c>
      <c r="I793" s="16">
        <v>0</v>
      </c>
      <c r="J793" s="16"/>
      <c r="K793" s="16"/>
      <c r="L793" s="37" t="s">
        <v>107</v>
      </c>
      <c r="M793" s="37"/>
      <c r="N793" s="37">
        <v>287</v>
      </c>
      <c r="O793" s="37"/>
      <c r="P793" s="37"/>
      <c r="Q793" s="18">
        <v>0.64765799999999996</v>
      </c>
      <c r="R793" s="18">
        <v>4.4158499999999998E-3</v>
      </c>
      <c r="S793" s="18">
        <v>1.2364379999999999</v>
      </c>
      <c r="T793" s="18">
        <v>5.2990199999999996</v>
      </c>
      <c r="U793" s="18">
        <v>2.6495099999999998</v>
      </c>
      <c r="V793" s="18">
        <v>33.913727999999999</v>
      </c>
      <c r="W793" s="18">
        <v>31.794119999999999</v>
      </c>
      <c r="X793" s="18">
        <v>21.196079999999998</v>
      </c>
      <c r="Y793" s="18">
        <v>0.942048</v>
      </c>
      <c r="Z793" s="18">
        <v>4.1803379999999999</v>
      </c>
      <c r="AA793" s="18">
        <v>6.1233120000000003</v>
      </c>
      <c r="AB793" s="18">
        <v>10.892429999999999</v>
      </c>
      <c r="AC793" s="18">
        <v>3.3560460000000001</v>
      </c>
      <c r="AD793" s="18">
        <v>17.663399999999999</v>
      </c>
    </row>
    <row r="794" spans="2:30" x14ac:dyDescent="0.25">
      <c r="B794" t="s">
        <v>133</v>
      </c>
      <c r="C794" t="s">
        <v>570</v>
      </c>
      <c r="D794" t="s">
        <v>596</v>
      </c>
      <c r="E794" s="35">
        <v>0.9</v>
      </c>
      <c r="F794" s="35">
        <v>50</v>
      </c>
      <c r="G794" s="36">
        <v>0.48498200000000002</v>
      </c>
      <c r="H794" s="18">
        <v>872.96740699999998</v>
      </c>
      <c r="I794" s="16">
        <v>0</v>
      </c>
      <c r="J794" s="16"/>
      <c r="K794" s="16"/>
      <c r="L794" s="37" t="s">
        <v>107</v>
      </c>
      <c r="M794" s="37"/>
      <c r="N794" s="37">
        <v>288</v>
      </c>
      <c r="O794" s="37"/>
      <c r="P794" s="37"/>
      <c r="Q794" s="18">
        <v>5.3348019999999998</v>
      </c>
      <c r="R794" s="18">
        <v>3.637365E-2</v>
      </c>
      <c r="S794" s="18">
        <v>10.184622000000001</v>
      </c>
      <c r="T794" s="18">
        <v>43.648380000000003</v>
      </c>
      <c r="U794" s="18">
        <v>21.824190000000002</v>
      </c>
      <c r="V794" s="18">
        <v>279.34963200000004</v>
      </c>
      <c r="W794" s="18">
        <v>261.89028000000002</v>
      </c>
      <c r="X794" s="18">
        <v>174.59352000000001</v>
      </c>
      <c r="Y794" s="18">
        <v>7.7597120000000004</v>
      </c>
      <c r="Z794" s="18">
        <v>34.433722000000003</v>
      </c>
      <c r="AA794" s="18">
        <v>50.438128000000006</v>
      </c>
      <c r="AB794" s="18">
        <v>89.721670000000003</v>
      </c>
      <c r="AC794" s="18">
        <v>27.643974</v>
      </c>
      <c r="AD794" s="18">
        <v>145.49460000000002</v>
      </c>
    </row>
    <row r="795" spans="2:30" x14ac:dyDescent="0.25">
      <c r="B795" t="s">
        <v>141</v>
      </c>
      <c r="C795" t="s">
        <v>570</v>
      </c>
      <c r="D795" t="s">
        <v>597</v>
      </c>
      <c r="E795" s="35">
        <v>0.9</v>
      </c>
      <c r="F795" s="35">
        <v>46</v>
      </c>
      <c r="G795" s="36">
        <v>0.72426299999999999</v>
      </c>
      <c r="H795" s="18">
        <v>1303.672697</v>
      </c>
      <c r="I795" s="16">
        <v>0</v>
      </c>
      <c r="J795" s="16"/>
      <c r="K795" s="16"/>
      <c r="L795" s="37" t="s">
        <v>107</v>
      </c>
      <c r="M795" s="37"/>
      <c r="N795" s="37">
        <v>289</v>
      </c>
      <c r="O795" s="37"/>
      <c r="P795" s="37"/>
      <c r="Q795" s="18">
        <v>7.9668929999999998</v>
      </c>
      <c r="R795" s="18">
        <v>5.4319724999999999E-2</v>
      </c>
      <c r="S795" s="18">
        <v>15.209522999999999</v>
      </c>
      <c r="T795" s="18">
        <v>65.183669999999992</v>
      </c>
      <c r="U795" s="18">
        <v>32.591834999999996</v>
      </c>
      <c r="V795" s="18">
        <v>417.17548799999997</v>
      </c>
      <c r="W795" s="18">
        <v>391.10201999999998</v>
      </c>
      <c r="X795" s="18">
        <v>260.73467999999997</v>
      </c>
      <c r="Y795" s="18">
        <v>11.588208</v>
      </c>
      <c r="Z795" s="18">
        <v>51.422672999999996</v>
      </c>
      <c r="AA795" s="18">
        <v>75.323352</v>
      </c>
      <c r="AB795" s="18">
        <v>133.98865499999999</v>
      </c>
      <c r="AC795" s="18">
        <v>41.282991000000003</v>
      </c>
      <c r="AD795" s="18">
        <v>217.27889999999999</v>
      </c>
    </row>
    <row r="796" spans="2:30" x14ac:dyDescent="0.25">
      <c r="B796" t="s">
        <v>371</v>
      </c>
      <c r="C796" t="s">
        <v>570</v>
      </c>
      <c r="D796" t="s">
        <v>598</v>
      </c>
      <c r="E796" s="35">
        <v>0.9</v>
      </c>
      <c r="F796" s="35">
        <v>55</v>
      </c>
      <c r="G796" s="36">
        <v>0.66875799999999996</v>
      </c>
      <c r="H796" s="18">
        <v>1203.7648019999999</v>
      </c>
      <c r="I796" s="16">
        <v>0</v>
      </c>
      <c r="J796" s="16"/>
      <c r="K796" s="16"/>
      <c r="L796" s="37" t="s">
        <v>107</v>
      </c>
      <c r="M796" s="37"/>
      <c r="N796" s="37">
        <v>290</v>
      </c>
      <c r="O796" s="37"/>
      <c r="P796" s="37"/>
      <c r="Q796" s="18">
        <v>7.3563379999999992</v>
      </c>
      <c r="R796" s="18">
        <v>5.0156849999999996E-2</v>
      </c>
      <c r="S796" s="18">
        <v>14.043918</v>
      </c>
      <c r="T796" s="18">
        <v>60.188219999999994</v>
      </c>
      <c r="U796" s="18">
        <v>30.094109999999997</v>
      </c>
      <c r="V796" s="18">
        <v>385.20460800000001</v>
      </c>
      <c r="W796" s="18">
        <v>361.12932000000001</v>
      </c>
      <c r="X796" s="18">
        <v>240.75287999999998</v>
      </c>
      <c r="Y796" s="18">
        <v>10.700127999999999</v>
      </c>
      <c r="Z796" s="18">
        <v>47.481817999999997</v>
      </c>
      <c r="AA796" s="18">
        <v>69.550832</v>
      </c>
      <c r="AB796" s="18">
        <v>123.72022999999999</v>
      </c>
      <c r="AC796" s="18">
        <v>38.119205999999998</v>
      </c>
      <c r="AD796" s="18">
        <v>200.62739999999999</v>
      </c>
    </row>
    <row r="797" spans="2:30" x14ac:dyDescent="0.25">
      <c r="B797" t="s">
        <v>599</v>
      </c>
      <c r="C797" t="s">
        <v>570</v>
      </c>
      <c r="D797" t="s">
        <v>600</v>
      </c>
      <c r="E797" s="35">
        <v>1.8</v>
      </c>
      <c r="F797" s="35">
        <v>103.3</v>
      </c>
      <c r="G797" s="36">
        <v>2.0471879999999998</v>
      </c>
      <c r="H797" s="18">
        <v>7369.8777959999998</v>
      </c>
      <c r="I797" s="16"/>
      <c r="J797" s="16"/>
      <c r="K797" s="16"/>
      <c r="L797" s="37" t="s">
        <v>107</v>
      </c>
      <c r="M797" s="37"/>
      <c r="N797" s="37">
        <v>291</v>
      </c>
      <c r="O797" s="37"/>
      <c r="P797" s="37"/>
      <c r="Q797" s="18">
        <v>22.519067999999997</v>
      </c>
      <c r="R797" s="18">
        <v>0.15353909999999998</v>
      </c>
      <c r="S797" s="18">
        <v>42.990947999999996</v>
      </c>
      <c r="T797" s="18">
        <v>184.24691999999999</v>
      </c>
      <c r="U797" s="18">
        <v>92.123459999999994</v>
      </c>
      <c r="V797" s="18">
        <v>1179.1802879999998</v>
      </c>
      <c r="W797" s="18">
        <v>1105.4815199999998</v>
      </c>
      <c r="X797" s="18">
        <v>736.98767999999995</v>
      </c>
      <c r="Y797" s="18">
        <v>32.755007999999997</v>
      </c>
      <c r="Z797" s="18">
        <v>145.350348</v>
      </c>
      <c r="AA797" s="18">
        <v>212.90755199999998</v>
      </c>
      <c r="AB797" s="18">
        <v>378.72977999999995</v>
      </c>
      <c r="AC797" s="18">
        <v>116.68971599999999</v>
      </c>
      <c r="AD797" s="18">
        <v>614.15639999999996</v>
      </c>
    </row>
    <row r="798" spans="2:30" x14ac:dyDescent="0.25">
      <c r="B798" t="s">
        <v>138</v>
      </c>
      <c r="C798" t="s">
        <v>570</v>
      </c>
      <c r="D798" t="s">
        <v>601</v>
      </c>
      <c r="E798" s="35">
        <v>0.9</v>
      </c>
      <c r="F798" s="35">
        <v>44</v>
      </c>
      <c r="G798" s="36">
        <v>0.84770000000000001</v>
      </c>
      <c r="H798" s="18">
        <v>1525.859199</v>
      </c>
      <c r="I798" s="16">
        <v>3</v>
      </c>
      <c r="J798" s="16"/>
      <c r="K798" s="16"/>
      <c r="L798" s="37" t="s">
        <v>107</v>
      </c>
      <c r="M798" s="37"/>
      <c r="N798" s="37">
        <v>292</v>
      </c>
      <c r="O798" s="37"/>
      <c r="P798" s="37"/>
      <c r="Q798" s="18">
        <v>9.3247</v>
      </c>
      <c r="R798" s="18">
        <v>6.3577499999999995E-2</v>
      </c>
      <c r="S798" s="18">
        <v>17.8017</v>
      </c>
      <c r="T798" s="18">
        <v>76.293000000000006</v>
      </c>
      <c r="U798" s="18">
        <v>38.146500000000003</v>
      </c>
      <c r="V798" s="18">
        <v>488.27519999999998</v>
      </c>
      <c r="W798" s="18">
        <v>457.75799999999998</v>
      </c>
      <c r="X798" s="18">
        <v>305.17200000000003</v>
      </c>
      <c r="Y798" s="18">
        <v>13.5632</v>
      </c>
      <c r="Z798" s="18">
        <v>60.186700000000002</v>
      </c>
      <c r="AA798" s="18">
        <v>88.160799999999995</v>
      </c>
      <c r="AB798" s="18">
        <v>156.8245</v>
      </c>
      <c r="AC798" s="18">
        <v>48.318899999999999</v>
      </c>
      <c r="AD798" s="18">
        <v>254.31</v>
      </c>
    </row>
    <row r="799" spans="2:30" x14ac:dyDescent="0.25">
      <c r="B799" t="s">
        <v>166</v>
      </c>
      <c r="C799" t="s">
        <v>570</v>
      </c>
      <c r="D799" t="s">
        <v>602</v>
      </c>
      <c r="E799" s="35">
        <v>0.9</v>
      </c>
      <c r="F799" s="35">
        <v>26</v>
      </c>
      <c r="G799" s="36">
        <v>0.26679999999999998</v>
      </c>
      <c r="H799" s="18">
        <v>480.23915099999999</v>
      </c>
      <c r="I799" s="16">
        <v>0</v>
      </c>
      <c r="J799" s="16"/>
      <c r="K799" s="16"/>
      <c r="L799" s="37" t="s">
        <v>107</v>
      </c>
      <c r="M799" s="37"/>
      <c r="N799" s="37">
        <v>293</v>
      </c>
      <c r="O799" s="37"/>
      <c r="P799" s="37"/>
      <c r="Q799" s="18">
        <v>2.9347999999999996</v>
      </c>
      <c r="R799" s="18">
        <v>2.0009999999999997E-2</v>
      </c>
      <c r="S799" s="18">
        <v>5.6027999999999993</v>
      </c>
      <c r="T799" s="18">
        <v>24.011999999999997</v>
      </c>
      <c r="U799" s="18">
        <v>12.005999999999998</v>
      </c>
      <c r="V799" s="18">
        <v>153.67679999999999</v>
      </c>
      <c r="W799" s="18">
        <v>144.072</v>
      </c>
      <c r="X799" s="18">
        <v>96.047999999999988</v>
      </c>
      <c r="Y799" s="18">
        <v>4.2687999999999997</v>
      </c>
      <c r="Z799" s="18">
        <v>18.942799999999998</v>
      </c>
      <c r="AA799" s="18">
        <v>27.747199999999999</v>
      </c>
      <c r="AB799" s="18">
        <v>49.357999999999997</v>
      </c>
      <c r="AC799" s="18">
        <v>15.207599999999999</v>
      </c>
      <c r="AD799" s="18">
        <v>80.039999999999992</v>
      </c>
    </row>
    <row r="800" spans="2:30" x14ac:dyDescent="0.25">
      <c r="B800" t="s">
        <v>108</v>
      </c>
      <c r="C800" t="s">
        <v>570</v>
      </c>
      <c r="D800" t="s">
        <v>603</v>
      </c>
      <c r="E800" s="35">
        <v>0.9</v>
      </c>
      <c r="F800" s="35">
        <v>16</v>
      </c>
      <c r="G800" s="36">
        <v>6.5579999999999999E-2</v>
      </c>
      <c r="H800" s="18">
        <v>118.04432300000001</v>
      </c>
      <c r="I800" s="16">
        <v>0</v>
      </c>
      <c r="J800" s="16"/>
      <c r="K800" s="16"/>
      <c r="L800" s="37" t="s">
        <v>107</v>
      </c>
      <c r="M800" s="37"/>
      <c r="N800" s="37">
        <v>294</v>
      </c>
      <c r="O800" s="37"/>
      <c r="P800" s="37"/>
      <c r="Q800" s="18">
        <v>0.72138000000000002</v>
      </c>
      <c r="R800" s="18">
        <v>4.9185000000000001E-3</v>
      </c>
      <c r="S800" s="18">
        <v>1.3771800000000001</v>
      </c>
      <c r="T800" s="18">
        <v>5.9021999999999997</v>
      </c>
      <c r="U800" s="18">
        <v>2.9510999999999998</v>
      </c>
      <c r="V800" s="18">
        <v>37.774079999999998</v>
      </c>
      <c r="W800" s="18">
        <v>35.413199999999996</v>
      </c>
      <c r="X800" s="18">
        <v>23.608799999999999</v>
      </c>
      <c r="Y800" s="18">
        <v>1.04928</v>
      </c>
      <c r="Z800" s="18">
        <v>4.65618</v>
      </c>
      <c r="AA800" s="18">
        <v>6.8203199999999997</v>
      </c>
      <c r="AB800" s="18">
        <v>12.132300000000001</v>
      </c>
      <c r="AC800" s="18">
        <v>3.7380599999999999</v>
      </c>
      <c r="AD800" s="18">
        <v>19.673999999999999</v>
      </c>
    </row>
    <row r="801" spans="2:30" x14ac:dyDescent="0.25">
      <c r="B801" t="s">
        <v>269</v>
      </c>
      <c r="C801" t="s">
        <v>570</v>
      </c>
      <c r="D801" t="s">
        <v>256</v>
      </c>
      <c r="E801" s="35">
        <v>0.9</v>
      </c>
      <c r="F801" s="35">
        <v>6.6</v>
      </c>
      <c r="G801" s="36">
        <v>2.4903000000000002E-2</v>
      </c>
      <c r="H801" s="18">
        <v>44.825375999999999</v>
      </c>
      <c r="I801" s="16"/>
      <c r="J801" s="16"/>
      <c r="K801" s="16"/>
      <c r="L801" s="37" t="s">
        <v>107</v>
      </c>
      <c r="M801" s="37"/>
      <c r="N801" s="37">
        <v>295</v>
      </c>
      <c r="O801" s="37"/>
      <c r="P801" s="37"/>
      <c r="Q801" s="18">
        <v>0.27393300000000004</v>
      </c>
      <c r="R801" s="18">
        <v>1.867725E-3</v>
      </c>
      <c r="S801" s="18">
        <v>0.52296300000000007</v>
      </c>
      <c r="T801" s="18">
        <v>2.2412700000000001</v>
      </c>
      <c r="U801" s="18">
        <v>1.120635</v>
      </c>
      <c r="V801" s="18">
        <v>14.344128000000001</v>
      </c>
      <c r="W801" s="18">
        <v>13.447620000000001</v>
      </c>
      <c r="X801" s="18">
        <v>8.9650800000000004</v>
      </c>
      <c r="Y801" s="18">
        <v>0.39844800000000002</v>
      </c>
      <c r="Z801" s="18">
        <v>1.768113</v>
      </c>
      <c r="AA801" s="18">
        <v>2.589912</v>
      </c>
      <c r="AB801" s="18">
        <v>4.6070549999999999</v>
      </c>
      <c r="AC801" s="18">
        <v>1.4194710000000001</v>
      </c>
      <c r="AD801" s="18">
        <v>7.4709000000000003</v>
      </c>
    </row>
    <row r="802" spans="2:30" x14ac:dyDescent="0.25">
      <c r="B802" t="s">
        <v>108</v>
      </c>
      <c r="C802" t="s">
        <v>570</v>
      </c>
      <c r="D802" t="s">
        <v>604</v>
      </c>
      <c r="E802" s="35">
        <v>0.9</v>
      </c>
      <c r="F802" s="35">
        <v>16</v>
      </c>
      <c r="G802" s="36">
        <v>5.7704999999999999E-2</v>
      </c>
      <c r="H802" s="18">
        <v>103.868711</v>
      </c>
      <c r="I802" s="16">
        <v>0</v>
      </c>
      <c r="J802" s="16"/>
      <c r="K802" s="16"/>
      <c r="L802" s="37" t="s">
        <v>107</v>
      </c>
      <c r="M802" s="37"/>
      <c r="N802" s="37">
        <v>296</v>
      </c>
      <c r="O802" s="37"/>
      <c r="P802" s="37"/>
      <c r="Q802" s="18">
        <v>0.63475499999999996</v>
      </c>
      <c r="R802" s="18">
        <v>4.3278750000000001E-3</v>
      </c>
      <c r="S802" s="18">
        <v>1.211805</v>
      </c>
      <c r="T802" s="18">
        <v>5.1934500000000003</v>
      </c>
      <c r="U802" s="18">
        <v>2.5967250000000002</v>
      </c>
      <c r="V802" s="18">
        <v>33.238079999999997</v>
      </c>
      <c r="W802" s="18">
        <v>31.160699999999999</v>
      </c>
      <c r="X802" s="18">
        <v>20.773800000000001</v>
      </c>
      <c r="Y802" s="18">
        <v>0.92327999999999999</v>
      </c>
      <c r="Z802" s="18">
        <v>4.0970550000000001</v>
      </c>
      <c r="AA802" s="18">
        <v>6.0013199999999998</v>
      </c>
      <c r="AB802" s="18">
        <v>10.675425000000001</v>
      </c>
      <c r="AC802" s="18">
        <v>3.2891849999999998</v>
      </c>
      <c r="AD802" s="18">
        <v>17.311499999999999</v>
      </c>
    </row>
    <row r="803" spans="2:30" x14ac:dyDescent="0.25">
      <c r="B803" t="s">
        <v>108</v>
      </c>
      <c r="C803" t="s">
        <v>570</v>
      </c>
      <c r="D803" t="s">
        <v>605</v>
      </c>
      <c r="E803" s="35">
        <v>0.9</v>
      </c>
      <c r="F803" s="35">
        <v>16</v>
      </c>
      <c r="G803" s="36">
        <v>6.7197999999999994E-2</v>
      </c>
      <c r="H803" s="18">
        <v>120.95601600000001</v>
      </c>
      <c r="I803" s="16">
        <v>0</v>
      </c>
      <c r="J803" s="16"/>
      <c r="K803" s="16"/>
      <c r="L803" s="37" t="s">
        <v>107</v>
      </c>
      <c r="M803" s="37"/>
      <c r="N803" s="37">
        <v>297</v>
      </c>
      <c r="O803" s="37"/>
      <c r="P803" s="37"/>
      <c r="Q803" s="18">
        <v>0.73917799999999989</v>
      </c>
      <c r="R803" s="18">
        <v>5.0398499999999994E-3</v>
      </c>
      <c r="S803" s="18">
        <v>1.4111579999999999</v>
      </c>
      <c r="T803" s="18">
        <v>6.0478199999999998</v>
      </c>
      <c r="U803" s="18">
        <v>3.0239099999999999</v>
      </c>
      <c r="V803" s="18">
        <v>38.706047999999996</v>
      </c>
      <c r="W803" s="18">
        <v>36.286919999999995</v>
      </c>
      <c r="X803" s="18">
        <v>24.191279999999999</v>
      </c>
      <c r="Y803" s="18">
        <v>1.0751679999999999</v>
      </c>
      <c r="Z803" s="18">
        <v>4.7710579999999991</v>
      </c>
      <c r="AA803" s="18">
        <v>6.9885919999999997</v>
      </c>
      <c r="AB803" s="18">
        <v>12.431629999999998</v>
      </c>
      <c r="AC803" s="18">
        <v>3.8302859999999996</v>
      </c>
      <c r="AD803" s="18">
        <v>20.159399999999998</v>
      </c>
    </row>
    <row r="804" spans="2:30" x14ac:dyDescent="0.25">
      <c r="B804" t="s">
        <v>108</v>
      </c>
      <c r="C804" t="s">
        <v>570</v>
      </c>
      <c r="D804" t="s">
        <v>605</v>
      </c>
      <c r="E804" s="35">
        <v>0.9</v>
      </c>
      <c r="F804" s="35">
        <v>16</v>
      </c>
      <c r="G804" s="36">
        <v>6.7197999999999994E-2</v>
      </c>
      <c r="H804" s="18">
        <v>120.95601600000001</v>
      </c>
      <c r="I804" s="16">
        <v>0</v>
      </c>
      <c r="J804" s="16"/>
      <c r="K804" s="16"/>
      <c r="L804" s="37" t="s">
        <v>107</v>
      </c>
      <c r="M804" s="37"/>
      <c r="N804" s="37">
        <v>298</v>
      </c>
      <c r="O804" s="37"/>
      <c r="P804" s="37"/>
      <c r="Q804" s="18">
        <v>0.73917799999999989</v>
      </c>
      <c r="R804" s="18">
        <v>5.0398499999999994E-3</v>
      </c>
      <c r="S804" s="18">
        <v>1.4111579999999999</v>
      </c>
      <c r="T804" s="18">
        <v>6.0478199999999998</v>
      </c>
      <c r="U804" s="18">
        <v>3.0239099999999999</v>
      </c>
      <c r="V804" s="18">
        <v>38.706047999999996</v>
      </c>
      <c r="W804" s="18">
        <v>36.286919999999995</v>
      </c>
      <c r="X804" s="18">
        <v>24.191279999999999</v>
      </c>
      <c r="Y804" s="18">
        <v>1.0751679999999999</v>
      </c>
      <c r="Z804" s="18">
        <v>4.7710579999999991</v>
      </c>
      <c r="AA804" s="18">
        <v>6.9885919999999997</v>
      </c>
      <c r="AB804" s="18">
        <v>12.431629999999998</v>
      </c>
      <c r="AC804" s="18">
        <v>3.8302859999999996</v>
      </c>
      <c r="AD804" s="18">
        <v>20.159399999999998</v>
      </c>
    </row>
    <row r="805" spans="2:30" x14ac:dyDescent="0.25">
      <c r="B805" t="s">
        <v>108</v>
      </c>
      <c r="C805" t="s">
        <v>570</v>
      </c>
      <c r="D805" t="s">
        <v>606</v>
      </c>
      <c r="E805" s="35">
        <v>0.9</v>
      </c>
      <c r="F805" s="35">
        <v>16</v>
      </c>
      <c r="G805" s="36">
        <v>5.9757999999999999E-2</v>
      </c>
      <c r="H805" s="18">
        <v>107.56389299999999</v>
      </c>
      <c r="I805" s="16">
        <v>0</v>
      </c>
      <c r="J805" s="16"/>
      <c r="K805" s="16"/>
      <c r="L805" s="37" t="s">
        <v>107</v>
      </c>
      <c r="M805" s="37"/>
      <c r="N805" s="37">
        <v>299</v>
      </c>
      <c r="O805" s="37"/>
      <c r="P805" s="37"/>
      <c r="Q805" s="18">
        <v>0.65733799999999998</v>
      </c>
      <c r="R805" s="18">
        <v>4.4818499999999999E-3</v>
      </c>
      <c r="S805" s="18">
        <v>1.254918</v>
      </c>
      <c r="T805" s="18">
        <v>5.3782199999999998</v>
      </c>
      <c r="U805" s="18">
        <v>2.6891099999999999</v>
      </c>
      <c r="V805" s="18">
        <v>34.420608000000001</v>
      </c>
      <c r="W805" s="18">
        <v>32.26932</v>
      </c>
      <c r="X805" s="18">
        <v>21.512879999999999</v>
      </c>
      <c r="Y805" s="18">
        <v>0.95612799999999998</v>
      </c>
      <c r="Z805" s="18">
        <v>4.2428179999999998</v>
      </c>
      <c r="AA805" s="18">
        <v>6.2148319999999995</v>
      </c>
      <c r="AB805" s="18">
        <v>11.05523</v>
      </c>
      <c r="AC805" s="18">
        <v>3.4062060000000001</v>
      </c>
      <c r="AD805" s="18">
        <v>17.927399999999999</v>
      </c>
    </row>
    <row r="806" spans="2:30" x14ac:dyDescent="0.25">
      <c r="B806" t="s">
        <v>141</v>
      </c>
      <c r="C806" t="s">
        <v>570</v>
      </c>
      <c r="D806" t="s">
        <v>495</v>
      </c>
      <c r="E806" s="35">
        <v>0.9</v>
      </c>
      <c r="F806" s="35">
        <v>46</v>
      </c>
      <c r="G806" s="36">
        <v>0.198431</v>
      </c>
      <c r="H806" s="18">
        <v>357.17615000000001</v>
      </c>
      <c r="I806" s="16">
        <v>0</v>
      </c>
      <c r="J806" s="16"/>
      <c r="K806" s="16"/>
      <c r="L806" s="37" t="s">
        <v>107</v>
      </c>
      <c r="M806" s="37"/>
      <c r="N806" s="37">
        <v>300</v>
      </c>
      <c r="O806" s="37"/>
      <c r="P806" s="37"/>
      <c r="Q806" s="18">
        <v>2.182741</v>
      </c>
      <c r="R806" s="18">
        <v>1.4882324999999998E-2</v>
      </c>
      <c r="S806" s="18">
        <v>4.1670509999999998</v>
      </c>
      <c r="T806" s="18">
        <v>17.858789999999999</v>
      </c>
      <c r="U806" s="18">
        <v>8.9293949999999995</v>
      </c>
      <c r="V806" s="18">
        <v>114.296256</v>
      </c>
      <c r="W806" s="18">
        <v>107.15273999999999</v>
      </c>
      <c r="X806" s="18">
        <v>71.435159999999996</v>
      </c>
      <c r="Y806" s="18">
        <v>3.1748959999999999</v>
      </c>
      <c r="Z806" s="18">
        <v>14.088601000000001</v>
      </c>
      <c r="AA806" s="18">
        <v>20.636824000000001</v>
      </c>
      <c r="AB806" s="18">
        <v>36.709735000000002</v>
      </c>
      <c r="AC806" s="18">
        <v>11.310566999999999</v>
      </c>
      <c r="AD806" s="18">
        <v>59.529299999999999</v>
      </c>
    </row>
    <row r="807" spans="2:30" x14ac:dyDescent="0.25">
      <c r="B807" t="s">
        <v>108</v>
      </c>
      <c r="C807" t="s">
        <v>570</v>
      </c>
      <c r="D807" t="s">
        <v>607</v>
      </c>
      <c r="E807" s="35">
        <v>0.9</v>
      </c>
      <c r="F807" s="35">
        <v>16</v>
      </c>
      <c r="G807" s="36">
        <v>0.113596</v>
      </c>
      <c r="H807" s="18">
        <v>204.47261700000001</v>
      </c>
      <c r="I807" s="16">
        <v>0</v>
      </c>
      <c r="J807" s="16"/>
      <c r="K807" s="16"/>
      <c r="L807" s="37" t="s">
        <v>107</v>
      </c>
      <c r="M807" s="37"/>
      <c r="N807" s="37">
        <v>301</v>
      </c>
      <c r="O807" s="37"/>
      <c r="P807" s="37"/>
      <c r="Q807" s="18">
        <v>1.2495560000000001</v>
      </c>
      <c r="R807" s="18">
        <v>8.5196999999999998E-3</v>
      </c>
      <c r="S807" s="18">
        <v>2.385516</v>
      </c>
      <c r="T807" s="18">
        <v>10.22364</v>
      </c>
      <c r="U807" s="18">
        <v>5.1118199999999998</v>
      </c>
      <c r="V807" s="18">
        <v>65.431296000000003</v>
      </c>
      <c r="W807" s="18">
        <v>61.341840000000005</v>
      </c>
      <c r="X807" s="18">
        <v>40.894559999999998</v>
      </c>
      <c r="Y807" s="18">
        <v>1.817536</v>
      </c>
      <c r="Z807" s="18">
        <v>8.065316000000001</v>
      </c>
      <c r="AA807" s="18">
        <v>11.813984</v>
      </c>
      <c r="AB807" s="18">
        <v>21.015260000000001</v>
      </c>
      <c r="AC807" s="18">
        <v>6.4749720000000002</v>
      </c>
      <c r="AD807" s="18">
        <v>34.078800000000001</v>
      </c>
    </row>
    <row r="808" spans="2:30" x14ac:dyDescent="0.25">
      <c r="B808" t="s">
        <v>108</v>
      </c>
      <c r="C808" t="s">
        <v>570</v>
      </c>
      <c r="D808" t="s">
        <v>608</v>
      </c>
      <c r="E808" s="35">
        <v>0.9</v>
      </c>
      <c r="F808" s="35">
        <v>16</v>
      </c>
      <c r="G808" s="36">
        <v>2.0459999999999999E-2</v>
      </c>
      <c r="H808" s="18">
        <v>36.828288999999998</v>
      </c>
      <c r="I808" s="16">
        <v>0</v>
      </c>
      <c r="J808" s="16"/>
      <c r="K808" s="16"/>
      <c r="L808" s="37" t="s">
        <v>107</v>
      </c>
      <c r="M808" s="37"/>
      <c r="N808" s="37">
        <v>302</v>
      </c>
      <c r="O808" s="37"/>
      <c r="P808" s="37"/>
      <c r="Q808" s="18">
        <v>0.22505999999999998</v>
      </c>
      <c r="R808" s="18">
        <v>1.5344999999999998E-3</v>
      </c>
      <c r="S808" s="18">
        <v>0.42965999999999999</v>
      </c>
      <c r="T808" s="18">
        <v>1.8413999999999999</v>
      </c>
      <c r="U808" s="18">
        <v>0.92069999999999996</v>
      </c>
      <c r="V808" s="18">
        <v>11.78496</v>
      </c>
      <c r="W808" s="18">
        <v>11.048399999999999</v>
      </c>
      <c r="X808" s="18">
        <v>7.3655999999999997</v>
      </c>
      <c r="Y808" s="18">
        <v>0.32735999999999998</v>
      </c>
      <c r="Z808" s="18">
        <v>1.4526599999999998</v>
      </c>
      <c r="AA808" s="18">
        <v>2.12784</v>
      </c>
      <c r="AB808" s="18">
        <v>3.7850999999999999</v>
      </c>
      <c r="AC808" s="18">
        <v>1.16622</v>
      </c>
      <c r="AD808" s="18">
        <v>6.1379999999999999</v>
      </c>
    </row>
    <row r="809" spans="2:30" x14ac:dyDescent="0.25">
      <c r="B809" t="s">
        <v>108</v>
      </c>
      <c r="C809" t="s">
        <v>570</v>
      </c>
      <c r="D809" t="s">
        <v>609</v>
      </c>
      <c r="E809" s="35">
        <v>0.9</v>
      </c>
      <c r="F809" s="35">
        <v>16</v>
      </c>
      <c r="G809" s="36">
        <v>6.8914000000000003E-2</v>
      </c>
      <c r="H809" s="18">
        <v>124.045044</v>
      </c>
      <c r="I809" s="16">
        <v>0</v>
      </c>
      <c r="J809" s="16"/>
      <c r="K809" s="16"/>
      <c r="L809" s="37" t="s">
        <v>107</v>
      </c>
      <c r="M809" s="37"/>
      <c r="N809" s="37">
        <v>303</v>
      </c>
      <c r="O809" s="37"/>
      <c r="P809" s="37"/>
      <c r="Q809" s="18">
        <v>0.75805400000000001</v>
      </c>
      <c r="R809" s="18">
        <v>5.1685500000000001E-3</v>
      </c>
      <c r="S809" s="18">
        <v>1.4471940000000001</v>
      </c>
      <c r="T809" s="18">
        <v>6.2022599999999999</v>
      </c>
      <c r="U809" s="18">
        <v>3.1011299999999999</v>
      </c>
      <c r="V809" s="18">
        <v>39.694464000000004</v>
      </c>
      <c r="W809" s="18">
        <v>37.213560000000001</v>
      </c>
      <c r="X809" s="18">
        <v>24.80904</v>
      </c>
      <c r="Y809" s="18">
        <v>1.102624</v>
      </c>
      <c r="Z809" s="18">
        <v>4.8928940000000001</v>
      </c>
      <c r="AA809" s="18">
        <v>7.1670560000000005</v>
      </c>
      <c r="AB809" s="18">
        <v>12.749090000000001</v>
      </c>
      <c r="AC809" s="18">
        <v>3.9280980000000003</v>
      </c>
      <c r="AD809" s="18">
        <v>20.674200000000003</v>
      </c>
    </row>
    <row r="810" spans="2:30" x14ac:dyDescent="0.25">
      <c r="B810" t="s">
        <v>108</v>
      </c>
      <c r="C810" t="s">
        <v>570</v>
      </c>
      <c r="D810" t="s">
        <v>610</v>
      </c>
      <c r="E810" s="35">
        <v>0.9</v>
      </c>
      <c r="F810" s="35">
        <v>16</v>
      </c>
      <c r="G810" s="36">
        <v>1.8003000000000002E-2</v>
      </c>
      <c r="H810" s="18">
        <v>32.405833999999999</v>
      </c>
      <c r="I810" s="16">
        <v>0</v>
      </c>
      <c r="J810" s="16"/>
      <c r="K810" s="16"/>
      <c r="L810" s="37" t="s">
        <v>107</v>
      </c>
      <c r="M810" s="37"/>
      <c r="N810" s="37">
        <v>304</v>
      </c>
      <c r="O810" s="37"/>
      <c r="P810" s="37"/>
      <c r="Q810" s="18">
        <v>0.19803300000000001</v>
      </c>
      <c r="R810" s="18">
        <v>1.350225E-3</v>
      </c>
      <c r="S810" s="18">
        <v>0.37806300000000004</v>
      </c>
      <c r="T810" s="18">
        <v>1.6202700000000001</v>
      </c>
      <c r="U810" s="18">
        <v>0.81013500000000005</v>
      </c>
      <c r="V810" s="18">
        <v>10.369728</v>
      </c>
      <c r="W810" s="18">
        <v>9.7216200000000015</v>
      </c>
      <c r="X810" s="18">
        <v>6.4810800000000004</v>
      </c>
      <c r="Y810" s="18">
        <v>0.28804800000000003</v>
      </c>
      <c r="Z810" s="18">
        <v>1.278213</v>
      </c>
      <c r="AA810" s="18">
        <v>1.8723120000000002</v>
      </c>
      <c r="AB810" s="18">
        <v>3.3305550000000004</v>
      </c>
      <c r="AC810" s="18">
        <v>1.0261710000000002</v>
      </c>
      <c r="AD810" s="18">
        <v>5.4009000000000009</v>
      </c>
    </row>
    <row r="811" spans="2:30" x14ac:dyDescent="0.25">
      <c r="B811" t="s">
        <v>108</v>
      </c>
      <c r="C811" t="s">
        <v>570</v>
      </c>
      <c r="D811" t="s">
        <v>611</v>
      </c>
      <c r="E811" s="35">
        <v>0.9</v>
      </c>
      <c r="F811" s="35">
        <v>16</v>
      </c>
      <c r="G811" s="36">
        <v>3.5519000000000002E-2</v>
      </c>
      <c r="H811" s="18">
        <v>63.934336000000002</v>
      </c>
      <c r="I811" s="16">
        <v>0</v>
      </c>
      <c r="J811" s="16"/>
      <c r="K811" s="16"/>
      <c r="L811" s="37" t="s">
        <v>107</v>
      </c>
      <c r="M811" s="37"/>
      <c r="N811" s="37">
        <v>305</v>
      </c>
      <c r="O811" s="37"/>
      <c r="P811" s="37"/>
      <c r="Q811" s="18">
        <v>0.39070900000000003</v>
      </c>
      <c r="R811" s="18">
        <v>2.6639250000000001E-3</v>
      </c>
      <c r="S811" s="18">
        <v>0.74589900000000009</v>
      </c>
      <c r="T811" s="18">
        <v>3.1967100000000004</v>
      </c>
      <c r="U811" s="18">
        <v>1.5983550000000002</v>
      </c>
      <c r="V811" s="18">
        <v>20.458944000000002</v>
      </c>
      <c r="W811" s="18">
        <v>19.180260000000001</v>
      </c>
      <c r="X811" s="18">
        <v>12.786840000000002</v>
      </c>
      <c r="Y811" s="18">
        <v>0.56830400000000003</v>
      </c>
      <c r="Z811" s="18">
        <v>2.521849</v>
      </c>
      <c r="AA811" s="18">
        <v>3.6939760000000001</v>
      </c>
      <c r="AB811" s="18">
        <v>6.5710150000000001</v>
      </c>
      <c r="AC811" s="18">
        <v>2.0245830000000002</v>
      </c>
      <c r="AD811" s="18">
        <v>10.655700000000001</v>
      </c>
    </row>
    <row r="812" spans="2:30" x14ac:dyDescent="0.25">
      <c r="B812" t="s">
        <v>144</v>
      </c>
      <c r="C812" t="s">
        <v>570</v>
      </c>
      <c r="D812" t="s">
        <v>612</v>
      </c>
      <c r="E812" s="35">
        <v>0.9</v>
      </c>
      <c r="F812" s="35">
        <v>40</v>
      </c>
      <c r="G812" s="36">
        <v>0.79543600000000003</v>
      </c>
      <c r="H812" s="18">
        <v>1431.7840819999999</v>
      </c>
      <c r="I812" s="16">
        <v>0</v>
      </c>
      <c r="J812" s="16"/>
      <c r="K812" s="16"/>
      <c r="L812" s="37" t="s">
        <v>107</v>
      </c>
      <c r="M812" s="37"/>
      <c r="N812" s="37">
        <v>306</v>
      </c>
      <c r="O812" s="37"/>
      <c r="P812" s="37"/>
      <c r="Q812" s="18">
        <v>8.7497959999999999</v>
      </c>
      <c r="R812" s="18">
        <v>5.9657700000000001E-2</v>
      </c>
      <c r="S812" s="18">
        <v>16.704156000000001</v>
      </c>
      <c r="T812" s="18">
        <v>71.589240000000004</v>
      </c>
      <c r="U812" s="18">
        <v>35.794620000000002</v>
      </c>
      <c r="V812" s="18">
        <v>458.17113600000005</v>
      </c>
      <c r="W812" s="18">
        <v>429.53543999999999</v>
      </c>
      <c r="X812" s="18">
        <v>286.35696000000002</v>
      </c>
      <c r="Y812" s="18">
        <v>12.726976000000001</v>
      </c>
      <c r="Z812" s="18">
        <v>56.475956000000004</v>
      </c>
      <c r="AA812" s="18">
        <v>82.725344000000007</v>
      </c>
      <c r="AB812" s="18">
        <v>147.15566000000001</v>
      </c>
      <c r="AC812" s="18">
        <v>45.339852</v>
      </c>
      <c r="AD812" s="18">
        <v>238.63080000000002</v>
      </c>
    </row>
    <row r="813" spans="2:30" x14ac:dyDescent="0.25">
      <c r="B813" t="s">
        <v>124</v>
      </c>
      <c r="C813" t="s">
        <v>570</v>
      </c>
      <c r="D813" t="s">
        <v>613</v>
      </c>
      <c r="E813" s="35">
        <v>0.9</v>
      </c>
      <c r="F813" s="35">
        <v>35</v>
      </c>
      <c r="G813" s="36">
        <v>0.60002</v>
      </c>
      <c r="H813" s="18">
        <v>1080.0357080000001</v>
      </c>
      <c r="I813" s="16">
        <v>0</v>
      </c>
      <c r="J813" s="16"/>
      <c r="K813" s="16"/>
      <c r="L813" s="37" t="s">
        <v>107</v>
      </c>
      <c r="M813" s="37"/>
      <c r="N813" s="37">
        <v>307</v>
      </c>
      <c r="O813" s="37"/>
      <c r="P813" s="37"/>
      <c r="Q813" s="18">
        <v>6.6002200000000002</v>
      </c>
      <c r="R813" s="18">
        <v>4.50015E-2</v>
      </c>
      <c r="S813" s="18">
        <v>12.60042</v>
      </c>
      <c r="T813" s="18">
        <v>54.001800000000003</v>
      </c>
      <c r="U813" s="18">
        <v>27.000900000000001</v>
      </c>
      <c r="V813" s="18">
        <v>345.61151999999998</v>
      </c>
      <c r="W813" s="18">
        <v>324.01080000000002</v>
      </c>
      <c r="X813" s="18">
        <v>216.00720000000001</v>
      </c>
      <c r="Y813" s="18">
        <v>9.60032</v>
      </c>
      <c r="Z813" s="18">
        <v>42.601419999999997</v>
      </c>
      <c r="AA813" s="18">
        <v>62.402079999999998</v>
      </c>
      <c r="AB813" s="18">
        <v>111.00369999999999</v>
      </c>
      <c r="AC813" s="18">
        <v>34.201140000000002</v>
      </c>
      <c r="AD813" s="18">
        <v>180.006</v>
      </c>
    </row>
    <row r="814" spans="2:30" x14ac:dyDescent="0.25">
      <c r="B814" t="s">
        <v>108</v>
      </c>
      <c r="C814" t="s">
        <v>570</v>
      </c>
      <c r="D814" t="s">
        <v>614</v>
      </c>
      <c r="E814" s="35">
        <v>0.9</v>
      </c>
      <c r="F814" s="35">
        <v>16</v>
      </c>
      <c r="G814" s="36">
        <v>1.3145E-2</v>
      </c>
      <c r="H814" s="18">
        <v>23.660236999999999</v>
      </c>
      <c r="I814" s="16">
        <v>0</v>
      </c>
      <c r="J814" s="16"/>
      <c r="K814" s="16"/>
      <c r="L814" s="37" t="s">
        <v>107</v>
      </c>
      <c r="M814" s="37"/>
      <c r="N814" s="37">
        <v>308</v>
      </c>
      <c r="O814" s="37"/>
      <c r="P814" s="37"/>
      <c r="Q814" s="18">
        <v>0.144595</v>
      </c>
      <c r="R814" s="18">
        <v>9.8587499999999999E-4</v>
      </c>
      <c r="S814" s="18">
        <v>0.27604499999999998</v>
      </c>
      <c r="T814" s="18">
        <v>1.1830499999999999</v>
      </c>
      <c r="U814" s="18">
        <v>0.59152499999999997</v>
      </c>
      <c r="V814" s="18">
        <v>7.5715200000000005</v>
      </c>
      <c r="W814" s="18">
        <v>7.0983000000000001</v>
      </c>
      <c r="X814" s="18">
        <v>4.7321999999999997</v>
      </c>
      <c r="Y814" s="18">
        <v>0.21032000000000001</v>
      </c>
      <c r="Z814" s="18">
        <v>0.93329499999999999</v>
      </c>
      <c r="AA814" s="18">
        <v>1.3670800000000001</v>
      </c>
      <c r="AB814" s="18">
        <v>2.4318249999999999</v>
      </c>
      <c r="AC814" s="18">
        <v>0.74926500000000007</v>
      </c>
      <c r="AD814" s="18">
        <v>3.9435000000000002</v>
      </c>
    </row>
    <row r="815" spans="2:30" x14ac:dyDescent="0.25">
      <c r="B815" t="s">
        <v>108</v>
      </c>
      <c r="C815" t="s">
        <v>570</v>
      </c>
      <c r="D815" t="s">
        <v>615</v>
      </c>
      <c r="E815" s="35">
        <v>0.9</v>
      </c>
      <c r="F815" s="35">
        <v>16</v>
      </c>
      <c r="G815" s="36">
        <v>9.6850000000000006E-2</v>
      </c>
      <c r="H815" s="18">
        <v>174.32984400000001</v>
      </c>
      <c r="I815" s="16">
        <v>0</v>
      </c>
      <c r="J815" s="16"/>
      <c r="K815" s="16"/>
      <c r="L815" s="37" t="s">
        <v>107</v>
      </c>
      <c r="M815" s="37"/>
      <c r="N815" s="37">
        <v>309</v>
      </c>
      <c r="O815" s="37"/>
      <c r="P815" s="37"/>
      <c r="Q815" s="18">
        <v>1.06535</v>
      </c>
      <c r="R815" s="18">
        <v>7.2637500000000002E-3</v>
      </c>
      <c r="S815" s="18">
        <v>2.0338500000000002</v>
      </c>
      <c r="T815" s="18">
        <v>8.7164999999999999</v>
      </c>
      <c r="U815" s="18">
        <v>4.35825</v>
      </c>
      <c r="V815" s="18">
        <v>55.785600000000002</v>
      </c>
      <c r="W815" s="18">
        <v>52.298999999999999</v>
      </c>
      <c r="X815" s="18">
        <v>34.866</v>
      </c>
      <c r="Y815" s="18">
        <v>1.5496000000000001</v>
      </c>
      <c r="Z815" s="18">
        <v>6.8763500000000004</v>
      </c>
      <c r="AA815" s="18">
        <v>10.0724</v>
      </c>
      <c r="AB815" s="18">
        <v>17.917250000000003</v>
      </c>
      <c r="AC815" s="18">
        <v>5.5204500000000003</v>
      </c>
      <c r="AD815" s="18">
        <v>29.055000000000003</v>
      </c>
    </row>
    <row r="816" spans="2:30" x14ac:dyDescent="0.25">
      <c r="B816" t="s">
        <v>166</v>
      </c>
      <c r="C816" t="s">
        <v>570</v>
      </c>
      <c r="D816" t="s">
        <v>315</v>
      </c>
      <c r="E816" s="35">
        <v>0.9</v>
      </c>
      <c r="F816" s="35">
        <v>26</v>
      </c>
      <c r="G816" s="36">
        <v>0.29586899999999999</v>
      </c>
      <c r="H816" s="18">
        <v>532.56385299999999</v>
      </c>
      <c r="I816" s="16">
        <v>0</v>
      </c>
      <c r="J816" s="16"/>
      <c r="K816" s="16"/>
      <c r="L816" s="37" t="s">
        <v>107</v>
      </c>
      <c r="M816" s="37"/>
      <c r="N816" s="37">
        <v>310</v>
      </c>
      <c r="O816" s="37"/>
      <c r="P816" s="37"/>
      <c r="Q816" s="18">
        <v>3.254559</v>
      </c>
      <c r="R816" s="18">
        <v>2.2190174999999999E-2</v>
      </c>
      <c r="S816" s="18">
        <v>6.2132490000000002</v>
      </c>
      <c r="T816" s="18">
        <v>26.628209999999999</v>
      </c>
      <c r="U816" s="18">
        <v>13.314105</v>
      </c>
      <c r="V816" s="18">
        <v>170.42054400000001</v>
      </c>
      <c r="W816" s="18">
        <v>159.76926</v>
      </c>
      <c r="X816" s="18">
        <v>106.51284</v>
      </c>
      <c r="Y816" s="18">
        <v>4.7339039999999999</v>
      </c>
      <c r="Z816" s="18">
        <v>21.006699000000001</v>
      </c>
      <c r="AA816" s="18">
        <v>30.770375999999999</v>
      </c>
      <c r="AB816" s="18">
        <v>54.735765000000001</v>
      </c>
      <c r="AC816" s="18">
        <v>16.864532999999998</v>
      </c>
      <c r="AD816" s="18">
        <v>88.7607</v>
      </c>
    </row>
    <row r="817" spans="2:30" x14ac:dyDescent="0.25">
      <c r="B817" t="s">
        <v>337</v>
      </c>
      <c r="C817" t="s">
        <v>570</v>
      </c>
      <c r="D817" t="s">
        <v>616</v>
      </c>
      <c r="E817" s="35">
        <v>0.9</v>
      </c>
      <c r="F817" s="35">
        <v>26</v>
      </c>
      <c r="G817" s="36">
        <v>0.17246</v>
      </c>
      <c r="H817" s="18">
        <v>310.42889200000002</v>
      </c>
      <c r="I817" s="16">
        <v>0</v>
      </c>
      <c r="J817" s="16"/>
      <c r="K817" s="16"/>
      <c r="L817" s="37" t="s">
        <v>107</v>
      </c>
      <c r="M817" s="37"/>
      <c r="N817" s="37">
        <v>311</v>
      </c>
      <c r="O817" s="37"/>
      <c r="P817" s="37"/>
      <c r="Q817" s="18">
        <v>1.89706</v>
      </c>
      <c r="R817" s="18">
        <v>1.29345E-2</v>
      </c>
      <c r="S817" s="18">
        <v>3.6216599999999999</v>
      </c>
      <c r="T817" s="18">
        <v>15.5214</v>
      </c>
      <c r="U817" s="18">
        <v>7.7606999999999999</v>
      </c>
      <c r="V817" s="18">
        <v>99.336960000000005</v>
      </c>
      <c r="W817" s="18">
        <v>93.128399999999999</v>
      </c>
      <c r="X817" s="18">
        <v>62.085599999999999</v>
      </c>
      <c r="Y817" s="18">
        <v>2.75936</v>
      </c>
      <c r="Z817" s="18">
        <v>12.24466</v>
      </c>
      <c r="AA817" s="18">
        <v>17.935839999999999</v>
      </c>
      <c r="AB817" s="18">
        <v>31.905100000000001</v>
      </c>
      <c r="AC817" s="18">
        <v>9.8302200000000006</v>
      </c>
      <c r="AD817" s="18">
        <v>51.738</v>
      </c>
    </row>
    <row r="818" spans="2:30" x14ac:dyDescent="0.25">
      <c r="B818" t="s">
        <v>108</v>
      </c>
      <c r="C818" t="s">
        <v>570</v>
      </c>
      <c r="D818" t="s">
        <v>617</v>
      </c>
      <c r="E818" s="35">
        <v>0.9</v>
      </c>
      <c r="F818" s="35">
        <v>16</v>
      </c>
      <c r="G818" s="36">
        <v>2.5599E-2</v>
      </c>
      <c r="H818" s="18">
        <v>46.077655999999998</v>
      </c>
      <c r="I818" s="16">
        <v>0</v>
      </c>
      <c r="J818" s="16"/>
      <c r="K818" s="16"/>
      <c r="L818" s="37" t="s">
        <v>107</v>
      </c>
      <c r="M818" s="37"/>
      <c r="N818" s="37">
        <v>312</v>
      </c>
      <c r="O818" s="37"/>
      <c r="P818" s="37"/>
      <c r="Q818" s="18">
        <v>0.28158899999999998</v>
      </c>
      <c r="R818" s="18">
        <v>1.9199249999999998E-3</v>
      </c>
      <c r="S818" s="18">
        <v>0.53757900000000003</v>
      </c>
      <c r="T818" s="18">
        <v>2.3039100000000001</v>
      </c>
      <c r="U818" s="18">
        <v>1.1519550000000001</v>
      </c>
      <c r="V818" s="18">
        <v>14.745024000000001</v>
      </c>
      <c r="W818" s="18">
        <v>13.823460000000001</v>
      </c>
      <c r="X818" s="18">
        <v>9.2156400000000005</v>
      </c>
      <c r="Y818" s="18">
        <v>0.409584</v>
      </c>
      <c r="Z818" s="18">
        <v>1.817529</v>
      </c>
      <c r="AA818" s="18">
        <v>2.662296</v>
      </c>
      <c r="AB818" s="18">
        <v>4.7358149999999997</v>
      </c>
      <c r="AC818" s="18">
        <v>1.4591430000000001</v>
      </c>
      <c r="AD818" s="18">
        <v>7.6797000000000004</v>
      </c>
    </row>
    <row r="819" spans="2:30" x14ac:dyDescent="0.25">
      <c r="B819" t="s">
        <v>138</v>
      </c>
      <c r="C819" t="s">
        <v>570</v>
      </c>
      <c r="D819" t="s">
        <v>618</v>
      </c>
      <c r="E819" s="35">
        <v>0.9</v>
      </c>
      <c r="F819" s="35">
        <v>44</v>
      </c>
      <c r="G819" s="36">
        <v>0.635042</v>
      </c>
      <c r="H819" s="18">
        <v>1143.074775</v>
      </c>
      <c r="I819" s="16">
        <v>2</v>
      </c>
      <c r="J819" s="16"/>
      <c r="K819" s="16"/>
      <c r="L819" s="37" t="s">
        <v>107</v>
      </c>
      <c r="M819" s="37"/>
      <c r="N819" s="37">
        <v>313</v>
      </c>
      <c r="O819" s="37"/>
      <c r="P819" s="37"/>
      <c r="Q819" s="18">
        <v>6.9854620000000001</v>
      </c>
      <c r="R819" s="18">
        <v>4.7628150000000001E-2</v>
      </c>
      <c r="S819" s="18">
        <v>13.335882</v>
      </c>
      <c r="T819" s="18">
        <v>57.153779999999998</v>
      </c>
      <c r="U819" s="18">
        <v>28.576889999999999</v>
      </c>
      <c r="V819" s="18">
        <v>365.78419200000002</v>
      </c>
      <c r="W819" s="18">
        <v>342.92268000000001</v>
      </c>
      <c r="X819" s="18">
        <v>228.61511999999999</v>
      </c>
      <c r="Y819" s="18">
        <v>10.160672</v>
      </c>
      <c r="Z819" s="18">
        <v>45.087981999999997</v>
      </c>
      <c r="AA819" s="18">
        <v>66.044368000000006</v>
      </c>
      <c r="AB819" s="18">
        <v>117.48277</v>
      </c>
      <c r="AC819" s="18">
        <v>36.197394000000003</v>
      </c>
      <c r="AD819" s="18">
        <v>190.51259999999999</v>
      </c>
    </row>
    <row r="820" spans="2:30" x14ac:dyDescent="0.25">
      <c r="B820" t="s">
        <v>138</v>
      </c>
      <c r="C820" t="s">
        <v>570</v>
      </c>
      <c r="D820" t="s">
        <v>619</v>
      </c>
      <c r="E820" s="35">
        <v>0.9</v>
      </c>
      <c r="F820" s="35">
        <v>44</v>
      </c>
      <c r="G820" s="36">
        <v>0.656748</v>
      </c>
      <c r="H820" s="18">
        <v>1182.146475</v>
      </c>
      <c r="I820" s="16">
        <v>0</v>
      </c>
      <c r="J820" s="16"/>
      <c r="K820" s="16"/>
      <c r="L820" s="37" t="s">
        <v>107</v>
      </c>
      <c r="M820" s="37"/>
      <c r="N820" s="37">
        <v>314</v>
      </c>
      <c r="O820" s="37"/>
      <c r="P820" s="37"/>
      <c r="Q820" s="18">
        <v>7.2242280000000001</v>
      </c>
      <c r="R820" s="18">
        <v>4.9256099999999997E-2</v>
      </c>
      <c r="S820" s="18">
        <v>13.791708</v>
      </c>
      <c r="T820" s="18">
        <v>59.107320000000001</v>
      </c>
      <c r="U820" s="18">
        <v>29.553660000000001</v>
      </c>
      <c r="V820" s="18">
        <v>378.28684800000002</v>
      </c>
      <c r="W820" s="18">
        <v>354.64391999999998</v>
      </c>
      <c r="X820" s="18">
        <v>236.42928000000001</v>
      </c>
      <c r="Y820" s="18">
        <v>10.507968</v>
      </c>
      <c r="Z820" s="18">
        <v>46.629108000000002</v>
      </c>
      <c r="AA820" s="18">
        <v>68.301792000000006</v>
      </c>
      <c r="AB820" s="18">
        <v>121.49838</v>
      </c>
      <c r="AC820" s="18">
        <v>37.434635999999998</v>
      </c>
      <c r="AD820" s="18">
        <v>197.02439999999999</v>
      </c>
    </row>
    <row r="821" spans="2:30" x14ac:dyDescent="0.25">
      <c r="B821" t="s">
        <v>144</v>
      </c>
      <c r="C821" t="s">
        <v>570</v>
      </c>
      <c r="D821" t="s">
        <v>620</v>
      </c>
      <c r="E821" s="35">
        <v>0.9</v>
      </c>
      <c r="F821" s="35">
        <v>40</v>
      </c>
      <c r="G821" s="36">
        <v>0.59784400000000004</v>
      </c>
      <c r="H821" s="18">
        <v>1076.118555</v>
      </c>
      <c r="I821" s="16">
        <v>0</v>
      </c>
      <c r="J821" s="16"/>
      <c r="K821" s="16"/>
      <c r="L821" s="37" t="s">
        <v>107</v>
      </c>
      <c r="M821" s="37"/>
      <c r="N821" s="37">
        <v>315</v>
      </c>
      <c r="O821" s="37"/>
      <c r="P821" s="37"/>
      <c r="Q821" s="18">
        <v>6.5762840000000002</v>
      </c>
      <c r="R821" s="18">
        <v>4.4838300000000005E-2</v>
      </c>
      <c r="S821" s="18">
        <v>12.554724</v>
      </c>
      <c r="T821" s="18">
        <v>53.805960000000006</v>
      </c>
      <c r="U821" s="18">
        <v>26.902980000000003</v>
      </c>
      <c r="V821" s="18">
        <v>344.35814400000004</v>
      </c>
      <c r="W821" s="18">
        <v>322.83576000000005</v>
      </c>
      <c r="X821" s="18">
        <v>215.22384000000002</v>
      </c>
      <c r="Y821" s="18">
        <v>9.5655040000000007</v>
      </c>
      <c r="Z821" s="18">
        <v>42.446924000000003</v>
      </c>
      <c r="AA821" s="18">
        <v>62.175776000000006</v>
      </c>
      <c r="AB821" s="18">
        <v>110.60114</v>
      </c>
      <c r="AC821" s="18">
        <v>34.077108000000003</v>
      </c>
      <c r="AD821" s="18">
        <v>179.35320000000002</v>
      </c>
    </row>
    <row r="822" spans="2:30" x14ac:dyDescent="0.25">
      <c r="B822" t="s">
        <v>108</v>
      </c>
      <c r="C822" t="s">
        <v>570</v>
      </c>
      <c r="D822" t="s">
        <v>611</v>
      </c>
      <c r="E822" s="35">
        <v>0.9</v>
      </c>
      <c r="F822" s="35">
        <v>16</v>
      </c>
      <c r="G822" s="36">
        <v>3.5519000000000002E-2</v>
      </c>
      <c r="H822" s="18">
        <v>63.934336000000002</v>
      </c>
      <c r="I822" s="16">
        <v>0</v>
      </c>
      <c r="J822" s="16"/>
      <c r="K822" s="16"/>
      <c r="L822" s="37" t="s">
        <v>107</v>
      </c>
      <c r="M822" s="37"/>
      <c r="N822" s="37">
        <v>316</v>
      </c>
      <c r="O822" s="37"/>
      <c r="P822" s="37"/>
      <c r="Q822" s="18">
        <v>0.39070900000000003</v>
      </c>
      <c r="R822" s="18">
        <v>2.6639250000000001E-3</v>
      </c>
      <c r="S822" s="18">
        <v>0.74589900000000009</v>
      </c>
      <c r="T822" s="18">
        <v>3.1967100000000004</v>
      </c>
      <c r="U822" s="18">
        <v>1.5983550000000002</v>
      </c>
      <c r="V822" s="18">
        <v>20.458944000000002</v>
      </c>
      <c r="W822" s="18">
        <v>19.180260000000001</v>
      </c>
      <c r="X822" s="18">
        <v>12.786840000000002</v>
      </c>
      <c r="Y822" s="18">
        <v>0.56830400000000003</v>
      </c>
      <c r="Z822" s="18">
        <v>2.521849</v>
      </c>
      <c r="AA822" s="18">
        <v>3.6939760000000001</v>
      </c>
      <c r="AB822" s="18">
        <v>6.5710150000000001</v>
      </c>
      <c r="AC822" s="18">
        <v>2.0245830000000002</v>
      </c>
      <c r="AD822" s="18">
        <v>10.655700000000001</v>
      </c>
    </row>
    <row r="823" spans="2:30" x14ac:dyDescent="0.25">
      <c r="B823" t="s">
        <v>144</v>
      </c>
      <c r="C823" t="s">
        <v>570</v>
      </c>
      <c r="D823" t="s">
        <v>612</v>
      </c>
      <c r="E823" s="35">
        <v>0.9</v>
      </c>
      <c r="F823" s="35">
        <v>40</v>
      </c>
      <c r="G823" s="36">
        <v>0.79543600000000003</v>
      </c>
      <c r="H823" s="18">
        <v>1431.7840819999999</v>
      </c>
      <c r="I823" s="16">
        <v>0</v>
      </c>
      <c r="J823" s="16"/>
      <c r="K823" s="16"/>
      <c r="L823" s="37" t="s">
        <v>107</v>
      </c>
      <c r="M823" s="37"/>
      <c r="N823" s="37">
        <v>317</v>
      </c>
      <c r="O823" s="37"/>
      <c r="P823" s="37"/>
      <c r="Q823" s="18">
        <v>8.7497959999999999</v>
      </c>
      <c r="R823" s="18">
        <v>5.9657700000000001E-2</v>
      </c>
      <c r="S823" s="18">
        <v>16.704156000000001</v>
      </c>
      <c r="T823" s="18">
        <v>71.589240000000004</v>
      </c>
      <c r="U823" s="18">
        <v>35.794620000000002</v>
      </c>
      <c r="V823" s="18">
        <v>458.17113600000005</v>
      </c>
      <c r="W823" s="18">
        <v>429.53543999999999</v>
      </c>
      <c r="X823" s="18">
        <v>286.35696000000002</v>
      </c>
      <c r="Y823" s="18">
        <v>12.726976000000001</v>
      </c>
      <c r="Z823" s="18">
        <v>56.475956000000004</v>
      </c>
      <c r="AA823" s="18">
        <v>82.725344000000007</v>
      </c>
      <c r="AB823" s="18">
        <v>147.15566000000001</v>
      </c>
      <c r="AC823" s="18">
        <v>45.339852</v>
      </c>
      <c r="AD823" s="18">
        <v>238.63080000000002</v>
      </c>
    </row>
    <row r="824" spans="2:30" x14ac:dyDescent="0.25">
      <c r="B824" t="s">
        <v>110</v>
      </c>
      <c r="C824" t="s">
        <v>570</v>
      </c>
      <c r="D824" t="s">
        <v>621</v>
      </c>
      <c r="E824" s="35">
        <v>0.9</v>
      </c>
      <c r="F824" s="35">
        <v>22</v>
      </c>
      <c r="G824" s="36">
        <v>0.349493</v>
      </c>
      <c r="H824" s="18">
        <v>629.08768999999995</v>
      </c>
      <c r="I824" s="16">
        <v>0</v>
      </c>
      <c r="J824" s="16"/>
      <c r="K824" s="16"/>
      <c r="L824" s="37" t="s">
        <v>107</v>
      </c>
      <c r="M824" s="37"/>
      <c r="N824" s="37">
        <v>318</v>
      </c>
      <c r="O824" s="37"/>
      <c r="P824" s="37"/>
      <c r="Q824" s="18">
        <v>3.8444229999999999</v>
      </c>
      <c r="R824" s="18">
        <v>2.6211974999999998E-2</v>
      </c>
      <c r="S824" s="18">
        <v>7.339353</v>
      </c>
      <c r="T824" s="18">
        <v>31.454370000000001</v>
      </c>
      <c r="U824" s="18">
        <v>15.727185</v>
      </c>
      <c r="V824" s="18">
        <v>201.30796799999999</v>
      </c>
      <c r="W824" s="18">
        <v>188.72622000000001</v>
      </c>
      <c r="X824" s="18">
        <v>125.81748</v>
      </c>
      <c r="Y824" s="18">
        <v>5.591888</v>
      </c>
      <c r="Z824" s="18">
        <v>24.814003</v>
      </c>
      <c r="AA824" s="18">
        <v>36.347271999999997</v>
      </c>
      <c r="AB824" s="18">
        <v>64.656205</v>
      </c>
      <c r="AC824" s="18">
        <v>19.921101</v>
      </c>
      <c r="AD824" s="18">
        <v>104.8479</v>
      </c>
    </row>
    <row r="825" spans="2:30" x14ac:dyDescent="0.25">
      <c r="B825" t="s">
        <v>110</v>
      </c>
      <c r="C825" t="s">
        <v>570</v>
      </c>
      <c r="D825" t="s">
        <v>622</v>
      </c>
      <c r="E825" s="35">
        <v>0.9</v>
      </c>
      <c r="F825" s="35">
        <v>22</v>
      </c>
      <c r="G825" s="36">
        <v>0.16250100000000001</v>
      </c>
      <c r="H825" s="18">
        <v>292.50138700000002</v>
      </c>
      <c r="I825" s="16">
        <v>0</v>
      </c>
      <c r="J825" s="16"/>
      <c r="K825" s="16"/>
      <c r="L825" s="37" t="s">
        <v>107</v>
      </c>
      <c r="M825" s="37"/>
      <c r="N825" s="37">
        <v>319</v>
      </c>
      <c r="O825" s="37"/>
      <c r="P825" s="37"/>
      <c r="Q825" s="18">
        <v>1.7875110000000001</v>
      </c>
      <c r="R825" s="18">
        <v>1.2187575000000001E-2</v>
      </c>
      <c r="S825" s="18">
        <v>3.4125209999999999</v>
      </c>
      <c r="T825" s="18">
        <v>14.62509</v>
      </c>
      <c r="U825" s="18">
        <v>7.3125450000000001</v>
      </c>
      <c r="V825" s="18">
        <v>93.600576000000004</v>
      </c>
      <c r="W825" s="18">
        <v>87.750540000000001</v>
      </c>
      <c r="X825" s="18">
        <v>58.500360000000001</v>
      </c>
      <c r="Y825" s="18">
        <v>2.6000160000000001</v>
      </c>
      <c r="Z825" s="18">
        <v>11.537571</v>
      </c>
      <c r="AA825" s="18">
        <v>16.900103999999999</v>
      </c>
      <c r="AB825" s="18">
        <v>30.062685000000002</v>
      </c>
      <c r="AC825" s="18">
        <v>9.262557000000001</v>
      </c>
      <c r="AD825" s="18">
        <v>48.750300000000003</v>
      </c>
    </row>
    <row r="826" spans="2:30" x14ac:dyDescent="0.25">
      <c r="B826" t="s">
        <v>110</v>
      </c>
      <c r="C826" t="s">
        <v>570</v>
      </c>
      <c r="D826" t="s">
        <v>356</v>
      </c>
      <c r="E826" s="35">
        <v>0.9</v>
      </c>
      <c r="F826" s="35">
        <v>22</v>
      </c>
      <c r="G826" s="36">
        <v>0.16528699999999999</v>
      </c>
      <c r="H826" s="18">
        <v>297.51718299999999</v>
      </c>
      <c r="I826" s="16">
        <v>0</v>
      </c>
      <c r="J826" s="16"/>
      <c r="K826" s="16"/>
      <c r="L826" s="37" t="s">
        <v>107</v>
      </c>
      <c r="M826" s="37"/>
      <c r="N826" s="37">
        <v>320</v>
      </c>
      <c r="O826" s="37"/>
      <c r="P826" s="37"/>
      <c r="Q826" s="18">
        <v>1.8181569999999998</v>
      </c>
      <c r="R826" s="18">
        <v>1.2396524999999999E-2</v>
      </c>
      <c r="S826" s="18">
        <v>3.4710269999999999</v>
      </c>
      <c r="T826" s="18">
        <v>14.875829999999999</v>
      </c>
      <c r="U826" s="18">
        <v>7.4379149999999994</v>
      </c>
      <c r="V826" s="18">
        <v>95.205311999999992</v>
      </c>
      <c r="W826" s="18">
        <v>89.254979999999989</v>
      </c>
      <c r="X826" s="18">
        <v>59.503319999999995</v>
      </c>
      <c r="Y826" s="18">
        <v>2.6445919999999998</v>
      </c>
      <c r="Z826" s="18">
        <v>11.735377</v>
      </c>
      <c r="AA826" s="18">
        <v>17.189847999999998</v>
      </c>
      <c r="AB826" s="18">
        <v>30.578094999999998</v>
      </c>
      <c r="AC826" s="18">
        <v>9.4213589999999989</v>
      </c>
      <c r="AD826" s="18">
        <v>49.586099999999995</v>
      </c>
    </row>
    <row r="827" spans="2:30" x14ac:dyDescent="0.25">
      <c r="B827" t="s">
        <v>124</v>
      </c>
      <c r="C827" t="s">
        <v>570</v>
      </c>
      <c r="D827" t="s">
        <v>623</v>
      </c>
      <c r="E827" s="35">
        <v>0.9</v>
      </c>
      <c r="F827" s="35">
        <v>35</v>
      </c>
      <c r="G827" s="36">
        <v>0.26435700000000001</v>
      </c>
      <c r="H827" s="18">
        <v>475.84268800000001</v>
      </c>
      <c r="I827" s="16">
        <v>0</v>
      </c>
      <c r="J827" s="16"/>
      <c r="K827" s="16"/>
      <c r="L827" s="37" t="s">
        <v>107</v>
      </c>
      <c r="M827" s="37"/>
      <c r="N827" s="37">
        <v>321</v>
      </c>
      <c r="O827" s="37"/>
      <c r="P827" s="37"/>
      <c r="Q827" s="18">
        <v>2.9079269999999999</v>
      </c>
      <c r="R827" s="18">
        <v>1.9826775000000001E-2</v>
      </c>
      <c r="S827" s="18">
        <v>5.5514970000000003</v>
      </c>
      <c r="T827" s="18">
        <v>23.79213</v>
      </c>
      <c r="U827" s="18">
        <v>11.896065</v>
      </c>
      <c r="V827" s="18">
        <v>152.269632</v>
      </c>
      <c r="W827" s="18">
        <v>142.75278</v>
      </c>
      <c r="X827" s="18">
        <v>95.168520000000001</v>
      </c>
      <c r="Y827" s="18">
        <v>4.2297120000000001</v>
      </c>
      <c r="Z827" s="18">
        <v>18.769347</v>
      </c>
      <c r="AA827" s="18">
        <v>27.493128000000002</v>
      </c>
      <c r="AB827" s="18">
        <v>48.906044999999999</v>
      </c>
      <c r="AC827" s="18">
        <v>15.068349000000001</v>
      </c>
      <c r="AD827" s="18">
        <v>79.307100000000005</v>
      </c>
    </row>
    <row r="828" spans="2:30" x14ac:dyDescent="0.25">
      <c r="B828" t="s">
        <v>110</v>
      </c>
      <c r="C828" t="s">
        <v>570</v>
      </c>
      <c r="D828" t="s">
        <v>624</v>
      </c>
      <c r="E828" s="35">
        <v>0.9</v>
      </c>
      <c r="F828" s="35">
        <v>22</v>
      </c>
      <c r="G828" s="36">
        <v>0.170714</v>
      </c>
      <c r="H828" s="18">
        <v>307.284785</v>
      </c>
      <c r="I828" s="16">
        <v>0</v>
      </c>
      <c r="J828" s="16"/>
      <c r="K828" s="16"/>
      <c r="L828" s="37" t="s">
        <v>107</v>
      </c>
      <c r="M828" s="37"/>
      <c r="N828" s="37">
        <v>322</v>
      </c>
      <c r="O828" s="37"/>
      <c r="P828" s="37"/>
      <c r="Q828" s="18">
        <v>1.8778540000000001</v>
      </c>
      <c r="R828" s="18">
        <v>1.280355E-2</v>
      </c>
      <c r="S828" s="18">
        <v>3.584994</v>
      </c>
      <c r="T828" s="18">
        <v>15.36426</v>
      </c>
      <c r="U828" s="18">
        <v>7.6821299999999999</v>
      </c>
      <c r="V828" s="18">
        <v>98.331264000000004</v>
      </c>
      <c r="W828" s="18">
        <v>92.185560000000009</v>
      </c>
      <c r="X828" s="18">
        <v>61.457039999999999</v>
      </c>
      <c r="Y828" s="18">
        <v>2.7314240000000001</v>
      </c>
      <c r="Z828" s="18">
        <v>12.120694</v>
      </c>
      <c r="AA828" s="18">
        <v>17.754256000000002</v>
      </c>
      <c r="AB828" s="18">
        <v>31.582090000000001</v>
      </c>
      <c r="AC828" s="18">
        <v>9.7306980000000003</v>
      </c>
      <c r="AD828" s="18">
        <v>51.214199999999998</v>
      </c>
    </row>
    <row r="829" spans="2:30" x14ac:dyDescent="0.25">
      <c r="B829" t="s">
        <v>166</v>
      </c>
      <c r="C829" t="s">
        <v>570</v>
      </c>
      <c r="D829" t="s">
        <v>369</v>
      </c>
      <c r="E829" s="35">
        <v>0.9</v>
      </c>
      <c r="F829" s="35">
        <v>26</v>
      </c>
      <c r="G829" s="36">
        <v>0.16154099999999999</v>
      </c>
      <c r="H829" s="18">
        <v>290.77369099999999</v>
      </c>
      <c r="I829" s="16">
        <v>0</v>
      </c>
      <c r="J829" s="16"/>
      <c r="K829" s="16"/>
      <c r="L829" s="37" t="s">
        <v>107</v>
      </c>
      <c r="M829" s="37"/>
      <c r="N829" s="37">
        <v>323</v>
      </c>
      <c r="O829" s="37"/>
      <c r="P829" s="37"/>
      <c r="Q829" s="18">
        <v>1.7769509999999999</v>
      </c>
      <c r="R829" s="18">
        <v>1.2115574999999998E-2</v>
      </c>
      <c r="S829" s="18">
        <v>3.3923609999999997</v>
      </c>
      <c r="T829" s="18">
        <v>14.538689999999999</v>
      </c>
      <c r="U829" s="18">
        <v>7.2693449999999995</v>
      </c>
      <c r="V829" s="18">
        <v>93.047615999999991</v>
      </c>
      <c r="W829" s="18">
        <v>87.232140000000001</v>
      </c>
      <c r="X829" s="18">
        <v>58.154759999999996</v>
      </c>
      <c r="Y829" s="18">
        <v>2.5846559999999998</v>
      </c>
      <c r="Z829" s="18">
        <v>11.469410999999999</v>
      </c>
      <c r="AA829" s="18">
        <v>16.800263999999999</v>
      </c>
      <c r="AB829" s="18">
        <v>29.885084999999997</v>
      </c>
      <c r="AC829" s="18">
        <v>9.2078369999999996</v>
      </c>
      <c r="AD829" s="18">
        <v>48.462299999999999</v>
      </c>
    </row>
    <row r="830" spans="2:30" x14ac:dyDescent="0.25">
      <c r="B830" t="s">
        <v>166</v>
      </c>
      <c r="C830" t="s">
        <v>570</v>
      </c>
      <c r="D830" t="s">
        <v>315</v>
      </c>
      <c r="E830" s="35">
        <v>0.9</v>
      </c>
      <c r="F830" s="35">
        <v>26</v>
      </c>
      <c r="G830" s="36">
        <v>0.29586899999999999</v>
      </c>
      <c r="H830" s="18">
        <v>532.56385299999999</v>
      </c>
      <c r="I830" s="16">
        <v>0</v>
      </c>
      <c r="J830" s="16"/>
      <c r="K830" s="16"/>
      <c r="L830" s="37" t="s">
        <v>107</v>
      </c>
      <c r="M830" s="37"/>
      <c r="N830" s="37">
        <v>324</v>
      </c>
      <c r="O830" s="37"/>
      <c r="P830" s="37"/>
      <c r="Q830" s="18">
        <v>3.254559</v>
      </c>
      <c r="R830" s="18">
        <v>2.2190174999999999E-2</v>
      </c>
      <c r="S830" s="18">
        <v>6.2132490000000002</v>
      </c>
      <c r="T830" s="18">
        <v>26.628209999999999</v>
      </c>
      <c r="U830" s="18">
        <v>13.314105</v>
      </c>
      <c r="V830" s="18">
        <v>170.42054400000001</v>
      </c>
      <c r="W830" s="18">
        <v>159.76926</v>
      </c>
      <c r="X830" s="18">
        <v>106.51284</v>
      </c>
      <c r="Y830" s="18">
        <v>4.7339039999999999</v>
      </c>
      <c r="Z830" s="18">
        <v>21.006699000000001</v>
      </c>
      <c r="AA830" s="18">
        <v>30.770375999999999</v>
      </c>
      <c r="AB830" s="18">
        <v>54.735765000000001</v>
      </c>
      <c r="AC830" s="18">
        <v>16.864532999999998</v>
      </c>
      <c r="AD830" s="18">
        <v>88.7607</v>
      </c>
    </row>
    <row r="831" spans="2:30" x14ac:dyDescent="0.25">
      <c r="B831" t="s">
        <v>337</v>
      </c>
      <c r="C831" t="s">
        <v>570</v>
      </c>
      <c r="D831" t="s">
        <v>616</v>
      </c>
      <c r="E831" s="35">
        <v>0.9</v>
      </c>
      <c r="F831" s="35">
        <v>26</v>
      </c>
      <c r="G831" s="36">
        <v>0.17246</v>
      </c>
      <c r="H831" s="18">
        <v>310.42889200000002</v>
      </c>
      <c r="I831" s="16">
        <v>0</v>
      </c>
      <c r="J831" s="16"/>
      <c r="K831" s="16"/>
      <c r="L831" s="37" t="s">
        <v>107</v>
      </c>
      <c r="M831" s="37"/>
      <c r="N831" s="37">
        <v>325</v>
      </c>
      <c r="O831" s="37"/>
      <c r="P831" s="37"/>
      <c r="Q831" s="18">
        <v>1.89706</v>
      </c>
      <c r="R831" s="18">
        <v>1.29345E-2</v>
      </c>
      <c r="S831" s="18">
        <v>3.6216599999999999</v>
      </c>
      <c r="T831" s="18">
        <v>15.5214</v>
      </c>
      <c r="U831" s="18">
        <v>7.7606999999999999</v>
      </c>
      <c r="V831" s="18">
        <v>99.336960000000005</v>
      </c>
      <c r="W831" s="18">
        <v>93.128399999999999</v>
      </c>
      <c r="X831" s="18">
        <v>62.085599999999999</v>
      </c>
      <c r="Y831" s="18">
        <v>2.75936</v>
      </c>
      <c r="Z831" s="18">
        <v>12.24466</v>
      </c>
      <c r="AA831" s="18">
        <v>17.935839999999999</v>
      </c>
      <c r="AB831" s="18">
        <v>31.905100000000001</v>
      </c>
      <c r="AC831" s="18">
        <v>9.8302200000000006</v>
      </c>
      <c r="AD831" s="18">
        <v>51.738</v>
      </c>
    </row>
    <row r="832" spans="2:30" x14ac:dyDescent="0.25">
      <c r="B832" t="s">
        <v>108</v>
      </c>
      <c r="C832" t="s">
        <v>570</v>
      </c>
      <c r="D832" t="s">
        <v>617</v>
      </c>
      <c r="E832" s="35">
        <v>0.9</v>
      </c>
      <c r="F832" s="35">
        <v>16</v>
      </c>
      <c r="G832" s="36">
        <v>2.5599E-2</v>
      </c>
      <c r="H832" s="18">
        <v>46.077655999999998</v>
      </c>
      <c r="I832" s="16">
        <v>0</v>
      </c>
      <c r="J832" s="16"/>
      <c r="K832" s="16"/>
      <c r="L832" s="37" t="s">
        <v>107</v>
      </c>
      <c r="M832" s="37"/>
      <c r="N832" s="37">
        <v>326</v>
      </c>
      <c r="O832" s="37"/>
      <c r="P832" s="37"/>
      <c r="Q832" s="18">
        <v>0.28158899999999998</v>
      </c>
      <c r="R832" s="18">
        <v>1.9199249999999998E-3</v>
      </c>
      <c r="S832" s="18">
        <v>0.53757900000000003</v>
      </c>
      <c r="T832" s="18">
        <v>2.3039100000000001</v>
      </c>
      <c r="U832" s="18">
        <v>1.1519550000000001</v>
      </c>
      <c r="V832" s="18">
        <v>14.745024000000001</v>
      </c>
      <c r="W832" s="18">
        <v>13.823460000000001</v>
      </c>
      <c r="X832" s="18">
        <v>9.2156400000000005</v>
      </c>
      <c r="Y832" s="18">
        <v>0.409584</v>
      </c>
      <c r="Z832" s="18">
        <v>1.817529</v>
      </c>
      <c r="AA832" s="18">
        <v>2.662296</v>
      </c>
      <c r="AB832" s="18">
        <v>4.7358149999999997</v>
      </c>
      <c r="AC832" s="18">
        <v>1.4591430000000001</v>
      </c>
      <c r="AD832" s="18">
        <v>7.6797000000000004</v>
      </c>
    </row>
    <row r="833" spans="2:30" x14ac:dyDescent="0.25">
      <c r="B833" t="s">
        <v>124</v>
      </c>
      <c r="C833" t="s">
        <v>570</v>
      </c>
      <c r="D833" t="s">
        <v>359</v>
      </c>
      <c r="E833" s="35">
        <v>0.9</v>
      </c>
      <c r="F833" s="35">
        <v>35</v>
      </c>
      <c r="G833" s="36">
        <v>0.33738699999999999</v>
      </c>
      <c r="H833" s="18">
        <v>607.29733899999997</v>
      </c>
      <c r="I833" s="16">
        <v>0</v>
      </c>
      <c r="J833" s="16"/>
      <c r="K833" s="16"/>
      <c r="L833" s="37" t="s">
        <v>107</v>
      </c>
      <c r="M833" s="37"/>
      <c r="N833" s="37">
        <v>327</v>
      </c>
      <c r="O833" s="37"/>
      <c r="P833" s="37"/>
      <c r="Q833" s="18">
        <v>3.7112569999999998</v>
      </c>
      <c r="R833" s="18">
        <v>2.5304024999999997E-2</v>
      </c>
      <c r="S833" s="18">
        <v>7.085127</v>
      </c>
      <c r="T833" s="18">
        <v>30.364829999999998</v>
      </c>
      <c r="U833" s="18">
        <v>15.182414999999999</v>
      </c>
      <c r="V833" s="18">
        <v>194.334912</v>
      </c>
      <c r="W833" s="18">
        <v>182.18897999999999</v>
      </c>
      <c r="X833" s="18">
        <v>121.45931999999999</v>
      </c>
      <c r="Y833" s="18">
        <v>5.3981919999999999</v>
      </c>
      <c r="Z833" s="18">
        <v>23.954477000000001</v>
      </c>
      <c r="AA833" s="18">
        <v>35.088248</v>
      </c>
      <c r="AB833" s="18">
        <v>62.416595000000001</v>
      </c>
      <c r="AC833" s="18">
        <v>19.231058999999998</v>
      </c>
      <c r="AD833" s="18">
        <v>101.2161</v>
      </c>
    </row>
    <row r="834" spans="2:30" x14ac:dyDescent="0.25">
      <c r="B834" t="s">
        <v>269</v>
      </c>
      <c r="C834" t="s">
        <v>570</v>
      </c>
      <c r="D834" t="s">
        <v>625</v>
      </c>
      <c r="E834" s="35">
        <v>0.9</v>
      </c>
      <c r="F834" s="35">
        <v>6.6</v>
      </c>
      <c r="G834" s="36">
        <v>0.148758</v>
      </c>
      <c r="H834" s="18">
        <v>267.76430399999998</v>
      </c>
      <c r="I834" s="16"/>
      <c r="J834" s="16"/>
      <c r="K834" s="16"/>
      <c r="L834" s="37" t="s">
        <v>107</v>
      </c>
      <c r="M834" s="37"/>
      <c r="N834" s="37">
        <v>328</v>
      </c>
      <c r="O834" s="37"/>
      <c r="P834" s="37"/>
      <c r="Q834" s="18">
        <v>1.6363380000000001</v>
      </c>
      <c r="R834" s="18">
        <v>1.1156849999999999E-2</v>
      </c>
      <c r="S834" s="18">
        <v>3.1239180000000002</v>
      </c>
      <c r="T834" s="18">
        <v>13.38822</v>
      </c>
      <c r="U834" s="18">
        <v>6.6941100000000002</v>
      </c>
      <c r="V834" s="18">
        <v>85.684607999999997</v>
      </c>
      <c r="W834" s="18">
        <v>80.329319999999996</v>
      </c>
      <c r="X834" s="18">
        <v>53.552880000000002</v>
      </c>
      <c r="Y834" s="18">
        <v>2.380128</v>
      </c>
      <c r="Z834" s="18">
        <v>10.561818000000001</v>
      </c>
      <c r="AA834" s="18">
        <v>15.470832</v>
      </c>
      <c r="AB834" s="18">
        <v>27.520230000000002</v>
      </c>
      <c r="AC834" s="18">
        <v>8.4792059999999996</v>
      </c>
      <c r="AD834" s="18">
        <v>44.627400000000002</v>
      </c>
    </row>
    <row r="835" spans="2:30" x14ac:dyDescent="0.25">
      <c r="B835" t="s">
        <v>108</v>
      </c>
      <c r="C835" t="s">
        <v>570</v>
      </c>
      <c r="D835" t="s">
        <v>611</v>
      </c>
      <c r="E835" s="35">
        <v>0.9</v>
      </c>
      <c r="F835" s="35">
        <v>16</v>
      </c>
      <c r="G835" s="36">
        <v>3.5519000000000002E-2</v>
      </c>
      <c r="H835" s="18">
        <v>63.934336000000002</v>
      </c>
      <c r="I835" s="16">
        <v>0</v>
      </c>
      <c r="J835" s="16"/>
      <c r="K835" s="16"/>
      <c r="L835" s="37" t="s">
        <v>107</v>
      </c>
      <c r="M835" s="37"/>
      <c r="N835" s="37">
        <v>329</v>
      </c>
      <c r="O835" s="37"/>
      <c r="P835" s="37"/>
      <c r="Q835" s="18">
        <v>0.39070900000000003</v>
      </c>
      <c r="R835" s="18">
        <v>2.6639250000000001E-3</v>
      </c>
      <c r="S835" s="18">
        <v>0.74589900000000009</v>
      </c>
      <c r="T835" s="18">
        <v>3.1967100000000004</v>
      </c>
      <c r="U835" s="18">
        <v>1.5983550000000002</v>
      </c>
      <c r="V835" s="18">
        <v>20.458944000000002</v>
      </c>
      <c r="W835" s="18">
        <v>19.180260000000001</v>
      </c>
      <c r="X835" s="18">
        <v>12.786840000000002</v>
      </c>
      <c r="Y835" s="18">
        <v>0.56830400000000003</v>
      </c>
      <c r="Z835" s="18">
        <v>2.521849</v>
      </c>
      <c r="AA835" s="18">
        <v>3.6939760000000001</v>
      </c>
      <c r="AB835" s="18">
        <v>6.5710150000000001</v>
      </c>
      <c r="AC835" s="18">
        <v>2.0245830000000002</v>
      </c>
      <c r="AD835" s="18">
        <v>10.655700000000001</v>
      </c>
    </row>
    <row r="836" spans="2:30" x14ac:dyDescent="0.25">
      <c r="B836" t="s">
        <v>144</v>
      </c>
      <c r="C836" t="s">
        <v>570</v>
      </c>
      <c r="D836" t="s">
        <v>612</v>
      </c>
      <c r="E836" s="35">
        <v>0.9</v>
      </c>
      <c r="F836" s="35">
        <v>40</v>
      </c>
      <c r="G836" s="36">
        <v>0.79543600000000003</v>
      </c>
      <c r="H836" s="18">
        <v>1431.7840819999999</v>
      </c>
      <c r="I836" s="16">
        <v>0</v>
      </c>
      <c r="J836" s="16"/>
      <c r="K836" s="16"/>
      <c r="L836" s="37" t="s">
        <v>107</v>
      </c>
      <c r="M836" s="37"/>
      <c r="N836" s="37">
        <v>330</v>
      </c>
      <c r="O836" s="37"/>
      <c r="P836" s="37"/>
      <c r="Q836" s="18">
        <v>8.7497959999999999</v>
      </c>
      <c r="R836" s="18">
        <v>5.9657700000000001E-2</v>
      </c>
      <c r="S836" s="18">
        <v>16.704156000000001</v>
      </c>
      <c r="T836" s="18">
        <v>71.589240000000004</v>
      </c>
      <c r="U836" s="18">
        <v>35.794620000000002</v>
      </c>
      <c r="V836" s="18">
        <v>458.17113600000005</v>
      </c>
      <c r="W836" s="18">
        <v>429.53543999999999</v>
      </c>
      <c r="X836" s="18">
        <v>286.35696000000002</v>
      </c>
      <c r="Y836" s="18">
        <v>12.726976000000001</v>
      </c>
      <c r="Z836" s="18">
        <v>56.475956000000004</v>
      </c>
      <c r="AA836" s="18">
        <v>82.725344000000007</v>
      </c>
      <c r="AB836" s="18">
        <v>147.15566000000001</v>
      </c>
      <c r="AC836" s="18">
        <v>45.339852</v>
      </c>
      <c r="AD836" s="18">
        <v>238.63080000000002</v>
      </c>
    </row>
    <row r="837" spans="2:30" x14ac:dyDescent="0.25">
      <c r="B837" t="s">
        <v>166</v>
      </c>
      <c r="C837" t="s">
        <v>570</v>
      </c>
      <c r="D837" t="s">
        <v>626</v>
      </c>
      <c r="E837" s="35">
        <v>0.9</v>
      </c>
      <c r="F837" s="35">
        <v>26</v>
      </c>
      <c r="G837" s="36">
        <v>0.28408299999999997</v>
      </c>
      <c r="H837" s="18">
        <v>511.34871600000002</v>
      </c>
      <c r="I837" s="16">
        <v>0</v>
      </c>
      <c r="J837" s="16"/>
      <c r="K837" s="16"/>
      <c r="L837" s="37" t="s">
        <v>107</v>
      </c>
      <c r="M837" s="37"/>
      <c r="N837" s="37">
        <v>331</v>
      </c>
      <c r="O837" s="37"/>
      <c r="P837" s="37"/>
      <c r="Q837" s="18">
        <v>3.1249129999999998</v>
      </c>
      <c r="R837" s="18">
        <v>2.1306224999999998E-2</v>
      </c>
      <c r="S837" s="18">
        <v>5.9657429999999998</v>
      </c>
      <c r="T837" s="18">
        <v>25.567469999999997</v>
      </c>
      <c r="U837" s="18">
        <v>12.783734999999998</v>
      </c>
      <c r="V837" s="18">
        <v>163.63180799999998</v>
      </c>
      <c r="W837" s="18">
        <v>153.40481999999997</v>
      </c>
      <c r="X837" s="18">
        <v>102.26987999999999</v>
      </c>
      <c r="Y837" s="18">
        <v>4.5453279999999996</v>
      </c>
      <c r="Z837" s="18">
        <v>20.169892999999998</v>
      </c>
      <c r="AA837" s="18">
        <v>29.544631999999996</v>
      </c>
      <c r="AB837" s="18">
        <v>52.555354999999999</v>
      </c>
      <c r="AC837" s="18">
        <v>16.192730999999998</v>
      </c>
      <c r="AD837" s="18">
        <v>85.224899999999991</v>
      </c>
    </row>
    <row r="838" spans="2:30" x14ac:dyDescent="0.25">
      <c r="B838" t="s">
        <v>110</v>
      </c>
      <c r="C838" t="s">
        <v>570</v>
      </c>
      <c r="D838" t="s">
        <v>627</v>
      </c>
      <c r="E838" s="35">
        <v>0.9</v>
      </c>
      <c r="F838" s="35">
        <v>22</v>
      </c>
      <c r="G838" s="36">
        <v>0.17613999999999999</v>
      </c>
      <c r="H838" s="18">
        <v>317.05238800000001</v>
      </c>
      <c r="I838" s="16">
        <v>0</v>
      </c>
      <c r="J838" s="16"/>
      <c r="K838" s="16"/>
      <c r="L838" s="37" t="s">
        <v>107</v>
      </c>
      <c r="M838" s="37"/>
      <c r="N838" s="37">
        <v>332</v>
      </c>
      <c r="O838" s="37"/>
      <c r="P838" s="37"/>
      <c r="Q838" s="18">
        <v>1.9375399999999998</v>
      </c>
      <c r="R838" s="18">
        <v>1.3210499999999998E-2</v>
      </c>
      <c r="S838" s="18">
        <v>3.6989399999999999</v>
      </c>
      <c r="T838" s="18">
        <v>15.852599999999999</v>
      </c>
      <c r="U838" s="18">
        <v>7.9262999999999995</v>
      </c>
      <c r="V838" s="18">
        <v>101.45663999999999</v>
      </c>
      <c r="W838" s="18">
        <v>95.115600000000001</v>
      </c>
      <c r="X838" s="18">
        <v>63.410399999999996</v>
      </c>
      <c r="Y838" s="18">
        <v>2.8182399999999999</v>
      </c>
      <c r="Z838" s="18">
        <v>12.505939999999999</v>
      </c>
      <c r="AA838" s="18">
        <v>18.318559999999998</v>
      </c>
      <c r="AB838" s="18">
        <v>32.585899999999995</v>
      </c>
      <c r="AC838" s="18">
        <v>10.03998</v>
      </c>
      <c r="AD838" s="18">
        <v>52.841999999999999</v>
      </c>
    </row>
    <row r="839" spans="2:30" x14ac:dyDescent="0.25">
      <c r="B839" t="s">
        <v>166</v>
      </c>
      <c r="C839" t="s">
        <v>570</v>
      </c>
      <c r="D839" t="s">
        <v>628</v>
      </c>
      <c r="E839" s="35">
        <v>0.9</v>
      </c>
      <c r="F839" s="35">
        <v>26</v>
      </c>
      <c r="G839" s="36">
        <v>0.17142099999999999</v>
      </c>
      <c r="H839" s="18">
        <v>308.55696799999998</v>
      </c>
      <c r="I839" s="16">
        <v>0</v>
      </c>
      <c r="J839" s="16"/>
      <c r="K839" s="16"/>
      <c r="L839" s="37" t="s">
        <v>107</v>
      </c>
      <c r="M839" s="37"/>
      <c r="N839" s="37">
        <v>333</v>
      </c>
      <c r="O839" s="37"/>
      <c r="P839" s="37"/>
      <c r="Q839" s="18">
        <v>1.8856309999999998</v>
      </c>
      <c r="R839" s="18">
        <v>1.2856574999999999E-2</v>
      </c>
      <c r="S839" s="18">
        <v>3.5998409999999996</v>
      </c>
      <c r="T839" s="18">
        <v>15.42789</v>
      </c>
      <c r="U839" s="18">
        <v>7.7139449999999998</v>
      </c>
      <c r="V839" s="18">
        <v>98.738495999999998</v>
      </c>
      <c r="W839" s="18">
        <v>92.567340000000002</v>
      </c>
      <c r="X839" s="18">
        <v>61.711559999999999</v>
      </c>
      <c r="Y839" s="18">
        <v>2.7427359999999998</v>
      </c>
      <c r="Z839" s="18">
        <v>12.170890999999999</v>
      </c>
      <c r="AA839" s="18">
        <v>17.827783999999998</v>
      </c>
      <c r="AB839" s="18">
        <v>31.712884999999996</v>
      </c>
      <c r="AC839" s="18">
        <v>9.7709969999999995</v>
      </c>
      <c r="AD839" s="18">
        <v>51.426299999999998</v>
      </c>
    </row>
    <row r="840" spans="2:30" x14ac:dyDescent="0.25">
      <c r="B840" t="s">
        <v>138</v>
      </c>
      <c r="C840" t="s">
        <v>570</v>
      </c>
      <c r="D840" t="s">
        <v>629</v>
      </c>
      <c r="E840" s="35">
        <v>0.9</v>
      </c>
      <c r="F840" s="35">
        <v>44</v>
      </c>
      <c r="G840" s="36">
        <v>0.95974800000000005</v>
      </c>
      <c r="H840" s="18">
        <v>1727.546992</v>
      </c>
      <c r="I840" s="16">
        <v>2</v>
      </c>
      <c r="J840" s="16"/>
      <c r="K840" s="16"/>
      <c r="L840" s="37" t="s">
        <v>107</v>
      </c>
      <c r="M840" s="37"/>
      <c r="N840" s="37">
        <v>334</v>
      </c>
      <c r="O840" s="37"/>
      <c r="P840" s="37"/>
      <c r="Q840" s="18">
        <v>10.557228</v>
      </c>
      <c r="R840" s="18">
        <v>7.1981100000000006E-2</v>
      </c>
      <c r="S840" s="18">
        <v>20.154707999999999</v>
      </c>
      <c r="T840" s="18">
        <v>86.377319999999997</v>
      </c>
      <c r="U840" s="18">
        <v>43.188659999999999</v>
      </c>
      <c r="V840" s="18">
        <v>552.81484799999998</v>
      </c>
      <c r="W840" s="18">
        <v>518.26391999999998</v>
      </c>
      <c r="X840" s="18">
        <v>345.50927999999999</v>
      </c>
      <c r="Y840" s="18">
        <v>15.355968000000001</v>
      </c>
      <c r="Z840" s="18">
        <v>68.142108000000007</v>
      </c>
      <c r="AA840" s="18">
        <v>99.813792000000007</v>
      </c>
      <c r="AB840" s="18">
        <v>177.55338</v>
      </c>
      <c r="AC840" s="18">
        <v>54.705636000000005</v>
      </c>
      <c r="AD840" s="18">
        <v>287.92439999999999</v>
      </c>
    </row>
    <row r="841" spans="2:30" x14ac:dyDescent="0.25">
      <c r="B841" t="s">
        <v>166</v>
      </c>
      <c r="C841" t="s">
        <v>570</v>
      </c>
      <c r="D841" t="s">
        <v>361</v>
      </c>
      <c r="E841" s="35">
        <v>0.9</v>
      </c>
      <c r="F841" s="35">
        <v>26</v>
      </c>
      <c r="G841" s="36">
        <v>0.151835</v>
      </c>
      <c r="H841" s="18">
        <v>273.30240199999997</v>
      </c>
      <c r="I841" s="16">
        <v>0</v>
      </c>
      <c r="J841" s="16"/>
      <c r="K841" s="16"/>
      <c r="L841" s="37" t="s">
        <v>107</v>
      </c>
      <c r="M841" s="37"/>
      <c r="N841" s="37">
        <v>335</v>
      </c>
      <c r="O841" s="37"/>
      <c r="P841" s="37"/>
      <c r="Q841" s="18">
        <v>1.670185</v>
      </c>
      <c r="R841" s="18">
        <v>1.1387625E-2</v>
      </c>
      <c r="S841" s="18">
        <v>3.1885349999999999</v>
      </c>
      <c r="T841" s="18">
        <v>13.665150000000001</v>
      </c>
      <c r="U841" s="18">
        <v>6.8325750000000003</v>
      </c>
      <c r="V841" s="18">
        <v>87.456959999999995</v>
      </c>
      <c r="W841" s="18">
        <v>81.990899999999996</v>
      </c>
      <c r="X841" s="18">
        <v>54.660600000000002</v>
      </c>
      <c r="Y841" s="18">
        <v>2.42936</v>
      </c>
      <c r="Z841" s="18">
        <v>10.780284999999999</v>
      </c>
      <c r="AA841" s="18">
        <v>15.790839999999999</v>
      </c>
      <c r="AB841" s="18">
        <v>28.089475</v>
      </c>
      <c r="AC841" s="18">
        <v>8.6545950000000005</v>
      </c>
      <c r="AD841" s="18">
        <v>45.5505</v>
      </c>
    </row>
    <row r="842" spans="2:30" x14ac:dyDescent="0.25">
      <c r="B842" t="s">
        <v>166</v>
      </c>
      <c r="C842" t="s">
        <v>570</v>
      </c>
      <c r="D842" t="s">
        <v>630</v>
      </c>
      <c r="E842" s="35">
        <v>0.9</v>
      </c>
      <c r="F842" s="35">
        <v>26</v>
      </c>
      <c r="G842" s="36">
        <v>0.29604200000000003</v>
      </c>
      <c r="H842" s="18">
        <v>532.87584000000004</v>
      </c>
      <c r="I842" s="16">
        <v>0</v>
      </c>
      <c r="J842" s="16"/>
      <c r="K842" s="16"/>
      <c r="L842" s="37" t="s">
        <v>107</v>
      </c>
      <c r="M842" s="37"/>
      <c r="N842" s="37">
        <v>336</v>
      </c>
      <c r="O842" s="37"/>
      <c r="P842" s="37"/>
      <c r="Q842" s="18">
        <v>3.2564620000000004</v>
      </c>
      <c r="R842" s="18">
        <v>2.2203150000000001E-2</v>
      </c>
      <c r="S842" s="18">
        <v>6.2168820000000009</v>
      </c>
      <c r="T842" s="18">
        <v>26.643780000000003</v>
      </c>
      <c r="U842" s="18">
        <v>13.321890000000002</v>
      </c>
      <c r="V842" s="18">
        <v>170.52019200000001</v>
      </c>
      <c r="W842" s="18">
        <v>159.86268000000001</v>
      </c>
      <c r="X842" s="18">
        <v>106.57512000000001</v>
      </c>
      <c r="Y842" s="18">
        <v>4.7366720000000004</v>
      </c>
      <c r="Z842" s="18">
        <v>21.018982000000001</v>
      </c>
      <c r="AA842" s="18">
        <v>30.788368000000002</v>
      </c>
      <c r="AB842" s="18">
        <v>54.767770000000006</v>
      </c>
      <c r="AC842" s="18">
        <v>16.874394000000002</v>
      </c>
      <c r="AD842" s="18">
        <v>88.812600000000003</v>
      </c>
    </row>
    <row r="843" spans="2:30" x14ac:dyDescent="0.25">
      <c r="B843" t="s">
        <v>337</v>
      </c>
      <c r="C843" t="s">
        <v>570</v>
      </c>
      <c r="D843" t="s">
        <v>616</v>
      </c>
      <c r="E843" s="35">
        <v>0.9</v>
      </c>
      <c r="F843" s="35">
        <v>26</v>
      </c>
      <c r="G843" s="36">
        <v>0.17246</v>
      </c>
      <c r="H843" s="18">
        <v>310.42889200000002</v>
      </c>
      <c r="I843" s="16">
        <v>0</v>
      </c>
      <c r="J843" s="16"/>
      <c r="K843" s="16"/>
      <c r="L843" s="37" t="s">
        <v>107</v>
      </c>
      <c r="M843" s="37"/>
      <c r="N843" s="37">
        <v>337</v>
      </c>
      <c r="O843" s="37"/>
      <c r="P843" s="37"/>
      <c r="Q843" s="18">
        <v>1.89706</v>
      </c>
      <c r="R843" s="18">
        <v>1.29345E-2</v>
      </c>
      <c r="S843" s="18">
        <v>3.6216599999999999</v>
      </c>
      <c r="T843" s="18">
        <v>15.5214</v>
      </c>
      <c r="U843" s="18">
        <v>7.7606999999999999</v>
      </c>
      <c r="V843" s="18">
        <v>99.336960000000005</v>
      </c>
      <c r="W843" s="18">
        <v>93.128399999999999</v>
      </c>
      <c r="X843" s="18">
        <v>62.085599999999999</v>
      </c>
      <c r="Y843" s="18">
        <v>2.75936</v>
      </c>
      <c r="Z843" s="18">
        <v>12.24466</v>
      </c>
      <c r="AA843" s="18">
        <v>17.935839999999999</v>
      </c>
      <c r="AB843" s="18">
        <v>31.905100000000001</v>
      </c>
      <c r="AC843" s="18">
        <v>9.8302200000000006</v>
      </c>
      <c r="AD843" s="18">
        <v>51.738</v>
      </c>
    </row>
    <row r="844" spans="2:30" x14ac:dyDescent="0.25">
      <c r="B844" t="s">
        <v>108</v>
      </c>
      <c r="C844" t="s">
        <v>570</v>
      </c>
      <c r="D844" t="s">
        <v>631</v>
      </c>
      <c r="E844" s="35">
        <v>0.9</v>
      </c>
      <c r="F844" s="35">
        <v>16</v>
      </c>
      <c r="G844" s="36">
        <v>2.6026000000000001E-2</v>
      </c>
      <c r="H844" s="18">
        <v>46.846094000000001</v>
      </c>
      <c r="I844" s="16">
        <v>0</v>
      </c>
      <c r="J844" s="16"/>
      <c r="K844" s="16"/>
      <c r="L844" s="37" t="s">
        <v>107</v>
      </c>
      <c r="M844" s="37"/>
      <c r="N844" s="37">
        <v>338</v>
      </c>
      <c r="O844" s="37"/>
      <c r="P844" s="37"/>
      <c r="Q844" s="18">
        <v>0.28628599999999998</v>
      </c>
      <c r="R844" s="18">
        <v>1.95195E-3</v>
      </c>
      <c r="S844" s="18">
        <v>0.54654599999999998</v>
      </c>
      <c r="T844" s="18">
        <v>2.3423400000000001</v>
      </c>
      <c r="U844" s="18">
        <v>1.17117</v>
      </c>
      <c r="V844" s="18">
        <v>14.990976</v>
      </c>
      <c r="W844" s="18">
        <v>14.054040000000001</v>
      </c>
      <c r="X844" s="18">
        <v>9.3693600000000004</v>
      </c>
      <c r="Y844" s="18">
        <v>0.41641600000000001</v>
      </c>
      <c r="Z844" s="18">
        <v>1.8478460000000001</v>
      </c>
      <c r="AA844" s="18">
        <v>2.7067040000000002</v>
      </c>
      <c r="AB844" s="18">
        <v>4.8148100000000005</v>
      </c>
      <c r="AC844" s="18">
        <v>1.483482</v>
      </c>
      <c r="AD844" s="18">
        <v>7.8078000000000003</v>
      </c>
    </row>
    <row r="845" spans="2:30" x14ac:dyDescent="0.25">
      <c r="B845" t="s">
        <v>108</v>
      </c>
      <c r="C845" t="s">
        <v>570</v>
      </c>
      <c r="D845" t="s">
        <v>632</v>
      </c>
      <c r="E845" s="35">
        <v>0.9</v>
      </c>
      <c r="F845" s="35">
        <v>16</v>
      </c>
      <c r="G845" s="36">
        <v>4.6718999999999997E-2</v>
      </c>
      <c r="H845" s="18">
        <v>84.093515999999994</v>
      </c>
      <c r="I845" s="16">
        <v>0</v>
      </c>
      <c r="J845" s="16"/>
      <c r="K845" s="16"/>
      <c r="L845" s="37" t="s">
        <v>107</v>
      </c>
      <c r="M845" s="37"/>
      <c r="N845" s="37">
        <v>339</v>
      </c>
      <c r="O845" s="37"/>
      <c r="P845" s="37"/>
      <c r="Q845" s="18">
        <v>0.51390899999999995</v>
      </c>
      <c r="R845" s="18">
        <v>3.5039249999999997E-3</v>
      </c>
      <c r="S845" s="18">
        <v>0.98109899999999994</v>
      </c>
      <c r="T845" s="18">
        <v>4.2047099999999995</v>
      </c>
      <c r="U845" s="18">
        <v>2.1023549999999998</v>
      </c>
      <c r="V845" s="18">
        <v>26.910143999999999</v>
      </c>
      <c r="W845" s="18">
        <v>25.228259999999999</v>
      </c>
      <c r="X845" s="18">
        <v>16.818839999999998</v>
      </c>
      <c r="Y845" s="18">
        <v>0.74750399999999995</v>
      </c>
      <c r="Z845" s="18">
        <v>3.3170489999999999</v>
      </c>
      <c r="AA845" s="18">
        <v>4.8587759999999998</v>
      </c>
      <c r="AB845" s="18">
        <v>8.6430150000000001</v>
      </c>
      <c r="AC845" s="18">
        <v>2.6629829999999997</v>
      </c>
      <c r="AD845" s="18">
        <v>14.015699999999999</v>
      </c>
    </row>
    <row r="846" spans="2:30" x14ac:dyDescent="0.25">
      <c r="B846" t="s">
        <v>108</v>
      </c>
      <c r="C846" t="s">
        <v>570</v>
      </c>
      <c r="D846" t="s">
        <v>611</v>
      </c>
      <c r="E846" s="35">
        <v>0.9</v>
      </c>
      <c r="F846" s="35">
        <v>16</v>
      </c>
      <c r="G846" s="36">
        <v>3.5519000000000002E-2</v>
      </c>
      <c r="H846" s="18">
        <v>63.934336000000002</v>
      </c>
      <c r="I846" s="16">
        <v>0</v>
      </c>
      <c r="J846" s="16"/>
      <c r="K846" s="16"/>
      <c r="L846" s="37" t="s">
        <v>107</v>
      </c>
      <c r="M846" s="37"/>
      <c r="N846" s="37">
        <v>340</v>
      </c>
      <c r="O846" s="37"/>
      <c r="P846" s="37"/>
      <c r="Q846" s="18">
        <v>0.39070900000000003</v>
      </c>
      <c r="R846" s="18">
        <v>2.6639250000000001E-3</v>
      </c>
      <c r="S846" s="18">
        <v>0.74589900000000009</v>
      </c>
      <c r="T846" s="18">
        <v>3.1967100000000004</v>
      </c>
      <c r="U846" s="18">
        <v>1.5983550000000002</v>
      </c>
      <c r="V846" s="18">
        <v>20.458944000000002</v>
      </c>
      <c r="W846" s="18">
        <v>19.180260000000001</v>
      </c>
      <c r="X846" s="18">
        <v>12.786840000000002</v>
      </c>
      <c r="Y846" s="18">
        <v>0.56830400000000003</v>
      </c>
      <c r="Z846" s="18">
        <v>2.521849</v>
      </c>
      <c r="AA846" s="18">
        <v>3.6939760000000001</v>
      </c>
      <c r="AB846" s="18">
        <v>6.5710150000000001</v>
      </c>
      <c r="AC846" s="18">
        <v>2.0245830000000002</v>
      </c>
      <c r="AD846" s="18">
        <v>10.655700000000001</v>
      </c>
    </row>
    <row r="847" spans="2:30" x14ac:dyDescent="0.25">
      <c r="B847" t="s">
        <v>144</v>
      </c>
      <c r="C847" t="s">
        <v>570</v>
      </c>
      <c r="D847" t="s">
        <v>612</v>
      </c>
      <c r="E847" s="35">
        <v>0.9</v>
      </c>
      <c r="F847" s="35">
        <v>40</v>
      </c>
      <c r="G847" s="36">
        <v>0.79543600000000003</v>
      </c>
      <c r="H847" s="18">
        <v>1431.7840819999999</v>
      </c>
      <c r="I847" s="16">
        <v>0</v>
      </c>
      <c r="J847" s="16"/>
      <c r="K847" s="16"/>
      <c r="L847" s="37" t="s">
        <v>107</v>
      </c>
      <c r="M847" s="37"/>
      <c r="N847" s="37">
        <v>341</v>
      </c>
      <c r="O847" s="37"/>
      <c r="P847" s="37"/>
      <c r="Q847" s="18">
        <v>8.7497959999999999</v>
      </c>
      <c r="R847" s="18">
        <v>5.9657700000000001E-2</v>
      </c>
      <c r="S847" s="18">
        <v>16.704156000000001</v>
      </c>
      <c r="T847" s="18">
        <v>71.589240000000004</v>
      </c>
      <c r="U847" s="18">
        <v>35.794620000000002</v>
      </c>
      <c r="V847" s="18">
        <v>458.17113600000005</v>
      </c>
      <c r="W847" s="18">
        <v>429.53543999999999</v>
      </c>
      <c r="X847" s="18">
        <v>286.35696000000002</v>
      </c>
      <c r="Y847" s="18">
        <v>12.726976000000001</v>
      </c>
      <c r="Z847" s="18">
        <v>56.475956000000004</v>
      </c>
      <c r="AA847" s="18">
        <v>82.725344000000007</v>
      </c>
      <c r="AB847" s="18">
        <v>147.15566000000001</v>
      </c>
      <c r="AC847" s="18">
        <v>45.339852</v>
      </c>
      <c r="AD847" s="18">
        <v>238.63080000000002</v>
      </c>
    </row>
    <row r="848" spans="2:30" x14ac:dyDescent="0.25">
      <c r="B848" t="s">
        <v>166</v>
      </c>
      <c r="C848" t="s">
        <v>570</v>
      </c>
      <c r="D848" t="s">
        <v>628</v>
      </c>
      <c r="E848" s="35">
        <v>0.9</v>
      </c>
      <c r="F848" s="35">
        <v>26</v>
      </c>
      <c r="G848" s="36">
        <v>0.17142099999999999</v>
      </c>
      <c r="H848" s="18">
        <v>308.55696799999998</v>
      </c>
      <c r="I848" s="16">
        <v>0</v>
      </c>
      <c r="J848" s="16"/>
      <c r="K848" s="16"/>
      <c r="L848" s="37" t="s">
        <v>107</v>
      </c>
      <c r="M848" s="37"/>
      <c r="N848" s="37">
        <v>342</v>
      </c>
      <c r="O848" s="37"/>
      <c r="P848" s="37"/>
      <c r="Q848" s="18">
        <v>1.8856309999999998</v>
      </c>
      <c r="R848" s="18">
        <v>1.2856574999999999E-2</v>
      </c>
      <c r="S848" s="18">
        <v>3.5998409999999996</v>
      </c>
      <c r="T848" s="18">
        <v>15.42789</v>
      </c>
      <c r="U848" s="18">
        <v>7.7139449999999998</v>
      </c>
      <c r="V848" s="18">
        <v>98.738495999999998</v>
      </c>
      <c r="W848" s="18">
        <v>92.567340000000002</v>
      </c>
      <c r="X848" s="18">
        <v>61.711559999999999</v>
      </c>
      <c r="Y848" s="18">
        <v>2.7427359999999998</v>
      </c>
      <c r="Z848" s="18">
        <v>12.170890999999999</v>
      </c>
      <c r="AA848" s="18">
        <v>17.827783999999998</v>
      </c>
      <c r="AB848" s="18">
        <v>31.712884999999996</v>
      </c>
      <c r="AC848" s="18">
        <v>9.7709969999999995</v>
      </c>
      <c r="AD848" s="18">
        <v>51.426299999999998</v>
      </c>
    </row>
    <row r="849" spans="2:30" x14ac:dyDescent="0.25">
      <c r="B849" t="s">
        <v>166</v>
      </c>
      <c r="C849" t="s">
        <v>570</v>
      </c>
      <c r="D849" t="s">
        <v>630</v>
      </c>
      <c r="E849" s="35">
        <v>0.9</v>
      </c>
      <c r="F849" s="35">
        <v>26</v>
      </c>
      <c r="G849" s="36">
        <v>0.29604200000000003</v>
      </c>
      <c r="H849" s="18">
        <v>532.87584000000004</v>
      </c>
      <c r="I849" s="16">
        <v>0</v>
      </c>
      <c r="J849" s="16"/>
      <c r="K849" s="16"/>
      <c r="L849" s="37" t="s">
        <v>107</v>
      </c>
      <c r="M849" s="37"/>
      <c r="N849" s="37">
        <v>343</v>
      </c>
      <c r="O849" s="37"/>
      <c r="P849" s="37"/>
      <c r="Q849" s="18">
        <v>3.2564620000000004</v>
      </c>
      <c r="R849" s="18">
        <v>2.2203150000000001E-2</v>
      </c>
      <c r="S849" s="18">
        <v>6.2168820000000009</v>
      </c>
      <c r="T849" s="18">
        <v>26.643780000000003</v>
      </c>
      <c r="U849" s="18">
        <v>13.321890000000002</v>
      </c>
      <c r="V849" s="18">
        <v>170.52019200000001</v>
      </c>
      <c r="W849" s="18">
        <v>159.86268000000001</v>
      </c>
      <c r="X849" s="18">
        <v>106.57512000000001</v>
      </c>
      <c r="Y849" s="18">
        <v>4.7366720000000004</v>
      </c>
      <c r="Z849" s="18">
        <v>21.018982000000001</v>
      </c>
      <c r="AA849" s="18">
        <v>30.788368000000002</v>
      </c>
      <c r="AB849" s="18">
        <v>54.767770000000006</v>
      </c>
      <c r="AC849" s="18">
        <v>16.874394000000002</v>
      </c>
      <c r="AD849" s="18">
        <v>88.812600000000003</v>
      </c>
    </row>
    <row r="850" spans="2:30" x14ac:dyDescent="0.25">
      <c r="B850" t="s">
        <v>337</v>
      </c>
      <c r="C850" t="s">
        <v>570</v>
      </c>
      <c r="D850" t="s">
        <v>616</v>
      </c>
      <c r="E850" s="35">
        <v>0.9</v>
      </c>
      <c r="F850" s="35">
        <v>26</v>
      </c>
      <c r="G850" s="36">
        <v>0.17246</v>
      </c>
      <c r="H850" s="18">
        <v>310.42889200000002</v>
      </c>
      <c r="I850" s="16">
        <v>0</v>
      </c>
      <c r="J850" s="16"/>
      <c r="K850" s="16"/>
      <c r="L850" s="37" t="s">
        <v>107</v>
      </c>
      <c r="M850" s="37"/>
      <c r="N850" s="37">
        <v>344</v>
      </c>
      <c r="O850" s="37"/>
      <c r="P850" s="37"/>
      <c r="Q850" s="18">
        <v>1.89706</v>
      </c>
      <c r="R850" s="18">
        <v>1.29345E-2</v>
      </c>
      <c r="S850" s="18">
        <v>3.6216599999999999</v>
      </c>
      <c r="T850" s="18">
        <v>15.5214</v>
      </c>
      <c r="U850" s="18">
        <v>7.7606999999999999</v>
      </c>
      <c r="V850" s="18">
        <v>99.336960000000005</v>
      </c>
      <c r="W850" s="18">
        <v>93.128399999999999</v>
      </c>
      <c r="X850" s="18">
        <v>62.085599999999999</v>
      </c>
      <c r="Y850" s="18">
        <v>2.75936</v>
      </c>
      <c r="Z850" s="18">
        <v>12.24466</v>
      </c>
      <c r="AA850" s="18">
        <v>17.935839999999999</v>
      </c>
      <c r="AB850" s="18">
        <v>31.905100000000001</v>
      </c>
      <c r="AC850" s="18">
        <v>9.8302200000000006</v>
      </c>
      <c r="AD850" s="18">
        <v>51.738</v>
      </c>
    </row>
    <row r="851" spans="2:30" x14ac:dyDescent="0.25">
      <c r="B851" t="s">
        <v>104</v>
      </c>
      <c r="C851" t="s">
        <v>570</v>
      </c>
      <c r="D851" t="s">
        <v>237</v>
      </c>
      <c r="E851" s="35">
        <v>0.9</v>
      </c>
      <c r="F851" s="35">
        <v>68</v>
      </c>
      <c r="G851" s="36">
        <v>0.99502800000000002</v>
      </c>
      <c r="H851" s="18">
        <v>1791.0511039999999</v>
      </c>
      <c r="I851" s="16">
        <v>0</v>
      </c>
      <c r="J851" s="16"/>
      <c r="K851" s="16"/>
      <c r="L851" s="37" t="s">
        <v>107</v>
      </c>
      <c r="M851" s="37"/>
      <c r="N851" s="37">
        <v>345</v>
      </c>
      <c r="O851" s="37"/>
      <c r="P851" s="37"/>
      <c r="Q851" s="18">
        <v>10.945308000000001</v>
      </c>
      <c r="R851" s="18">
        <v>7.4627100000000002E-2</v>
      </c>
      <c r="S851" s="18">
        <v>20.895588</v>
      </c>
      <c r="T851" s="18">
        <v>89.552520000000001</v>
      </c>
      <c r="U851" s="18">
        <v>44.776260000000001</v>
      </c>
      <c r="V851" s="18">
        <v>573.13612799999999</v>
      </c>
      <c r="W851" s="18">
        <v>537.31511999999998</v>
      </c>
      <c r="X851" s="18">
        <v>358.21008</v>
      </c>
      <c r="Y851" s="18">
        <v>15.920448</v>
      </c>
      <c r="Z851" s="18">
        <v>70.646988000000007</v>
      </c>
      <c r="AA851" s="18">
        <v>103.482912</v>
      </c>
      <c r="AB851" s="18">
        <v>184.08018000000001</v>
      </c>
      <c r="AC851" s="18">
        <v>56.716596000000003</v>
      </c>
      <c r="AD851" s="18">
        <v>298.50839999999999</v>
      </c>
    </row>
    <row r="852" spans="2:30" x14ac:dyDescent="0.25">
      <c r="B852" t="s">
        <v>271</v>
      </c>
      <c r="C852" t="s">
        <v>570</v>
      </c>
      <c r="D852" t="s">
        <v>633</v>
      </c>
      <c r="E852" s="35">
        <v>0.9</v>
      </c>
      <c r="F852" s="35">
        <v>45</v>
      </c>
      <c r="G852" s="36">
        <v>0.64347500000000002</v>
      </c>
      <c r="H852" s="18">
        <v>1158.2555050000001</v>
      </c>
      <c r="I852" s="16">
        <v>0</v>
      </c>
      <c r="J852" s="16"/>
      <c r="K852" s="16"/>
      <c r="L852" s="37" t="s">
        <v>107</v>
      </c>
      <c r="M852" s="37"/>
      <c r="N852" s="37">
        <v>346</v>
      </c>
      <c r="O852" s="37"/>
      <c r="P852" s="37"/>
      <c r="Q852" s="18">
        <v>7.0782249999999998</v>
      </c>
      <c r="R852" s="18">
        <v>4.8260625000000001E-2</v>
      </c>
      <c r="S852" s="18">
        <v>13.512975000000001</v>
      </c>
      <c r="T852" s="18">
        <v>57.912750000000003</v>
      </c>
      <c r="U852" s="18">
        <v>28.956375000000001</v>
      </c>
      <c r="V852" s="18">
        <v>370.64160000000004</v>
      </c>
      <c r="W852" s="18">
        <v>347.47649999999999</v>
      </c>
      <c r="X852" s="18">
        <v>231.65100000000001</v>
      </c>
      <c r="Y852" s="18">
        <v>10.2956</v>
      </c>
      <c r="Z852" s="18">
        <v>45.686725000000003</v>
      </c>
      <c r="AA852" s="18">
        <v>66.921400000000006</v>
      </c>
      <c r="AB852" s="18">
        <v>119.04287500000001</v>
      </c>
      <c r="AC852" s="18">
        <v>36.678075</v>
      </c>
      <c r="AD852" s="18">
        <v>193.04250000000002</v>
      </c>
    </row>
    <row r="853" spans="2:30" x14ac:dyDescent="0.25">
      <c r="B853" t="s">
        <v>110</v>
      </c>
      <c r="C853" t="s">
        <v>570</v>
      </c>
      <c r="D853" t="s">
        <v>634</v>
      </c>
      <c r="E853" s="35">
        <v>0.9</v>
      </c>
      <c r="F853" s="35">
        <v>22</v>
      </c>
      <c r="G853" s="36">
        <v>0.33101399999999997</v>
      </c>
      <c r="H853" s="18">
        <v>595.82504400000005</v>
      </c>
      <c r="I853" s="16">
        <v>0</v>
      </c>
      <c r="J853" s="16"/>
      <c r="K853" s="16"/>
      <c r="L853" s="37" t="s">
        <v>107</v>
      </c>
      <c r="M853" s="37"/>
      <c r="N853" s="37">
        <v>347</v>
      </c>
      <c r="O853" s="37"/>
      <c r="P853" s="37"/>
      <c r="Q853" s="18">
        <v>3.6411539999999998</v>
      </c>
      <c r="R853" s="18">
        <v>2.4826049999999999E-2</v>
      </c>
      <c r="S853" s="18">
        <v>6.9512939999999999</v>
      </c>
      <c r="T853" s="18">
        <v>29.791259999999998</v>
      </c>
      <c r="U853" s="18">
        <v>14.895629999999999</v>
      </c>
      <c r="V853" s="18">
        <v>190.664064</v>
      </c>
      <c r="W853" s="18">
        <v>178.74755999999999</v>
      </c>
      <c r="X853" s="18">
        <v>119.16503999999999</v>
      </c>
      <c r="Y853" s="18">
        <v>5.2962239999999996</v>
      </c>
      <c r="Z853" s="18">
        <v>23.501994</v>
      </c>
      <c r="AA853" s="18">
        <v>34.425455999999997</v>
      </c>
      <c r="AB853" s="18">
        <v>61.237589999999997</v>
      </c>
      <c r="AC853" s="18">
        <v>18.867797999999997</v>
      </c>
      <c r="AD853" s="18">
        <v>99.304199999999994</v>
      </c>
    </row>
    <row r="854" spans="2:30" x14ac:dyDescent="0.25">
      <c r="B854" t="s">
        <v>141</v>
      </c>
      <c r="C854" t="s">
        <v>570</v>
      </c>
      <c r="D854" t="s">
        <v>366</v>
      </c>
      <c r="E854" s="35">
        <v>0.9</v>
      </c>
      <c r="F854" s="35">
        <v>46</v>
      </c>
      <c r="G854" s="36">
        <v>0.66942800000000002</v>
      </c>
      <c r="H854" s="18">
        <v>1204.9696630000001</v>
      </c>
      <c r="I854" s="16">
        <v>0</v>
      </c>
      <c r="J854" s="16"/>
      <c r="K854" s="16"/>
      <c r="L854" s="37" t="s">
        <v>107</v>
      </c>
      <c r="M854" s="37"/>
      <c r="N854" s="37">
        <v>348</v>
      </c>
      <c r="O854" s="37"/>
      <c r="P854" s="37"/>
      <c r="Q854" s="18">
        <v>7.3637079999999999</v>
      </c>
      <c r="R854" s="18">
        <v>5.0207099999999998E-2</v>
      </c>
      <c r="S854" s="18">
        <v>14.057988</v>
      </c>
      <c r="T854" s="18">
        <v>60.248519999999999</v>
      </c>
      <c r="U854" s="18">
        <v>30.12426</v>
      </c>
      <c r="V854" s="18">
        <v>385.59052800000001</v>
      </c>
      <c r="W854" s="18">
        <v>361.49112000000002</v>
      </c>
      <c r="X854" s="18">
        <v>240.99408</v>
      </c>
      <c r="Y854" s="18">
        <v>10.710848</v>
      </c>
      <c r="Z854" s="18">
        <v>47.529388000000004</v>
      </c>
      <c r="AA854" s="18">
        <v>69.620512000000005</v>
      </c>
      <c r="AB854" s="18">
        <v>123.84418000000001</v>
      </c>
      <c r="AC854" s="18">
        <v>38.157395999999999</v>
      </c>
      <c r="AD854" s="18">
        <v>200.82840000000002</v>
      </c>
    </row>
    <row r="855" spans="2:30" x14ac:dyDescent="0.25">
      <c r="B855" t="s">
        <v>108</v>
      </c>
      <c r="C855" t="s">
        <v>570</v>
      </c>
      <c r="D855" t="s">
        <v>611</v>
      </c>
      <c r="E855" s="35">
        <v>0.9</v>
      </c>
      <c r="F855" s="35">
        <v>16</v>
      </c>
      <c r="G855" s="36">
        <v>3.5519000000000002E-2</v>
      </c>
      <c r="H855" s="18">
        <v>63.934336000000002</v>
      </c>
      <c r="I855" s="16">
        <v>0</v>
      </c>
      <c r="J855" s="16"/>
      <c r="K855" s="16"/>
      <c r="L855" s="37" t="s">
        <v>107</v>
      </c>
      <c r="M855" s="37"/>
      <c r="N855" s="37">
        <v>349</v>
      </c>
      <c r="O855" s="37"/>
      <c r="P855" s="37"/>
      <c r="Q855" s="18">
        <v>0.39070900000000003</v>
      </c>
      <c r="R855" s="18">
        <v>2.6639250000000001E-3</v>
      </c>
      <c r="S855" s="18">
        <v>0.74589900000000009</v>
      </c>
      <c r="T855" s="18">
        <v>3.1967100000000004</v>
      </c>
      <c r="U855" s="18">
        <v>1.5983550000000002</v>
      </c>
      <c r="V855" s="18">
        <v>20.458944000000002</v>
      </c>
      <c r="W855" s="18">
        <v>19.180260000000001</v>
      </c>
      <c r="X855" s="18">
        <v>12.786840000000002</v>
      </c>
      <c r="Y855" s="18">
        <v>0.56830400000000003</v>
      </c>
      <c r="Z855" s="18">
        <v>2.521849</v>
      </c>
      <c r="AA855" s="18">
        <v>3.6939760000000001</v>
      </c>
      <c r="AB855" s="18">
        <v>6.5710150000000001</v>
      </c>
      <c r="AC855" s="18">
        <v>2.0245830000000002</v>
      </c>
      <c r="AD855" s="18">
        <v>10.655700000000001</v>
      </c>
    </row>
    <row r="856" spans="2:30" x14ac:dyDescent="0.25">
      <c r="B856" t="s">
        <v>144</v>
      </c>
      <c r="C856" t="s">
        <v>570</v>
      </c>
      <c r="D856" t="s">
        <v>612</v>
      </c>
      <c r="E856" s="35">
        <v>0.9</v>
      </c>
      <c r="F856" s="35">
        <v>40</v>
      </c>
      <c r="G856" s="36">
        <v>0.79543600000000003</v>
      </c>
      <c r="H856" s="18">
        <v>1431.7840819999999</v>
      </c>
      <c r="I856" s="16">
        <v>0</v>
      </c>
      <c r="J856" s="16"/>
      <c r="K856" s="16"/>
      <c r="L856" s="37" t="s">
        <v>107</v>
      </c>
      <c r="M856" s="37"/>
      <c r="N856" s="37">
        <v>350</v>
      </c>
      <c r="O856" s="37"/>
      <c r="P856" s="37"/>
      <c r="Q856" s="18">
        <v>8.7497959999999999</v>
      </c>
      <c r="R856" s="18">
        <v>5.9657700000000001E-2</v>
      </c>
      <c r="S856" s="18">
        <v>16.704156000000001</v>
      </c>
      <c r="T856" s="18">
        <v>71.589240000000004</v>
      </c>
      <c r="U856" s="18">
        <v>35.794620000000002</v>
      </c>
      <c r="V856" s="18">
        <v>458.17113600000005</v>
      </c>
      <c r="W856" s="18">
        <v>429.53543999999999</v>
      </c>
      <c r="X856" s="18">
        <v>286.35696000000002</v>
      </c>
      <c r="Y856" s="18">
        <v>12.726976000000001</v>
      </c>
      <c r="Z856" s="18">
        <v>56.475956000000004</v>
      </c>
      <c r="AA856" s="18">
        <v>82.725344000000007</v>
      </c>
      <c r="AB856" s="18">
        <v>147.15566000000001</v>
      </c>
      <c r="AC856" s="18">
        <v>45.339852</v>
      </c>
      <c r="AD856" s="18">
        <v>238.63080000000002</v>
      </c>
    </row>
    <row r="857" spans="2:30" x14ac:dyDescent="0.25">
      <c r="B857" t="s">
        <v>355</v>
      </c>
      <c r="C857" t="s">
        <v>570</v>
      </c>
      <c r="D857" t="s">
        <v>366</v>
      </c>
      <c r="E857" s="35">
        <v>0.9</v>
      </c>
      <c r="F857" s="35">
        <v>62</v>
      </c>
      <c r="G857" s="36">
        <v>0.90227199999999996</v>
      </c>
      <c r="H857" s="18">
        <v>1624.0895459999999</v>
      </c>
      <c r="I857" s="16">
        <v>0</v>
      </c>
      <c r="J857" s="16"/>
      <c r="K857" s="16"/>
      <c r="L857" s="37" t="s">
        <v>107</v>
      </c>
      <c r="M857" s="37"/>
      <c r="N857" s="37">
        <v>351</v>
      </c>
      <c r="O857" s="37"/>
      <c r="P857" s="37"/>
      <c r="Q857" s="18">
        <v>9.9249919999999996</v>
      </c>
      <c r="R857" s="18">
        <v>6.7670399999999992E-2</v>
      </c>
      <c r="S857" s="18">
        <v>18.947711999999999</v>
      </c>
      <c r="T857" s="18">
        <v>81.20447999999999</v>
      </c>
      <c r="U857" s="18">
        <v>40.602239999999995</v>
      </c>
      <c r="V857" s="18">
        <v>519.70867199999998</v>
      </c>
      <c r="W857" s="18">
        <v>487.22687999999999</v>
      </c>
      <c r="X857" s="18">
        <v>324.81791999999996</v>
      </c>
      <c r="Y857" s="18">
        <v>14.436351999999999</v>
      </c>
      <c r="Z857" s="18">
        <v>64.061312000000001</v>
      </c>
      <c r="AA857" s="18">
        <v>93.836287999999996</v>
      </c>
      <c r="AB857" s="18">
        <v>166.92032</v>
      </c>
      <c r="AC857" s="18">
        <v>51.429503999999994</v>
      </c>
      <c r="AD857" s="18">
        <v>270.6816</v>
      </c>
    </row>
    <row r="858" spans="2:30" x14ac:dyDescent="0.25">
      <c r="B858" t="s">
        <v>110</v>
      </c>
      <c r="C858" t="s">
        <v>570</v>
      </c>
      <c r="D858" t="s">
        <v>370</v>
      </c>
      <c r="E858" s="35">
        <v>0.9</v>
      </c>
      <c r="F858" s="35">
        <v>22</v>
      </c>
      <c r="G858" s="36">
        <v>0.32925399999999999</v>
      </c>
      <c r="H858" s="18">
        <v>592.65717299999994</v>
      </c>
      <c r="I858" s="16">
        <v>0</v>
      </c>
      <c r="J858" s="16"/>
      <c r="K858" s="16"/>
      <c r="L858" s="37" t="s">
        <v>107</v>
      </c>
      <c r="M858" s="37"/>
      <c r="N858" s="37">
        <v>352</v>
      </c>
      <c r="O858" s="37"/>
      <c r="P858" s="37"/>
      <c r="Q858" s="18">
        <v>3.621794</v>
      </c>
      <c r="R858" s="18">
        <v>2.4694049999999999E-2</v>
      </c>
      <c r="S858" s="18">
        <v>6.9143340000000002</v>
      </c>
      <c r="T858" s="18">
        <v>29.632860000000001</v>
      </c>
      <c r="U858" s="18">
        <v>14.81643</v>
      </c>
      <c r="V858" s="18">
        <v>189.65030400000001</v>
      </c>
      <c r="W858" s="18">
        <v>177.79715999999999</v>
      </c>
      <c r="X858" s="18">
        <v>118.53144</v>
      </c>
      <c r="Y858" s="18">
        <v>5.2680639999999999</v>
      </c>
      <c r="Z858" s="18">
        <v>23.377033999999998</v>
      </c>
      <c r="AA858" s="18">
        <v>34.242415999999999</v>
      </c>
      <c r="AB858" s="18">
        <v>60.911989999999996</v>
      </c>
      <c r="AC858" s="18">
        <v>18.767478000000001</v>
      </c>
      <c r="AD858" s="18">
        <v>98.776200000000003</v>
      </c>
    </row>
    <row r="859" spans="2:30" x14ac:dyDescent="0.25">
      <c r="B859" t="s">
        <v>138</v>
      </c>
      <c r="C859" t="s">
        <v>570</v>
      </c>
      <c r="D859" t="s">
        <v>635</v>
      </c>
      <c r="E859" s="35">
        <v>0.9</v>
      </c>
      <c r="F859" s="35">
        <v>44</v>
      </c>
      <c r="G859" s="36">
        <v>0.61744299999999996</v>
      </c>
      <c r="H859" s="18">
        <v>1111.397354</v>
      </c>
      <c r="I859" s="16">
        <v>2</v>
      </c>
      <c r="J859" s="16"/>
      <c r="K859" s="16"/>
      <c r="L859" s="37" t="s">
        <v>107</v>
      </c>
      <c r="M859" s="37"/>
      <c r="N859" s="37">
        <v>353</v>
      </c>
      <c r="O859" s="37"/>
      <c r="P859" s="37"/>
      <c r="Q859" s="18">
        <v>6.7918729999999998</v>
      </c>
      <c r="R859" s="18">
        <v>4.6308224999999995E-2</v>
      </c>
      <c r="S859" s="18">
        <v>12.966303</v>
      </c>
      <c r="T859" s="18">
        <v>55.569869999999995</v>
      </c>
      <c r="U859" s="18">
        <v>27.784934999999997</v>
      </c>
      <c r="V859" s="18">
        <v>355.64716799999997</v>
      </c>
      <c r="W859" s="18">
        <v>333.41922</v>
      </c>
      <c r="X859" s="18">
        <v>222.27947999999998</v>
      </c>
      <c r="Y859" s="18">
        <v>9.8790879999999994</v>
      </c>
      <c r="Z859" s="18">
        <v>43.838452999999994</v>
      </c>
      <c r="AA859" s="18">
        <v>64.214072000000002</v>
      </c>
      <c r="AB859" s="18">
        <v>114.22695499999999</v>
      </c>
      <c r="AC859" s="18">
        <v>35.194251000000001</v>
      </c>
      <c r="AD859" s="18">
        <v>185.2329</v>
      </c>
    </row>
    <row r="860" spans="2:30" x14ac:dyDescent="0.25">
      <c r="B860" t="s">
        <v>141</v>
      </c>
      <c r="C860" t="s">
        <v>570</v>
      </c>
      <c r="D860" t="s">
        <v>237</v>
      </c>
      <c r="E860" s="35">
        <v>0.9</v>
      </c>
      <c r="F860" s="35">
        <v>46</v>
      </c>
      <c r="G860" s="36">
        <v>0.67310700000000001</v>
      </c>
      <c r="H860" s="18">
        <v>1211.593394</v>
      </c>
      <c r="I860" s="16">
        <v>0</v>
      </c>
      <c r="J860" s="16"/>
      <c r="K860" s="16"/>
      <c r="L860" s="37" t="s">
        <v>107</v>
      </c>
      <c r="M860" s="37"/>
      <c r="N860" s="37">
        <v>354</v>
      </c>
      <c r="O860" s="37"/>
      <c r="P860" s="37"/>
      <c r="Q860" s="18">
        <v>7.4041769999999998</v>
      </c>
      <c r="R860" s="18">
        <v>5.0483025000000001E-2</v>
      </c>
      <c r="S860" s="18">
        <v>14.135247</v>
      </c>
      <c r="T860" s="18">
        <v>60.579630000000002</v>
      </c>
      <c r="U860" s="18">
        <v>30.289815000000001</v>
      </c>
      <c r="V860" s="18">
        <v>387.709632</v>
      </c>
      <c r="W860" s="18">
        <v>363.47778</v>
      </c>
      <c r="X860" s="18">
        <v>242.31852000000001</v>
      </c>
      <c r="Y860" s="18">
        <v>10.769712</v>
      </c>
      <c r="Z860" s="18">
        <v>47.790596999999998</v>
      </c>
      <c r="AA860" s="18">
        <v>70.003128000000004</v>
      </c>
      <c r="AB860" s="18">
        <v>124.524795</v>
      </c>
      <c r="AC860" s="18">
        <v>38.367099000000003</v>
      </c>
      <c r="AD860" s="18">
        <v>201.93209999999999</v>
      </c>
    </row>
    <row r="861" spans="2:30" x14ac:dyDescent="0.25">
      <c r="B861" t="s">
        <v>138</v>
      </c>
      <c r="C861" t="s">
        <v>570</v>
      </c>
      <c r="D861" t="s">
        <v>636</v>
      </c>
      <c r="E861" s="35">
        <v>0.9</v>
      </c>
      <c r="F861" s="35">
        <v>44</v>
      </c>
      <c r="G861" s="36">
        <v>0.62770899999999996</v>
      </c>
      <c r="H861" s="18">
        <v>1129.8753119999999</v>
      </c>
      <c r="I861" s="16">
        <v>2</v>
      </c>
      <c r="J861" s="16"/>
      <c r="K861" s="16"/>
      <c r="L861" s="37" t="s">
        <v>107</v>
      </c>
      <c r="M861" s="37"/>
      <c r="N861" s="37">
        <v>355</v>
      </c>
      <c r="O861" s="37"/>
      <c r="P861" s="37"/>
      <c r="Q861" s="18">
        <v>6.9047989999999997</v>
      </c>
      <c r="R861" s="18">
        <v>4.7078174999999993E-2</v>
      </c>
      <c r="S861" s="18">
        <v>13.181889</v>
      </c>
      <c r="T861" s="18">
        <v>56.493809999999996</v>
      </c>
      <c r="U861" s="18">
        <v>28.246904999999998</v>
      </c>
      <c r="V861" s="18">
        <v>361.560384</v>
      </c>
      <c r="W861" s="18">
        <v>338.96285999999998</v>
      </c>
      <c r="X861" s="18">
        <v>225.97523999999999</v>
      </c>
      <c r="Y861" s="18">
        <v>10.043343999999999</v>
      </c>
      <c r="Z861" s="18">
        <v>44.567338999999997</v>
      </c>
      <c r="AA861" s="18">
        <v>65.281735999999995</v>
      </c>
      <c r="AB861" s="18">
        <v>116.12616499999999</v>
      </c>
      <c r="AC861" s="18">
        <v>35.779412999999998</v>
      </c>
      <c r="AD861" s="18">
        <v>188.31269999999998</v>
      </c>
    </row>
    <row r="862" spans="2:30" x14ac:dyDescent="0.25">
      <c r="B862" t="s">
        <v>166</v>
      </c>
      <c r="C862" t="s">
        <v>570</v>
      </c>
      <c r="D862" t="s">
        <v>628</v>
      </c>
      <c r="E862" s="35">
        <v>0.9</v>
      </c>
      <c r="F862" s="35">
        <v>26</v>
      </c>
      <c r="G862" s="36">
        <v>0.17142099999999999</v>
      </c>
      <c r="H862" s="18">
        <v>308.55696799999998</v>
      </c>
      <c r="I862" s="16">
        <v>0</v>
      </c>
      <c r="J862" s="16"/>
      <c r="K862" s="16"/>
      <c r="L862" s="37" t="s">
        <v>107</v>
      </c>
      <c r="M862" s="37"/>
      <c r="N862" s="37">
        <v>356</v>
      </c>
      <c r="O862" s="37"/>
      <c r="P862" s="37"/>
      <c r="Q862" s="18">
        <v>1.8856309999999998</v>
      </c>
      <c r="R862" s="18">
        <v>1.2856574999999999E-2</v>
      </c>
      <c r="S862" s="18">
        <v>3.5998409999999996</v>
      </c>
      <c r="T862" s="18">
        <v>15.42789</v>
      </c>
      <c r="U862" s="18">
        <v>7.7139449999999998</v>
      </c>
      <c r="V862" s="18">
        <v>98.738495999999998</v>
      </c>
      <c r="W862" s="18">
        <v>92.567340000000002</v>
      </c>
      <c r="X862" s="18">
        <v>61.711559999999999</v>
      </c>
      <c r="Y862" s="18">
        <v>2.7427359999999998</v>
      </c>
      <c r="Z862" s="18">
        <v>12.170890999999999</v>
      </c>
      <c r="AA862" s="18">
        <v>17.827783999999998</v>
      </c>
      <c r="AB862" s="18">
        <v>31.712884999999996</v>
      </c>
      <c r="AC862" s="18">
        <v>9.7709969999999995</v>
      </c>
      <c r="AD862" s="18">
        <v>51.426299999999998</v>
      </c>
    </row>
    <row r="863" spans="2:30" x14ac:dyDescent="0.25">
      <c r="B863" t="s">
        <v>166</v>
      </c>
      <c r="C863" t="s">
        <v>570</v>
      </c>
      <c r="D863" t="s">
        <v>630</v>
      </c>
      <c r="E863" s="35">
        <v>0.9</v>
      </c>
      <c r="F863" s="35">
        <v>26</v>
      </c>
      <c r="G863" s="36">
        <v>0.29604200000000003</v>
      </c>
      <c r="H863" s="18">
        <v>532.87584000000004</v>
      </c>
      <c r="I863" s="16">
        <v>0</v>
      </c>
      <c r="J863" s="16"/>
      <c r="K863" s="16"/>
      <c r="L863" s="37" t="s">
        <v>107</v>
      </c>
      <c r="M863" s="37"/>
      <c r="N863" s="37">
        <v>357</v>
      </c>
      <c r="O863" s="37"/>
      <c r="P863" s="37"/>
      <c r="Q863" s="18">
        <v>3.2564620000000004</v>
      </c>
      <c r="R863" s="18">
        <v>2.2203150000000001E-2</v>
      </c>
      <c r="S863" s="18">
        <v>6.2168820000000009</v>
      </c>
      <c r="T863" s="18">
        <v>26.643780000000003</v>
      </c>
      <c r="U863" s="18">
        <v>13.321890000000002</v>
      </c>
      <c r="V863" s="18">
        <v>170.52019200000001</v>
      </c>
      <c r="W863" s="18">
        <v>159.86268000000001</v>
      </c>
      <c r="X863" s="18">
        <v>106.57512000000001</v>
      </c>
      <c r="Y863" s="18">
        <v>4.7366720000000004</v>
      </c>
      <c r="Z863" s="18">
        <v>21.018982000000001</v>
      </c>
      <c r="AA863" s="18">
        <v>30.788368000000002</v>
      </c>
      <c r="AB863" s="18">
        <v>54.767770000000006</v>
      </c>
      <c r="AC863" s="18">
        <v>16.874394000000002</v>
      </c>
      <c r="AD863" s="18">
        <v>88.812600000000003</v>
      </c>
    </row>
    <row r="864" spans="2:30" x14ac:dyDescent="0.25">
      <c r="B864" t="s">
        <v>337</v>
      </c>
      <c r="C864" t="s">
        <v>570</v>
      </c>
      <c r="D864" t="s">
        <v>616</v>
      </c>
      <c r="E864" s="35">
        <v>0.9</v>
      </c>
      <c r="F864" s="35">
        <v>26</v>
      </c>
      <c r="G864" s="36">
        <v>0.17246</v>
      </c>
      <c r="H864" s="18">
        <v>310.42889200000002</v>
      </c>
      <c r="I864" s="16">
        <v>0</v>
      </c>
      <c r="J864" s="16"/>
      <c r="K864" s="16"/>
      <c r="L864" s="37" t="s">
        <v>107</v>
      </c>
      <c r="M864" s="37"/>
      <c r="N864" s="37">
        <v>358</v>
      </c>
      <c r="O864" s="37"/>
      <c r="P864" s="37"/>
      <c r="Q864" s="18">
        <v>1.89706</v>
      </c>
      <c r="R864" s="18">
        <v>1.29345E-2</v>
      </c>
      <c r="S864" s="18">
        <v>3.6216599999999999</v>
      </c>
      <c r="T864" s="18">
        <v>15.5214</v>
      </c>
      <c r="U864" s="18">
        <v>7.7606999999999999</v>
      </c>
      <c r="V864" s="18">
        <v>99.336960000000005</v>
      </c>
      <c r="W864" s="18">
        <v>93.128399999999999</v>
      </c>
      <c r="X864" s="18">
        <v>62.085599999999999</v>
      </c>
      <c r="Y864" s="18">
        <v>2.75936</v>
      </c>
      <c r="Z864" s="18">
        <v>12.24466</v>
      </c>
      <c r="AA864" s="18">
        <v>17.935839999999999</v>
      </c>
      <c r="AB864" s="18">
        <v>31.905100000000001</v>
      </c>
      <c r="AC864" s="18">
        <v>9.8302200000000006</v>
      </c>
      <c r="AD864" s="18">
        <v>51.738</v>
      </c>
    </row>
    <row r="865" spans="2:30" x14ac:dyDescent="0.25">
      <c r="B865" t="s">
        <v>108</v>
      </c>
      <c r="C865" t="s">
        <v>570</v>
      </c>
      <c r="D865" t="s">
        <v>617</v>
      </c>
      <c r="E865" s="35">
        <v>0.9</v>
      </c>
      <c r="F865" s="35">
        <v>16</v>
      </c>
      <c r="G865" s="36">
        <v>2.5599E-2</v>
      </c>
      <c r="H865" s="18">
        <v>46.077655999999998</v>
      </c>
      <c r="I865" s="16">
        <v>0</v>
      </c>
      <c r="J865" s="16"/>
      <c r="K865" s="16"/>
      <c r="L865" s="37" t="s">
        <v>107</v>
      </c>
      <c r="M865" s="37"/>
      <c r="N865" s="37">
        <v>359</v>
      </c>
      <c r="O865" s="37"/>
      <c r="P865" s="37"/>
      <c r="Q865" s="18">
        <v>0.28158899999999998</v>
      </c>
      <c r="R865" s="18">
        <v>1.9199249999999998E-3</v>
      </c>
      <c r="S865" s="18">
        <v>0.53757900000000003</v>
      </c>
      <c r="T865" s="18">
        <v>2.3039100000000001</v>
      </c>
      <c r="U865" s="18">
        <v>1.1519550000000001</v>
      </c>
      <c r="V865" s="18">
        <v>14.745024000000001</v>
      </c>
      <c r="W865" s="18">
        <v>13.823460000000001</v>
      </c>
      <c r="X865" s="18">
        <v>9.2156400000000005</v>
      </c>
      <c r="Y865" s="18">
        <v>0.409584</v>
      </c>
      <c r="Z865" s="18">
        <v>1.817529</v>
      </c>
      <c r="AA865" s="18">
        <v>2.662296</v>
      </c>
      <c r="AB865" s="18">
        <v>4.7358149999999997</v>
      </c>
      <c r="AC865" s="18">
        <v>1.4591430000000001</v>
      </c>
      <c r="AD865" s="18">
        <v>7.6797000000000004</v>
      </c>
    </row>
    <row r="866" spans="2:30" x14ac:dyDescent="0.25">
      <c r="B866" t="s">
        <v>108</v>
      </c>
      <c r="C866" t="s">
        <v>570</v>
      </c>
      <c r="D866" t="s">
        <v>611</v>
      </c>
      <c r="E866" s="35">
        <v>0.9</v>
      </c>
      <c r="F866" s="35">
        <v>16</v>
      </c>
      <c r="G866" s="36">
        <v>3.5519000000000002E-2</v>
      </c>
      <c r="H866" s="18">
        <v>63.934336000000002</v>
      </c>
      <c r="I866" s="16">
        <v>0</v>
      </c>
      <c r="J866" s="16"/>
      <c r="K866" s="16"/>
      <c r="L866" s="37" t="s">
        <v>107</v>
      </c>
      <c r="M866" s="37"/>
      <c r="N866" s="37">
        <v>360</v>
      </c>
      <c r="O866" s="37"/>
      <c r="P866" s="37"/>
      <c r="Q866" s="18">
        <v>0.39070900000000003</v>
      </c>
      <c r="R866" s="18">
        <v>2.6639250000000001E-3</v>
      </c>
      <c r="S866" s="18">
        <v>0.74589900000000009</v>
      </c>
      <c r="T866" s="18">
        <v>3.1967100000000004</v>
      </c>
      <c r="U866" s="18">
        <v>1.5983550000000002</v>
      </c>
      <c r="V866" s="18">
        <v>20.458944000000002</v>
      </c>
      <c r="W866" s="18">
        <v>19.180260000000001</v>
      </c>
      <c r="X866" s="18">
        <v>12.786840000000002</v>
      </c>
      <c r="Y866" s="18">
        <v>0.56830400000000003</v>
      </c>
      <c r="Z866" s="18">
        <v>2.521849</v>
      </c>
      <c r="AA866" s="18">
        <v>3.6939760000000001</v>
      </c>
      <c r="AB866" s="18">
        <v>6.5710150000000001</v>
      </c>
      <c r="AC866" s="18">
        <v>2.0245830000000002</v>
      </c>
      <c r="AD866" s="18">
        <v>10.655700000000001</v>
      </c>
    </row>
    <row r="867" spans="2:30" x14ac:dyDescent="0.25">
      <c r="B867" t="s">
        <v>144</v>
      </c>
      <c r="C867" t="s">
        <v>570</v>
      </c>
      <c r="D867" t="s">
        <v>612</v>
      </c>
      <c r="E867" s="35">
        <v>0.9</v>
      </c>
      <c r="F867" s="35">
        <v>40</v>
      </c>
      <c r="G867" s="36">
        <v>0.79543600000000003</v>
      </c>
      <c r="H867" s="18">
        <v>1431.7840819999999</v>
      </c>
      <c r="I867" s="16">
        <v>0</v>
      </c>
      <c r="J867" s="16"/>
      <c r="K867" s="16"/>
      <c r="L867" s="37" t="s">
        <v>107</v>
      </c>
      <c r="M867" s="37"/>
      <c r="N867" s="37">
        <v>361</v>
      </c>
      <c r="O867" s="37"/>
      <c r="P867" s="37"/>
      <c r="Q867" s="18">
        <v>8.7497959999999999</v>
      </c>
      <c r="R867" s="18">
        <v>5.9657700000000001E-2</v>
      </c>
      <c r="S867" s="18">
        <v>16.704156000000001</v>
      </c>
      <c r="T867" s="18">
        <v>71.589240000000004</v>
      </c>
      <c r="U867" s="18">
        <v>35.794620000000002</v>
      </c>
      <c r="V867" s="18">
        <v>458.17113600000005</v>
      </c>
      <c r="W867" s="18">
        <v>429.53543999999999</v>
      </c>
      <c r="X867" s="18">
        <v>286.35696000000002</v>
      </c>
      <c r="Y867" s="18">
        <v>12.726976000000001</v>
      </c>
      <c r="Z867" s="18">
        <v>56.475956000000004</v>
      </c>
      <c r="AA867" s="18">
        <v>82.725344000000007</v>
      </c>
      <c r="AB867" s="18">
        <v>147.15566000000001</v>
      </c>
      <c r="AC867" s="18">
        <v>45.339852</v>
      </c>
      <c r="AD867" s="18">
        <v>238.63080000000002</v>
      </c>
    </row>
    <row r="868" spans="2:30" x14ac:dyDescent="0.25">
      <c r="B868" t="s">
        <v>166</v>
      </c>
      <c r="C868" t="s">
        <v>570</v>
      </c>
      <c r="D868" t="s">
        <v>628</v>
      </c>
      <c r="E868" s="35">
        <v>0.9</v>
      </c>
      <c r="F868" s="35">
        <v>26</v>
      </c>
      <c r="G868" s="36">
        <v>0.17142099999999999</v>
      </c>
      <c r="H868" s="18">
        <v>308.55696799999998</v>
      </c>
      <c r="I868" s="16">
        <v>0</v>
      </c>
      <c r="J868" s="16"/>
      <c r="K868" s="16"/>
      <c r="L868" s="37" t="s">
        <v>107</v>
      </c>
      <c r="M868" s="37"/>
      <c r="N868" s="37">
        <v>362</v>
      </c>
      <c r="O868" s="37"/>
      <c r="P868" s="37"/>
      <c r="Q868" s="18">
        <v>1.8856309999999998</v>
      </c>
      <c r="R868" s="18">
        <v>1.2856574999999999E-2</v>
      </c>
      <c r="S868" s="18">
        <v>3.5998409999999996</v>
      </c>
      <c r="T868" s="18">
        <v>15.42789</v>
      </c>
      <c r="U868" s="18">
        <v>7.7139449999999998</v>
      </c>
      <c r="V868" s="18">
        <v>98.738495999999998</v>
      </c>
      <c r="W868" s="18">
        <v>92.567340000000002</v>
      </c>
      <c r="X868" s="18">
        <v>61.711559999999999</v>
      </c>
      <c r="Y868" s="18">
        <v>2.7427359999999998</v>
      </c>
      <c r="Z868" s="18">
        <v>12.170890999999999</v>
      </c>
      <c r="AA868" s="18">
        <v>17.827783999999998</v>
      </c>
      <c r="AB868" s="18">
        <v>31.712884999999996</v>
      </c>
      <c r="AC868" s="18">
        <v>9.7709969999999995</v>
      </c>
      <c r="AD868" s="18">
        <v>51.426299999999998</v>
      </c>
    </row>
    <row r="869" spans="2:30" x14ac:dyDescent="0.25">
      <c r="B869" t="s">
        <v>110</v>
      </c>
      <c r="C869" t="s">
        <v>570</v>
      </c>
      <c r="D869" t="s">
        <v>626</v>
      </c>
      <c r="E869" s="35">
        <v>0.9</v>
      </c>
      <c r="F869" s="35">
        <v>22</v>
      </c>
      <c r="G869" s="36">
        <v>0.24037800000000001</v>
      </c>
      <c r="H869" s="18">
        <v>432.67968300000001</v>
      </c>
      <c r="I869" s="16">
        <v>0</v>
      </c>
      <c r="J869" s="16"/>
      <c r="K869" s="16"/>
      <c r="L869" s="37" t="s">
        <v>107</v>
      </c>
      <c r="M869" s="37"/>
      <c r="N869" s="37">
        <v>363</v>
      </c>
      <c r="O869" s="37"/>
      <c r="P869" s="37"/>
      <c r="Q869" s="18">
        <v>2.644158</v>
      </c>
      <c r="R869" s="18">
        <v>1.8028349999999999E-2</v>
      </c>
      <c r="S869" s="18">
        <v>5.0479380000000003</v>
      </c>
      <c r="T869" s="18">
        <v>21.63402</v>
      </c>
      <c r="U869" s="18">
        <v>10.81701</v>
      </c>
      <c r="V869" s="18">
        <v>138.457728</v>
      </c>
      <c r="W869" s="18">
        <v>129.80412000000001</v>
      </c>
      <c r="X869" s="18">
        <v>86.536079999999998</v>
      </c>
      <c r="Y869" s="18">
        <v>3.8460480000000001</v>
      </c>
      <c r="Z869" s="18">
        <v>17.066838000000001</v>
      </c>
      <c r="AA869" s="18">
        <v>24.999312</v>
      </c>
      <c r="AB869" s="18">
        <v>44.469930000000005</v>
      </c>
      <c r="AC869" s="18">
        <v>13.701546</v>
      </c>
      <c r="AD869" s="18">
        <v>72.113399999999999</v>
      </c>
    </row>
    <row r="870" spans="2:30" x14ac:dyDescent="0.25">
      <c r="B870" t="s">
        <v>110</v>
      </c>
      <c r="C870" t="s">
        <v>570</v>
      </c>
      <c r="D870" t="s">
        <v>627</v>
      </c>
      <c r="E870" s="35">
        <v>0.9</v>
      </c>
      <c r="F870" s="35">
        <v>22</v>
      </c>
      <c r="G870" s="36">
        <v>0.17613999999999999</v>
      </c>
      <c r="H870" s="18">
        <v>317.05238800000001</v>
      </c>
      <c r="I870" s="16">
        <v>0</v>
      </c>
      <c r="J870" s="16"/>
      <c r="K870" s="16"/>
      <c r="L870" s="37" t="s">
        <v>107</v>
      </c>
      <c r="M870" s="37"/>
      <c r="N870" s="37">
        <v>364</v>
      </c>
      <c r="O870" s="37"/>
      <c r="P870" s="37"/>
      <c r="Q870" s="18">
        <v>1.9375399999999998</v>
      </c>
      <c r="R870" s="18">
        <v>1.3210499999999998E-2</v>
      </c>
      <c r="S870" s="18">
        <v>3.6989399999999999</v>
      </c>
      <c r="T870" s="18">
        <v>15.852599999999999</v>
      </c>
      <c r="U870" s="18">
        <v>7.9262999999999995</v>
      </c>
      <c r="V870" s="18">
        <v>101.45663999999999</v>
      </c>
      <c r="W870" s="18">
        <v>95.115600000000001</v>
      </c>
      <c r="X870" s="18">
        <v>63.410399999999996</v>
      </c>
      <c r="Y870" s="18">
        <v>2.8182399999999999</v>
      </c>
      <c r="Z870" s="18">
        <v>12.505939999999999</v>
      </c>
      <c r="AA870" s="18">
        <v>18.318559999999998</v>
      </c>
      <c r="AB870" s="18">
        <v>32.585899999999995</v>
      </c>
      <c r="AC870" s="18">
        <v>10.03998</v>
      </c>
      <c r="AD870" s="18">
        <v>52.841999999999999</v>
      </c>
    </row>
    <row r="871" spans="2:30" x14ac:dyDescent="0.25">
      <c r="B871" t="s">
        <v>158</v>
      </c>
      <c r="C871" t="s">
        <v>570</v>
      </c>
      <c r="D871" t="s">
        <v>637</v>
      </c>
      <c r="E871" s="35">
        <v>0.9</v>
      </c>
      <c r="F871" s="35">
        <v>18</v>
      </c>
      <c r="G871" s="36">
        <v>7.8117000000000006E-2</v>
      </c>
      <c r="H871" s="18">
        <v>140.611333</v>
      </c>
      <c r="I871" s="16">
        <v>0</v>
      </c>
      <c r="J871" s="16"/>
      <c r="K871" s="16"/>
      <c r="L871" s="37" t="s">
        <v>107</v>
      </c>
      <c r="M871" s="37"/>
      <c r="N871" s="37">
        <v>365</v>
      </c>
      <c r="O871" s="37"/>
      <c r="P871" s="37"/>
      <c r="Q871" s="18">
        <v>0.85928700000000002</v>
      </c>
      <c r="R871" s="18">
        <v>5.8587750000000001E-3</v>
      </c>
      <c r="S871" s="18">
        <v>1.6404570000000001</v>
      </c>
      <c r="T871" s="18">
        <v>7.0305300000000006</v>
      </c>
      <c r="U871" s="18">
        <v>3.5152650000000003</v>
      </c>
      <c r="V871" s="18">
        <v>44.995392000000002</v>
      </c>
      <c r="W871" s="18">
        <v>42.18318</v>
      </c>
      <c r="X871" s="18">
        <v>28.122120000000002</v>
      </c>
      <c r="Y871" s="18">
        <v>1.2498720000000001</v>
      </c>
      <c r="Z871" s="18">
        <v>5.5463070000000005</v>
      </c>
      <c r="AA871" s="18">
        <v>8.1241680000000009</v>
      </c>
      <c r="AB871" s="18">
        <v>14.451645000000001</v>
      </c>
      <c r="AC871" s="18">
        <v>4.4526690000000002</v>
      </c>
      <c r="AD871" s="18">
        <v>23.435100000000002</v>
      </c>
    </row>
    <row r="872" spans="2:30" x14ac:dyDescent="0.25">
      <c r="B872" t="s">
        <v>158</v>
      </c>
      <c r="C872" t="s">
        <v>570</v>
      </c>
      <c r="D872" t="s">
        <v>637</v>
      </c>
      <c r="E872" s="35">
        <v>0.9</v>
      </c>
      <c r="F872" s="35">
        <v>18</v>
      </c>
      <c r="G872" s="36">
        <v>7.8117000000000006E-2</v>
      </c>
      <c r="H872" s="18">
        <v>140.611333</v>
      </c>
      <c r="I872" s="16">
        <v>0</v>
      </c>
      <c r="J872" s="16"/>
      <c r="K872" s="16"/>
      <c r="L872" s="37" t="s">
        <v>107</v>
      </c>
      <c r="M872" s="37"/>
      <c r="N872" s="37">
        <v>366</v>
      </c>
      <c r="O872" s="37"/>
      <c r="P872" s="37"/>
      <c r="Q872" s="18">
        <v>0.85928700000000002</v>
      </c>
      <c r="R872" s="18">
        <v>5.8587750000000001E-3</v>
      </c>
      <c r="S872" s="18">
        <v>1.6404570000000001</v>
      </c>
      <c r="T872" s="18">
        <v>7.0305300000000006</v>
      </c>
      <c r="U872" s="18">
        <v>3.5152650000000003</v>
      </c>
      <c r="V872" s="18">
        <v>44.995392000000002</v>
      </c>
      <c r="W872" s="18">
        <v>42.18318</v>
      </c>
      <c r="X872" s="18">
        <v>28.122120000000002</v>
      </c>
      <c r="Y872" s="18">
        <v>1.2498720000000001</v>
      </c>
      <c r="Z872" s="18">
        <v>5.5463070000000005</v>
      </c>
      <c r="AA872" s="18">
        <v>8.1241680000000009</v>
      </c>
      <c r="AB872" s="18">
        <v>14.451645000000001</v>
      </c>
      <c r="AC872" s="18">
        <v>4.4526690000000002</v>
      </c>
      <c r="AD872" s="18">
        <v>23.435100000000002</v>
      </c>
    </row>
    <row r="873" spans="2:30" x14ac:dyDescent="0.25">
      <c r="B873" t="s">
        <v>108</v>
      </c>
      <c r="C873" t="s">
        <v>570</v>
      </c>
      <c r="D873" t="s">
        <v>638</v>
      </c>
      <c r="E873" s="35">
        <v>0.9</v>
      </c>
      <c r="F873" s="35">
        <v>16</v>
      </c>
      <c r="G873" s="36">
        <v>5.5465E-2</v>
      </c>
      <c r="H873" s="18">
        <v>99.836875000000006</v>
      </c>
      <c r="I873" s="16">
        <v>0</v>
      </c>
      <c r="J873" s="16"/>
      <c r="K873" s="16"/>
      <c r="L873" s="37" t="s">
        <v>107</v>
      </c>
      <c r="M873" s="37"/>
      <c r="N873" s="37">
        <v>367</v>
      </c>
      <c r="O873" s="37"/>
      <c r="P873" s="37"/>
      <c r="Q873" s="18">
        <v>0.61011499999999996</v>
      </c>
      <c r="R873" s="18">
        <v>4.1598749999999995E-3</v>
      </c>
      <c r="S873" s="18">
        <v>1.1647650000000001</v>
      </c>
      <c r="T873" s="18">
        <v>4.9918500000000003</v>
      </c>
      <c r="U873" s="18">
        <v>2.4959250000000002</v>
      </c>
      <c r="V873" s="18">
        <v>31.947839999999999</v>
      </c>
      <c r="W873" s="18">
        <v>29.9511</v>
      </c>
      <c r="X873" s="18">
        <v>19.967400000000001</v>
      </c>
      <c r="Y873" s="18">
        <v>0.88744000000000001</v>
      </c>
      <c r="Z873" s="18">
        <v>3.938015</v>
      </c>
      <c r="AA873" s="18">
        <v>5.7683600000000004</v>
      </c>
      <c r="AB873" s="18">
        <v>10.261025</v>
      </c>
      <c r="AC873" s="18">
        <v>3.161505</v>
      </c>
      <c r="AD873" s="18">
        <v>16.639500000000002</v>
      </c>
    </row>
    <row r="874" spans="2:30" x14ac:dyDescent="0.25">
      <c r="B874" t="s">
        <v>110</v>
      </c>
      <c r="C874" t="s">
        <v>570</v>
      </c>
      <c r="D874" t="s">
        <v>315</v>
      </c>
      <c r="E874" s="35">
        <v>0.9</v>
      </c>
      <c r="F874" s="35">
        <v>22</v>
      </c>
      <c r="G874" s="36">
        <v>0.25035099999999999</v>
      </c>
      <c r="H874" s="18">
        <v>450.63095199999998</v>
      </c>
      <c r="I874" s="16">
        <v>0</v>
      </c>
      <c r="J874" s="16"/>
      <c r="K874" s="16"/>
      <c r="L874" s="37" t="s">
        <v>107</v>
      </c>
      <c r="M874" s="37"/>
      <c r="N874" s="37">
        <v>368</v>
      </c>
      <c r="O874" s="37"/>
      <c r="P874" s="37"/>
      <c r="Q874" s="18">
        <v>2.7538609999999997</v>
      </c>
      <c r="R874" s="18">
        <v>1.8776325E-2</v>
      </c>
      <c r="S874" s="18">
        <v>5.257371</v>
      </c>
      <c r="T874" s="18">
        <v>22.531589999999998</v>
      </c>
      <c r="U874" s="18">
        <v>11.265794999999999</v>
      </c>
      <c r="V874" s="18">
        <v>144.20217600000001</v>
      </c>
      <c r="W874" s="18">
        <v>135.18953999999999</v>
      </c>
      <c r="X874" s="18">
        <v>90.126359999999991</v>
      </c>
      <c r="Y874" s="18">
        <v>4.0056159999999998</v>
      </c>
      <c r="Z874" s="18">
        <v>17.774920999999999</v>
      </c>
      <c r="AA874" s="18">
        <v>26.036504000000001</v>
      </c>
      <c r="AB874" s="18">
        <v>46.314934999999998</v>
      </c>
      <c r="AC874" s="18">
        <v>14.270007</v>
      </c>
      <c r="AD874" s="18">
        <v>75.1053</v>
      </c>
    </row>
    <row r="875" spans="2:30" x14ac:dyDescent="0.25">
      <c r="B875" t="s">
        <v>337</v>
      </c>
      <c r="C875" t="s">
        <v>570</v>
      </c>
      <c r="D875" t="s">
        <v>616</v>
      </c>
      <c r="E875" s="35">
        <v>0.9</v>
      </c>
      <c r="F875" s="35">
        <v>26</v>
      </c>
      <c r="G875" s="36">
        <v>0.17246</v>
      </c>
      <c r="H875" s="18">
        <v>310.42889200000002</v>
      </c>
      <c r="I875" s="16">
        <v>0</v>
      </c>
      <c r="J875" s="16"/>
      <c r="K875" s="16"/>
      <c r="L875" s="37" t="s">
        <v>107</v>
      </c>
      <c r="M875" s="37"/>
      <c r="N875" s="37">
        <v>369</v>
      </c>
      <c r="O875" s="37"/>
      <c r="P875" s="37"/>
      <c r="Q875" s="18">
        <v>1.89706</v>
      </c>
      <c r="R875" s="18">
        <v>1.29345E-2</v>
      </c>
      <c r="S875" s="18">
        <v>3.6216599999999999</v>
      </c>
      <c r="T875" s="18">
        <v>15.5214</v>
      </c>
      <c r="U875" s="18">
        <v>7.7606999999999999</v>
      </c>
      <c r="V875" s="18">
        <v>99.336960000000005</v>
      </c>
      <c r="W875" s="18">
        <v>93.128399999999999</v>
      </c>
      <c r="X875" s="18">
        <v>62.085599999999999</v>
      </c>
      <c r="Y875" s="18">
        <v>2.75936</v>
      </c>
      <c r="Z875" s="18">
        <v>12.24466</v>
      </c>
      <c r="AA875" s="18">
        <v>17.935839999999999</v>
      </c>
      <c r="AB875" s="18">
        <v>31.905100000000001</v>
      </c>
      <c r="AC875" s="18">
        <v>9.8302200000000006</v>
      </c>
      <c r="AD875" s="18">
        <v>51.738</v>
      </c>
    </row>
    <row r="876" spans="2:30" x14ac:dyDescent="0.25">
      <c r="B876" t="s">
        <v>138</v>
      </c>
      <c r="C876" t="s">
        <v>570</v>
      </c>
      <c r="D876" t="s">
        <v>639</v>
      </c>
      <c r="E876" s="35">
        <v>0.9</v>
      </c>
      <c r="F876" s="35">
        <v>44</v>
      </c>
      <c r="G876" s="36">
        <v>0.96796099999999996</v>
      </c>
      <c r="H876" s="18">
        <v>1742.3291019999999</v>
      </c>
      <c r="I876" s="16">
        <v>3</v>
      </c>
      <c r="J876" s="16"/>
      <c r="K876" s="16"/>
      <c r="L876" s="37" t="s">
        <v>107</v>
      </c>
      <c r="M876" s="37"/>
      <c r="N876" s="37">
        <v>370</v>
      </c>
      <c r="O876" s="37"/>
      <c r="P876" s="37"/>
      <c r="Q876" s="18">
        <v>10.647570999999999</v>
      </c>
      <c r="R876" s="18">
        <v>7.2597074999999997E-2</v>
      </c>
      <c r="S876" s="18">
        <v>20.327181</v>
      </c>
      <c r="T876" s="18">
        <v>87.116489999999999</v>
      </c>
      <c r="U876" s="18">
        <v>43.558244999999999</v>
      </c>
      <c r="V876" s="18">
        <v>557.54553599999997</v>
      </c>
      <c r="W876" s="18">
        <v>522.69893999999999</v>
      </c>
      <c r="X876" s="18">
        <v>348.46596</v>
      </c>
      <c r="Y876" s="18">
        <v>15.487375999999999</v>
      </c>
      <c r="Z876" s="18">
        <v>68.725230999999994</v>
      </c>
      <c r="AA876" s="18">
        <v>100.66794399999999</v>
      </c>
      <c r="AB876" s="18">
        <v>179.07278499999998</v>
      </c>
      <c r="AC876" s="18">
        <v>55.173777000000001</v>
      </c>
      <c r="AD876" s="18">
        <v>290.38830000000002</v>
      </c>
    </row>
    <row r="877" spans="2:30" x14ac:dyDescent="0.25">
      <c r="B877" t="s">
        <v>337</v>
      </c>
      <c r="C877" t="s">
        <v>570</v>
      </c>
      <c r="D877" t="s">
        <v>374</v>
      </c>
      <c r="E877" s="35">
        <v>0.9</v>
      </c>
      <c r="F877" s="35">
        <v>26</v>
      </c>
      <c r="G877" s="36">
        <v>0.15079500000000001</v>
      </c>
      <c r="H877" s="18">
        <v>271.43047899999999</v>
      </c>
      <c r="I877" s="16">
        <v>0</v>
      </c>
      <c r="J877" s="16"/>
      <c r="K877" s="16"/>
      <c r="L877" s="37" t="s">
        <v>107</v>
      </c>
      <c r="M877" s="37"/>
      <c r="N877" s="37">
        <v>371</v>
      </c>
      <c r="O877" s="37"/>
      <c r="P877" s="37"/>
      <c r="Q877" s="18">
        <v>1.6587450000000001</v>
      </c>
      <c r="R877" s="18">
        <v>1.1309625E-2</v>
      </c>
      <c r="S877" s="18">
        <v>3.1666950000000003</v>
      </c>
      <c r="T877" s="18">
        <v>13.571550000000002</v>
      </c>
      <c r="U877" s="18">
        <v>6.785775000000001</v>
      </c>
      <c r="V877" s="18">
        <v>86.857920000000007</v>
      </c>
      <c r="W877" s="18">
        <v>81.429300000000012</v>
      </c>
      <c r="X877" s="18">
        <v>54.286200000000008</v>
      </c>
      <c r="Y877" s="18">
        <v>2.4127200000000002</v>
      </c>
      <c r="Z877" s="18">
        <v>10.706445</v>
      </c>
      <c r="AA877" s="18">
        <v>15.682680000000001</v>
      </c>
      <c r="AB877" s="18">
        <v>27.897075000000001</v>
      </c>
      <c r="AC877" s="18">
        <v>8.5953150000000011</v>
      </c>
      <c r="AD877" s="18">
        <v>45.238500000000002</v>
      </c>
    </row>
    <row r="878" spans="2:30" x14ac:dyDescent="0.25">
      <c r="B878" t="s">
        <v>160</v>
      </c>
      <c r="C878" t="s">
        <v>570</v>
      </c>
      <c r="D878" t="s">
        <v>375</v>
      </c>
      <c r="E878" s="35">
        <v>0.9</v>
      </c>
      <c r="F878" s="35">
        <v>31</v>
      </c>
      <c r="G878" s="36">
        <v>0.48998799999999998</v>
      </c>
      <c r="H878" s="18">
        <v>881.97792700000002</v>
      </c>
      <c r="I878" s="16">
        <v>0</v>
      </c>
      <c r="J878" s="16"/>
      <c r="K878" s="16"/>
      <c r="L878" s="37" t="s">
        <v>107</v>
      </c>
      <c r="M878" s="37"/>
      <c r="N878" s="37">
        <v>372</v>
      </c>
      <c r="O878" s="37"/>
      <c r="P878" s="37"/>
      <c r="Q878" s="18">
        <v>5.3898679999999999</v>
      </c>
      <c r="R878" s="18">
        <v>3.67491E-2</v>
      </c>
      <c r="S878" s="18">
        <v>10.289747999999999</v>
      </c>
      <c r="T878" s="18">
        <v>44.09892</v>
      </c>
      <c r="U878" s="18">
        <v>22.04946</v>
      </c>
      <c r="V878" s="18">
        <v>282.23308800000001</v>
      </c>
      <c r="W878" s="18">
        <v>264.59352000000001</v>
      </c>
      <c r="X878" s="18">
        <v>176.39568</v>
      </c>
      <c r="Y878" s="18">
        <v>7.8398079999999997</v>
      </c>
      <c r="Z878" s="18">
        <v>34.789147999999997</v>
      </c>
      <c r="AA878" s="18">
        <v>50.958751999999997</v>
      </c>
      <c r="AB878" s="18">
        <v>90.647779999999997</v>
      </c>
      <c r="AC878" s="18">
        <v>27.929316</v>
      </c>
      <c r="AD878" s="18">
        <v>146.99639999999999</v>
      </c>
    </row>
    <row r="879" spans="2:30" x14ac:dyDescent="0.25">
      <c r="B879" t="s">
        <v>138</v>
      </c>
      <c r="C879" t="s">
        <v>570</v>
      </c>
      <c r="D879" t="s">
        <v>640</v>
      </c>
      <c r="E879" s="35">
        <v>0.9</v>
      </c>
      <c r="F879" s="35">
        <v>44</v>
      </c>
      <c r="G879" s="36">
        <v>0.74503799999999998</v>
      </c>
      <c r="H879" s="18">
        <v>1341.068008</v>
      </c>
      <c r="I879" s="16">
        <v>0</v>
      </c>
      <c r="J879" s="16"/>
      <c r="K879" s="16"/>
      <c r="L879" s="37" t="s">
        <v>107</v>
      </c>
      <c r="M879" s="37"/>
      <c r="N879" s="37">
        <v>373</v>
      </c>
      <c r="O879" s="37"/>
      <c r="P879" s="37"/>
      <c r="Q879" s="18">
        <v>8.1954180000000001</v>
      </c>
      <c r="R879" s="18">
        <v>5.587785E-2</v>
      </c>
      <c r="S879" s="18">
        <v>15.645797999999999</v>
      </c>
      <c r="T879" s="18">
        <v>67.053420000000003</v>
      </c>
      <c r="U879" s="18">
        <v>33.526710000000001</v>
      </c>
      <c r="V879" s="18">
        <v>429.14188799999999</v>
      </c>
      <c r="W879" s="18">
        <v>402.32051999999999</v>
      </c>
      <c r="X879" s="18">
        <v>268.21368000000001</v>
      </c>
      <c r="Y879" s="18">
        <v>11.920608</v>
      </c>
      <c r="Z879" s="18">
        <v>52.897697999999998</v>
      </c>
      <c r="AA879" s="18">
        <v>77.483952000000002</v>
      </c>
      <c r="AB879" s="18">
        <v>137.83203</v>
      </c>
      <c r="AC879" s="18">
        <v>42.467165999999999</v>
      </c>
      <c r="AD879" s="18">
        <v>223.51139999999998</v>
      </c>
    </row>
    <row r="880" spans="2:30" x14ac:dyDescent="0.25">
      <c r="B880" t="s">
        <v>108</v>
      </c>
      <c r="C880" t="s">
        <v>570</v>
      </c>
      <c r="D880" t="s">
        <v>638</v>
      </c>
      <c r="E880" s="35">
        <v>0.9</v>
      </c>
      <c r="F880" s="35">
        <v>16</v>
      </c>
      <c r="G880" s="36">
        <v>5.5465E-2</v>
      </c>
      <c r="H880" s="18">
        <v>99.836875000000006</v>
      </c>
      <c r="I880" s="16">
        <v>0</v>
      </c>
      <c r="J880" s="16"/>
      <c r="K880" s="16"/>
      <c r="L880" s="37" t="s">
        <v>107</v>
      </c>
      <c r="M880" s="37"/>
      <c r="N880" s="37">
        <v>374</v>
      </c>
      <c r="O880" s="37"/>
      <c r="P880" s="37"/>
      <c r="Q880" s="18">
        <v>0.61011499999999996</v>
      </c>
      <c r="R880" s="18">
        <v>4.1598749999999995E-3</v>
      </c>
      <c r="S880" s="18">
        <v>1.1647650000000001</v>
      </c>
      <c r="T880" s="18">
        <v>4.9918500000000003</v>
      </c>
      <c r="U880" s="18">
        <v>2.4959250000000002</v>
      </c>
      <c r="V880" s="18">
        <v>31.947839999999999</v>
      </c>
      <c r="W880" s="18">
        <v>29.9511</v>
      </c>
      <c r="X880" s="18">
        <v>19.967400000000001</v>
      </c>
      <c r="Y880" s="18">
        <v>0.88744000000000001</v>
      </c>
      <c r="Z880" s="18">
        <v>3.938015</v>
      </c>
      <c r="AA880" s="18">
        <v>5.7683600000000004</v>
      </c>
      <c r="AB880" s="18">
        <v>10.261025</v>
      </c>
      <c r="AC880" s="18">
        <v>3.161505</v>
      </c>
      <c r="AD880" s="18">
        <v>16.639500000000002</v>
      </c>
    </row>
    <row r="881" spans="2:30" x14ac:dyDescent="0.25">
      <c r="B881" t="s">
        <v>108</v>
      </c>
      <c r="C881" t="s">
        <v>570</v>
      </c>
      <c r="D881" t="s">
        <v>631</v>
      </c>
      <c r="E881" s="35">
        <v>0.9</v>
      </c>
      <c r="F881" s="35">
        <v>16</v>
      </c>
      <c r="G881" s="36">
        <v>2.6026000000000001E-2</v>
      </c>
      <c r="H881" s="18">
        <v>46.846094000000001</v>
      </c>
      <c r="I881" s="16">
        <v>0</v>
      </c>
      <c r="J881" s="16"/>
      <c r="K881" s="16"/>
      <c r="L881" s="37" t="s">
        <v>107</v>
      </c>
      <c r="M881" s="37"/>
      <c r="N881" s="37">
        <v>375</v>
      </c>
      <c r="O881" s="37"/>
      <c r="P881" s="37"/>
      <c r="Q881" s="18">
        <v>0.28628599999999998</v>
      </c>
      <c r="R881" s="18">
        <v>1.95195E-3</v>
      </c>
      <c r="S881" s="18">
        <v>0.54654599999999998</v>
      </c>
      <c r="T881" s="18">
        <v>2.3423400000000001</v>
      </c>
      <c r="U881" s="18">
        <v>1.17117</v>
      </c>
      <c r="V881" s="18">
        <v>14.990976</v>
      </c>
      <c r="W881" s="18">
        <v>14.054040000000001</v>
      </c>
      <c r="X881" s="18">
        <v>9.3693600000000004</v>
      </c>
      <c r="Y881" s="18">
        <v>0.41641600000000001</v>
      </c>
      <c r="Z881" s="18">
        <v>1.8478460000000001</v>
      </c>
      <c r="AA881" s="18">
        <v>2.7067040000000002</v>
      </c>
      <c r="AB881" s="18">
        <v>4.8148100000000005</v>
      </c>
      <c r="AC881" s="18">
        <v>1.483482</v>
      </c>
      <c r="AD881" s="18">
        <v>7.8078000000000003</v>
      </c>
    </row>
    <row r="882" spans="2:30" x14ac:dyDescent="0.25">
      <c r="B882" t="s">
        <v>108</v>
      </c>
      <c r="C882" t="s">
        <v>570</v>
      </c>
      <c r="D882" t="s">
        <v>641</v>
      </c>
      <c r="E882" s="35">
        <v>0.9</v>
      </c>
      <c r="F882" s="35">
        <v>16</v>
      </c>
      <c r="G882" s="36">
        <v>4.2879E-2</v>
      </c>
      <c r="H882" s="18">
        <v>77.181797000000003</v>
      </c>
      <c r="I882" s="16">
        <v>0</v>
      </c>
      <c r="J882" s="16"/>
      <c r="K882" s="16"/>
      <c r="L882" s="37" t="s">
        <v>107</v>
      </c>
      <c r="M882" s="37"/>
      <c r="N882" s="37">
        <v>376</v>
      </c>
      <c r="O882" s="37"/>
      <c r="P882" s="37"/>
      <c r="Q882" s="18">
        <v>0.471669</v>
      </c>
      <c r="R882" s="18">
        <v>3.2159250000000001E-3</v>
      </c>
      <c r="S882" s="18">
        <v>0.90045900000000001</v>
      </c>
      <c r="T882" s="18">
        <v>3.8591100000000003</v>
      </c>
      <c r="U882" s="18">
        <v>1.9295550000000001</v>
      </c>
      <c r="V882" s="18">
        <v>24.698304</v>
      </c>
      <c r="W882" s="18">
        <v>23.15466</v>
      </c>
      <c r="X882" s="18">
        <v>15.436440000000001</v>
      </c>
      <c r="Y882" s="18">
        <v>0.68606400000000001</v>
      </c>
      <c r="Z882" s="18">
        <v>3.0444089999999999</v>
      </c>
      <c r="AA882" s="18">
        <v>4.459416</v>
      </c>
      <c r="AB882" s="18">
        <v>7.9326150000000002</v>
      </c>
      <c r="AC882" s="18">
        <v>2.4441030000000001</v>
      </c>
      <c r="AD882" s="18">
        <v>12.8637</v>
      </c>
    </row>
    <row r="883" spans="2:30" x14ac:dyDescent="0.25">
      <c r="B883" t="s">
        <v>110</v>
      </c>
      <c r="C883" t="s">
        <v>570</v>
      </c>
      <c r="D883" t="s">
        <v>315</v>
      </c>
      <c r="E883" s="35">
        <v>0.9</v>
      </c>
      <c r="F883" s="35">
        <v>22</v>
      </c>
      <c r="G883" s="36">
        <v>0.25035099999999999</v>
      </c>
      <c r="H883" s="18">
        <v>450.63095199999998</v>
      </c>
      <c r="I883" s="16">
        <v>0</v>
      </c>
      <c r="J883" s="16"/>
      <c r="K883" s="16"/>
      <c r="L883" s="37" t="s">
        <v>107</v>
      </c>
      <c r="M883" s="37"/>
      <c r="N883" s="37">
        <v>377</v>
      </c>
      <c r="O883" s="37"/>
      <c r="P883" s="37"/>
      <c r="Q883" s="18">
        <v>2.7538609999999997</v>
      </c>
      <c r="R883" s="18">
        <v>1.8776325E-2</v>
      </c>
      <c r="S883" s="18">
        <v>5.257371</v>
      </c>
      <c r="T883" s="18">
        <v>22.531589999999998</v>
      </c>
      <c r="U883" s="18">
        <v>11.265794999999999</v>
      </c>
      <c r="V883" s="18">
        <v>144.20217600000001</v>
      </c>
      <c r="W883" s="18">
        <v>135.18953999999999</v>
      </c>
      <c r="X883" s="18">
        <v>90.126359999999991</v>
      </c>
      <c r="Y883" s="18">
        <v>4.0056159999999998</v>
      </c>
      <c r="Z883" s="18">
        <v>17.774920999999999</v>
      </c>
      <c r="AA883" s="18">
        <v>26.036504000000001</v>
      </c>
      <c r="AB883" s="18">
        <v>46.314934999999998</v>
      </c>
      <c r="AC883" s="18">
        <v>14.270007</v>
      </c>
      <c r="AD883" s="18">
        <v>75.1053</v>
      </c>
    </row>
    <row r="884" spans="2:30" x14ac:dyDescent="0.25">
      <c r="B884" t="s">
        <v>337</v>
      </c>
      <c r="C884" t="s">
        <v>570</v>
      </c>
      <c r="D884" t="s">
        <v>616</v>
      </c>
      <c r="E884" s="35">
        <v>0.9</v>
      </c>
      <c r="F884" s="35">
        <v>26</v>
      </c>
      <c r="G884" s="36">
        <v>0.17246</v>
      </c>
      <c r="H884" s="18">
        <v>310.42889200000002</v>
      </c>
      <c r="I884" s="16">
        <v>0</v>
      </c>
      <c r="J884" s="16"/>
      <c r="K884" s="16"/>
      <c r="L884" s="37" t="s">
        <v>107</v>
      </c>
      <c r="M884" s="37"/>
      <c r="N884" s="37">
        <v>378</v>
      </c>
      <c r="O884" s="37"/>
      <c r="P884" s="37"/>
      <c r="Q884" s="18">
        <v>1.89706</v>
      </c>
      <c r="R884" s="18">
        <v>1.29345E-2</v>
      </c>
      <c r="S884" s="18">
        <v>3.6216599999999999</v>
      </c>
      <c r="T884" s="18">
        <v>15.5214</v>
      </c>
      <c r="U884" s="18">
        <v>7.7606999999999999</v>
      </c>
      <c r="V884" s="18">
        <v>99.336960000000005</v>
      </c>
      <c r="W884" s="18">
        <v>93.128399999999999</v>
      </c>
      <c r="X884" s="18">
        <v>62.085599999999999</v>
      </c>
      <c r="Y884" s="18">
        <v>2.75936</v>
      </c>
      <c r="Z884" s="18">
        <v>12.24466</v>
      </c>
      <c r="AA884" s="18">
        <v>17.935839999999999</v>
      </c>
      <c r="AB884" s="18">
        <v>31.905100000000001</v>
      </c>
      <c r="AC884" s="18">
        <v>9.8302200000000006</v>
      </c>
      <c r="AD884" s="18">
        <v>51.738</v>
      </c>
    </row>
    <row r="885" spans="2:30" x14ac:dyDescent="0.25">
      <c r="B885" t="s">
        <v>110</v>
      </c>
      <c r="C885" t="s">
        <v>570</v>
      </c>
      <c r="D885" t="s">
        <v>642</v>
      </c>
      <c r="E885" s="35">
        <v>0.9</v>
      </c>
      <c r="F885" s="35">
        <v>22</v>
      </c>
      <c r="G885" s="36">
        <v>0.25871</v>
      </c>
      <c r="H885" s="18">
        <v>465.67833999999999</v>
      </c>
      <c r="I885" s="16">
        <v>0</v>
      </c>
      <c r="J885" s="16"/>
      <c r="K885" s="16"/>
      <c r="L885" s="37" t="s">
        <v>107</v>
      </c>
      <c r="M885" s="37"/>
      <c r="N885" s="37">
        <v>379</v>
      </c>
      <c r="O885" s="37"/>
      <c r="P885" s="37"/>
      <c r="Q885" s="18">
        <v>2.8458100000000002</v>
      </c>
      <c r="R885" s="18">
        <v>1.940325E-2</v>
      </c>
      <c r="S885" s="18">
        <v>5.4329099999999997</v>
      </c>
      <c r="T885" s="18">
        <v>23.283899999999999</v>
      </c>
      <c r="U885" s="18">
        <v>11.64195</v>
      </c>
      <c r="V885" s="18">
        <v>149.01695999999998</v>
      </c>
      <c r="W885" s="18">
        <v>139.70339999999999</v>
      </c>
      <c r="X885" s="18">
        <v>93.135599999999997</v>
      </c>
      <c r="Y885" s="18">
        <v>4.1393599999999999</v>
      </c>
      <c r="Z885" s="18">
        <v>18.368410000000001</v>
      </c>
      <c r="AA885" s="18">
        <v>26.905839999999998</v>
      </c>
      <c r="AB885" s="18">
        <v>47.861350000000002</v>
      </c>
      <c r="AC885" s="18">
        <v>14.74647</v>
      </c>
      <c r="AD885" s="18">
        <v>77.613</v>
      </c>
    </row>
    <row r="886" spans="2:30" x14ac:dyDescent="0.25">
      <c r="B886" t="s">
        <v>166</v>
      </c>
      <c r="C886" t="s">
        <v>570</v>
      </c>
      <c r="D886" t="s">
        <v>381</v>
      </c>
      <c r="E886" s="35">
        <v>0.9</v>
      </c>
      <c r="F886" s="35">
        <v>26</v>
      </c>
      <c r="G886" s="36">
        <v>0.124622</v>
      </c>
      <c r="H886" s="18">
        <v>224.32039599999999</v>
      </c>
      <c r="I886" s="16">
        <v>0</v>
      </c>
      <c r="J886" s="16"/>
      <c r="K886" s="16"/>
      <c r="L886" s="37" t="s">
        <v>107</v>
      </c>
      <c r="M886" s="37"/>
      <c r="N886" s="37">
        <v>380</v>
      </c>
      <c r="O886" s="37"/>
      <c r="P886" s="37"/>
      <c r="Q886" s="18">
        <v>1.3708419999999999</v>
      </c>
      <c r="R886" s="18">
        <v>9.3466499999999997E-3</v>
      </c>
      <c r="S886" s="18">
        <v>2.6170619999999998</v>
      </c>
      <c r="T886" s="18">
        <v>11.21598</v>
      </c>
      <c r="U886" s="18">
        <v>5.60799</v>
      </c>
      <c r="V886" s="18">
        <v>71.782271999999992</v>
      </c>
      <c r="W886" s="18">
        <v>67.295879999999997</v>
      </c>
      <c r="X886" s="18">
        <v>44.86392</v>
      </c>
      <c r="Y886" s="18">
        <v>1.9939519999999999</v>
      </c>
      <c r="Z886" s="18">
        <v>8.8481620000000003</v>
      </c>
      <c r="AA886" s="18">
        <v>12.960687999999999</v>
      </c>
      <c r="AB886" s="18">
        <v>23.055070000000001</v>
      </c>
      <c r="AC886" s="18">
        <v>7.1034540000000002</v>
      </c>
      <c r="AD886" s="18">
        <v>37.386600000000001</v>
      </c>
    </row>
    <row r="887" spans="2:30" x14ac:dyDescent="0.25">
      <c r="B887" t="s">
        <v>166</v>
      </c>
      <c r="C887" t="s">
        <v>570</v>
      </c>
      <c r="D887" t="s">
        <v>643</v>
      </c>
      <c r="E887" s="35">
        <v>0.9</v>
      </c>
      <c r="F887" s="35">
        <v>26</v>
      </c>
      <c r="G887" s="36">
        <v>0.39986500000000003</v>
      </c>
      <c r="H887" s="18">
        <v>719.75623499999995</v>
      </c>
      <c r="I887" s="16">
        <v>0</v>
      </c>
      <c r="J887" s="16"/>
      <c r="K887" s="16"/>
      <c r="L887" s="37" t="s">
        <v>107</v>
      </c>
      <c r="M887" s="37"/>
      <c r="N887" s="37">
        <v>381</v>
      </c>
      <c r="O887" s="37"/>
      <c r="P887" s="37"/>
      <c r="Q887" s="18">
        <v>4.3985150000000006</v>
      </c>
      <c r="R887" s="18">
        <v>2.9989874999999999E-2</v>
      </c>
      <c r="S887" s="18">
        <v>8.3971650000000011</v>
      </c>
      <c r="T887" s="18">
        <v>35.987850000000002</v>
      </c>
      <c r="U887" s="18">
        <v>17.993925000000001</v>
      </c>
      <c r="V887" s="18">
        <v>230.32224000000002</v>
      </c>
      <c r="W887" s="18">
        <v>215.92710000000002</v>
      </c>
      <c r="X887" s="18">
        <v>143.95140000000001</v>
      </c>
      <c r="Y887" s="18">
        <v>6.3978400000000004</v>
      </c>
      <c r="Z887" s="18">
        <v>28.390415000000001</v>
      </c>
      <c r="AA887" s="18">
        <v>41.58596</v>
      </c>
      <c r="AB887" s="18">
        <v>73.975025000000002</v>
      </c>
      <c r="AC887" s="18">
        <v>22.792305000000002</v>
      </c>
      <c r="AD887" s="18">
        <v>119.95950000000001</v>
      </c>
    </row>
    <row r="888" spans="2:30" x14ac:dyDescent="0.25">
      <c r="B888" t="s">
        <v>108</v>
      </c>
      <c r="C888" t="s">
        <v>570</v>
      </c>
      <c r="D888" t="s">
        <v>644</v>
      </c>
      <c r="E888" s="35">
        <v>0.9</v>
      </c>
      <c r="F888" s="35">
        <v>16</v>
      </c>
      <c r="G888" s="36">
        <v>5.9410999999999999E-2</v>
      </c>
      <c r="H888" s="18">
        <v>106.940586</v>
      </c>
      <c r="I888" s="16">
        <v>0</v>
      </c>
      <c r="J888" s="16"/>
      <c r="K888" s="16"/>
      <c r="L888" s="37" t="s">
        <v>107</v>
      </c>
      <c r="M888" s="37"/>
      <c r="N888" s="37">
        <v>382</v>
      </c>
      <c r="O888" s="37"/>
      <c r="P888" s="37"/>
      <c r="Q888" s="18">
        <v>0.65352100000000002</v>
      </c>
      <c r="R888" s="18">
        <v>4.4558250000000001E-3</v>
      </c>
      <c r="S888" s="18">
        <v>1.2476309999999999</v>
      </c>
      <c r="T888" s="18">
        <v>5.3469899999999999</v>
      </c>
      <c r="U888" s="18">
        <v>2.673495</v>
      </c>
      <c r="V888" s="18">
        <v>34.220736000000002</v>
      </c>
      <c r="W888" s="18">
        <v>32.081939999999996</v>
      </c>
      <c r="X888" s="18">
        <v>21.38796</v>
      </c>
      <c r="Y888" s="18">
        <v>0.95057599999999998</v>
      </c>
      <c r="Z888" s="18">
        <v>4.2181809999999995</v>
      </c>
      <c r="AA888" s="18">
        <v>6.178744</v>
      </c>
      <c r="AB888" s="18">
        <v>10.991035</v>
      </c>
      <c r="AC888" s="18">
        <v>3.3864269999999999</v>
      </c>
      <c r="AD888" s="18">
        <v>17.8233</v>
      </c>
    </row>
    <row r="889" spans="2:30" x14ac:dyDescent="0.25">
      <c r="B889" t="s">
        <v>166</v>
      </c>
      <c r="C889" t="s">
        <v>570</v>
      </c>
      <c r="D889" t="s">
        <v>563</v>
      </c>
      <c r="E889" s="35">
        <v>0.9</v>
      </c>
      <c r="F889" s="35">
        <v>26</v>
      </c>
      <c r="G889" s="36">
        <v>0.300375</v>
      </c>
      <c r="H889" s="18">
        <v>540.675522</v>
      </c>
      <c r="I889" s="16">
        <v>0</v>
      </c>
      <c r="J889" s="16"/>
      <c r="K889" s="16"/>
      <c r="L889" s="37" t="s">
        <v>107</v>
      </c>
      <c r="M889" s="37"/>
      <c r="N889" s="37">
        <v>383</v>
      </c>
      <c r="O889" s="37"/>
      <c r="P889" s="37"/>
      <c r="Q889" s="18">
        <v>3.304125</v>
      </c>
      <c r="R889" s="18">
        <v>2.2528125E-2</v>
      </c>
      <c r="S889" s="18">
        <v>6.3078750000000001</v>
      </c>
      <c r="T889" s="18">
        <v>27.033750000000001</v>
      </c>
      <c r="U889" s="18">
        <v>13.516875000000001</v>
      </c>
      <c r="V889" s="18">
        <v>173.01599999999999</v>
      </c>
      <c r="W889" s="18">
        <v>162.20250000000001</v>
      </c>
      <c r="X889" s="18">
        <v>108.13500000000001</v>
      </c>
      <c r="Y889" s="18">
        <v>4.806</v>
      </c>
      <c r="Z889" s="18">
        <v>21.326625</v>
      </c>
      <c r="AA889" s="18">
        <v>31.239000000000001</v>
      </c>
      <c r="AB889" s="18">
        <v>55.569375000000001</v>
      </c>
      <c r="AC889" s="18">
        <v>17.121375</v>
      </c>
      <c r="AD889" s="18">
        <v>90.112499999999997</v>
      </c>
    </row>
    <row r="890" spans="2:30" x14ac:dyDescent="0.25">
      <c r="B890" t="s">
        <v>166</v>
      </c>
      <c r="C890" t="s">
        <v>570</v>
      </c>
      <c r="D890" t="s">
        <v>645</v>
      </c>
      <c r="E890" s="35">
        <v>0.9</v>
      </c>
      <c r="F890" s="35">
        <v>26</v>
      </c>
      <c r="G890" s="36">
        <v>0.29864200000000002</v>
      </c>
      <c r="H890" s="18">
        <v>537.55570399999999</v>
      </c>
      <c r="I890" s="16">
        <v>2</v>
      </c>
      <c r="J890" s="16"/>
      <c r="K890" s="16"/>
      <c r="L890" s="37" t="s">
        <v>107</v>
      </c>
      <c r="M890" s="37"/>
      <c r="N890" s="37">
        <v>384</v>
      </c>
      <c r="O890" s="37"/>
      <c r="P890" s="37"/>
      <c r="Q890" s="18">
        <v>3.2850620000000004</v>
      </c>
      <c r="R890" s="18">
        <v>2.2398150000000002E-2</v>
      </c>
      <c r="S890" s="18">
        <v>6.2714820000000007</v>
      </c>
      <c r="T890" s="18">
        <v>26.877780000000001</v>
      </c>
      <c r="U890" s="18">
        <v>13.438890000000001</v>
      </c>
      <c r="V890" s="18">
        <v>172.01779200000001</v>
      </c>
      <c r="W890" s="18">
        <v>161.26668000000001</v>
      </c>
      <c r="X890" s="18">
        <v>107.51112000000001</v>
      </c>
      <c r="Y890" s="18">
        <v>4.7782720000000003</v>
      </c>
      <c r="Z890" s="18">
        <v>21.203582000000001</v>
      </c>
      <c r="AA890" s="18">
        <v>31.058768000000001</v>
      </c>
      <c r="AB890" s="18">
        <v>55.24877</v>
      </c>
      <c r="AC890" s="18">
        <v>17.022594000000002</v>
      </c>
      <c r="AD890" s="18">
        <v>89.592600000000004</v>
      </c>
    </row>
    <row r="891" spans="2:30" x14ac:dyDescent="0.25">
      <c r="B891" t="s">
        <v>110</v>
      </c>
      <c r="C891" t="s">
        <v>570</v>
      </c>
      <c r="D891" t="s">
        <v>630</v>
      </c>
      <c r="E891" s="35">
        <v>0.9</v>
      </c>
      <c r="F891" s="35">
        <v>22</v>
      </c>
      <c r="G891" s="36">
        <v>0.25049700000000003</v>
      </c>
      <c r="H891" s="18">
        <v>450.89494100000002</v>
      </c>
      <c r="I891" s="16">
        <v>0</v>
      </c>
      <c r="J891" s="16"/>
      <c r="K891" s="16"/>
      <c r="L891" s="37" t="s">
        <v>107</v>
      </c>
      <c r="M891" s="37"/>
      <c r="N891" s="37">
        <v>385</v>
      </c>
      <c r="O891" s="37"/>
      <c r="P891" s="37"/>
      <c r="Q891" s="18">
        <v>2.7554670000000003</v>
      </c>
      <c r="R891" s="18">
        <v>1.8787275000000003E-2</v>
      </c>
      <c r="S891" s="18">
        <v>5.2604370000000005</v>
      </c>
      <c r="T891" s="18">
        <v>22.544730000000001</v>
      </c>
      <c r="U891" s="18">
        <v>11.272365000000001</v>
      </c>
      <c r="V891" s="18">
        <v>144.28627200000003</v>
      </c>
      <c r="W891" s="18">
        <v>135.26838000000001</v>
      </c>
      <c r="X891" s="18">
        <v>90.178920000000005</v>
      </c>
      <c r="Y891" s="18">
        <v>4.0079520000000004</v>
      </c>
      <c r="Z891" s="18">
        <v>17.785287</v>
      </c>
      <c r="AA891" s="18">
        <v>26.051688000000002</v>
      </c>
      <c r="AB891" s="18">
        <v>46.341945000000003</v>
      </c>
      <c r="AC891" s="18">
        <v>14.278329000000001</v>
      </c>
      <c r="AD891" s="18">
        <v>75.149100000000004</v>
      </c>
    </row>
    <row r="892" spans="2:30" x14ac:dyDescent="0.25">
      <c r="B892" t="s">
        <v>108</v>
      </c>
      <c r="C892" t="s">
        <v>570</v>
      </c>
      <c r="D892" t="s">
        <v>631</v>
      </c>
      <c r="E892" s="35">
        <v>0.9</v>
      </c>
      <c r="F892" s="35">
        <v>16</v>
      </c>
      <c r="G892" s="36">
        <v>2.6026000000000001E-2</v>
      </c>
      <c r="H892" s="18">
        <v>46.846094000000001</v>
      </c>
      <c r="I892" s="16">
        <v>0</v>
      </c>
      <c r="J892" s="16"/>
      <c r="K892" s="16"/>
      <c r="L892" s="37" t="s">
        <v>107</v>
      </c>
      <c r="M892" s="37"/>
      <c r="N892" s="37">
        <v>386</v>
      </c>
      <c r="O892" s="37"/>
      <c r="P892" s="37"/>
      <c r="Q892" s="18">
        <v>0.28628599999999998</v>
      </c>
      <c r="R892" s="18">
        <v>1.95195E-3</v>
      </c>
      <c r="S892" s="18">
        <v>0.54654599999999998</v>
      </c>
      <c r="T892" s="18">
        <v>2.3423400000000001</v>
      </c>
      <c r="U892" s="18">
        <v>1.17117</v>
      </c>
      <c r="V892" s="18">
        <v>14.990976</v>
      </c>
      <c r="W892" s="18">
        <v>14.054040000000001</v>
      </c>
      <c r="X892" s="18">
        <v>9.3693600000000004</v>
      </c>
      <c r="Y892" s="18">
        <v>0.41641600000000001</v>
      </c>
      <c r="Z892" s="18">
        <v>1.8478460000000001</v>
      </c>
      <c r="AA892" s="18">
        <v>2.7067040000000002</v>
      </c>
      <c r="AB892" s="18">
        <v>4.8148100000000005</v>
      </c>
      <c r="AC892" s="18">
        <v>1.483482</v>
      </c>
      <c r="AD892" s="18">
        <v>7.8078000000000003</v>
      </c>
    </row>
    <row r="893" spans="2:30" x14ac:dyDescent="0.25">
      <c r="B893" t="s">
        <v>108</v>
      </c>
      <c r="C893" t="s">
        <v>570</v>
      </c>
      <c r="D893" t="s">
        <v>646</v>
      </c>
      <c r="E893" s="35">
        <v>0.9</v>
      </c>
      <c r="F893" s="35">
        <v>16</v>
      </c>
      <c r="G893" s="36">
        <v>2.8198000000000001E-2</v>
      </c>
      <c r="H893" s="18">
        <v>50.756754000000001</v>
      </c>
      <c r="I893" s="16">
        <v>0</v>
      </c>
      <c r="J893" s="16"/>
      <c r="K893" s="16"/>
      <c r="L893" s="37" t="s">
        <v>107</v>
      </c>
      <c r="M893" s="37"/>
      <c r="N893" s="37">
        <v>387</v>
      </c>
      <c r="O893" s="37"/>
      <c r="P893" s="37"/>
      <c r="Q893" s="18">
        <v>0.31017800000000001</v>
      </c>
      <c r="R893" s="18">
        <v>2.1148500000000001E-3</v>
      </c>
      <c r="S893" s="18">
        <v>0.59215799999999996</v>
      </c>
      <c r="T893" s="18">
        <v>2.53782</v>
      </c>
      <c r="U893" s="18">
        <v>1.26891</v>
      </c>
      <c r="V893" s="18">
        <v>16.242048</v>
      </c>
      <c r="W893" s="18">
        <v>15.22692</v>
      </c>
      <c r="X893" s="18">
        <v>10.15128</v>
      </c>
      <c r="Y893" s="18">
        <v>0.45116800000000001</v>
      </c>
      <c r="Z893" s="18">
        <v>2.0020579999999999</v>
      </c>
      <c r="AA893" s="18">
        <v>2.9325920000000001</v>
      </c>
      <c r="AB893" s="18">
        <v>5.2166300000000003</v>
      </c>
      <c r="AC893" s="18">
        <v>1.607286</v>
      </c>
      <c r="AD893" s="18">
        <v>8.4594000000000005</v>
      </c>
    </row>
    <row r="894" spans="2:30" x14ac:dyDescent="0.25">
      <c r="B894" t="s">
        <v>108</v>
      </c>
      <c r="C894" t="s">
        <v>570</v>
      </c>
      <c r="D894" t="s">
        <v>647</v>
      </c>
      <c r="E894" s="35">
        <v>0.9</v>
      </c>
      <c r="F894" s="35">
        <v>16</v>
      </c>
      <c r="G894" s="36">
        <v>4.2771999999999998E-2</v>
      </c>
      <c r="H894" s="18">
        <v>76.989805000000004</v>
      </c>
      <c r="I894" s="16">
        <v>0</v>
      </c>
      <c r="J894" s="16"/>
      <c r="K894" s="16"/>
      <c r="L894" s="37" t="s">
        <v>107</v>
      </c>
      <c r="M894" s="37"/>
      <c r="N894" s="37">
        <v>388</v>
      </c>
      <c r="O894" s="37"/>
      <c r="P894" s="37"/>
      <c r="Q894" s="18">
        <v>0.47049199999999997</v>
      </c>
      <c r="R894" s="18">
        <v>3.2078999999999996E-3</v>
      </c>
      <c r="S894" s="18">
        <v>0.8982119999999999</v>
      </c>
      <c r="T894" s="18">
        <v>3.8494799999999998</v>
      </c>
      <c r="U894" s="18">
        <v>1.9247399999999999</v>
      </c>
      <c r="V894" s="18">
        <v>24.636671999999997</v>
      </c>
      <c r="W894" s="18">
        <v>23.096879999999999</v>
      </c>
      <c r="X894" s="18">
        <v>15.397919999999999</v>
      </c>
      <c r="Y894" s="18">
        <v>0.68435199999999996</v>
      </c>
      <c r="Z894" s="18">
        <v>3.0368119999999998</v>
      </c>
      <c r="AA894" s="18">
        <v>4.4482879999999998</v>
      </c>
      <c r="AB894" s="18">
        <v>7.91282</v>
      </c>
      <c r="AC894" s="18">
        <v>2.4380039999999998</v>
      </c>
      <c r="AD894" s="18">
        <v>12.8316</v>
      </c>
    </row>
    <row r="895" spans="2:30" x14ac:dyDescent="0.25">
      <c r="B895" t="s">
        <v>108</v>
      </c>
      <c r="C895" t="s">
        <v>570</v>
      </c>
      <c r="D895" t="s">
        <v>647</v>
      </c>
      <c r="E895" s="35">
        <v>0.9</v>
      </c>
      <c r="F895" s="35">
        <v>16</v>
      </c>
      <c r="G895" s="36">
        <v>4.2771999999999998E-2</v>
      </c>
      <c r="H895" s="18">
        <v>76.989805000000004</v>
      </c>
      <c r="I895" s="16">
        <v>0</v>
      </c>
      <c r="J895" s="16"/>
      <c r="K895" s="16"/>
      <c r="L895" s="37" t="s">
        <v>107</v>
      </c>
      <c r="M895" s="37"/>
      <c r="N895" s="37">
        <v>389</v>
      </c>
      <c r="O895" s="37"/>
      <c r="P895" s="37"/>
      <c r="Q895" s="18">
        <v>0.47049199999999997</v>
      </c>
      <c r="R895" s="18">
        <v>3.2078999999999996E-3</v>
      </c>
      <c r="S895" s="18">
        <v>0.8982119999999999</v>
      </c>
      <c r="T895" s="18">
        <v>3.8494799999999998</v>
      </c>
      <c r="U895" s="18">
        <v>1.9247399999999999</v>
      </c>
      <c r="V895" s="18">
        <v>24.636671999999997</v>
      </c>
      <c r="W895" s="18">
        <v>23.096879999999999</v>
      </c>
      <c r="X895" s="18">
        <v>15.397919999999999</v>
      </c>
      <c r="Y895" s="18">
        <v>0.68435199999999996</v>
      </c>
      <c r="Z895" s="18">
        <v>3.0368119999999998</v>
      </c>
      <c r="AA895" s="18">
        <v>4.4482879999999998</v>
      </c>
      <c r="AB895" s="18">
        <v>7.91282</v>
      </c>
      <c r="AC895" s="18">
        <v>2.4380039999999998</v>
      </c>
      <c r="AD895" s="18">
        <v>12.8316</v>
      </c>
    </row>
    <row r="896" spans="2:30" x14ac:dyDescent="0.25">
      <c r="B896" t="s">
        <v>166</v>
      </c>
      <c r="C896" t="s">
        <v>570</v>
      </c>
      <c r="D896" t="s">
        <v>345</v>
      </c>
      <c r="E896" s="35">
        <v>0.9</v>
      </c>
      <c r="F896" s="35">
        <v>26</v>
      </c>
      <c r="G896" s="36">
        <v>0.22133900000000001</v>
      </c>
      <c r="H896" s="18">
        <v>398.409312</v>
      </c>
      <c r="I896" s="16">
        <v>0</v>
      </c>
      <c r="J896" s="16"/>
      <c r="K896" s="16"/>
      <c r="L896" s="37" t="s">
        <v>107</v>
      </c>
      <c r="M896" s="37"/>
      <c r="N896" s="37">
        <v>390</v>
      </c>
      <c r="O896" s="37"/>
      <c r="P896" s="37"/>
      <c r="Q896" s="18">
        <v>2.4347289999999999</v>
      </c>
      <c r="R896" s="18">
        <v>1.6600424999999999E-2</v>
      </c>
      <c r="S896" s="18">
        <v>4.6481190000000003</v>
      </c>
      <c r="T896" s="18">
        <v>19.92051</v>
      </c>
      <c r="U896" s="18">
        <v>9.9602550000000001</v>
      </c>
      <c r="V896" s="18">
        <v>127.491264</v>
      </c>
      <c r="W896" s="18">
        <v>119.52306</v>
      </c>
      <c r="X896" s="18">
        <v>79.682040000000001</v>
      </c>
      <c r="Y896" s="18">
        <v>3.5414240000000001</v>
      </c>
      <c r="Z896" s="18">
        <v>15.715069</v>
      </c>
      <c r="AA896" s="18">
        <v>23.019256000000002</v>
      </c>
      <c r="AB896" s="18">
        <v>40.947715000000002</v>
      </c>
      <c r="AC896" s="18">
        <v>12.616323000000001</v>
      </c>
      <c r="AD896" s="18">
        <v>66.401700000000005</v>
      </c>
    </row>
    <row r="897" spans="2:30" x14ac:dyDescent="0.25">
      <c r="B897" t="s">
        <v>166</v>
      </c>
      <c r="C897" t="s">
        <v>570</v>
      </c>
      <c r="D897" t="s">
        <v>648</v>
      </c>
      <c r="E897" s="35">
        <v>0.9</v>
      </c>
      <c r="F897" s="35">
        <v>26</v>
      </c>
      <c r="G897" s="36">
        <v>0.38183899999999998</v>
      </c>
      <c r="H897" s="18">
        <v>687.30955600000004</v>
      </c>
      <c r="I897" s="16">
        <v>0</v>
      </c>
      <c r="J897" s="16"/>
      <c r="K897" s="16"/>
      <c r="L897" s="37" t="s">
        <v>107</v>
      </c>
      <c r="M897" s="37"/>
      <c r="N897" s="37">
        <v>391</v>
      </c>
      <c r="O897" s="37"/>
      <c r="P897" s="37"/>
      <c r="Q897" s="18">
        <v>4.2002290000000002</v>
      </c>
      <c r="R897" s="18">
        <v>2.8637924999999998E-2</v>
      </c>
      <c r="S897" s="18">
        <v>8.0186189999999993</v>
      </c>
      <c r="T897" s="18">
        <v>34.36551</v>
      </c>
      <c r="U897" s="18">
        <v>17.182755</v>
      </c>
      <c r="V897" s="18">
        <v>219.93926399999998</v>
      </c>
      <c r="W897" s="18">
        <v>206.19306</v>
      </c>
      <c r="X897" s="18">
        <v>137.46204</v>
      </c>
      <c r="Y897" s="18">
        <v>6.1094239999999997</v>
      </c>
      <c r="Z897" s="18">
        <v>27.110568999999998</v>
      </c>
      <c r="AA897" s="18">
        <v>39.711255999999999</v>
      </c>
      <c r="AB897" s="18">
        <v>70.640214999999998</v>
      </c>
      <c r="AC897" s="18">
        <v>21.764823</v>
      </c>
      <c r="AD897" s="18">
        <v>114.5517</v>
      </c>
    </row>
    <row r="898" spans="2:30" x14ac:dyDescent="0.25">
      <c r="B898" t="s">
        <v>166</v>
      </c>
      <c r="C898" t="s">
        <v>570</v>
      </c>
      <c r="D898" t="s">
        <v>649</v>
      </c>
      <c r="E898" s="35">
        <v>0.9</v>
      </c>
      <c r="F898" s="35">
        <v>26</v>
      </c>
      <c r="G898" s="36">
        <v>0.21929000000000001</v>
      </c>
      <c r="H898" s="18">
        <v>394.72199899999998</v>
      </c>
      <c r="I898" s="16">
        <v>0</v>
      </c>
      <c r="J898" s="16"/>
      <c r="K898" s="16"/>
      <c r="L898" s="37" t="s">
        <v>107</v>
      </c>
      <c r="M898" s="37"/>
      <c r="N898" s="37">
        <v>392</v>
      </c>
      <c r="O898" s="37"/>
      <c r="P898" s="37"/>
      <c r="Q898" s="18">
        <v>2.4121900000000003</v>
      </c>
      <c r="R898" s="18">
        <v>1.644675E-2</v>
      </c>
      <c r="S898" s="18">
        <v>4.6050900000000006</v>
      </c>
      <c r="T898" s="18">
        <v>19.7361</v>
      </c>
      <c r="U898" s="18">
        <v>9.8680500000000002</v>
      </c>
      <c r="V898" s="18">
        <v>126.31104000000001</v>
      </c>
      <c r="W898" s="18">
        <v>118.4166</v>
      </c>
      <c r="X898" s="18">
        <v>78.944400000000002</v>
      </c>
      <c r="Y898" s="18">
        <v>3.5086400000000002</v>
      </c>
      <c r="Z898" s="18">
        <v>15.569590000000002</v>
      </c>
      <c r="AA898" s="18">
        <v>22.806160000000002</v>
      </c>
      <c r="AB898" s="18">
        <v>40.568650000000005</v>
      </c>
      <c r="AC898" s="18">
        <v>12.49953</v>
      </c>
      <c r="AD898" s="18">
        <v>65.787000000000006</v>
      </c>
    </row>
    <row r="899" spans="2:30" x14ac:dyDescent="0.25">
      <c r="B899" t="s">
        <v>141</v>
      </c>
      <c r="C899" t="s">
        <v>570</v>
      </c>
      <c r="D899" t="s">
        <v>612</v>
      </c>
      <c r="E899" s="35">
        <v>0.9</v>
      </c>
      <c r="F899" s="35">
        <v>46</v>
      </c>
      <c r="G899" s="36">
        <v>0.91475099999999998</v>
      </c>
      <c r="H899" s="18">
        <v>1646.551694</v>
      </c>
      <c r="I899" s="16">
        <v>0</v>
      </c>
      <c r="J899" s="16"/>
      <c r="K899" s="16"/>
      <c r="L899" s="37" t="s">
        <v>107</v>
      </c>
      <c r="M899" s="37"/>
      <c r="N899" s="37">
        <v>393</v>
      </c>
      <c r="O899" s="37"/>
      <c r="P899" s="37"/>
      <c r="Q899" s="18">
        <v>10.062260999999999</v>
      </c>
      <c r="R899" s="18">
        <v>6.8606324999999996E-2</v>
      </c>
      <c r="S899" s="18">
        <v>19.209771</v>
      </c>
      <c r="T899" s="18">
        <v>82.327590000000001</v>
      </c>
      <c r="U899" s="18">
        <v>41.163795</v>
      </c>
      <c r="V899" s="18">
        <v>526.89657599999998</v>
      </c>
      <c r="W899" s="18">
        <v>493.96553999999998</v>
      </c>
      <c r="X899" s="18">
        <v>329.31036</v>
      </c>
      <c r="Y899" s="18">
        <v>14.636016</v>
      </c>
      <c r="Z899" s="18">
        <v>64.947321000000002</v>
      </c>
      <c r="AA899" s="18">
        <v>95.134103999999994</v>
      </c>
      <c r="AB899" s="18">
        <v>169.22893500000001</v>
      </c>
      <c r="AC899" s="18">
        <v>52.140807000000002</v>
      </c>
      <c r="AD899" s="18">
        <v>274.42529999999999</v>
      </c>
    </row>
    <row r="900" spans="2:30" x14ac:dyDescent="0.25">
      <c r="B900" t="s">
        <v>108</v>
      </c>
      <c r="C900" t="s">
        <v>570</v>
      </c>
      <c r="D900" t="s">
        <v>385</v>
      </c>
      <c r="E900" s="35">
        <v>0.9</v>
      </c>
      <c r="F900" s="35">
        <v>16</v>
      </c>
      <c r="G900" s="36">
        <v>0.12916900000000001</v>
      </c>
      <c r="H900" s="18">
        <v>232.503477</v>
      </c>
      <c r="I900" s="16">
        <v>0</v>
      </c>
      <c r="J900" s="16"/>
      <c r="K900" s="16"/>
      <c r="L900" s="37" t="s">
        <v>107</v>
      </c>
      <c r="M900" s="37"/>
      <c r="N900" s="37">
        <v>394</v>
      </c>
      <c r="O900" s="37"/>
      <c r="P900" s="37"/>
      <c r="Q900" s="18">
        <v>1.4208590000000001</v>
      </c>
      <c r="R900" s="18">
        <v>9.6876749999999998E-3</v>
      </c>
      <c r="S900" s="18">
        <v>2.7125490000000001</v>
      </c>
      <c r="T900" s="18">
        <v>11.625210000000001</v>
      </c>
      <c r="U900" s="18">
        <v>5.8126050000000005</v>
      </c>
      <c r="V900" s="18">
        <v>74.401344000000009</v>
      </c>
      <c r="W900" s="18">
        <v>69.751260000000002</v>
      </c>
      <c r="X900" s="18">
        <v>46.500840000000004</v>
      </c>
      <c r="Y900" s="18">
        <v>2.0667040000000001</v>
      </c>
      <c r="Z900" s="18">
        <v>9.1709990000000001</v>
      </c>
      <c r="AA900" s="18">
        <v>13.433576</v>
      </c>
      <c r="AB900" s="18">
        <v>23.896265</v>
      </c>
      <c r="AC900" s="18">
        <v>7.3626330000000006</v>
      </c>
      <c r="AD900" s="18">
        <v>38.750700000000002</v>
      </c>
    </row>
    <row r="901" spans="2:30" x14ac:dyDescent="0.25">
      <c r="B901" t="s">
        <v>269</v>
      </c>
      <c r="C901" t="s">
        <v>570</v>
      </c>
      <c r="D901" t="s">
        <v>650</v>
      </c>
      <c r="E901" s="35">
        <v>0.9</v>
      </c>
      <c r="F901" s="35">
        <v>6.6</v>
      </c>
      <c r="G901" s="36">
        <v>0.16666500000000001</v>
      </c>
      <c r="H901" s="18">
        <v>299.99739299999999</v>
      </c>
      <c r="I901" s="16"/>
      <c r="J901" s="16"/>
      <c r="K901" s="16"/>
      <c r="L901" s="37" t="s">
        <v>107</v>
      </c>
      <c r="M901" s="37"/>
      <c r="N901" s="37">
        <v>395</v>
      </c>
      <c r="O901" s="37"/>
      <c r="P901" s="37"/>
      <c r="Q901" s="18">
        <v>1.833315</v>
      </c>
      <c r="R901" s="18">
        <v>1.2499875000000001E-2</v>
      </c>
      <c r="S901" s="18">
        <v>3.499965</v>
      </c>
      <c r="T901" s="18">
        <v>14.99985</v>
      </c>
      <c r="U901" s="18">
        <v>7.4999250000000002</v>
      </c>
      <c r="V901" s="18">
        <v>95.999040000000008</v>
      </c>
      <c r="W901" s="18">
        <v>89.999099999999999</v>
      </c>
      <c r="X901" s="18">
        <v>59.999400000000001</v>
      </c>
      <c r="Y901" s="18">
        <v>2.6666400000000001</v>
      </c>
      <c r="Z901" s="18">
        <v>11.833215000000001</v>
      </c>
      <c r="AA901" s="18">
        <v>17.333159999999999</v>
      </c>
      <c r="AB901" s="18">
        <v>30.833025000000003</v>
      </c>
      <c r="AC901" s="18">
        <v>9.499905</v>
      </c>
      <c r="AD901" s="18">
        <v>49.999500000000005</v>
      </c>
    </row>
    <row r="902" spans="2:30" x14ac:dyDescent="0.25">
      <c r="B902" t="s">
        <v>166</v>
      </c>
      <c r="C902" t="s">
        <v>570</v>
      </c>
      <c r="D902" t="s">
        <v>257</v>
      </c>
      <c r="E902" s="35">
        <v>0.9</v>
      </c>
      <c r="F902" s="35">
        <v>26</v>
      </c>
      <c r="G902" s="36">
        <v>0.39345200000000002</v>
      </c>
      <c r="H902" s="18">
        <v>708.21270500000003</v>
      </c>
      <c r="I902" s="16">
        <v>0</v>
      </c>
      <c r="J902" s="16"/>
      <c r="K902" s="16"/>
      <c r="L902" s="37" t="s">
        <v>107</v>
      </c>
      <c r="M902" s="37"/>
      <c r="N902" s="37">
        <v>396</v>
      </c>
      <c r="O902" s="37"/>
      <c r="P902" s="37"/>
      <c r="Q902" s="18">
        <v>4.3279719999999999</v>
      </c>
      <c r="R902" s="18">
        <v>2.9508900000000001E-2</v>
      </c>
      <c r="S902" s="18">
        <v>8.2624919999999999</v>
      </c>
      <c r="T902" s="18">
        <v>35.410679999999999</v>
      </c>
      <c r="U902" s="18">
        <v>17.70534</v>
      </c>
      <c r="V902" s="18">
        <v>226.62835200000001</v>
      </c>
      <c r="W902" s="18">
        <v>212.46408000000002</v>
      </c>
      <c r="X902" s="18">
        <v>141.64272</v>
      </c>
      <c r="Y902" s="18">
        <v>6.2952320000000004</v>
      </c>
      <c r="Z902" s="18">
        <v>27.935092000000001</v>
      </c>
      <c r="AA902" s="18">
        <v>40.919008000000005</v>
      </c>
      <c r="AB902" s="18">
        <v>72.788620000000009</v>
      </c>
      <c r="AC902" s="18">
        <v>22.426764000000002</v>
      </c>
      <c r="AD902" s="18">
        <v>118.0356</v>
      </c>
    </row>
    <row r="903" spans="2:30" x14ac:dyDescent="0.25">
      <c r="B903" t="s">
        <v>108</v>
      </c>
      <c r="C903" t="s">
        <v>570</v>
      </c>
      <c r="D903" t="s">
        <v>638</v>
      </c>
      <c r="E903" s="35">
        <v>0.9</v>
      </c>
      <c r="F903" s="35">
        <v>16</v>
      </c>
      <c r="G903" s="36">
        <v>5.5465E-2</v>
      </c>
      <c r="H903" s="18">
        <v>99.836875000000006</v>
      </c>
      <c r="I903" s="16">
        <v>0</v>
      </c>
      <c r="J903" s="16"/>
      <c r="K903" s="16"/>
      <c r="L903" s="37" t="s">
        <v>107</v>
      </c>
      <c r="M903" s="37"/>
      <c r="N903" s="37">
        <v>397</v>
      </c>
      <c r="O903" s="37"/>
      <c r="P903" s="37"/>
      <c r="Q903" s="18">
        <v>0.61011499999999996</v>
      </c>
      <c r="R903" s="18">
        <v>4.1598749999999995E-3</v>
      </c>
      <c r="S903" s="18">
        <v>1.1647650000000001</v>
      </c>
      <c r="T903" s="18">
        <v>4.9918500000000003</v>
      </c>
      <c r="U903" s="18">
        <v>2.4959250000000002</v>
      </c>
      <c r="V903" s="18">
        <v>31.947839999999999</v>
      </c>
      <c r="W903" s="18">
        <v>29.9511</v>
      </c>
      <c r="X903" s="18">
        <v>19.967400000000001</v>
      </c>
      <c r="Y903" s="18">
        <v>0.88744000000000001</v>
      </c>
      <c r="Z903" s="18">
        <v>3.938015</v>
      </c>
      <c r="AA903" s="18">
        <v>5.7683600000000004</v>
      </c>
      <c r="AB903" s="18">
        <v>10.261025</v>
      </c>
      <c r="AC903" s="18">
        <v>3.161505</v>
      </c>
      <c r="AD903" s="18">
        <v>16.639500000000002</v>
      </c>
    </row>
    <row r="904" spans="2:30" x14ac:dyDescent="0.25">
      <c r="B904" t="s">
        <v>110</v>
      </c>
      <c r="C904" t="s">
        <v>570</v>
      </c>
      <c r="D904" t="s">
        <v>651</v>
      </c>
      <c r="E904" s="35">
        <v>0.9</v>
      </c>
      <c r="F904" s="35">
        <v>22</v>
      </c>
      <c r="G904" s="36">
        <v>0.244924</v>
      </c>
      <c r="H904" s="18">
        <v>440.86335000000003</v>
      </c>
      <c r="I904" s="16">
        <v>0</v>
      </c>
      <c r="J904" s="16"/>
      <c r="K904" s="16"/>
      <c r="L904" s="37" t="s">
        <v>107</v>
      </c>
      <c r="M904" s="37"/>
      <c r="N904" s="37">
        <v>398</v>
      </c>
      <c r="O904" s="37"/>
      <c r="P904" s="37"/>
      <c r="Q904" s="18">
        <v>2.6941640000000002</v>
      </c>
      <c r="R904" s="18">
        <v>1.8369299999999998E-2</v>
      </c>
      <c r="S904" s="18">
        <v>5.1434040000000003</v>
      </c>
      <c r="T904" s="18">
        <v>22.04316</v>
      </c>
      <c r="U904" s="18">
        <v>11.02158</v>
      </c>
      <c r="V904" s="18">
        <v>141.076224</v>
      </c>
      <c r="W904" s="18">
        <v>132.25896</v>
      </c>
      <c r="X904" s="18">
        <v>88.172640000000001</v>
      </c>
      <c r="Y904" s="18">
        <v>3.918784</v>
      </c>
      <c r="Z904" s="18">
        <v>17.389603999999999</v>
      </c>
      <c r="AA904" s="18">
        <v>25.472096000000001</v>
      </c>
      <c r="AB904" s="18">
        <v>45.310940000000002</v>
      </c>
      <c r="AC904" s="18">
        <v>13.960668</v>
      </c>
      <c r="AD904" s="18">
        <v>73.477199999999996</v>
      </c>
    </row>
    <row r="905" spans="2:30" x14ac:dyDescent="0.25">
      <c r="B905" t="s">
        <v>337</v>
      </c>
      <c r="C905" t="s">
        <v>570</v>
      </c>
      <c r="D905" t="s">
        <v>587</v>
      </c>
      <c r="E905" s="35">
        <v>0.9</v>
      </c>
      <c r="F905" s="35">
        <v>26</v>
      </c>
      <c r="G905" s="36">
        <v>0.16587399999999999</v>
      </c>
      <c r="H905" s="18">
        <v>298.573374</v>
      </c>
      <c r="I905" s="16">
        <v>0</v>
      </c>
      <c r="J905" s="16"/>
      <c r="K905" s="16"/>
      <c r="L905" s="37" t="s">
        <v>107</v>
      </c>
      <c r="M905" s="37"/>
      <c r="N905" s="37">
        <v>399</v>
      </c>
      <c r="O905" s="37"/>
      <c r="P905" s="37"/>
      <c r="Q905" s="18">
        <v>1.824614</v>
      </c>
      <c r="R905" s="18">
        <v>1.244055E-2</v>
      </c>
      <c r="S905" s="18">
        <v>3.4833539999999998</v>
      </c>
      <c r="T905" s="18">
        <v>14.928659999999999</v>
      </c>
      <c r="U905" s="18">
        <v>7.4643299999999995</v>
      </c>
      <c r="V905" s="18">
        <v>95.543424000000002</v>
      </c>
      <c r="W905" s="18">
        <v>89.57195999999999</v>
      </c>
      <c r="X905" s="18">
        <v>59.714639999999996</v>
      </c>
      <c r="Y905" s="18">
        <v>2.6539839999999999</v>
      </c>
      <c r="Z905" s="18">
        <v>11.777054</v>
      </c>
      <c r="AA905" s="18">
        <v>17.250896000000001</v>
      </c>
      <c r="AB905" s="18">
        <v>30.686689999999999</v>
      </c>
      <c r="AC905" s="18">
        <v>9.4548179999999995</v>
      </c>
      <c r="AD905" s="18">
        <v>49.7622</v>
      </c>
    </row>
    <row r="906" spans="2:30" x14ac:dyDescent="0.25">
      <c r="B906" t="s">
        <v>108</v>
      </c>
      <c r="C906" t="s">
        <v>570</v>
      </c>
      <c r="D906" t="s">
        <v>652</v>
      </c>
      <c r="E906" s="35">
        <v>0.9</v>
      </c>
      <c r="F906" s="35">
        <v>16</v>
      </c>
      <c r="G906" s="36">
        <v>2.2710999999999999E-2</v>
      </c>
      <c r="H906" s="18">
        <v>40.879618000000001</v>
      </c>
      <c r="I906" s="16">
        <v>0</v>
      </c>
      <c r="J906" s="16"/>
      <c r="K906" s="16"/>
      <c r="L906" s="37" t="s">
        <v>107</v>
      </c>
      <c r="M906" s="37"/>
      <c r="N906" s="37">
        <v>400</v>
      </c>
      <c r="O906" s="37"/>
      <c r="P906" s="37"/>
      <c r="Q906" s="18">
        <v>0.24982099999999999</v>
      </c>
      <c r="R906" s="18">
        <v>1.7033249999999999E-3</v>
      </c>
      <c r="S906" s="18">
        <v>0.47693099999999999</v>
      </c>
      <c r="T906" s="18">
        <v>2.04399</v>
      </c>
      <c r="U906" s="18">
        <v>1.021995</v>
      </c>
      <c r="V906" s="18">
        <v>13.081536</v>
      </c>
      <c r="W906" s="18">
        <v>12.26394</v>
      </c>
      <c r="X906" s="18">
        <v>8.1759599999999999</v>
      </c>
      <c r="Y906" s="18">
        <v>0.36337599999999998</v>
      </c>
      <c r="Z906" s="18">
        <v>1.6124809999999998</v>
      </c>
      <c r="AA906" s="18">
        <v>2.3619439999999998</v>
      </c>
      <c r="AB906" s="18">
        <v>4.2015349999999998</v>
      </c>
      <c r="AC906" s="18">
        <v>1.294527</v>
      </c>
      <c r="AD906" s="18">
        <v>6.8132999999999999</v>
      </c>
    </row>
    <row r="907" spans="2:30" x14ac:dyDescent="0.25">
      <c r="B907" t="s">
        <v>269</v>
      </c>
      <c r="C907" t="s">
        <v>570</v>
      </c>
      <c r="D907" t="s">
        <v>653</v>
      </c>
      <c r="E907" s="35">
        <v>0.9</v>
      </c>
      <c r="F907" s="35">
        <v>6.6</v>
      </c>
      <c r="G907" s="36">
        <v>8.9193999999999996E-2</v>
      </c>
      <c r="H907" s="18">
        <v>160.55007699999999</v>
      </c>
      <c r="I907" s="16"/>
      <c r="J907" s="16"/>
      <c r="K907" s="16"/>
      <c r="L907" s="37" t="s">
        <v>107</v>
      </c>
      <c r="M907" s="37"/>
      <c r="N907" s="37">
        <v>401</v>
      </c>
      <c r="O907" s="37"/>
      <c r="P907" s="37"/>
      <c r="Q907" s="18">
        <v>0.98113399999999995</v>
      </c>
      <c r="R907" s="18">
        <v>6.6895499999999998E-3</v>
      </c>
      <c r="S907" s="18">
        <v>1.8730739999999999</v>
      </c>
      <c r="T907" s="18">
        <v>8.0274599999999996</v>
      </c>
      <c r="U907" s="18">
        <v>4.0137299999999998</v>
      </c>
      <c r="V907" s="18">
        <v>51.375743999999997</v>
      </c>
      <c r="W907" s="18">
        <v>48.164760000000001</v>
      </c>
      <c r="X907" s="18">
        <v>32.109839999999998</v>
      </c>
      <c r="Y907" s="18">
        <v>1.4271039999999999</v>
      </c>
      <c r="Z907" s="18">
        <v>6.3327739999999997</v>
      </c>
      <c r="AA907" s="18">
        <v>9.2761759999999995</v>
      </c>
      <c r="AB907" s="18">
        <v>16.500889999999998</v>
      </c>
      <c r="AC907" s="18">
        <v>5.0840579999999997</v>
      </c>
      <c r="AD907" s="18">
        <v>26.758199999999999</v>
      </c>
    </row>
    <row r="908" spans="2:30" x14ac:dyDescent="0.25">
      <c r="B908" t="s">
        <v>108</v>
      </c>
      <c r="C908" t="s">
        <v>570</v>
      </c>
      <c r="D908" t="s">
        <v>578</v>
      </c>
      <c r="E908" s="35">
        <v>0.9</v>
      </c>
      <c r="F908" s="35">
        <v>16</v>
      </c>
      <c r="G908" s="36">
        <v>3.4132000000000003E-2</v>
      </c>
      <c r="H908" s="18">
        <v>61.438437999999998</v>
      </c>
      <c r="I908" s="16">
        <v>0</v>
      </c>
      <c r="J908" s="16"/>
      <c r="K908" s="16"/>
      <c r="L908" s="37" t="s">
        <v>107</v>
      </c>
      <c r="M908" s="37"/>
      <c r="N908" s="37">
        <v>402</v>
      </c>
      <c r="O908" s="37"/>
      <c r="P908" s="37"/>
      <c r="Q908" s="18">
        <v>0.37545200000000001</v>
      </c>
      <c r="R908" s="18">
        <v>2.5598999999999999E-3</v>
      </c>
      <c r="S908" s="18">
        <v>0.71677200000000008</v>
      </c>
      <c r="T908" s="18">
        <v>3.0718800000000002</v>
      </c>
      <c r="U908" s="18">
        <v>1.5359400000000001</v>
      </c>
      <c r="V908" s="18">
        <v>19.660032000000001</v>
      </c>
      <c r="W908" s="18">
        <v>18.431280000000001</v>
      </c>
      <c r="X908" s="18">
        <v>12.287520000000001</v>
      </c>
      <c r="Y908" s="18">
        <v>0.54611200000000004</v>
      </c>
      <c r="Z908" s="18">
        <v>2.4233720000000001</v>
      </c>
      <c r="AA908" s="18">
        <v>3.5497280000000004</v>
      </c>
      <c r="AB908" s="18">
        <v>6.3144200000000001</v>
      </c>
      <c r="AC908" s="18">
        <v>1.9455240000000003</v>
      </c>
      <c r="AD908" s="18">
        <v>10.239600000000001</v>
      </c>
    </row>
    <row r="909" spans="2:30" x14ac:dyDescent="0.25">
      <c r="B909" t="s">
        <v>244</v>
      </c>
      <c r="C909" t="s">
        <v>570</v>
      </c>
      <c r="D909" t="s">
        <v>654</v>
      </c>
      <c r="E909" s="35">
        <v>0.9</v>
      </c>
      <c r="F909" s="35">
        <v>36</v>
      </c>
      <c r="G909" s="36">
        <v>0.65877399999999997</v>
      </c>
      <c r="H909" s="18">
        <v>1185.7938569999999</v>
      </c>
      <c r="I909" s="16">
        <v>0</v>
      </c>
      <c r="J909" s="16"/>
      <c r="K909" s="16"/>
      <c r="L909" s="37" t="s">
        <v>107</v>
      </c>
      <c r="M909" s="37"/>
      <c r="N909" s="37">
        <v>403</v>
      </c>
      <c r="O909" s="37"/>
      <c r="P909" s="37"/>
      <c r="Q909" s="18">
        <v>7.2465139999999995</v>
      </c>
      <c r="R909" s="18">
        <v>4.9408049999999995E-2</v>
      </c>
      <c r="S909" s="18">
        <v>13.834254</v>
      </c>
      <c r="T909" s="18">
        <v>59.289659999999998</v>
      </c>
      <c r="U909" s="18">
        <v>29.644829999999999</v>
      </c>
      <c r="V909" s="18">
        <v>379.453824</v>
      </c>
      <c r="W909" s="18">
        <v>355.73795999999999</v>
      </c>
      <c r="X909" s="18">
        <v>237.15863999999999</v>
      </c>
      <c r="Y909" s="18">
        <v>10.540384</v>
      </c>
      <c r="Z909" s="18">
        <v>46.772953999999999</v>
      </c>
      <c r="AA909" s="18">
        <v>68.512495999999999</v>
      </c>
      <c r="AB909" s="18">
        <v>121.87318999999999</v>
      </c>
      <c r="AC909" s="18">
        <v>37.550117999999998</v>
      </c>
      <c r="AD909" s="18">
        <v>197.63219999999998</v>
      </c>
    </row>
    <row r="910" spans="2:30" x14ac:dyDescent="0.25">
      <c r="B910" t="s">
        <v>110</v>
      </c>
      <c r="C910" t="s">
        <v>570</v>
      </c>
      <c r="D910" t="s">
        <v>315</v>
      </c>
      <c r="E910" s="35">
        <v>0.9</v>
      </c>
      <c r="F910" s="35">
        <v>22</v>
      </c>
      <c r="G910" s="36">
        <v>0.25035099999999999</v>
      </c>
      <c r="H910" s="18">
        <v>450.63095199999998</v>
      </c>
      <c r="I910" s="16">
        <v>0</v>
      </c>
      <c r="J910" s="16"/>
      <c r="K910" s="16"/>
      <c r="L910" s="37" t="s">
        <v>107</v>
      </c>
      <c r="M910" s="37"/>
      <c r="N910" s="37">
        <v>404</v>
      </c>
      <c r="O910" s="37"/>
      <c r="P910" s="37"/>
      <c r="Q910" s="18">
        <v>2.7538609999999997</v>
      </c>
      <c r="R910" s="18">
        <v>1.8776325E-2</v>
      </c>
      <c r="S910" s="18">
        <v>5.257371</v>
      </c>
      <c r="T910" s="18">
        <v>22.531589999999998</v>
      </c>
      <c r="U910" s="18">
        <v>11.265794999999999</v>
      </c>
      <c r="V910" s="18">
        <v>144.20217600000001</v>
      </c>
      <c r="W910" s="18">
        <v>135.18953999999999</v>
      </c>
      <c r="X910" s="18">
        <v>90.126359999999991</v>
      </c>
      <c r="Y910" s="18">
        <v>4.0056159999999998</v>
      </c>
      <c r="Z910" s="18">
        <v>17.774920999999999</v>
      </c>
      <c r="AA910" s="18">
        <v>26.036504000000001</v>
      </c>
      <c r="AB910" s="18">
        <v>46.314934999999998</v>
      </c>
      <c r="AC910" s="18">
        <v>14.270007</v>
      </c>
      <c r="AD910" s="18">
        <v>75.1053</v>
      </c>
    </row>
    <row r="911" spans="2:30" x14ac:dyDescent="0.25">
      <c r="B911" t="s">
        <v>110</v>
      </c>
      <c r="C911" t="s">
        <v>570</v>
      </c>
      <c r="D911" t="s">
        <v>655</v>
      </c>
      <c r="E911" s="35">
        <v>0.9</v>
      </c>
      <c r="F911" s="35">
        <v>22</v>
      </c>
      <c r="G911" s="36">
        <v>0.18112600000000001</v>
      </c>
      <c r="H911" s="18">
        <v>326.027378</v>
      </c>
      <c r="I911" s="16">
        <v>2</v>
      </c>
      <c r="J911" s="16"/>
      <c r="K911" s="16"/>
      <c r="L911" s="37" t="s">
        <v>107</v>
      </c>
      <c r="M911" s="37"/>
      <c r="N911" s="37">
        <v>405</v>
      </c>
      <c r="O911" s="37"/>
      <c r="P911" s="37"/>
      <c r="Q911" s="18">
        <v>1.9923860000000002</v>
      </c>
      <c r="R911" s="18">
        <v>1.358445E-2</v>
      </c>
      <c r="S911" s="18">
        <v>3.8036460000000001</v>
      </c>
      <c r="T911" s="18">
        <v>16.30134</v>
      </c>
      <c r="U911" s="18">
        <v>8.1506699999999999</v>
      </c>
      <c r="V911" s="18">
        <v>104.328576</v>
      </c>
      <c r="W911" s="18">
        <v>97.808040000000005</v>
      </c>
      <c r="X911" s="18">
        <v>65.205359999999999</v>
      </c>
      <c r="Y911" s="18">
        <v>2.8980160000000001</v>
      </c>
      <c r="Z911" s="18">
        <v>12.859946000000001</v>
      </c>
      <c r="AA911" s="18">
        <v>18.837104</v>
      </c>
      <c r="AB911" s="18">
        <v>33.508310000000002</v>
      </c>
      <c r="AC911" s="18">
        <v>10.324182</v>
      </c>
      <c r="AD911" s="18">
        <v>54.337800000000001</v>
      </c>
    </row>
    <row r="912" spans="2:30" x14ac:dyDescent="0.25">
      <c r="B912" t="s">
        <v>108</v>
      </c>
      <c r="C912" t="s">
        <v>570</v>
      </c>
      <c r="D912" t="s">
        <v>631</v>
      </c>
      <c r="E912" s="35">
        <v>0.9</v>
      </c>
      <c r="F912" s="35">
        <v>16</v>
      </c>
      <c r="G912" s="36">
        <v>2.6026000000000001E-2</v>
      </c>
      <c r="H912" s="18">
        <v>46.846094000000001</v>
      </c>
      <c r="I912" s="16">
        <v>0</v>
      </c>
      <c r="J912" s="16"/>
      <c r="K912" s="16"/>
      <c r="L912" s="37" t="s">
        <v>107</v>
      </c>
      <c r="M912" s="37"/>
      <c r="N912" s="37">
        <v>406</v>
      </c>
      <c r="O912" s="37"/>
      <c r="P912" s="37"/>
      <c r="Q912" s="18">
        <v>0.28628599999999998</v>
      </c>
      <c r="R912" s="18">
        <v>1.95195E-3</v>
      </c>
      <c r="S912" s="18">
        <v>0.54654599999999998</v>
      </c>
      <c r="T912" s="18">
        <v>2.3423400000000001</v>
      </c>
      <c r="U912" s="18">
        <v>1.17117</v>
      </c>
      <c r="V912" s="18">
        <v>14.990976</v>
      </c>
      <c r="W912" s="18">
        <v>14.054040000000001</v>
      </c>
      <c r="X912" s="18">
        <v>9.3693600000000004</v>
      </c>
      <c r="Y912" s="18">
        <v>0.41641600000000001</v>
      </c>
      <c r="Z912" s="18">
        <v>1.8478460000000001</v>
      </c>
      <c r="AA912" s="18">
        <v>2.7067040000000002</v>
      </c>
      <c r="AB912" s="18">
        <v>4.8148100000000005</v>
      </c>
      <c r="AC912" s="18">
        <v>1.483482</v>
      </c>
      <c r="AD912" s="18">
        <v>7.8078000000000003</v>
      </c>
    </row>
    <row r="913" spans="2:30" x14ac:dyDescent="0.25">
      <c r="B913" t="s">
        <v>108</v>
      </c>
      <c r="C913" t="s">
        <v>570</v>
      </c>
      <c r="D913" t="s">
        <v>631</v>
      </c>
      <c r="E913" s="35">
        <v>0.9</v>
      </c>
      <c r="F913" s="35">
        <v>16</v>
      </c>
      <c r="G913" s="36">
        <v>2.6026000000000001E-2</v>
      </c>
      <c r="H913" s="18">
        <v>46.846094000000001</v>
      </c>
      <c r="I913" s="16">
        <v>0</v>
      </c>
      <c r="J913" s="16"/>
      <c r="K913" s="16"/>
      <c r="L913" s="37" t="s">
        <v>107</v>
      </c>
      <c r="M913" s="37"/>
      <c r="N913" s="37">
        <v>407</v>
      </c>
      <c r="O913" s="37"/>
      <c r="P913" s="37"/>
      <c r="Q913" s="18">
        <v>0.28628599999999998</v>
      </c>
      <c r="R913" s="18">
        <v>1.95195E-3</v>
      </c>
      <c r="S913" s="18">
        <v>0.54654599999999998</v>
      </c>
      <c r="T913" s="18">
        <v>2.3423400000000001</v>
      </c>
      <c r="U913" s="18">
        <v>1.17117</v>
      </c>
      <c r="V913" s="18">
        <v>14.990976</v>
      </c>
      <c r="W913" s="18">
        <v>14.054040000000001</v>
      </c>
      <c r="X913" s="18">
        <v>9.3693600000000004</v>
      </c>
      <c r="Y913" s="18">
        <v>0.41641600000000001</v>
      </c>
      <c r="Z913" s="18">
        <v>1.8478460000000001</v>
      </c>
      <c r="AA913" s="18">
        <v>2.7067040000000002</v>
      </c>
      <c r="AB913" s="18">
        <v>4.8148100000000005</v>
      </c>
      <c r="AC913" s="18">
        <v>1.483482</v>
      </c>
      <c r="AD913" s="18">
        <v>7.8078000000000003</v>
      </c>
    </row>
    <row r="914" spans="2:30" x14ac:dyDescent="0.25">
      <c r="B914" t="s">
        <v>108</v>
      </c>
      <c r="C914" t="s">
        <v>570</v>
      </c>
      <c r="D914" t="s">
        <v>631</v>
      </c>
      <c r="E914" s="35">
        <v>0.9</v>
      </c>
      <c r="F914" s="35">
        <v>16</v>
      </c>
      <c r="G914" s="36">
        <v>2.6026000000000001E-2</v>
      </c>
      <c r="H914" s="18">
        <v>46.846094000000001</v>
      </c>
      <c r="I914" s="16">
        <v>0</v>
      </c>
      <c r="J914" s="16"/>
      <c r="K914" s="16"/>
      <c r="L914" s="37" t="s">
        <v>107</v>
      </c>
      <c r="M914" s="37"/>
      <c r="N914" s="37">
        <v>408</v>
      </c>
      <c r="O914" s="37"/>
      <c r="P914" s="37"/>
      <c r="Q914" s="18">
        <v>0.28628599999999998</v>
      </c>
      <c r="R914" s="18">
        <v>1.95195E-3</v>
      </c>
      <c r="S914" s="18">
        <v>0.54654599999999998</v>
      </c>
      <c r="T914" s="18">
        <v>2.3423400000000001</v>
      </c>
      <c r="U914" s="18">
        <v>1.17117</v>
      </c>
      <c r="V914" s="18">
        <v>14.990976</v>
      </c>
      <c r="W914" s="18">
        <v>14.054040000000001</v>
      </c>
      <c r="X914" s="18">
        <v>9.3693600000000004</v>
      </c>
      <c r="Y914" s="18">
        <v>0.41641600000000001</v>
      </c>
      <c r="Z914" s="18">
        <v>1.8478460000000001</v>
      </c>
      <c r="AA914" s="18">
        <v>2.7067040000000002</v>
      </c>
      <c r="AB914" s="18">
        <v>4.8148100000000005</v>
      </c>
      <c r="AC914" s="18">
        <v>1.483482</v>
      </c>
      <c r="AD914" s="18">
        <v>7.8078000000000003</v>
      </c>
    </row>
    <row r="915" spans="2:30" x14ac:dyDescent="0.25">
      <c r="B915" t="s">
        <v>108</v>
      </c>
      <c r="C915" t="s">
        <v>570</v>
      </c>
      <c r="D915" t="s">
        <v>631</v>
      </c>
      <c r="E915" s="35">
        <v>0.9</v>
      </c>
      <c r="F915" s="35">
        <v>16</v>
      </c>
      <c r="G915" s="36">
        <v>2.6026000000000001E-2</v>
      </c>
      <c r="H915" s="18">
        <v>46.846094000000001</v>
      </c>
      <c r="I915" s="16">
        <v>0</v>
      </c>
      <c r="J915" s="16"/>
      <c r="K915" s="16"/>
      <c r="L915" s="37" t="s">
        <v>107</v>
      </c>
      <c r="M915" s="37"/>
      <c r="N915" s="37">
        <v>409</v>
      </c>
      <c r="O915" s="37"/>
      <c r="P915" s="37"/>
      <c r="Q915" s="18">
        <v>0.28628599999999998</v>
      </c>
      <c r="R915" s="18">
        <v>1.95195E-3</v>
      </c>
      <c r="S915" s="18">
        <v>0.54654599999999998</v>
      </c>
      <c r="T915" s="18">
        <v>2.3423400000000001</v>
      </c>
      <c r="U915" s="18">
        <v>1.17117</v>
      </c>
      <c r="V915" s="18">
        <v>14.990976</v>
      </c>
      <c r="W915" s="18">
        <v>14.054040000000001</v>
      </c>
      <c r="X915" s="18">
        <v>9.3693600000000004</v>
      </c>
      <c r="Y915" s="18">
        <v>0.41641600000000001</v>
      </c>
      <c r="Z915" s="18">
        <v>1.8478460000000001</v>
      </c>
      <c r="AA915" s="18">
        <v>2.7067040000000002</v>
      </c>
      <c r="AB915" s="18">
        <v>4.8148100000000005</v>
      </c>
      <c r="AC915" s="18">
        <v>1.483482</v>
      </c>
      <c r="AD915" s="18">
        <v>7.8078000000000003</v>
      </c>
    </row>
    <row r="916" spans="2:30" x14ac:dyDescent="0.25">
      <c r="B916" t="s">
        <v>108</v>
      </c>
      <c r="C916" t="s">
        <v>570</v>
      </c>
      <c r="D916" t="s">
        <v>631</v>
      </c>
      <c r="E916" s="35">
        <v>0.9</v>
      </c>
      <c r="F916" s="35">
        <v>16</v>
      </c>
      <c r="G916" s="36">
        <v>2.6026000000000001E-2</v>
      </c>
      <c r="H916" s="18">
        <v>46.846094000000001</v>
      </c>
      <c r="I916" s="16">
        <v>0</v>
      </c>
      <c r="J916" s="16"/>
      <c r="K916" s="16"/>
      <c r="L916" s="37" t="s">
        <v>107</v>
      </c>
      <c r="M916" s="37"/>
      <c r="N916" s="37">
        <v>410</v>
      </c>
      <c r="O916" s="37"/>
      <c r="P916" s="37"/>
      <c r="Q916" s="18">
        <v>0.28628599999999998</v>
      </c>
      <c r="R916" s="18">
        <v>1.95195E-3</v>
      </c>
      <c r="S916" s="18">
        <v>0.54654599999999998</v>
      </c>
      <c r="T916" s="18">
        <v>2.3423400000000001</v>
      </c>
      <c r="U916" s="18">
        <v>1.17117</v>
      </c>
      <c r="V916" s="18">
        <v>14.990976</v>
      </c>
      <c r="W916" s="18">
        <v>14.054040000000001</v>
      </c>
      <c r="X916" s="18">
        <v>9.3693600000000004</v>
      </c>
      <c r="Y916" s="18">
        <v>0.41641600000000001</v>
      </c>
      <c r="Z916" s="18">
        <v>1.8478460000000001</v>
      </c>
      <c r="AA916" s="18">
        <v>2.7067040000000002</v>
      </c>
      <c r="AB916" s="18">
        <v>4.8148100000000005</v>
      </c>
      <c r="AC916" s="18">
        <v>1.483482</v>
      </c>
      <c r="AD916" s="18">
        <v>7.8078000000000003</v>
      </c>
    </row>
    <row r="917" spans="2:30" x14ac:dyDescent="0.25">
      <c r="B917" t="s">
        <v>108</v>
      </c>
      <c r="C917" t="s">
        <v>570</v>
      </c>
      <c r="D917" t="s">
        <v>631</v>
      </c>
      <c r="E917" s="35">
        <v>0.9</v>
      </c>
      <c r="F917" s="35">
        <v>16</v>
      </c>
      <c r="G917" s="36">
        <v>2.6026000000000001E-2</v>
      </c>
      <c r="H917" s="18">
        <v>46.846094000000001</v>
      </c>
      <c r="I917" s="16">
        <v>0</v>
      </c>
      <c r="J917" s="16"/>
      <c r="K917" s="16"/>
      <c r="L917" s="37" t="s">
        <v>107</v>
      </c>
      <c r="M917" s="37"/>
      <c r="N917" s="37">
        <v>411</v>
      </c>
      <c r="O917" s="37"/>
      <c r="P917" s="37"/>
      <c r="Q917" s="18">
        <v>0.28628599999999998</v>
      </c>
      <c r="R917" s="18">
        <v>1.95195E-3</v>
      </c>
      <c r="S917" s="18">
        <v>0.54654599999999998</v>
      </c>
      <c r="T917" s="18">
        <v>2.3423400000000001</v>
      </c>
      <c r="U917" s="18">
        <v>1.17117</v>
      </c>
      <c r="V917" s="18">
        <v>14.990976</v>
      </c>
      <c r="W917" s="18">
        <v>14.054040000000001</v>
      </c>
      <c r="X917" s="18">
        <v>9.3693600000000004</v>
      </c>
      <c r="Y917" s="18">
        <v>0.41641600000000001</v>
      </c>
      <c r="Z917" s="18">
        <v>1.8478460000000001</v>
      </c>
      <c r="AA917" s="18">
        <v>2.7067040000000002</v>
      </c>
      <c r="AB917" s="18">
        <v>4.8148100000000005</v>
      </c>
      <c r="AC917" s="18">
        <v>1.483482</v>
      </c>
      <c r="AD917" s="18">
        <v>7.8078000000000003</v>
      </c>
    </row>
    <row r="918" spans="2:30" x14ac:dyDescent="0.25">
      <c r="B918" t="s">
        <v>108</v>
      </c>
      <c r="C918" t="s">
        <v>570</v>
      </c>
      <c r="D918" t="s">
        <v>631</v>
      </c>
      <c r="E918" s="35">
        <v>0.9</v>
      </c>
      <c r="F918" s="35">
        <v>16</v>
      </c>
      <c r="G918" s="36">
        <v>2.6026000000000001E-2</v>
      </c>
      <c r="H918" s="18">
        <v>46.846094000000001</v>
      </c>
      <c r="I918" s="16">
        <v>0</v>
      </c>
      <c r="J918" s="16"/>
      <c r="K918" s="16"/>
      <c r="L918" s="37" t="s">
        <v>107</v>
      </c>
      <c r="M918" s="37"/>
      <c r="N918" s="37">
        <v>412</v>
      </c>
      <c r="O918" s="37"/>
      <c r="P918" s="37"/>
      <c r="Q918" s="18">
        <v>0.28628599999999998</v>
      </c>
      <c r="R918" s="18">
        <v>1.95195E-3</v>
      </c>
      <c r="S918" s="18">
        <v>0.54654599999999998</v>
      </c>
      <c r="T918" s="18">
        <v>2.3423400000000001</v>
      </c>
      <c r="U918" s="18">
        <v>1.17117</v>
      </c>
      <c r="V918" s="18">
        <v>14.990976</v>
      </c>
      <c r="W918" s="18">
        <v>14.054040000000001</v>
      </c>
      <c r="X918" s="18">
        <v>9.3693600000000004</v>
      </c>
      <c r="Y918" s="18">
        <v>0.41641600000000001</v>
      </c>
      <c r="Z918" s="18">
        <v>1.8478460000000001</v>
      </c>
      <c r="AA918" s="18">
        <v>2.7067040000000002</v>
      </c>
      <c r="AB918" s="18">
        <v>4.8148100000000005</v>
      </c>
      <c r="AC918" s="18">
        <v>1.483482</v>
      </c>
      <c r="AD918" s="18">
        <v>7.8078000000000003</v>
      </c>
    </row>
    <row r="919" spans="2:30" x14ac:dyDescent="0.25">
      <c r="B919" t="s">
        <v>244</v>
      </c>
      <c r="C919" t="s">
        <v>570</v>
      </c>
      <c r="D919" t="s">
        <v>656</v>
      </c>
      <c r="E919" s="35">
        <v>0.9</v>
      </c>
      <c r="F919" s="35">
        <v>36</v>
      </c>
      <c r="G919" s="36">
        <v>0.734371</v>
      </c>
      <c r="H919" s="18">
        <v>1321.86832</v>
      </c>
      <c r="I919" s="16">
        <v>0</v>
      </c>
      <c r="J919" s="16"/>
      <c r="K919" s="16"/>
      <c r="L919" s="37" t="s">
        <v>107</v>
      </c>
      <c r="M919" s="37"/>
      <c r="N919" s="37">
        <v>413</v>
      </c>
      <c r="O919" s="37"/>
      <c r="P919" s="37"/>
      <c r="Q919" s="18">
        <v>8.0780809999999992</v>
      </c>
      <c r="R919" s="18">
        <v>5.5077824999999997E-2</v>
      </c>
      <c r="S919" s="18">
        <v>15.421791000000001</v>
      </c>
      <c r="T919" s="18">
        <v>66.093389999999999</v>
      </c>
      <c r="U919" s="18">
        <v>33.046695</v>
      </c>
      <c r="V919" s="18">
        <v>422.99769600000002</v>
      </c>
      <c r="W919" s="18">
        <v>396.56034</v>
      </c>
      <c r="X919" s="18">
        <v>264.37356</v>
      </c>
      <c r="Y919" s="18">
        <v>11.749936</v>
      </c>
      <c r="Z919" s="18">
        <v>52.140340999999999</v>
      </c>
      <c r="AA919" s="18">
        <v>76.374583999999999</v>
      </c>
      <c r="AB919" s="18">
        <v>135.85863499999999</v>
      </c>
      <c r="AC919" s="18">
        <v>41.859147</v>
      </c>
      <c r="AD919" s="18">
        <v>220.31129999999999</v>
      </c>
    </row>
    <row r="920" spans="2:30" x14ac:dyDescent="0.25">
      <c r="B920" t="s">
        <v>110</v>
      </c>
      <c r="C920" t="s">
        <v>570</v>
      </c>
      <c r="D920" t="s">
        <v>315</v>
      </c>
      <c r="E920" s="35">
        <v>0.9</v>
      </c>
      <c r="F920" s="35">
        <v>22</v>
      </c>
      <c r="G920" s="36">
        <v>0.25035099999999999</v>
      </c>
      <c r="H920" s="18">
        <v>450.63095199999998</v>
      </c>
      <c r="I920" s="16">
        <v>0</v>
      </c>
      <c r="J920" s="16"/>
      <c r="K920" s="16"/>
      <c r="L920" s="37" t="s">
        <v>107</v>
      </c>
      <c r="M920" s="37"/>
      <c r="N920" s="37">
        <v>414</v>
      </c>
      <c r="O920" s="37"/>
      <c r="P920" s="37"/>
      <c r="Q920" s="18">
        <v>2.7538609999999997</v>
      </c>
      <c r="R920" s="18">
        <v>1.8776325E-2</v>
      </c>
      <c r="S920" s="18">
        <v>5.257371</v>
      </c>
      <c r="T920" s="18">
        <v>22.531589999999998</v>
      </c>
      <c r="U920" s="18">
        <v>11.265794999999999</v>
      </c>
      <c r="V920" s="18">
        <v>144.20217600000001</v>
      </c>
      <c r="W920" s="18">
        <v>135.18953999999999</v>
      </c>
      <c r="X920" s="18">
        <v>90.126359999999991</v>
      </c>
      <c r="Y920" s="18">
        <v>4.0056159999999998</v>
      </c>
      <c r="Z920" s="18">
        <v>17.774920999999999</v>
      </c>
      <c r="AA920" s="18">
        <v>26.036504000000001</v>
      </c>
      <c r="AB920" s="18">
        <v>46.314934999999998</v>
      </c>
      <c r="AC920" s="18">
        <v>14.270007</v>
      </c>
      <c r="AD920" s="18">
        <v>75.1053</v>
      </c>
    </row>
    <row r="921" spans="2:30" x14ac:dyDescent="0.25">
      <c r="B921" t="s">
        <v>110</v>
      </c>
      <c r="C921" t="s">
        <v>570</v>
      </c>
      <c r="D921" t="s">
        <v>657</v>
      </c>
      <c r="E921" s="35">
        <v>0.9</v>
      </c>
      <c r="F921" s="35">
        <v>22</v>
      </c>
      <c r="G921" s="36">
        <v>0.18992600000000001</v>
      </c>
      <c r="H921" s="18">
        <v>341.86737799999997</v>
      </c>
      <c r="I921" s="16">
        <v>0</v>
      </c>
      <c r="J921" s="16"/>
      <c r="K921" s="16"/>
      <c r="L921" s="37" t="s">
        <v>107</v>
      </c>
      <c r="M921" s="37"/>
      <c r="N921" s="37">
        <v>415</v>
      </c>
      <c r="O921" s="37"/>
      <c r="P921" s="37"/>
      <c r="Q921" s="18">
        <v>2.0891860000000002</v>
      </c>
      <c r="R921" s="18">
        <v>1.4244450000000001E-2</v>
      </c>
      <c r="S921" s="18">
        <v>3.9884460000000002</v>
      </c>
      <c r="T921" s="18">
        <v>17.093340000000001</v>
      </c>
      <c r="U921" s="18">
        <v>8.5466700000000007</v>
      </c>
      <c r="V921" s="18">
        <v>109.39737600000001</v>
      </c>
      <c r="W921" s="18">
        <v>102.56004</v>
      </c>
      <c r="X921" s="18">
        <v>68.373360000000005</v>
      </c>
      <c r="Y921" s="18">
        <v>3.0388160000000002</v>
      </c>
      <c r="Z921" s="18">
        <v>13.484746000000001</v>
      </c>
      <c r="AA921" s="18">
        <v>19.752304000000002</v>
      </c>
      <c r="AB921" s="18">
        <v>35.136310000000002</v>
      </c>
      <c r="AC921" s="18">
        <v>10.825782</v>
      </c>
      <c r="AD921" s="18">
        <v>56.977800000000002</v>
      </c>
    </row>
    <row r="922" spans="2:30" x14ac:dyDescent="0.25">
      <c r="B922" t="s">
        <v>166</v>
      </c>
      <c r="C922" t="s">
        <v>570</v>
      </c>
      <c r="D922" t="s">
        <v>389</v>
      </c>
      <c r="E922" s="35">
        <v>0.9</v>
      </c>
      <c r="F922" s="35">
        <v>26</v>
      </c>
      <c r="G922" s="36">
        <v>0.33417400000000003</v>
      </c>
      <c r="H922" s="18">
        <v>601.51304700000003</v>
      </c>
      <c r="I922" s="16">
        <v>0</v>
      </c>
      <c r="J922" s="16"/>
      <c r="K922" s="16"/>
      <c r="L922" s="37" t="s">
        <v>107</v>
      </c>
      <c r="M922" s="37"/>
      <c r="N922" s="37">
        <v>416</v>
      </c>
      <c r="O922" s="37"/>
      <c r="P922" s="37"/>
      <c r="Q922" s="18">
        <v>3.6759140000000001</v>
      </c>
      <c r="R922" s="18">
        <v>2.506305E-2</v>
      </c>
      <c r="S922" s="18">
        <v>7.0176540000000003</v>
      </c>
      <c r="T922" s="18">
        <v>30.075660000000003</v>
      </c>
      <c r="U922" s="18">
        <v>15.037830000000001</v>
      </c>
      <c r="V922" s="18">
        <v>192.48422400000001</v>
      </c>
      <c r="W922" s="18">
        <v>180.45396000000002</v>
      </c>
      <c r="X922" s="18">
        <v>120.30264000000001</v>
      </c>
      <c r="Y922" s="18">
        <v>5.3467840000000004</v>
      </c>
      <c r="Z922" s="18">
        <v>23.726354000000001</v>
      </c>
      <c r="AA922" s="18">
        <v>34.754096000000004</v>
      </c>
      <c r="AB922" s="18">
        <v>61.822190000000006</v>
      </c>
      <c r="AC922" s="18">
        <v>19.047918000000003</v>
      </c>
      <c r="AD922" s="18">
        <v>100.2522</v>
      </c>
    </row>
    <row r="923" spans="2:30" x14ac:dyDescent="0.25">
      <c r="B923" t="s">
        <v>141</v>
      </c>
      <c r="C923" t="s">
        <v>570</v>
      </c>
      <c r="D923" t="s">
        <v>658</v>
      </c>
      <c r="E923" s="35">
        <v>0.9</v>
      </c>
      <c r="F923" s="35">
        <v>46</v>
      </c>
      <c r="G923" s="36">
        <v>0.80343500000000001</v>
      </c>
      <c r="H923" s="18">
        <v>1446.1838479999999</v>
      </c>
      <c r="I923" s="16">
        <v>0</v>
      </c>
      <c r="J923" s="16"/>
      <c r="K923" s="16"/>
      <c r="L923" s="37" t="s">
        <v>107</v>
      </c>
      <c r="M923" s="37"/>
      <c r="N923" s="37">
        <v>417</v>
      </c>
      <c r="O923" s="37"/>
      <c r="P923" s="37"/>
      <c r="Q923" s="18">
        <v>8.8377850000000002</v>
      </c>
      <c r="R923" s="18">
        <v>6.0257624999999995E-2</v>
      </c>
      <c r="S923" s="18">
        <v>16.872135</v>
      </c>
      <c r="T923" s="18">
        <v>72.309150000000002</v>
      </c>
      <c r="U923" s="18">
        <v>36.154575000000001</v>
      </c>
      <c r="V923" s="18">
        <v>462.77856000000003</v>
      </c>
      <c r="W923" s="18">
        <v>433.85489999999999</v>
      </c>
      <c r="X923" s="18">
        <v>289.23660000000001</v>
      </c>
      <c r="Y923" s="18">
        <v>12.85496</v>
      </c>
      <c r="Z923" s="18">
        <v>57.043885000000003</v>
      </c>
      <c r="AA923" s="18">
        <v>83.557240000000007</v>
      </c>
      <c r="AB923" s="18">
        <v>148.63547500000001</v>
      </c>
      <c r="AC923" s="18">
        <v>45.795794999999998</v>
      </c>
      <c r="AD923" s="18">
        <v>241.03049999999999</v>
      </c>
    </row>
    <row r="924" spans="2:30" x14ac:dyDescent="0.25">
      <c r="B924" t="s">
        <v>141</v>
      </c>
      <c r="C924" t="s">
        <v>570</v>
      </c>
      <c r="D924" t="s">
        <v>612</v>
      </c>
      <c r="E924" s="35">
        <v>0.9</v>
      </c>
      <c r="F924" s="35">
        <v>46</v>
      </c>
      <c r="G924" s="36">
        <v>0.91475099999999998</v>
      </c>
      <c r="H924" s="18">
        <v>1646.551694</v>
      </c>
      <c r="I924" s="16">
        <v>0</v>
      </c>
      <c r="J924" s="16"/>
      <c r="K924" s="16"/>
      <c r="L924" s="37" t="s">
        <v>107</v>
      </c>
      <c r="M924" s="37"/>
      <c r="N924" s="37">
        <v>418</v>
      </c>
      <c r="O924" s="37"/>
      <c r="P924" s="37"/>
      <c r="Q924" s="18">
        <v>10.062260999999999</v>
      </c>
      <c r="R924" s="18">
        <v>6.8606324999999996E-2</v>
      </c>
      <c r="S924" s="18">
        <v>19.209771</v>
      </c>
      <c r="T924" s="18">
        <v>82.327590000000001</v>
      </c>
      <c r="U924" s="18">
        <v>41.163795</v>
      </c>
      <c r="V924" s="18">
        <v>526.89657599999998</v>
      </c>
      <c r="W924" s="18">
        <v>493.96553999999998</v>
      </c>
      <c r="X924" s="18">
        <v>329.31036</v>
      </c>
      <c r="Y924" s="18">
        <v>14.636016</v>
      </c>
      <c r="Z924" s="18">
        <v>64.947321000000002</v>
      </c>
      <c r="AA924" s="18">
        <v>95.134103999999994</v>
      </c>
      <c r="AB924" s="18">
        <v>169.22893500000001</v>
      </c>
      <c r="AC924" s="18">
        <v>52.140807000000002</v>
      </c>
      <c r="AD924" s="18">
        <v>274.42529999999999</v>
      </c>
    </row>
    <row r="925" spans="2:30" x14ac:dyDescent="0.25">
      <c r="B925" t="s">
        <v>108</v>
      </c>
      <c r="C925" t="s">
        <v>570</v>
      </c>
      <c r="D925" t="s">
        <v>390</v>
      </c>
      <c r="E925" s="35">
        <v>0.9</v>
      </c>
      <c r="F925" s="35">
        <v>16</v>
      </c>
      <c r="G925" s="36">
        <v>0.15882099999999999</v>
      </c>
      <c r="H925" s="18">
        <v>285.87730499999998</v>
      </c>
      <c r="I925" s="16">
        <v>0</v>
      </c>
      <c r="J925" s="16"/>
      <c r="K925" s="16"/>
      <c r="L925" s="37" t="s">
        <v>107</v>
      </c>
      <c r="M925" s="37"/>
      <c r="N925" s="37">
        <v>419</v>
      </c>
      <c r="O925" s="37"/>
      <c r="P925" s="37"/>
      <c r="Q925" s="18">
        <v>1.7470309999999998</v>
      </c>
      <c r="R925" s="18">
        <v>1.1911574999999999E-2</v>
      </c>
      <c r="S925" s="18">
        <v>3.3352409999999999</v>
      </c>
      <c r="T925" s="18">
        <v>14.293889999999999</v>
      </c>
      <c r="U925" s="18">
        <v>7.1469449999999997</v>
      </c>
      <c r="V925" s="18">
        <v>91.480896000000001</v>
      </c>
      <c r="W925" s="18">
        <v>85.763339999999999</v>
      </c>
      <c r="X925" s="18">
        <v>57.175559999999997</v>
      </c>
      <c r="Y925" s="18">
        <v>2.5411359999999998</v>
      </c>
      <c r="Z925" s="18">
        <v>11.276290999999999</v>
      </c>
      <c r="AA925" s="18">
        <v>16.517384</v>
      </c>
      <c r="AB925" s="18">
        <v>29.381884999999997</v>
      </c>
      <c r="AC925" s="18">
        <v>9.052797</v>
      </c>
      <c r="AD925" s="18">
        <v>47.646299999999997</v>
      </c>
    </row>
    <row r="926" spans="2:30" x14ac:dyDescent="0.25">
      <c r="B926" t="s">
        <v>309</v>
      </c>
      <c r="C926" t="s">
        <v>570</v>
      </c>
      <c r="D926" t="s">
        <v>392</v>
      </c>
      <c r="E926" s="35">
        <v>0.9</v>
      </c>
      <c r="F926" s="35">
        <v>55</v>
      </c>
      <c r="G926" s="36">
        <v>0.958063</v>
      </c>
      <c r="H926" s="18">
        <v>1724.5130489999999</v>
      </c>
      <c r="I926" s="16">
        <v>0</v>
      </c>
      <c r="J926" s="16"/>
      <c r="K926" s="16"/>
      <c r="L926" s="37" t="s">
        <v>107</v>
      </c>
      <c r="M926" s="37"/>
      <c r="N926" s="37">
        <v>420</v>
      </c>
      <c r="O926" s="37"/>
      <c r="P926" s="37"/>
      <c r="Q926" s="18">
        <v>10.538693</v>
      </c>
      <c r="R926" s="18">
        <v>7.1854724999999994E-2</v>
      </c>
      <c r="S926" s="18">
        <v>20.119323000000001</v>
      </c>
      <c r="T926" s="18">
        <v>86.225669999999994</v>
      </c>
      <c r="U926" s="18">
        <v>43.112834999999997</v>
      </c>
      <c r="V926" s="18">
        <v>551.84428800000001</v>
      </c>
      <c r="W926" s="18">
        <v>517.35401999999999</v>
      </c>
      <c r="X926" s="18">
        <v>344.90267999999998</v>
      </c>
      <c r="Y926" s="18">
        <v>15.329008</v>
      </c>
      <c r="Z926" s="18">
        <v>68.022473000000005</v>
      </c>
      <c r="AA926" s="18">
        <v>99.638552000000004</v>
      </c>
      <c r="AB926" s="18">
        <v>177.24165500000001</v>
      </c>
      <c r="AC926" s="18">
        <v>54.609591000000002</v>
      </c>
      <c r="AD926" s="18">
        <v>287.41890000000001</v>
      </c>
    </row>
    <row r="927" spans="2:30" x14ac:dyDescent="0.25">
      <c r="B927" t="s">
        <v>309</v>
      </c>
      <c r="C927" t="s">
        <v>570</v>
      </c>
      <c r="D927" t="s">
        <v>659</v>
      </c>
      <c r="E927" s="35">
        <v>0.9</v>
      </c>
      <c r="F927" s="35">
        <v>55</v>
      </c>
      <c r="G927" s="36">
        <v>0.93019700000000005</v>
      </c>
      <c r="H927" s="18">
        <v>1674.35509</v>
      </c>
      <c r="I927" s="16">
        <v>2</v>
      </c>
      <c r="J927" s="16"/>
      <c r="K927" s="16"/>
      <c r="L927" s="37" t="s">
        <v>107</v>
      </c>
      <c r="M927" s="37"/>
      <c r="N927" s="37">
        <v>421</v>
      </c>
      <c r="O927" s="37"/>
      <c r="P927" s="37"/>
      <c r="Q927" s="18">
        <v>10.232167</v>
      </c>
      <c r="R927" s="18">
        <v>6.9764775000000001E-2</v>
      </c>
      <c r="S927" s="18">
        <v>19.534137000000001</v>
      </c>
      <c r="T927" s="18">
        <v>83.717730000000003</v>
      </c>
      <c r="U927" s="18">
        <v>41.858865000000002</v>
      </c>
      <c r="V927" s="18">
        <v>535.79347200000007</v>
      </c>
      <c r="W927" s="18">
        <v>502.30638000000005</v>
      </c>
      <c r="X927" s="18">
        <v>334.87092000000001</v>
      </c>
      <c r="Y927" s="18">
        <v>14.883152000000001</v>
      </c>
      <c r="Z927" s="18">
        <v>66.043987000000001</v>
      </c>
      <c r="AA927" s="18">
        <v>96.740487999999999</v>
      </c>
      <c r="AB927" s="18">
        <v>172.086445</v>
      </c>
      <c r="AC927" s="18">
        <v>53.021229000000005</v>
      </c>
      <c r="AD927" s="18">
        <v>279.0591</v>
      </c>
    </row>
    <row r="928" spans="2:30" x14ac:dyDescent="0.25">
      <c r="B928" t="s">
        <v>452</v>
      </c>
      <c r="C928" t="s">
        <v>570</v>
      </c>
      <c r="D928" t="s">
        <v>395</v>
      </c>
      <c r="E928" s="35">
        <v>0.9</v>
      </c>
      <c r="F928" s="35">
        <v>68</v>
      </c>
      <c r="G928" s="36">
        <v>1.2823599999999999</v>
      </c>
      <c r="H928" s="18">
        <v>2308.248748</v>
      </c>
      <c r="I928" s="16">
        <v>0</v>
      </c>
      <c r="J928" s="16"/>
      <c r="K928" s="16"/>
      <c r="L928" s="37" t="s">
        <v>107</v>
      </c>
      <c r="M928" s="37"/>
      <c r="N928" s="37">
        <v>422</v>
      </c>
      <c r="O928" s="37"/>
      <c r="P928" s="37"/>
      <c r="Q928" s="18">
        <v>14.10596</v>
      </c>
      <c r="R928" s="18">
        <v>9.6176999999999999E-2</v>
      </c>
      <c r="S928" s="18">
        <v>26.929559999999999</v>
      </c>
      <c r="T928" s="18">
        <v>115.41239999999999</v>
      </c>
      <c r="U928" s="18">
        <v>57.706199999999995</v>
      </c>
      <c r="V928" s="18">
        <v>738.63936000000001</v>
      </c>
      <c r="W928" s="18">
        <v>692.47439999999995</v>
      </c>
      <c r="X928" s="18">
        <v>461.64959999999996</v>
      </c>
      <c r="Y928" s="18">
        <v>20.517759999999999</v>
      </c>
      <c r="Z928" s="18">
        <v>91.04755999999999</v>
      </c>
      <c r="AA928" s="18">
        <v>133.36544000000001</v>
      </c>
      <c r="AB928" s="18">
        <v>237.23659999999998</v>
      </c>
      <c r="AC928" s="18">
        <v>73.094520000000003</v>
      </c>
      <c r="AD928" s="18">
        <v>384.70799999999997</v>
      </c>
    </row>
    <row r="929" spans="2:30" x14ac:dyDescent="0.25">
      <c r="B929" t="s">
        <v>160</v>
      </c>
      <c r="C929" t="s">
        <v>570</v>
      </c>
      <c r="D929" t="s">
        <v>660</v>
      </c>
      <c r="E929" s="35">
        <v>0.9</v>
      </c>
      <c r="F929" s="35">
        <v>31</v>
      </c>
      <c r="G929" s="36">
        <v>0.23014200000000001</v>
      </c>
      <c r="H929" s="18">
        <v>414.25521199999997</v>
      </c>
      <c r="I929" s="16">
        <v>0</v>
      </c>
      <c r="J929" s="16"/>
      <c r="K929" s="16"/>
      <c r="L929" s="37" t="s">
        <v>107</v>
      </c>
      <c r="M929" s="37"/>
      <c r="N929" s="37">
        <v>423</v>
      </c>
      <c r="O929" s="37"/>
      <c r="P929" s="37"/>
      <c r="Q929" s="18">
        <v>2.5315620000000001</v>
      </c>
      <c r="R929" s="18">
        <v>1.7260649999999999E-2</v>
      </c>
      <c r="S929" s="18">
        <v>4.8329820000000003</v>
      </c>
      <c r="T929" s="18">
        <v>20.712780000000002</v>
      </c>
      <c r="U929" s="18">
        <v>10.356390000000001</v>
      </c>
      <c r="V929" s="18">
        <v>132.561792</v>
      </c>
      <c r="W929" s="18">
        <v>124.27668000000001</v>
      </c>
      <c r="X929" s="18">
        <v>82.851120000000009</v>
      </c>
      <c r="Y929" s="18">
        <v>3.6822720000000002</v>
      </c>
      <c r="Z929" s="18">
        <v>16.340082000000002</v>
      </c>
      <c r="AA929" s="18">
        <v>23.934768000000002</v>
      </c>
      <c r="AB929" s="18">
        <v>42.576270000000001</v>
      </c>
      <c r="AC929" s="18">
        <v>13.118094000000001</v>
      </c>
      <c r="AD929" s="18">
        <v>69.042600000000007</v>
      </c>
    </row>
    <row r="930" spans="2:30" x14ac:dyDescent="0.25">
      <c r="B930" t="s">
        <v>110</v>
      </c>
      <c r="C930" t="s">
        <v>570</v>
      </c>
      <c r="D930" t="s">
        <v>661</v>
      </c>
      <c r="E930" s="35">
        <v>0.9</v>
      </c>
      <c r="F930" s="35">
        <v>22</v>
      </c>
      <c r="G930" s="36">
        <v>0.26032300000000003</v>
      </c>
      <c r="H930" s="18">
        <v>468.582222</v>
      </c>
      <c r="I930" s="16">
        <v>0</v>
      </c>
      <c r="J930" s="16"/>
      <c r="K930" s="16"/>
      <c r="L930" s="37" t="s">
        <v>107</v>
      </c>
      <c r="M930" s="37"/>
      <c r="N930" s="37">
        <v>424</v>
      </c>
      <c r="O930" s="37"/>
      <c r="P930" s="37"/>
      <c r="Q930" s="18">
        <v>2.8635530000000005</v>
      </c>
      <c r="R930" s="18">
        <v>1.9524225000000003E-2</v>
      </c>
      <c r="S930" s="18">
        <v>5.4667830000000004</v>
      </c>
      <c r="T930" s="18">
        <v>23.429070000000003</v>
      </c>
      <c r="U930" s="18">
        <v>11.714535000000001</v>
      </c>
      <c r="V930" s="18">
        <v>149.94604800000002</v>
      </c>
      <c r="W930" s="18">
        <v>140.57442</v>
      </c>
      <c r="X930" s="18">
        <v>93.716280000000012</v>
      </c>
      <c r="Y930" s="18">
        <v>4.1651680000000004</v>
      </c>
      <c r="Z930" s="18">
        <v>18.482933000000003</v>
      </c>
      <c r="AA930" s="18">
        <v>27.073592000000001</v>
      </c>
      <c r="AB930" s="18">
        <v>48.159755000000004</v>
      </c>
      <c r="AC930" s="18">
        <v>14.838411000000001</v>
      </c>
      <c r="AD930" s="18">
        <v>78.096900000000005</v>
      </c>
    </row>
    <row r="931" spans="2:30" x14ac:dyDescent="0.25">
      <c r="B931" t="s">
        <v>141</v>
      </c>
      <c r="C931" t="s">
        <v>570</v>
      </c>
      <c r="D931" t="s">
        <v>612</v>
      </c>
      <c r="E931" s="35">
        <v>0.9</v>
      </c>
      <c r="F931" s="35">
        <v>46</v>
      </c>
      <c r="G931" s="36">
        <v>0.91475099999999998</v>
      </c>
      <c r="H931" s="18">
        <v>1646.551694</v>
      </c>
      <c r="I931" s="16">
        <v>0</v>
      </c>
      <c r="J931" s="16"/>
      <c r="K931" s="16"/>
      <c r="L931" s="37" t="s">
        <v>107</v>
      </c>
      <c r="M931" s="37"/>
      <c r="N931" s="37">
        <v>425</v>
      </c>
      <c r="O931" s="37"/>
      <c r="P931" s="37"/>
      <c r="Q931" s="18">
        <v>10.062260999999999</v>
      </c>
      <c r="R931" s="18">
        <v>6.8606324999999996E-2</v>
      </c>
      <c r="S931" s="18">
        <v>19.209771</v>
      </c>
      <c r="T931" s="18">
        <v>82.327590000000001</v>
      </c>
      <c r="U931" s="18">
        <v>41.163795</v>
      </c>
      <c r="V931" s="18">
        <v>526.89657599999998</v>
      </c>
      <c r="W931" s="18">
        <v>493.96553999999998</v>
      </c>
      <c r="X931" s="18">
        <v>329.31036</v>
      </c>
      <c r="Y931" s="18">
        <v>14.636016</v>
      </c>
      <c r="Z931" s="18">
        <v>64.947321000000002</v>
      </c>
      <c r="AA931" s="18">
        <v>95.134103999999994</v>
      </c>
      <c r="AB931" s="18">
        <v>169.22893500000001</v>
      </c>
      <c r="AC931" s="18">
        <v>52.140807000000002</v>
      </c>
      <c r="AD931" s="18">
        <v>274.42529999999999</v>
      </c>
    </row>
    <row r="932" spans="2:30" x14ac:dyDescent="0.25">
      <c r="B932" t="s">
        <v>119</v>
      </c>
      <c r="C932" t="s">
        <v>570</v>
      </c>
      <c r="D932" t="s">
        <v>398</v>
      </c>
      <c r="E932" s="35">
        <v>0.9</v>
      </c>
      <c r="F932" s="35">
        <v>19</v>
      </c>
      <c r="G932" s="36">
        <v>0.22381200000000001</v>
      </c>
      <c r="H932" s="18">
        <v>402.86072000000001</v>
      </c>
      <c r="I932" s="16">
        <v>0</v>
      </c>
      <c r="J932" s="16"/>
      <c r="K932" s="16"/>
      <c r="L932" s="37" t="s">
        <v>107</v>
      </c>
      <c r="M932" s="37"/>
      <c r="N932" s="37">
        <v>426</v>
      </c>
      <c r="O932" s="37"/>
      <c r="P932" s="37"/>
      <c r="Q932" s="18">
        <v>2.461932</v>
      </c>
      <c r="R932" s="18">
        <v>1.6785899999999999E-2</v>
      </c>
      <c r="S932" s="18">
        <v>4.7000520000000003</v>
      </c>
      <c r="T932" s="18">
        <v>20.143080000000001</v>
      </c>
      <c r="U932" s="18">
        <v>10.071540000000001</v>
      </c>
      <c r="V932" s="18">
        <v>128.91571200000001</v>
      </c>
      <c r="W932" s="18">
        <v>120.85848</v>
      </c>
      <c r="X932" s="18">
        <v>80.572320000000005</v>
      </c>
      <c r="Y932" s="18">
        <v>3.5809920000000002</v>
      </c>
      <c r="Z932" s="18">
        <v>15.890652000000001</v>
      </c>
      <c r="AA932" s="18">
        <v>23.276448000000002</v>
      </c>
      <c r="AB932" s="18">
        <v>41.40522</v>
      </c>
      <c r="AC932" s="18">
        <v>12.757284</v>
      </c>
      <c r="AD932" s="18">
        <v>67.143600000000006</v>
      </c>
    </row>
    <row r="933" spans="2:30" x14ac:dyDescent="0.25">
      <c r="B933" t="s">
        <v>108</v>
      </c>
      <c r="C933" t="s">
        <v>570</v>
      </c>
      <c r="D933" t="s">
        <v>662</v>
      </c>
      <c r="E933" s="35">
        <v>0.9</v>
      </c>
      <c r="F933" s="35">
        <v>16</v>
      </c>
      <c r="G933" s="36">
        <v>6.5791000000000002E-2</v>
      </c>
      <c r="H933" s="18">
        <v>118.424571</v>
      </c>
      <c r="I933" s="16">
        <v>0</v>
      </c>
      <c r="J933" s="16"/>
      <c r="K933" s="16"/>
      <c r="L933" s="37" t="s">
        <v>107</v>
      </c>
      <c r="M933" s="37"/>
      <c r="N933" s="37">
        <v>427</v>
      </c>
      <c r="O933" s="37"/>
      <c r="P933" s="37"/>
      <c r="Q933" s="18">
        <v>0.72370100000000004</v>
      </c>
      <c r="R933" s="18">
        <v>4.9343249999999998E-3</v>
      </c>
      <c r="S933" s="18">
        <v>1.3816110000000001</v>
      </c>
      <c r="T933" s="18">
        <v>5.9211900000000002</v>
      </c>
      <c r="U933" s="18">
        <v>2.9605950000000001</v>
      </c>
      <c r="V933" s="18">
        <v>37.895616000000004</v>
      </c>
      <c r="W933" s="18">
        <v>35.527140000000003</v>
      </c>
      <c r="X933" s="18">
        <v>23.684760000000001</v>
      </c>
      <c r="Y933" s="18">
        <v>1.052656</v>
      </c>
      <c r="Z933" s="18">
        <v>4.6711610000000006</v>
      </c>
      <c r="AA933" s="18">
        <v>6.8422640000000001</v>
      </c>
      <c r="AB933" s="18">
        <v>12.171335000000001</v>
      </c>
      <c r="AC933" s="18">
        <v>3.7500870000000002</v>
      </c>
      <c r="AD933" s="18">
        <v>19.737300000000001</v>
      </c>
    </row>
    <row r="934" spans="2:30" x14ac:dyDescent="0.25">
      <c r="B934" t="s">
        <v>108</v>
      </c>
      <c r="C934" t="s">
        <v>570</v>
      </c>
      <c r="D934" t="s">
        <v>380</v>
      </c>
      <c r="E934" s="35">
        <v>0.9</v>
      </c>
      <c r="F934" s="35">
        <v>16</v>
      </c>
      <c r="G934" s="36">
        <v>7.1998000000000006E-2</v>
      </c>
      <c r="H934" s="18">
        <v>129.595664</v>
      </c>
      <c r="I934" s="16">
        <v>0</v>
      </c>
      <c r="J934" s="16"/>
      <c r="K934" s="16"/>
      <c r="L934" s="37" t="s">
        <v>107</v>
      </c>
      <c r="M934" s="37"/>
      <c r="N934" s="37">
        <v>428</v>
      </c>
      <c r="O934" s="37"/>
      <c r="P934" s="37"/>
      <c r="Q934" s="18">
        <v>0.79197800000000007</v>
      </c>
      <c r="R934" s="18">
        <v>5.3998500000000003E-3</v>
      </c>
      <c r="S934" s="18">
        <v>1.5119580000000001</v>
      </c>
      <c r="T934" s="18">
        <v>6.4798200000000001</v>
      </c>
      <c r="U934" s="18">
        <v>3.2399100000000001</v>
      </c>
      <c r="V934" s="18">
        <v>41.470848000000004</v>
      </c>
      <c r="W934" s="18">
        <v>38.878920000000001</v>
      </c>
      <c r="X934" s="18">
        <v>25.919280000000001</v>
      </c>
      <c r="Y934" s="18">
        <v>1.1519680000000001</v>
      </c>
      <c r="Z934" s="18">
        <v>5.1118580000000007</v>
      </c>
      <c r="AA934" s="18">
        <v>7.4877920000000007</v>
      </c>
      <c r="AB934" s="18">
        <v>13.319630000000002</v>
      </c>
      <c r="AC934" s="18">
        <v>4.1038860000000001</v>
      </c>
      <c r="AD934" s="18">
        <v>21.599400000000003</v>
      </c>
    </row>
    <row r="935" spans="2:30" x14ac:dyDescent="0.25">
      <c r="B935" t="s">
        <v>108</v>
      </c>
      <c r="C935" t="s">
        <v>570</v>
      </c>
      <c r="D935" t="s">
        <v>663</v>
      </c>
      <c r="E935" s="35">
        <v>0.9</v>
      </c>
      <c r="F935" s="35">
        <v>16</v>
      </c>
      <c r="G935" s="36">
        <v>8.3944000000000005E-2</v>
      </c>
      <c r="H935" s="18">
        <v>151.09878900000001</v>
      </c>
      <c r="I935" s="16">
        <v>0</v>
      </c>
      <c r="J935" s="16"/>
      <c r="K935" s="16"/>
      <c r="L935" s="37" t="s">
        <v>107</v>
      </c>
      <c r="M935" s="37"/>
      <c r="N935" s="37">
        <v>429</v>
      </c>
      <c r="O935" s="37"/>
      <c r="P935" s="37"/>
      <c r="Q935" s="18">
        <v>0.92338400000000009</v>
      </c>
      <c r="R935" s="18">
        <v>6.2957999999999998E-3</v>
      </c>
      <c r="S935" s="18">
        <v>1.7628240000000002</v>
      </c>
      <c r="T935" s="18">
        <v>7.5549600000000003</v>
      </c>
      <c r="U935" s="18">
        <v>3.7774800000000002</v>
      </c>
      <c r="V935" s="18">
        <v>48.351744000000004</v>
      </c>
      <c r="W935" s="18">
        <v>45.32976</v>
      </c>
      <c r="X935" s="18">
        <v>30.219840000000001</v>
      </c>
      <c r="Y935" s="18">
        <v>1.3431040000000001</v>
      </c>
      <c r="Z935" s="18">
        <v>5.9600240000000007</v>
      </c>
      <c r="AA935" s="18">
        <v>8.7301760000000002</v>
      </c>
      <c r="AB935" s="18">
        <v>15.529640000000001</v>
      </c>
      <c r="AC935" s="18">
        <v>4.784808</v>
      </c>
      <c r="AD935" s="18">
        <v>25.183200000000003</v>
      </c>
    </row>
    <row r="936" spans="2:30" x14ac:dyDescent="0.25">
      <c r="B936" t="s">
        <v>269</v>
      </c>
      <c r="C936" t="s">
        <v>570</v>
      </c>
      <c r="D936" t="s">
        <v>388</v>
      </c>
      <c r="E936" s="35">
        <v>0.9</v>
      </c>
      <c r="F936" s="35">
        <v>6.6</v>
      </c>
      <c r="G936" s="36">
        <v>2.9347000000000002E-2</v>
      </c>
      <c r="H936" s="18">
        <v>52.824249999999999</v>
      </c>
      <c r="I936" s="16"/>
      <c r="J936" s="16"/>
      <c r="K936" s="16"/>
      <c r="L936" s="37" t="s">
        <v>107</v>
      </c>
      <c r="M936" s="37"/>
      <c r="N936" s="37">
        <v>430</v>
      </c>
      <c r="O936" s="37"/>
      <c r="P936" s="37"/>
      <c r="Q936" s="18">
        <v>0.32281700000000002</v>
      </c>
      <c r="R936" s="18">
        <v>2.2010250000000001E-3</v>
      </c>
      <c r="S936" s="18">
        <v>0.61628700000000003</v>
      </c>
      <c r="T936" s="18">
        <v>2.6412300000000002</v>
      </c>
      <c r="U936" s="18">
        <v>1.3206150000000001</v>
      </c>
      <c r="V936" s="18">
        <v>16.903872</v>
      </c>
      <c r="W936" s="18">
        <v>15.847380000000001</v>
      </c>
      <c r="X936" s="18">
        <v>10.564920000000001</v>
      </c>
      <c r="Y936" s="18">
        <v>0.46955200000000002</v>
      </c>
      <c r="Z936" s="18">
        <v>2.083637</v>
      </c>
      <c r="AA936" s="18">
        <v>3.0520880000000004</v>
      </c>
      <c r="AB936" s="18">
        <v>5.429195</v>
      </c>
      <c r="AC936" s="18">
        <v>1.672779</v>
      </c>
      <c r="AD936" s="18">
        <v>8.8041</v>
      </c>
    </row>
    <row r="937" spans="2:30" x14ac:dyDescent="0.25">
      <c r="B937" t="s">
        <v>108</v>
      </c>
      <c r="C937" t="s">
        <v>570</v>
      </c>
      <c r="D937" t="s">
        <v>663</v>
      </c>
      <c r="E937" s="35">
        <v>0.9</v>
      </c>
      <c r="F937" s="35">
        <v>16</v>
      </c>
      <c r="G937" s="36">
        <v>8.3944000000000005E-2</v>
      </c>
      <c r="H937" s="18">
        <v>151.09878900000001</v>
      </c>
      <c r="I937" s="16">
        <v>0</v>
      </c>
      <c r="J937" s="16"/>
      <c r="K937" s="16"/>
      <c r="L937" s="37" t="s">
        <v>107</v>
      </c>
      <c r="M937" s="37"/>
      <c r="N937" s="37">
        <v>431</v>
      </c>
      <c r="O937" s="37"/>
      <c r="P937" s="37"/>
      <c r="Q937" s="18">
        <v>0.92338400000000009</v>
      </c>
      <c r="R937" s="18">
        <v>6.2957999999999998E-3</v>
      </c>
      <c r="S937" s="18">
        <v>1.7628240000000002</v>
      </c>
      <c r="T937" s="18">
        <v>7.5549600000000003</v>
      </c>
      <c r="U937" s="18">
        <v>3.7774800000000002</v>
      </c>
      <c r="V937" s="18">
        <v>48.351744000000004</v>
      </c>
      <c r="W937" s="18">
        <v>45.32976</v>
      </c>
      <c r="X937" s="18">
        <v>30.219840000000001</v>
      </c>
      <c r="Y937" s="18">
        <v>1.3431040000000001</v>
      </c>
      <c r="Z937" s="18">
        <v>5.9600240000000007</v>
      </c>
      <c r="AA937" s="18">
        <v>8.7301760000000002</v>
      </c>
      <c r="AB937" s="18">
        <v>15.529640000000001</v>
      </c>
      <c r="AC937" s="18">
        <v>4.784808</v>
      </c>
      <c r="AD937" s="18">
        <v>25.183200000000003</v>
      </c>
    </row>
    <row r="938" spans="2:30" x14ac:dyDescent="0.25">
      <c r="B938" t="s">
        <v>110</v>
      </c>
      <c r="C938" t="s">
        <v>570</v>
      </c>
      <c r="D938" t="s">
        <v>400</v>
      </c>
      <c r="E938" s="35">
        <v>0.9</v>
      </c>
      <c r="F938" s="35">
        <v>22</v>
      </c>
      <c r="G938" s="36">
        <v>0.22065399999999999</v>
      </c>
      <c r="H938" s="18">
        <v>397.17786999999998</v>
      </c>
      <c r="I938" s="16">
        <v>0</v>
      </c>
      <c r="J938" s="16"/>
      <c r="K938" s="16"/>
      <c r="L938" s="37" t="s">
        <v>107</v>
      </c>
      <c r="M938" s="37"/>
      <c r="N938" s="37">
        <v>432</v>
      </c>
      <c r="O938" s="37"/>
      <c r="P938" s="37"/>
      <c r="Q938" s="18">
        <v>2.4271940000000001</v>
      </c>
      <c r="R938" s="18">
        <v>1.6549049999999999E-2</v>
      </c>
      <c r="S938" s="18">
        <v>4.6337339999999996</v>
      </c>
      <c r="T938" s="18">
        <v>19.85886</v>
      </c>
      <c r="U938" s="18">
        <v>9.92943</v>
      </c>
      <c r="V938" s="18">
        <v>127.09670399999999</v>
      </c>
      <c r="W938" s="18">
        <v>119.15316</v>
      </c>
      <c r="X938" s="18">
        <v>79.43544</v>
      </c>
      <c r="Y938" s="18">
        <v>3.5304639999999998</v>
      </c>
      <c r="Z938" s="18">
        <v>15.666433999999999</v>
      </c>
      <c r="AA938" s="18">
        <v>22.948015999999999</v>
      </c>
      <c r="AB938" s="18">
        <v>40.820989999999995</v>
      </c>
      <c r="AC938" s="18">
        <v>12.577278</v>
      </c>
      <c r="AD938" s="18">
        <v>66.19619999999999</v>
      </c>
    </row>
    <row r="939" spans="2:30" x14ac:dyDescent="0.25">
      <c r="B939" t="s">
        <v>144</v>
      </c>
      <c r="C939" t="s">
        <v>570</v>
      </c>
      <c r="D939" t="s">
        <v>401</v>
      </c>
      <c r="E939" s="35">
        <v>0.9</v>
      </c>
      <c r="F939" s="35">
        <v>40</v>
      </c>
      <c r="G939" s="36">
        <v>0.77863599999999999</v>
      </c>
      <c r="H939" s="18">
        <v>1401.5453130000001</v>
      </c>
      <c r="I939" s="16">
        <v>0</v>
      </c>
      <c r="J939" s="16"/>
      <c r="K939" s="16"/>
      <c r="L939" s="37" t="s">
        <v>107</v>
      </c>
      <c r="M939" s="37"/>
      <c r="N939" s="37">
        <v>433</v>
      </c>
      <c r="O939" s="37"/>
      <c r="P939" s="37"/>
      <c r="Q939" s="18">
        <v>8.5649960000000007</v>
      </c>
      <c r="R939" s="18">
        <v>5.8397699999999997E-2</v>
      </c>
      <c r="S939" s="18">
        <v>16.351355999999999</v>
      </c>
      <c r="T939" s="18">
        <v>70.077240000000003</v>
      </c>
      <c r="U939" s="18">
        <v>35.038620000000002</v>
      </c>
      <c r="V939" s="18">
        <v>448.49433599999998</v>
      </c>
      <c r="W939" s="18">
        <v>420.46343999999999</v>
      </c>
      <c r="X939" s="18">
        <v>280.30896000000001</v>
      </c>
      <c r="Y939" s="18">
        <v>12.458176</v>
      </c>
      <c r="Z939" s="18">
        <v>55.283155999999998</v>
      </c>
      <c r="AA939" s="18">
        <v>80.978144</v>
      </c>
      <c r="AB939" s="18">
        <v>144.04766000000001</v>
      </c>
      <c r="AC939" s="18">
        <v>44.382252000000001</v>
      </c>
      <c r="AD939" s="18">
        <v>233.5908</v>
      </c>
    </row>
    <row r="940" spans="2:30" x14ac:dyDescent="0.25">
      <c r="B940" t="s">
        <v>110</v>
      </c>
      <c r="C940" t="s">
        <v>570</v>
      </c>
      <c r="D940" t="s">
        <v>402</v>
      </c>
      <c r="E940" s="35">
        <v>0.9</v>
      </c>
      <c r="F940" s="35">
        <v>22</v>
      </c>
      <c r="G940" s="36">
        <v>0.290829</v>
      </c>
      <c r="H940" s="18">
        <v>523.49198699999999</v>
      </c>
      <c r="I940" s="16">
        <v>0</v>
      </c>
      <c r="J940" s="16"/>
      <c r="K940" s="16"/>
      <c r="L940" s="37" t="s">
        <v>107</v>
      </c>
      <c r="M940" s="37"/>
      <c r="N940" s="37">
        <v>434</v>
      </c>
      <c r="O940" s="37"/>
      <c r="P940" s="37"/>
      <c r="Q940" s="18">
        <v>3.199119</v>
      </c>
      <c r="R940" s="18">
        <v>2.1812175E-2</v>
      </c>
      <c r="S940" s="18">
        <v>6.1074090000000005</v>
      </c>
      <c r="T940" s="18">
        <v>26.174610000000001</v>
      </c>
      <c r="U940" s="18">
        <v>13.087305000000001</v>
      </c>
      <c r="V940" s="18">
        <v>167.517504</v>
      </c>
      <c r="W940" s="18">
        <v>157.04766000000001</v>
      </c>
      <c r="X940" s="18">
        <v>104.69844000000001</v>
      </c>
      <c r="Y940" s="18">
        <v>4.6532640000000001</v>
      </c>
      <c r="Z940" s="18">
        <v>20.648859000000002</v>
      </c>
      <c r="AA940" s="18">
        <v>30.246216</v>
      </c>
      <c r="AB940" s="18">
        <v>53.803364999999999</v>
      </c>
      <c r="AC940" s="18">
        <v>16.577252999999999</v>
      </c>
      <c r="AD940" s="18">
        <v>87.248699999999999</v>
      </c>
    </row>
    <row r="941" spans="2:30" x14ac:dyDescent="0.25">
      <c r="B941" t="s">
        <v>110</v>
      </c>
      <c r="C941" t="s">
        <v>570</v>
      </c>
      <c r="D941" t="s">
        <v>403</v>
      </c>
      <c r="E941" s="35">
        <v>0.9</v>
      </c>
      <c r="F941" s="35">
        <v>22</v>
      </c>
      <c r="G941" s="36">
        <v>0.222418</v>
      </c>
      <c r="H941" s="18">
        <v>400.35165499999999</v>
      </c>
      <c r="I941" s="16">
        <v>0</v>
      </c>
      <c r="J941" s="16"/>
      <c r="K941" s="16"/>
      <c r="L941" s="37" t="s">
        <v>107</v>
      </c>
      <c r="M941" s="37"/>
      <c r="N941" s="37">
        <v>435</v>
      </c>
      <c r="O941" s="37"/>
      <c r="P941" s="37"/>
      <c r="Q941" s="18">
        <v>2.4465979999999998</v>
      </c>
      <c r="R941" s="18">
        <v>1.6681350000000001E-2</v>
      </c>
      <c r="S941" s="18">
        <v>4.6707780000000003</v>
      </c>
      <c r="T941" s="18">
        <v>20.017620000000001</v>
      </c>
      <c r="U941" s="18">
        <v>10.00881</v>
      </c>
      <c r="V941" s="18">
        <v>128.11276800000002</v>
      </c>
      <c r="W941" s="18">
        <v>120.10572000000001</v>
      </c>
      <c r="X941" s="18">
        <v>80.070480000000003</v>
      </c>
      <c r="Y941" s="18">
        <v>3.5586880000000001</v>
      </c>
      <c r="Z941" s="18">
        <v>15.791678000000001</v>
      </c>
      <c r="AA941" s="18">
        <v>23.131472000000002</v>
      </c>
      <c r="AB941" s="18">
        <v>41.147330000000004</v>
      </c>
      <c r="AC941" s="18">
        <v>12.677826</v>
      </c>
      <c r="AD941" s="18">
        <v>66.725400000000008</v>
      </c>
    </row>
    <row r="942" spans="2:30" x14ac:dyDescent="0.25">
      <c r="B942" t="s">
        <v>353</v>
      </c>
      <c r="C942" t="s">
        <v>570</v>
      </c>
      <c r="D942" t="s">
        <v>404</v>
      </c>
      <c r="E942" s="35">
        <v>0.9</v>
      </c>
      <c r="F942" s="35">
        <v>62</v>
      </c>
      <c r="G942" s="36">
        <v>1.2064729999999999</v>
      </c>
      <c r="H942" s="18">
        <v>2171.651265</v>
      </c>
      <c r="I942" s="16">
        <v>0</v>
      </c>
      <c r="J942" s="16"/>
      <c r="K942" s="16"/>
      <c r="L942" s="37" t="s">
        <v>107</v>
      </c>
      <c r="M942" s="37"/>
      <c r="N942" s="37">
        <v>436</v>
      </c>
      <c r="O942" s="37"/>
      <c r="P942" s="37"/>
      <c r="Q942" s="18">
        <v>13.271203</v>
      </c>
      <c r="R942" s="18">
        <v>9.0485474999999996E-2</v>
      </c>
      <c r="S942" s="18">
        <v>25.335932999999997</v>
      </c>
      <c r="T942" s="18">
        <v>108.58256999999999</v>
      </c>
      <c r="U942" s="18">
        <v>54.291284999999995</v>
      </c>
      <c r="V942" s="18">
        <v>694.92844799999989</v>
      </c>
      <c r="W942" s="18">
        <v>651.49541999999997</v>
      </c>
      <c r="X942" s="18">
        <v>434.33027999999996</v>
      </c>
      <c r="Y942" s="18">
        <v>19.303567999999999</v>
      </c>
      <c r="Z942" s="18">
        <v>85.659582999999998</v>
      </c>
      <c r="AA942" s="18">
        <v>125.47319199999998</v>
      </c>
      <c r="AB942" s="18">
        <v>223.19750499999998</v>
      </c>
      <c r="AC942" s="18">
        <v>68.76896099999999</v>
      </c>
      <c r="AD942" s="18">
        <v>361.94189999999998</v>
      </c>
    </row>
    <row r="943" spans="2:30" x14ac:dyDescent="0.25">
      <c r="B943" t="s">
        <v>110</v>
      </c>
      <c r="C943" t="s">
        <v>570</v>
      </c>
      <c r="D943" t="s">
        <v>405</v>
      </c>
      <c r="E943" s="35">
        <v>0.9</v>
      </c>
      <c r="F943" s="35">
        <v>22</v>
      </c>
      <c r="G943" s="36">
        <v>0.128329</v>
      </c>
      <c r="H943" s="18">
        <v>230.99189000000001</v>
      </c>
      <c r="I943" s="16">
        <v>0</v>
      </c>
      <c r="J943" s="16"/>
      <c r="K943" s="16"/>
      <c r="L943" s="37" t="s">
        <v>107</v>
      </c>
      <c r="M943" s="37"/>
      <c r="N943" s="37">
        <v>437</v>
      </c>
      <c r="O943" s="37"/>
      <c r="P943" s="37"/>
      <c r="Q943" s="18">
        <v>1.411619</v>
      </c>
      <c r="R943" s="18">
        <v>9.6246749999999992E-3</v>
      </c>
      <c r="S943" s="18">
        <v>2.694909</v>
      </c>
      <c r="T943" s="18">
        <v>11.549609999999999</v>
      </c>
      <c r="U943" s="18">
        <v>5.7748049999999997</v>
      </c>
      <c r="V943" s="18">
        <v>73.917503999999994</v>
      </c>
      <c r="W943" s="18">
        <v>69.297659999999993</v>
      </c>
      <c r="X943" s="18">
        <v>46.198439999999998</v>
      </c>
      <c r="Y943" s="18">
        <v>2.053264</v>
      </c>
      <c r="Z943" s="18">
        <v>9.1113590000000002</v>
      </c>
      <c r="AA943" s="18">
        <v>13.346216</v>
      </c>
      <c r="AB943" s="18">
        <v>23.740864999999999</v>
      </c>
      <c r="AC943" s="18">
        <v>7.3147529999999996</v>
      </c>
      <c r="AD943" s="18">
        <v>38.498699999999999</v>
      </c>
    </row>
    <row r="944" spans="2:30" x14ac:dyDescent="0.25">
      <c r="B944" t="s">
        <v>110</v>
      </c>
      <c r="C944" t="s">
        <v>570</v>
      </c>
      <c r="D944" t="s">
        <v>406</v>
      </c>
      <c r="E944" s="35">
        <v>0.9</v>
      </c>
      <c r="F944" s="35">
        <v>22</v>
      </c>
      <c r="G944" s="36">
        <v>0.157808</v>
      </c>
      <c r="H944" s="18">
        <v>284.05372999999997</v>
      </c>
      <c r="I944" s="16">
        <v>0</v>
      </c>
      <c r="J944" s="16"/>
      <c r="K944" s="16"/>
      <c r="L944" s="37" t="s">
        <v>107</v>
      </c>
      <c r="M944" s="37"/>
      <c r="N944" s="37">
        <v>438</v>
      </c>
      <c r="O944" s="37"/>
      <c r="P944" s="37"/>
      <c r="Q944" s="18">
        <v>1.7358880000000001</v>
      </c>
      <c r="R944" s="18">
        <v>1.18356E-2</v>
      </c>
      <c r="S944" s="18">
        <v>3.313968</v>
      </c>
      <c r="T944" s="18">
        <v>14.202720000000001</v>
      </c>
      <c r="U944" s="18">
        <v>7.1013600000000006</v>
      </c>
      <c r="V944" s="18">
        <v>90.897407999999999</v>
      </c>
      <c r="W944" s="18">
        <v>85.216319999999996</v>
      </c>
      <c r="X944" s="18">
        <v>56.810880000000004</v>
      </c>
      <c r="Y944" s="18">
        <v>2.5249280000000001</v>
      </c>
      <c r="Z944" s="18">
        <v>11.204368000000001</v>
      </c>
      <c r="AA944" s="18">
        <v>16.412032</v>
      </c>
      <c r="AB944" s="18">
        <v>29.194480000000002</v>
      </c>
      <c r="AC944" s="18">
        <v>8.9950559999999999</v>
      </c>
      <c r="AD944" s="18">
        <v>47.342399999999998</v>
      </c>
    </row>
    <row r="945" spans="2:30" x14ac:dyDescent="0.25">
      <c r="B945" t="s">
        <v>108</v>
      </c>
      <c r="C945" t="s">
        <v>570</v>
      </c>
      <c r="D945" t="s">
        <v>407</v>
      </c>
      <c r="E945" s="35">
        <v>0.9</v>
      </c>
      <c r="F945" s="35">
        <v>16</v>
      </c>
      <c r="G945" s="36">
        <v>5.8581000000000001E-2</v>
      </c>
      <c r="H945" s="18">
        <v>105.44581100000001</v>
      </c>
      <c r="I945" s="16">
        <v>0</v>
      </c>
      <c r="J945" s="16"/>
      <c r="K945" s="16"/>
      <c r="L945" s="37" t="s">
        <v>107</v>
      </c>
      <c r="M945" s="37"/>
      <c r="N945" s="37">
        <v>439</v>
      </c>
      <c r="O945" s="37"/>
      <c r="P945" s="37"/>
      <c r="Q945" s="18">
        <v>0.64439100000000005</v>
      </c>
      <c r="R945" s="18">
        <v>4.3935750000000003E-3</v>
      </c>
      <c r="S945" s="18">
        <v>1.2302010000000001</v>
      </c>
      <c r="T945" s="18">
        <v>5.2722899999999999</v>
      </c>
      <c r="U945" s="18">
        <v>2.636145</v>
      </c>
      <c r="V945" s="18">
        <v>33.742656000000004</v>
      </c>
      <c r="W945" s="18">
        <v>31.63374</v>
      </c>
      <c r="X945" s="18">
        <v>21.08916</v>
      </c>
      <c r="Y945" s="18">
        <v>0.93729600000000002</v>
      </c>
      <c r="Z945" s="18">
        <v>4.1592510000000003</v>
      </c>
      <c r="AA945" s="18">
        <v>6.0924240000000003</v>
      </c>
      <c r="AB945" s="18">
        <v>10.837485000000001</v>
      </c>
      <c r="AC945" s="18">
        <v>3.3391169999999999</v>
      </c>
      <c r="AD945" s="18">
        <v>17.574300000000001</v>
      </c>
    </row>
    <row r="946" spans="2:30" x14ac:dyDescent="0.25">
      <c r="B946" t="s">
        <v>108</v>
      </c>
      <c r="C946" t="s">
        <v>570</v>
      </c>
      <c r="D946" t="s">
        <v>664</v>
      </c>
      <c r="E946" s="35">
        <v>0.9</v>
      </c>
      <c r="F946" s="35">
        <v>16</v>
      </c>
      <c r="G946" s="36">
        <v>4.7891999999999997E-2</v>
      </c>
      <c r="H946" s="18">
        <v>86.205430000000007</v>
      </c>
      <c r="I946" s="16">
        <v>0</v>
      </c>
      <c r="J946" s="16"/>
      <c r="K946" s="16"/>
      <c r="L946" s="37" t="s">
        <v>107</v>
      </c>
      <c r="M946" s="37"/>
      <c r="N946" s="37">
        <v>440</v>
      </c>
      <c r="O946" s="37"/>
      <c r="P946" s="37"/>
      <c r="Q946" s="18">
        <v>0.52681199999999995</v>
      </c>
      <c r="R946" s="18">
        <v>3.5918999999999994E-3</v>
      </c>
      <c r="S946" s="18">
        <v>1.0057319999999998</v>
      </c>
      <c r="T946" s="18">
        <v>4.3102799999999997</v>
      </c>
      <c r="U946" s="18">
        <v>2.1551399999999998</v>
      </c>
      <c r="V946" s="18">
        <v>27.585791999999998</v>
      </c>
      <c r="W946" s="18">
        <v>25.86168</v>
      </c>
      <c r="X946" s="18">
        <v>17.241119999999999</v>
      </c>
      <c r="Y946" s="18">
        <v>0.76627199999999995</v>
      </c>
      <c r="Z946" s="18">
        <v>3.4003319999999997</v>
      </c>
      <c r="AA946" s="18">
        <v>4.9807679999999994</v>
      </c>
      <c r="AB946" s="18">
        <v>8.8600199999999987</v>
      </c>
      <c r="AC946" s="18">
        <v>2.7298439999999999</v>
      </c>
      <c r="AD946" s="18">
        <v>14.367599999999999</v>
      </c>
    </row>
    <row r="947" spans="2:30" x14ac:dyDescent="0.25">
      <c r="B947" t="s">
        <v>108</v>
      </c>
      <c r="C947" t="s">
        <v>570</v>
      </c>
      <c r="D947" t="s">
        <v>664</v>
      </c>
      <c r="E947" s="35">
        <v>0.9</v>
      </c>
      <c r="F947" s="35">
        <v>16</v>
      </c>
      <c r="G947" s="36">
        <v>4.7891999999999997E-2</v>
      </c>
      <c r="H947" s="18">
        <v>86.205430000000007</v>
      </c>
      <c r="I947" s="16">
        <v>0</v>
      </c>
      <c r="J947" s="16"/>
      <c r="K947" s="16"/>
      <c r="L947" s="37" t="s">
        <v>107</v>
      </c>
      <c r="M947" s="37"/>
      <c r="N947" s="37">
        <v>441</v>
      </c>
      <c r="O947" s="37"/>
      <c r="P947" s="37"/>
      <c r="Q947" s="18">
        <v>0.52681199999999995</v>
      </c>
      <c r="R947" s="18">
        <v>3.5918999999999994E-3</v>
      </c>
      <c r="S947" s="18">
        <v>1.0057319999999998</v>
      </c>
      <c r="T947" s="18">
        <v>4.3102799999999997</v>
      </c>
      <c r="U947" s="18">
        <v>2.1551399999999998</v>
      </c>
      <c r="V947" s="18">
        <v>27.585791999999998</v>
      </c>
      <c r="W947" s="18">
        <v>25.86168</v>
      </c>
      <c r="X947" s="18">
        <v>17.241119999999999</v>
      </c>
      <c r="Y947" s="18">
        <v>0.76627199999999995</v>
      </c>
      <c r="Z947" s="18">
        <v>3.4003319999999997</v>
      </c>
      <c r="AA947" s="18">
        <v>4.9807679999999994</v>
      </c>
      <c r="AB947" s="18">
        <v>8.8600199999999987</v>
      </c>
      <c r="AC947" s="18">
        <v>2.7298439999999999</v>
      </c>
      <c r="AD947" s="18">
        <v>14.367599999999999</v>
      </c>
    </row>
    <row r="948" spans="2:30" x14ac:dyDescent="0.25">
      <c r="B948" t="s">
        <v>108</v>
      </c>
      <c r="C948" t="s">
        <v>570</v>
      </c>
      <c r="D948" t="s">
        <v>408</v>
      </c>
      <c r="E948" s="35">
        <v>0.9</v>
      </c>
      <c r="F948" s="35">
        <v>16</v>
      </c>
      <c r="G948" s="36">
        <v>5.6531999999999999E-2</v>
      </c>
      <c r="H948" s="18">
        <v>101.75679700000001</v>
      </c>
      <c r="I948" s="16">
        <v>0</v>
      </c>
      <c r="J948" s="16"/>
      <c r="K948" s="16"/>
      <c r="L948" s="37" t="s">
        <v>107</v>
      </c>
      <c r="M948" s="37"/>
      <c r="N948" s="37">
        <v>442</v>
      </c>
      <c r="O948" s="37"/>
      <c r="P948" s="37"/>
      <c r="Q948" s="18">
        <v>0.62185199999999996</v>
      </c>
      <c r="R948" s="18">
        <v>4.2398999999999996E-3</v>
      </c>
      <c r="S948" s="18">
        <v>1.1871719999999999</v>
      </c>
      <c r="T948" s="18">
        <v>5.0878800000000002</v>
      </c>
      <c r="U948" s="18">
        <v>2.5439400000000001</v>
      </c>
      <c r="V948" s="18">
        <v>32.562432000000001</v>
      </c>
      <c r="W948" s="18">
        <v>30.527280000000001</v>
      </c>
      <c r="X948" s="18">
        <v>20.351520000000001</v>
      </c>
      <c r="Y948" s="18">
        <v>0.90451199999999998</v>
      </c>
      <c r="Z948" s="18">
        <v>4.0137720000000003</v>
      </c>
      <c r="AA948" s="18">
        <v>5.8793280000000001</v>
      </c>
      <c r="AB948" s="18">
        <v>10.45842</v>
      </c>
      <c r="AC948" s="18">
        <v>3.222324</v>
      </c>
      <c r="AD948" s="18">
        <v>16.959599999999998</v>
      </c>
    </row>
    <row r="949" spans="2:30" x14ac:dyDescent="0.25">
      <c r="B949" t="s">
        <v>108</v>
      </c>
      <c r="C949" t="s">
        <v>570</v>
      </c>
      <c r="D949" t="s">
        <v>409</v>
      </c>
      <c r="E949" s="35">
        <v>0.9</v>
      </c>
      <c r="F949" s="35">
        <v>16</v>
      </c>
      <c r="G949" s="36">
        <v>6.7624000000000004E-2</v>
      </c>
      <c r="H949" s="18">
        <v>121.723984</v>
      </c>
      <c r="I949" s="16">
        <v>0</v>
      </c>
      <c r="J949" s="16"/>
      <c r="K949" s="16"/>
      <c r="L949" s="37" t="s">
        <v>107</v>
      </c>
      <c r="M949" s="37"/>
      <c r="N949" s="37">
        <v>443</v>
      </c>
      <c r="O949" s="37"/>
      <c r="P949" s="37"/>
      <c r="Q949" s="18">
        <v>0.74386400000000008</v>
      </c>
      <c r="R949" s="18">
        <v>5.0718000000000004E-3</v>
      </c>
      <c r="S949" s="18">
        <v>1.420104</v>
      </c>
      <c r="T949" s="18">
        <v>6.0861600000000005</v>
      </c>
      <c r="U949" s="18">
        <v>3.0430800000000002</v>
      </c>
      <c r="V949" s="18">
        <v>38.951424000000003</v>
      </c>
      <c r="W949" s="18">
        <v>36.516960000000005</v>
      </c>
      <c r="X949" s="18">
        <v>24.344640000000002</v>
      </c>
      <c r="Y949" s="18">
        <v>1.0819840000000001</v>
      </c>
      <c r="Z949" s="18">
        <v>4.801304</v>
      </c>
      <c r="AA949" s="18">
        <v>7.032896</v>
      </c>
      <c r="AB949" s="18">
        <v>12.510440000000001</v>
      </c>
      <c r="AC949" s="18">
        <v>3.854568</v>
      </c>
      <c r="AD949" s="18">
        <v>20.287200000000002</v>
      </c>
    </row>
    <row r="950" spans="2:30" x14ac:dyDescent="0.25">
      <c r="B950" t="s">
        <v>133</v>
      </c>
      <c r="C950" t="s">
        <v>570</v>
      </c>
      <c r="D950" t="s">
        <v>368</v>
      </c>
      <c r="E950" s="35">
        <v>0.9</v>
      </c>
      <c r="F950" s="35">
        <v>50</v>
      </c>
      <c r="G950" s="36">
        <v>0.99396099999999998</v>
      </c>
      <c r="H950" s="18">
        <v>1789.1301269999999</v>
      </c>
      <c r="I950" s="16">
        <v>0</v>
      </c>
      <c r="J950" s="16"/>
      <c r="K950" s="16"/>
      <c r="L950" s="37" t="s">
        <v>107</v>
      </c>
      <c r="M950" s="37"/>
      <c r="N950" s="37">
        <v>444</v>
      </c>
      <c r="O950" s="37"/>
      <c r="P950" s="37"/>
      <c r="Q950" s="18">
        <v>10.933571000000001</v>
      </c>
      <c r="R950" s="18">
        <v>7.454707499999999E-2</v>
      </c>
      <c r="S950" s="18">
        <v>20.873180999999999</v>
      </c>
      <c r="T950" s="18">
        <v>89.456490000000002</v>
      </c>
      <c r="U950" s="18">
        <v>44.728245000000001</v>
      </c>
      <c r="V950" s="18">
        <v>572.52153599999997</v>
      </c>
      <c r="W950" s="18">
        <v>536.73893999999996</v>
      </c>
      <c r="X950" s="18">
        <v>357.82596000000001</v>
      </c>
      <c r="Y950" s="18">
        <v>15.903376</v>
      </c>
      <c r="Z950" s="18">
        <v>70.571230999999997</v>
      </c>
      <c r="AA950" s="18">
        <v>103.371944</v>
      </c>
      <c r="AB950" s="18">
        <v>183.88278499999998</v>
      </c>
      <c r="AC950" s="18">
        <v>56.655777</v>
      </c>
      <c r="AD950" s="18">
        <v>298.18829999999997</v>
      </c>
    </row>
    <row r="951" spans="2:30" x14ac:dyDescent="0.25">
      <c r="B951" t="s">
        <v>144</v>
      </c>
      <c r="C951" t="s">
        <v>570</v>
      </c>
      <c r="D951" t="s">
        <v>412</v>
      </c>
      <c r="E951" s="35">
        <v>0.9</v>
      </c>
      <c r="F951" s="35">
        <v>40</v>
      </c>
      <c r="G951" s="36">
        <v>0.74394499999999997</v>
      </c>
      <c r="H951" s="18">
        <v>1339.1008409999999</v>
      </c>
      <c r="I951" s="16">
        <v>0</v>
      </c>
      <c r="J951" s="16"/>
      <c r="K951" s="16"/>
      <c r="L951" s="37" t="s">
        <v>107</v>
      </c>
      <c r="M951" s="37"/>
      <c r="N951" s="37">
        <v>445</v>
      </c>
      <c r="O951" s="37"/>
      <c r="P951" s="37"/>
      <c r="Q951" s="18">
        <v>8.1833949999999991</v>
      </c>
      <c r="R951" s="18">
        <v>5.5795874999999995E-2</v>
      </c>
      <c r="S951" s="18">
        <v>15.622845</v>
      </c>
      <c r="T951" s="18">
        <v>66.95505</v>
      </c>
      <c r="U951" s="18">
        <v>33.477525</v>
      </c>
      <c r="V951" s="18">
        <v>428.51231999999999</v>
      </c>
      <c r="W951" s="18">
        <v>401.7303</v>
      </c>
      <c r="X951" s="18">
        <v>267.8202</v>
      </c>
      <c r="Y951" s="18">
        <v>11.903119999999999</v>
      </c>
      <c r="Z951" s="18">
        <v>52.820094999999995</v>
      </c>
      <c r="AA951" s="18">
        <v>77.370279999999994</v>
      </c>
      <c r="AB951" s="18">
        <v>137.62982499999998</v>
      </c>
      <c r="AC951" s="18">
        <v>42.404865000000001</v>
      </c>
      <c r="AD951" s="18">
        <v>223.18349999999998</v>
      </c>
    </row>
    <row r="952" spans="2:30" x14ac:dyDescent="0.25">
      <c r="B952" t="s">
        <v>108</v>
      </c>
      <c r="C952" t="s">
        <v>570</v>
      </c>
      <c r="D952" t="s">
        <v>369</v>
      </c>
      <c r="E952" s="35">
        <v>0.9</v>
      </c>
      <c r="F952" s="35">
        <v>16</v>
      </c>
      <c r="G952" s="36">
        <v>9.9409999999999998E-2</v>
      </c>
      <c r="H952" s="18">
        <v>178.937656</v>
      </c>
      <c r="I952" s="16">
        <v>0</v>
      </c>
      <c r="J952" s="16"/>
      <c r="K952" s="16"/>
      <c r="L952" s="37" t="s">
        <v>107</v>
      </c>
      <c r="M952" s="37"/>
      <c r="N952" s="37">
        <v>446</v>
      </c>
      <c r="O952" s="37"/>
      <c r="P952" s="37"/>
      <c r="Q952" s="18">
        <v>1.09351</v>
      </c>
      <c r="R952" s="18">
        <v>7.4557499999999997E-3</v>
      </c>
      <c r="S952" s="18">
        <v>2.0876099999999997</v>
      </c>
      <c r="T952" s="18">
        <v>8.9468999999999994</v>
      </c>
      <c r="U952" s="18">
        <v>4.4734499999999997</v>
      </c>
      <c r="V952" s="18">
        <v>57.260159999999999</v>
      </c>
      <c r="W952" s="18">
        <v>53.681399999999996</v>
      </c>
      <c r="X952" s="18">
        <v>35.787599999999998</v>
      </c>
      <c r="Y952" s="18">
        <v>1.59056</v>
      </c>
      <c r="Z952" s="18">
        <v>7.0581100000000001</v>
      </c>
      <c r="AA952" s="18">
        <v>10.33864</v>
      </c>
      <c r="AB952" s="18">
        <v>18.39085</v>
      </c>
      <c r="AC952" s="18">
        <v>5.6663699999999997</v>
      </c>
      <c r="AD952" s="18">
        <v>29.823</v>
      </c>
    </row>
    <row r="953" spans="2:30" x14ac:dyDescent="0.25">
      <c r="B953" t="s">
        <v>124</v>
      </c>
      <c r="C953" t="s">
        <v>570</v>
      </c>
      <c r="D953" t="s">
        <v>413</v>
      </c>
      <c r="E953" s="35">
        <v>0.9</v>
      </c>
      <c r="F953" s="35">
        <v>35</v>
      </c>
      <c r="G953" s="36">
        <v>0.29772199999999999</v>
      </c>
      <c r="H953" s="18">
        <v>535.90024400000004</v>
      </c>
      <c r="I953" s="16">
        <v>0</v>
      </c>
      <c r="J953" s="16"/>
      <c r="K953" s="16"/>
      <c r="L953" s="37" t="s">
        <v>107</v>
      </c>
      <c r="M953" s="37"/>
      <c r="N953" s="37">
        <v>447</v>
      </c>
      <c r="O953" s="37"/>
      <c r="P953" s="37"/>
      <c r="Q953" s="18">
        <v>3.2749419999999998</v>
      </c>
      <c r="R953" s="18">
        <v>2.2329149999999999E-2</v>
      </c>
      <c r="S953" s="18">
        <v>6.2521619999999993</v>
      </c>
      <c r="T953" s="18">
        <v>26.794979999999999</v>
      </c>
      <c r="U953" s="18">
        <v>13.397489999999999</v>
      </c>
      <c r="V953" s="18">
        <v>171.48787199999998</v>
      </c>
      <c r="W953" s="18">
        <v>160.76988</v>
      </c>
      <c r="X953" s="18">
        <v>107.17992</v>
      </c>
      <c r="Y953" s="18">
        <v>4.7635519999999998</v>
      </c>
      <c r="Z953" s="18">
        <v>21.138261999999997</v>
      </c>
      <c r="AA953" s="18">
        <v>30.963087999999999</v>
      </c>
      <c r="AB953" s="18">
        <v>55.078569999999999</v>
      </c>
      <c r="AC953" s="18">
        <v>16.970154000000001</v>
      </c>
      <c r="AD953" s="18">
        <v>89.316599999999994</v>
      </c>
    </row>
    <row r="954" spans="2:30" x14ac:dyDescent="0.25">
      <c r="B954" t="s">
        <v>665</v>
      </c>
      <c r="C954" t="s">
        <v>570</v>
      </c>
      <c r="D954" t="s">
        <v>666</v>
      </c>
      <c r="E954" s="35">
        <v>0.9</v>
      </c>
      <c r="F954" s="35">
        <v>48</v>
      </c>
      <c r="G954" s="36">
        <v>0.623</v>
      </c>
      <c r="H954" s="18">
        <v>1121.3991510000001</v>
      </c>
      <c r="I954" s="16">
        <v>0</v>
      </c>
      <c r="J954" s="16"/>
      <c r="K954" s="16"/>
      <c r="L954" s="37" t="s">
        <v>107</v>
      </c>
      <c r="M954" s="37"/>
      <c r="N954" s="37">
        <v>448</v>
      </c>
      <c r="O954" s="37"/>
      <c r="P954" s="37"/>
      <c r="Q954" s="18">
        <v>6.8529999999999998</v>
      </c>
      <c r="R954" s="18">
        <v>4.6724999999999996E-2</v>
      </c>
      <c r="S954" s="18">
        <v>13.083</v>
      </c>
      <c r="T954" s="18">
        <v>56.07</v>
      </c>
      <c r="U954" s="18">
        <v>28.035</v>
      </c>
      <c r="V954" s="18">
        <v>358.84800000000001</v>
      </c>
      <c r="W954" s="18">
        <v>336.42</v>
      </c>
      <c r="X954" s="18">
        <v>224.28</v>
      </c>
      <c r="Y954" s="18">
        <v>9.968</v>
      </c>
      <c r="Z954" s="18">
        <v>44.232999999999997</v>
      </c>
      <c r="AA954" s="18">
        <v>64.792000000000002</v>
      </c>
      <c r="AB954" s="18">
        <v>115.255</v>
      </c>
      <c r="AC954" s="18">
        <v>35.511000000000003</v>
      </c>
      <c r="AD954" s="18">
        <v>186.9</v>
      </c>
    </row>
    <row r="955" spans="2:30" x14ac:dyDescent="0.25">
      <c r="B955" t="s">
        <v>269</v>
      </c>
      <c r="C955" t="s">
        <v>570</v>
      </c>
      <c r="D955" t="s">
        <v>667</v>
      </c>
      <c r="E955" s="35">
        <v>0.9</v>
      </c>
      <c r="F955" s="35">
        <v>6.6</v>
      </c>
      <c r="G955" s="36">
        <v>3.0710000000000001E-2</v>
      </c>
      <c r="H955" s="18">
        <v>55.277433000000002</v>
      </c>
      <c r="I955" s="16"/>
      <c r="J955" s="16"/>
      <c r="K955" s="16"/>
      <c r="L955" s="37" t="s">
        <v>107</v>
      </c>
      <c r="M955" s="37"/>
      <c r="N955" s="37">
        <v>449</v>
      </c>
      <c r="O955" s="37"/>
      <c r="P955" s="37"/>
      <c r="Q955" s="18">
        <v>0.33781</v>
      </c>
      <c r="R955" s="18">
        <v>2.3032500000000002E-3</v>
      </c>
      <c r="S955" s="18">
        <v>0.64490999999999998</v>
      </c>
      <c r="T955" s="18">
        <v>2.7639</v>
      </c>
      <c r="U955" s="18">
        <v>1.38195</v>
      </c>
      <c r="V955" s="18">
        <v>17.688960000000002</v>
      </c>
      <c r="W955" s="18">
        <v>16.583400000000001</v>
      </c>
      <c r="X955" s="18">
        <v>11.0556</v>
      </c>
      <c r="Y955" s="18">
        <v>0.49136000000000002</v>
      </c>
      <c r="Z955" s="18">
        <v>2.1804100000000002</v>
      </c>
      <c r="AA955" s="18">
        <v>3.1938400000000002</v>
      </c>
      <c r="AB955" s="18">
        <v>5.6813500000000001</v>
      </c>
      <c r="AC955" s="18">
        <v>1.75047</v>
      </c>
      <c r="AD955" s="18">
        <v>9.213000000000001</v>
      </c>
    </row>
    <row r="956" spans="2:30" x14ac:dyDescent="0.25">
      <c r="B956" t="s">
        <v>269</v>
      </c>
      <c r="C956" t="s">
        <v>570</v>
      </c>
      <c r="D956" t="s">
        <v>667</v>
      </c>
      <c r="E956" s="35">
        <v>0.9</v>
      </c>
      <c r="F956" s="35">
        <v>6.6</v>
      </c>
      <c r="G956" s="36">
        <v>3.0710000000000001E-2</v>
      </c>
      <c r="H956" s="18">
        <v>55.277433000000002</v>
      </c>
      <c r="I956" s="16"/>
      <c r="J956" s="16"/>
      <c r="K956" s="16"/>
      <c r="L956" s="37" t="s">
        <v>107</v>
      </c>
      <c r="M956" s="37"/>
      <c r="N956" s="37">
        <v>450</v>
      </c>
      <c r="O956" s="37"/>
      <c r="P956" s="37"/>
      <c r="Q956" s="18">
        <v>0.33781</v>
      </c>
      <c r="R956" s="18">
        <v>2.3032500000000002E-3</v>
      </c>
      <c r="S956" s="18">
        <v>0.64490999999999998</v>
      </c>
      <c r="T956" s="18">
        <v>2.7639</v>
      </c>
      <c r="U956" s="18">
        <v>1.38195</v>
      </c>
      <c r="V956" s="18">
        <v>17.688960000000002</v>
      </c>
      <c r="W956" s="18">
        <v>16.583400000000001</v>
      </c>
      <c r="X956" s="18">
        <v>11.0556</v>
      </c>
      <c r="Y956" s="18">
        <v>0.49136000000000002</v>
      </c>
      <c r="Z956" s="18">
        <v>2.1804100000000002</v>
      </c>
      <c r="AA956" s="18">
        <v>3.1938400000000002</v>
      </c>
      <c r="AB956" s="18">
        <v>5.6813500000000001</v>
      </c>
      <c r="AC956" s="18">
        <v>1.75047</v>
      </c>
      <c r="AD956" s="18">
        <v>9.213000000000001</v>
      </c>
    </row>
    <row r="957" spans="2:30" x14ac:dyDescent="0.25">
      <c r="B957" t="s">
        <v>133</v>
      </c>
      <c r="C957" t="s">
        <v>570</v>
      </c>
      <c r="D957" t="s">
        <v>368</v>
      </c>
      <c r="E957" s="35">
        <v>0.9</v>
      </c>
      <c r="F957" s="35">
        <v>50</v>
      </c>
      <c r="G957" s="36">
        <v>0.99396099999999998</v>
      </c>
      <c r="H957" s="18">
        <v>1789.1301269999999</v>
      </c>
      <c r="I957" s="16">
        <v>0</v>
      </c>
      <c r="J957" s="16"/>
      <c r="K957" s="16"/>
      <c r="L957" s="37" t="s">
        <v>107</v>
      </c>
      <c r="M957" s="37"/>
      <c r="N957" s="37">
        <v>451</v>
      </c>
      <c r="O957" s="37"/>
      <c r="P957" s="37"/>
      <c r="Q957" s="18">
        <v>10.933571000000001</v>
      </c>
      <c r="R957" s="18">
        <v>7.454707499999999E-2</v>
      </c>
      <c r="S957" s="18">
        <v>20.873180999999999</v>
      </c>
      <c r="T957" s="18">
        <v>89.456490000000002</v>
      </c>
      <c r="U957" s="18">
        <v>44.728245000000001</v>
      </c>
      <c r="V957" s="18">
        <v>572.52153599999997</v>
      </c>
      <c r="W957" s="18">
        <v>536.73893999999996</v>
      </c>
      <c r="X957" s="18">
        <v>357.82596000000001</v>
      </c>
      <c r="Y957" s="18">
        <v>15.903376</v>
      </c>
      <c r="Z957" s="18">
        <v>70.571230999999997</v>
      </c>
      <c r="AA957" s="18">
        <v>103.371944</v>
      </c>
      <c r="AB957" s="18">
        <v>183.88278499999998</v>
      </c>
      <c r="AC957" s="18">
        <v>56.655777</v>
      </c>
      <c r="AD957" s="18">
        <v>298.18829999999997</v>
      </c>
    </row>
    <row r="958" spans="2:30" x14ac:dyDescent="0.25">
      <c r="B958" t="s">
        <v>138</v>
      </c>
      <c r="C958" t="s">
        <v>570</v>
      </c>
      <c r="D958" t="s">
        <v>415</v>
      </c>
      <c r="E958" s="35">
        <v>0.9</v>
      </c>
      <c r="F958" s="35">
        <v>44</v>
      </c>
      <c r="G958" s="36">
        <v>0.55965900000000002</v>
      </c>
      <c r="H958" s="18">
        <v>1007.385586</v>
      </c>
      <c r="I958" s="16">
        <v>0</v>
      </c>
      <c r="J958" s="16"/>
      <c r="K958" s="16"/>
      <c r="L958" s="37" t="s">
        <v>107</v>
      </c>
      <c r="M958" s="37"/>
      <c r="N958" s="37">
        <v>452</v>
      </c>
      <c r="O958" s="37"/>
      <c r="P958" s="37"/>
      <c r="Q958" s="18">
        <v>6.1562489999999999</v>
      </c>
      <c r="R958" s="18">
        <v>4.1974425000000003E-2</v>
      </c>
      <c r="S958" s="18">
        <v>11.752839</v>
      </c>
      <c r="T958" s="18">
        <v>50.369309999999999</v>
      </c>
      <c r="U958" s="18">
        <v>25.184654999999999</v>
      </c>
      <c r="V958" s="18">
        <v>322.363584</v>
      </c>
      <c r="W958" s="18">
        <v>302.21586000000002</v>
      </c>
      <c r="X958" s="18">
        <v>201.47723999999999</v>
      </c>
      <c r="Y958" s="18">
        <v>8.9545440000000003</v>
      </c>
      <c r="Z958" s="18">
        <v>39.735789000000004</v>
      </c>
      <c r="AA958" s="18">
        <v>58.204536000000004</v>
      </c>
      <c r="AB958" s="18">
        <v>103.53691500000001</v>
      </c>
      <c r="AC958" s="18">
        <v>31.900563000000002</v>
      </c>
      <c r="AD958" s="18">
        <v>167.89770000000001</v>
      </c>
    </row>
    <row r="959" spans="2:30" x14ac:dyDescent="0.25">
      <c r="B959" t="s">
        <v>108</v>
      </c>
      <c r="C959" t="s">
        <v>570</v>
      </c>
      <c r="D959" t="s">
        <v>369</v>
      </c>
      <c r="E959" s="35">
        <v>0.9</v>
      </c>
      <c r="F959" s="35">
        <v>16</v>
      </c>
      <c r="G959" s="36">
        <v>9.9409999999999998E-2</v>
      </c>
      <c r="H959" s="18">
        <v>178.937656</v>
      </c>
      <c r="I959" s="16">
        <v>0</v>
      </c>
      <c r="J959" s="16"/>
      <c r="K959" s="16"/>
      <c r="L959" s="37" t="s">
        <v>107</v>
      </c>
      <c r="M959" s="37"/>
      <c r="N959" s="37">
        <v>453</v>
      </c>
      <c r="O959" s="37"/>
      <c r="P959" s="37"/>
      <c r="Q959" s="18">
        <v>1.09351</v>
      </c>
      <c r="R959" s="18">
        <v>7.4557499999999997E-3</v>
      </c>
      <c r="S959" s="18">
        <v>2.0876099999999997</v>
      </c>
      <c r="T959" s="18">
        <v>8.9468999999999994</v>
      </c>
      <c r="U959" s="18">
        <v>4.4734499999999997</v>
      </c>
      <c r="V959" s="18">
        <v>57.260159999999999</v>
      </c>
      <c r="W959" s="18">
        <v>53.681399999999996</v>
      </c>
      <c r="X959" s="18">
        <v>35.787599999999998</v>
      </c>
      <c r="Y959" s="18">
        <v>1.59056</v>
      </c>
      <c r="Z959" s="18">
        <v>7.0581100000000001</v>
      </c>
      <c r="AA959" s="18">
        <v>10.33864</v>
      </c>
      <c r="AB959" s="18">
        <v>18.39085</v>
      </c>
      <c r="AC959" s="18">
        <v>5.6663699999999997</v>
      </c>
      <c r="AD959" s="18">
        <v>29.823</v>
      </c>
    </row>
    <row r="960" spans="2:30" x14ac:dyDescent="0.25">
      <c r="B960" t="s">
        <v>141</v>
      </c>
      <c r="C960" t="s">
        <v>570</v>
      </c>
      <c r="D960" t="s">
        <v>416</v>
      </c>
      <c r="E960" s="35">
        <v>0.9</v>
      </c>
      <c r="F960" s="35">
        <v>46</v>
      </c>
      <c r="G960" s="36">
        <v>0.63140200000000002</v>
      </c>
      <c r="H960" s="18">
        <v>1136.5244479999999</v>
      </c>
      <c r="I960" s="16">
        <v>0</v>
      </c>
      <c r="J960" s="16"/>
      <c r="K960" s="16"/>
      <c r="L960" s="37" t="s">
        <v>107</v>
      </c>
      <c r="M960" s="37"/>
      <c r="N960" s="37">
        <v>454</v>
      </c>
      <c r="O960" s="37"/>
      <c r="P960" s="37"/>
      <c r="Q960" s="18">
        <v>6.9454220000000007</v>
      </c>
      <c r="R960" s="18">
        <v>4.7355149999999999E-2</v>
      </c>
      <c r="S960" s="18">
        <v>13.259442</v>
      </c>
      <c r="T960" s="18">
        <v>56.826180000000001</v>
      </c>
      <c r="U960" s="18">
        <v>28.41309</v>
      </c>
      <c r="V960" s="18">
        <v>363.68755199999998</v>
      </c>
      <c r="W960" s="18">
        <v>340.95708000000002</v>
      </c>
      <c r="X960" s="18">
        <v>227.30472</v>
      </c>
      <c r="Y960" s="18">
        <v>10.102432</v>
      </c>
      <c r="Z960" s="18">
        <v>44.829542000000004</v>
      </c>
      <c r="AA960" s="18">
        <v>65.665807999999998</v>
      </c>
      <c r="AB960" s="18">
        <v>116.80937</v>
      </c>
      <c r="AC960" s="18">
        <v>35.989913999999999</v>
      </c>
      <c r="AD960" s="18">
        <v>189.42060000000001</v>
      </c>
    </row>
    <row r="961" spans="2:30" x14ac:dyDescent="0.25">
      <c r="B961" t="s">
        <v>668</v>
      </c>
      <c r="C961" t="s">
        <v>570</v>
      </c>
      <c r="D961" t="s">
        <v>417</v>
      </c>
      <c r="E961" s="35">
        <v>0.9</v>
      </c>
      <c r="F961" s="35">
        <v>84</v>
      </c>
      <c r="G961" s="36">
        <v>1.617165</v>
      </c>
      <c r="H961" s="18">
        <v>2910.8961530000001</v>
      </c>
      <c r="I961" s="16">
        <v>0</v>
      </c>
      <c r="J961" s="16"/>
      <c r="K961" s="16"/>
      <c r="L961" s="37" t="s">
        <v>107</v>
      </c>
      <c r="M961" s="37"/>
      <c r="N961" s="37">
        <v>455</v>
      </c>
      <c r="O961" s="37"/>
      <c r="P961" s="37"/>
      <c r="Q961" s="18">
        <v>17.788815</v>
      </c>
      <c r="R961" s="18">
        <v>0.12128737499999999</v>
      </c>
      <c r="S961" s="18">
        <v>33.960464999999999</v>
      </c>
      <c r="T961" s="18">
        <v>145.54485</v>
      </c>
      <c r="U961" s="18">
        <v>72.772424999999998</v>
      </c>
      <c r="V961" s="18">
        <v>931.48703999999998</v>
      </c>
      <c r="W961" s="18">
        <v>873.26909999999998</v>
      </c>
      <c r="X961" s="18">
        <v>582.17939999999999</v>
      </c>
      <c r="Y961" s="18">
        <v>25.874639999999999</v>
      </c>
      <c r="Z961" s="18">
        <v>114.818715</v>
      </c>
      <c r="AA961" s="18">
        <v>168.18516</v>
      </c>
      <c r="AB961" s="18">
        <v>299.17552499999999</v>
      </c>
      <c r="AC961" s="18">
        <v>92.178404999999998</v>
      </c>
      <c r="AD961" s="18">
        <v>485.14949999999999</v>
      </c>
    </row>
    <row r="962" spans="2:30" x14ac:dyDescent="0.25">
      <c r="B962" t="s">
        <v>133</v>
      </c>
      <c r="C962" t="s">
        <v>570</v>
      </c>
      <c r="D962" t="s">
        <v>418</v>
      </c>
      <c r="E962" s="35">
        <v>0.9</v>
      </c>
      <c r="F962" s="35">
        <v>50</v>
      </c>
      <c r="G962" s="36">
        <v>0.98562799999999995</v>
      </c>
      <c r="H962" s="18">
        <v>1774.130737</v>
      </c>
      <c r="I962" s="16">
        <v>0</v>
      </c>
      <c r="J962" s="16"/>
      <c r="K962" s="16"/>
      <c r="L962" s="37" t="s">
        <v>107</v>
      </c>
      <c r="M962" s="37"/>
      <c r="N962" s="37">
        <v>456</v>
      </c>
      <c r="O962" s="37"/>
      <c r="P962" s="37"/>
      <c r="Q962" s="18">
        <v>10.841908</v>
      </c>
      <c r="R962" s="18">
        <v>7.3922099999999991E-2</v>
      </c>
      <c r="S962" s="18">
        <v>20.698187999999998</v>
      </c>
      <c r="T962" s="18">
        <v>88.706519999999998</v>
      </c>
      <c r="U962" s="18">
        <v>44.353259999999999</v>
      </c>
      <c r="V962" s="18">
        <v>567.72172799999998</v>
      </c>
      <c r="W962" s="18">
        <v>532.23911999999996</v>
      </c>
      <c r="X962" s="18">
        <v>354.82607999999999</v>
      </c>
      <c r="Y962" s="18">
        <v>15.770047999999999</v>
      </c>
      <c r="Z962" s="18">
        <v>69.979587999999993</v>
      </c>
      <c r="AA962" s="18">
        <v>102.50531199999999</v>
      </c>
      <c r="AB962" s="18">
        <v>182.34117999999998</v>
      </c>
      <c r="AC962" s="18">
        <v>56.180795999999994</v>
      </c>
      <c r="AD962" s="18">
        <v>295.6884</v>
      </c>
    </row>
    <row r="963" spans="2:30" x14ac:dyDescent="0.25">
      <c r="B963" t="s">
        <v>108</v>
      </c>
      <c r="C963" t="s">
        <v>570</v>
      </c>
      <c r="D963" t="s">
        <v>369</v>
      </c>
      <c r="E963" s="35">
        <v>0.9</v>
      </c>
      <c r="F963" s="35">
        <v>16</v>
      </c>
      <c r="G963" s="36">
        <v>9.9409999999999998E-2</v>
      </c>
      <c r="H963" s="18">
        <v>178.937656</v>
      </c>
      <c r="I963" s="16">
        <v>0</v>
      </c>
      <c r="J963" s="16"/>
      <c r="K963" s="16"/>
      <c r="L963" s="37" t="s">
        <v>107</v>
      </c>
      <c r="M963" s="37"/>
      <c r="N963" s="37">
        <v>457</v>
      </c>
      <c r="O963" s="37"/>
      <c r="P963" s="37"/>
      <c r="Q963" s="18">
        <v>1.09351</v>
      </c>
      <c r="R963" s="18">
        <v>7.4557499999999997E-3</v>
      </c>
      <c r="S963" s="18">
        <v>2.0876099999999997</v>
      </c>
      <c r="T963" s="18">
        <v>8.9468999999999994</v>
      </c>
      <c r="U963" s="18">
        <v>4.4734499999999997</v>
      </c>
      <c r="V963" s="18">
        <v>57.260159999999999</v>
      </c>
      <c r="W963" s="18">
        <v>53.681399999999996</v>
      </c>
      <c r="X963" s="18">
        <v>35.787599999999998</v>
      </c>
      <c r="Y963" s="18">
        <v>1.59056</v>
      </c>
      <c r="Z963" s="18">
        <v>7.0581100000000001</v>
      </c>
      <c r="AA963" s="18">
        <v>10.33864</v>
      </c>
      <c r="AB963" s="18">
        <v>18.39085</v>
      </c>
      <c r="AC963" s="18">
        <v>5.6663699999999997</v>
      </c>
      <c r="AD963" s="18">
        <v>29.823</v>
      </c>
    </row>
    <row r="964" spans="2:30" x14ac:dyDescent="0.25">
      <c r="B964" t="s">
        <v>269</v>
      </c>
      <c r="C964" t="s">
        <v>570</v>
      </c>
      <c r="D964" t="s">
        <v>669</v>
      </c>
      <c r="E964" s="35">
        <v>0.9</v>
      </c>
      <c r="F964" s="35">
        <v>6.6</v>
      </c>
      <c r="G964" s="36">
        <v>0.15839400000000001</v>
      </c>
      <c r="H964" s="18">
        <v>285.10839800000002</v>
      </c>
      <c r="I964" s="16"/>
      <c r="J964" s="16"/>
      <c r="K964" s="16"/>
      <c r="L964" s="37" t="s">
        <v>107</v>
      </c>
      <c r="M964" s="37"/>
      <c r="N964" s="37">
        <v>458</v>
      </c>
      <c r="O964" s="37"/>
      <c r="P964" s="37"/>
      <c r="Q964" s="18">
        <v>1.742334</v>
      </c>
      <c r="R964" s="18">
        <v>1.1879550000000001E-2</v>
      </c>
      <c r="S964" s="18">
        <v>3.3262740000000002</v>
      </c>
      <c r="T964" s="18">
        <v>14.255460000000001</v>
      </c>
      <c r="U964" s="18">
        <v>7.1277300000000006</v>
      </c>
      <c r="V964" s="18">
        <v>91.234943999999999</v>
      </c>
      <c r="W964" s="18">
        <v>85.53276000000001</v>
      </c>
      <c r="X964" s="18">
        <v>57.021840000000005</v>
      </c>
      <c r="Y964" s="18">
        <v>2.5343040000000001</v>
      </c>
      <c r="Z964" s="18">
        <v>11.245974</v>
      </c>
      <c r="AA964" s="18">
        <v>16.472975999999999</v>
      </c>
      <c r="AB964" s="18">
        <v>29.302890000000001</v>
      </c>
      <c r="AC964" s="18">
        <v>9.0284580000000005</v>
      </c>
      <c r="AD964" s="18">
        <v>47.5182</v>
      </c>
    </row>
    <row r="965" spans="2:30" x14ac:dyDescent="0.25">
      <c r="B965" t="s">
        <v>668</v>
      </c>
      <c r="C965" t="s">
        <v>570</v>
      </c>
      <c r="D965" t="s">
        <v>419</v>
      </c>
      <c r="E965" s="35">
        <v>0.9</v>
      </c>
      <c r="F965" s="35">
        <v>84</v>
      </c>
      <c r="G965" s="36">
        <v>1.639813</v>
      </c>
      <c r="H965" s="18">
        <v>2951.6638170000001</v>
      </c>
      <c r="I965" s="16">
        <v>0</v>
      </c>
      <c r="J965" s="16"/>
      <c r="K965" s="16"/>
      <c r="L965" s="37" t="s">
        <v>107</v>
      </c>
      <c r="M965" s="37"/>
      <c r="N965" s="37">
        <v>459</v>
      </c>
      <c r="O965" s="37"/>
      <c r="P965" s="37"/>
      <c r="Q965" s="18">
        <v>18.037942999999999</v>
      </c>
      <c r="R965" s="18">
        <v>0.122985975</v>
      </c>
      <c r="S965" s="18">
        <v>34.436073</v>
      </c>
      <c r="T965" s="18">
        <v>147.58317</v>
      </c>
      <c r="U965" s="18">
        <v>73.791584999999998</v>
      </c>
      <c r="V965" s="18">
        <v>944.53228799999999</v>
      </c>
      <c r="W965" s="18">
        <v>885.49901999999997</v>
      </c>
      <c r="X965" s="18">
        <v>590.33267999999998</v>
      </c>
      <c r="Y965" s="18">
        <v>26.237007999999999</v>
      </c>
      <c r="Z965" s="18">
        <v>116.426723</v>
      </c>
      <c r="AA965" s="18">
        <v>170.54055199999999</v>
      </c>
      <c r="AB965" s="18">
        <v>303.36540500000001</v>
      </c>
      <c r="AC965" s="18">
        <v>93.469341</v>
      </c>
      <c r="AD965" s="18">
        <v>491.94389999999999</v>
      </c>
    </row>
    <row r="966" spans="2:30" x14ac:dyDescent="0.25">
      <c r="B966" t="s">
        <v>133</v>
      </c>
      <c r="C966" t="s">
        <v>570</v>
      </c>
      <c r="D966" t="s">
        <v>420</v>
      </c>
      <c r="E966" s="35">
        <v>0.9</v>
      </c>
      <c r="F966" s="35">
        <v>50</v>
      </c>
      <c r="G966" s="36">
        <v>0.98362799999999995</v>
      </c>
      <c r="H966" s="18">
        <v>1770.530884</v>
      </c>
      <c r="I966" s="16">
        <v>0</v>
      </c>
      <c r="J966" s="16"/>
      <c r="K966" s="16"/>
      <c r="L966" s="37" t="s">
        <v>107</v>
      </c>
      <c r="M966" s="37"/>
      <c r="N966" s="37">
        <v>460</v>
      </c>
      <c r="O966" s="37"/>
      <c r="P966" s="37"/>
      <c r="Q966" s="18">
        <v>10.819908</v>
      </c>
      <c r="R966" s="18">
        <v>7.3772099999999993E-2</v>
      </c>
      <c r="S966" s="18">
        <v>20.656188</v>
      </c>
      <c r="T966" s="18">
        <v>88.526519999999991</v>
      </c>
      <c r="U966" s="18">
        <v>44.263259999999995</v>
      </c>
      <c r="V966" s="18">
        <v>566.56972799999994</v>
      </c>
      <c r="W966" s="18">
        <v>531.15911999999992</v>
      </c>
      <c r="X966" s="18">
        <v>354.10607999999996</v>
      </c>
      <c r="Y966" s="18">
        <v>15.738047999999999</v>
      </c>
      <c r="Z966" s="18">
        <v>69.837587999999997</v>
      </c>
      <c r="AA966" s="18">
        <v>102.29731199999999</v>
      </c>
      <c r="AB966" s="18">
        <v>181.97118</v>
      </c>
      <c r="AC966" s="18">
        <v>56.066795999999997</v>
      </c>
      <c r="AD966" s="18">
        <v>295.08839999999998</v>
      </c>
    </row>
    <row r="967" spans="2:30" x14ac:dyDescent="0.25">
      <c r="B967" t="s">
        <v>108</v>
      </c>
      <c r="C967" t="s">
        <v>570</v>
      </c>
      <c r="D967" t="s">
        <v>421</v>
      </c>
      <c r="E967" s="35">
        <v>0.9</v>
      </c>
      <c r="F967" s="35">
        <v>16</v>
      </c>
      <c r="G967" s="36">
        <v>9.6742999999999996E-2</v>
      </c>
      <c r="H967" s="18">
        <v>174.13785200000001</v>
      </c>
      <c r="I967" s="16">
        <v>0</v>
      </c>
      <c r="J967" s="16"/>
      <c r="K967" s="16"/>
      <c r="L967" s="37" t="s">
        <v>107</v>
      </c>
      <c r="M967" s="37"/>
      <c r="N967" s="37">
        <v>461</v>
      </c>
      <c r="O967" s="37"/>
      <c r="P967" s="37"/>
      <c r="Q967" s="18">
        <v>1.064173</v>
      </c>
      <c r="R967" s="18">
        <v>7.2557249999999993E-3</v>
      </c>
      <c r="S967" s="18">
        <v>2.031603</v>
      </c>
      <c r="T967" s="18">
        <v>8.7068700000000003</v>
      </c>
      <c r="U967" s="18">
        <v>4.3534350000000002</v>
      </c>
      <c r="V967" s="18">
        <v>55.723967999999999</v>
      </c>
      <c r="W967" s="18">
        <v>52.241219999999998</v>
      </c>
      <c r="X967" s="18">
        <v>34.827480000000001</v>
      </c>
      <c r="Y967" s="18">
        <v>1.5478879999999999</v>
      </c>
      <c r="Z967" s="18">
        <v>6.8687529999999999</v>
      </c>
      <c r="AA967" s="18">
        <v>10.061271999999999</v>
      </c>
      <c r="AB967" s="18">
        <v>17.897455000000001</v>
      </c>
      <c r="AC967" s="18">
        <v>5.5143509999999996</v>
      </c>
      <c r="AD967" s="18">
        <v>29.0229</v>
      </c>
    </row>
    <row r="968" spans="2:30" x14ac:dyDescent="0.25">
      <c r="B968" t="s">
        <v>187</v>
      </c>
      <c r="C968" t="s">
        <v>570</v>
      </c>
      <c r="D968" t="s">
        <v>422</v>
      </c>
      <c r="E968" s="35">
        <v>0.9</v>
      </c>
      <c r="F968" s="35">
        <v>55</v>
      </c>
      <c r="G968" s="36">
        <v>0.81616900000000003</v>
      </c>
      <c r="H968" s="18">
        <v>1469.1034420000001</v>
      </c>
      <c r="I968" s="16">
        <v>0</v>
      </c>
      <c r="J968" s="16"/>
      <c r="K968" s="16"/>
      <c r="L968" s="37" t="s">
        <v>107</v>
      </c>
      <c r="M968" s="37"/>
      <c r="N968" s="37">
        <v>462</v>
      </c>
      <c r="O968" s="37"/>
      <c r="P968" s="37"/>
      <c r="Q968" s="18">
        <v>8.9778590000000005</v>
      </c>
      <c r="R968" s="18">
        <v>6.1212675000000001E-2</v>
      </c>
      <c r="S968" s="18">
        <v>17.139549000000002</v>
      </c>
      <c r="T968" s="18">
        <v>73.455210000000008</v>
      </c>
      <c r="U968" s="18">
        <v>36.727605000000004</v>
      </c>
      <c r="V968" s="18">
        <v>470.11334400000004</v>
      </c>
      <c r="W968" s="18">
        <v>440.73126000000002</v>
      </c>
      <c r="X968" s="18">
        <v>293.82084000000003</v>
      </c>
      <c r="Y968" s="18">
        <v>13.058704000000001</v>
      </c>
      <c r="Z968" s="18">
        <v>57.947999000000003</v>
      </c>
      <c r="AA968" s="18">
        <v>84.88157600000001</v>
      </c>
      <c r="AB968" s="18">
        <v>150.991265</v>
      </c>
      <c r="AC968" s="18">
        <v>46.521633000000001</v>
      </c>
      <c r="AD968" s="18">
        <v>244.85070000000002</v>
      </c>
    </row>
    <row r="969" spans="2:30" x14ac:dyDescent="0.25">
      <c r="B969" t="s">
        <v>133</v>
      </c>
      <c r="C969" t="s">
        <v>570</v>
      </c>
      <c r="D969" t="s">
        <v>423</v>
      </c>
      <c r="E969" s="35">
        <v>0.9</v>
      </c>
      <c r="F969" s="35">
        <v>50</v>
      </c>
      <c r="G969" s="36">
        <v>1.004362</v>
      </c>
      <c r="H969" s="18">
        <v>1807.8522439999999</v>
      </c>
      <c r="I969" s="16">
        <v>0</v>
      </c>
      <c r="J969" s="16"/>
      <c r="K969" s="16"/>
      <c r="L969" s="37" t="s">
        <v>107</v>
      </c>
      <c r="M969" s="37"/>
      <c r="N969" s="37">
        <v>463</v>
      </c>
      <c r="O969" s="37"/>
      <c r="P969" s="37"/>
      <c r="Q969" s="18">
        <v>11.047981999999999</v>
      </c>
      <c r="R969" s="18">
        <v>7.5327149999999995E-2</v>
      </c>
      <c r="S969" s="18">
        <v>21.091601999999998</v>
      </c>
      <c r="T969" s="18">
        <v>90.392579999999995</v>
      </c>
      <c r="U969" s="18">
        <v>45.196289999999998</v>
      </c>
      <c r="V969" s="18">
        <v>578.51251200000002</v>
      </c>
      <c r="W969" s="18">
        <v>542.35547999999994</v>
      </c>
      <c r="X969" s="18">
        <v>361.57031999999998</v>
      </c>
      <c r="Y969" s="18">
        <v>16.069792</v>
      </c>
      <c r="Z969" s="18">
        <v>71.309702000000001</v>
      </c>
      <c r="AA969" s="18">
        <v>104.453648</v>
      </c>
      <c r="AB969" s="18">
        <v>185.80697000000001</v>
      </c>
      <c r="AC969" s="18">
        <v>57.248633999999996</v>
      </c>
      <c r="AD969" s="18">
        <v>301.30860000000001</v>
      </c>
    </row>
    <row r="970" spans="2:30" x14ac:dyDescent="0.25">
      <c r="B970" t="s">
        <v>133</v>
      </c>
      <c r="C970" t="s">
        <v>570</v>
      </c>
      <c r="D970" t="s">
        <v>368</v>
      </c>
      <c r="E970" s="35">
        <v>0.9</v>
      </c>
      <c r="F970" s="35">
        <v>50</v>
      </c>
      <c r="G970" s="36">
        <v>0.99396099999999998</v>
      </c>
      <c r="H970" s="18">
        <v>1789.1301269999999</v>
      </c>
      <c r="I970" s="16">
        <v>0</v>
      </c>
      <c r="J970" s="16"/>
      <c r="K970" s="16"/>
      <c r="L970" s="37" t="s">
        <v>107</v>
      </c>
      <c r="M970" s="37"/>
      <c r="N970" s="37">
        <v>464</v>
      </c>
      <c r="O970" s="37"/>
      <c r="P970" s="37"/>
      <c r="Q970" s="18">
        <v>10.933571000000001</v>
      </c>
      <c r="R970" s="18">
        <v>7.454707499999999E-2</v>
      </c>
      <c r="S970" s="18">
        <v>20.873180999999999</v>
      </c>
      <c r="T970" s="18">
        <v>89.456490000000002</v>
      </c>
      <c r="U970" s="18">
        <v>44.728245000000001</v>
      </c>
      <c r="V970" s="18">
        <v>572.52153599999997</v>
      </c>
      <c r="W970" s="18">
        <v>536.73893999999996</v>
      </c>
      <c r="X970" s="18">
        <v>357.82596000000001</v>
      </c>
      <c r="Y970" s="18">
        <v>15.903376</v>
      </c>
      <c r="Z970" s="18">
        <v>70.571230999999997</v>
      </c>
      <c r="AA970" s="18">
        <v>103.371944</v>
      </c>
      <c r="AB970" s="18">
        <v>183.88278499999998</v>
      </c>
      <c r="AC970" s="18">
        <v>56.655777</v>
      </c>
      <c r="AD970" s="18">
        <v>298.18829999999997</v>
      </c>
    </row>
    <row r="971" spans="2:30" x14ac:dyDescent="0.25">
      <c r="B971" t="s">
        <v>108</v>
      </c>
      <c r="C971" t="s">
        <v>570</v>
      </c>
      <c r="D971" t="s">
        <v>424</v>
      </c>
      <c r="E971" s="35">
        <v>0.9</v>
      </c>
      <c r="F971" s="35">
        <v>16</v>
      </c>
      <c r="G971" s="36">
        <v>0.10431600000000001</v>
      </c>
      <c r="H971" s="18">
        <v>187.76929699999999</v>
      </c>
      <c r="I971" s="16">
        <v>0</v>
      </c>
      <c r="J971" s="16"/>
      <c r="K971" s="16"/>
      <c r="L971" s="37" t="s">
        <v>107</v>
      </c>
      <c r="M971" s="37"/>
      <c r="N971" s="37">
        <v>465</v>
      </c>
      <c r="O971" s="37"/>
      <c r="P971" s="37"/>
      <c r="Q971" s="18">
        <v>1.1474760000000002</v>
      </c>
      <c r="R971" s="18">
        <v>7.8236999999999994E-3</v>
      </c>
      <c r="S971" s="18">
        <v>2.190636</v>
      </c>
      <c r="T971" s="18">
        <v>9.388440000000001</v>
      </c>
      <c r="U971" s="18">
        <v>4.6942200000000005</v>
      </c>
      <c r="V971" s="18">
        <v>60.086016000000001</v>
      </c>
      <c r="W971" s="18">
        <v>56.330640000000002</v>
      </c>
      <c r="X971" s="18">
        <v>37.553760000000004</v>
      </c>
      <c r="Y971" s="18">
        <v>1.6690560000000001</v>
      </c>
      <c r="Z971" s="18">
        <v>7.4064360000000002</v>
      </c>
      <c r="AA971" s="18">
        <v>10.848864000000001</v>
      </c>
      <c r="AB971" s="18">
        <v>19.298460000000002</v>
      </c>
      <c r="AC971" s="18">
        <v>5.9460120000000005</v>
      </c>
      <c r="AD971" s="18">
        <v>31.294800000000002</v>
      </c>
    </row>
    <row r="972" spans="2:30" x14ac:dyDescent="0.25">
      <c r="B972" t="s">
        <v>138</v>
      </c>
      <c r="C972" t="s">
        <v>570</v>
      </c>
      <c r="D972" t="s">
        <v>293</v>
      </c>
      <c r="E972" s="35">
        <v>0.9</v>
      </c>
      <c r="F972" s="35">
        <v>44</v>
      </c>
      <c r="G972" s="36">
        <v>0.47166200000000003</v>
      </c>
      <c r="H972" s="18">
        <v>848.992031</v>
      </c>
      <c r="I972" s="16">
        <v>0</v>
      </c>
      <c r="J972" s="16"/>
      <c r="K972" s="16"/>
      <c r="L972" s="37" t="s">
        <v>107</v>
      </c>
      <c r="M972" s="37"/>
      <c r="N972" s="37">
        <v>466</v>
      </c>
      <c r="O972" s="37"/>
      <c r="P972" s="37"/>
      <c r="Q972" s="18">
        <v>5.1882820000000001</v>
      </c>
      <c r="R972" s="18">
        <v>3.5374650000000001E-2</v>
      </c>
      <c r="S972" s="18">
        <v>9.9049019999999999</v>
      </c>
      <c r="T972" s="18">
        <v>42.449580000000005</v>
      </c>
      <c r="U972" s="18">
        <v>21.224790000000002</v>
      </c>
      <c r="V972" s="18">
        <v>271.67731200000003</v>
      </c>
      <c r="W972" s="18">
        <v>254.69748000000001</v>
      </c>
      <c r="X972" s="18">
        <v>169.79832000000002</v>
      </c>
      <c r="Y972" s="18">
        <v>7.5465920000000004</v>
      </c>
      <c r="Z972" s="18">
        <v>33.488002000000002</v>
      </c>
      <c r="AA972" s="18">
        <v>49.052848000000004</v>
      </c>
      <c r="AB972" s="18">
        <v>87.257469999999998</v>
      </c>
      <c r="AC972" s="18">
        <v>26.884734000000002</v>
      </c>
      <c r="AD972" s="18">
        <v>141.49860000000001</v>
      </c>
    </row>
    <row r="973" spans="2:30" x14ac:dyDescent="0.25">
      <c r="B973" t="s">
        <v>438</v>
      </c>
      <c r="C973" t="s">
        <v>570</v>
      </c>
      <c r="D973" t="s">
        <v>427</v>
      </c>
      <c r="E973" s="35">
        <v>0.9</v>
      </c>
      <c r="F973" s="35">
        <v>73</v>
      </c>
      <c r="G973" s="36">
        <v>1.0800689999999999</v>
      </c>
      <c r="H973" s="18">
        <v>1944.1247080000001</v>
      </c>
      <c r="I973" s="16">
        <v>0</v>
      </c>
      <c r="J973" s="16"/>
      <c r="K973" s="16"/>
      <c r="L973" s="37" t="s">
        <v>107</v>
      </c>
      <c r="M973" s="37"/>
      <c r="N973" s="37">
        <v>467</v>
      </c>
      <c r="O973" s="37"/>
      <c r="P973" s="37"/>
      <c r="Q973" s="18">
        <v>11.880758999999999</v>
      </c>
      <c r="R973" s="18">
        <v>8.1005174999999999E-2</v>
      </c>
      <c r="S973" s="18">
        <v>22.681449000000001</v>
      </c>
      <c r="T973" s="18">
        <v>97.206209999999999</v>
      </c>
      <c r="U973" s="18">
        <v>48.603104999999999</v>
      </c>
      <c r="V973" s="18">
        <v>622.11974399999997</v>
      </c>
      <c r="W973" s="18">
        <v>583.23725999999999</v>
      </c>
      <c r="X973" s="18">
        <v>388.82483999999999</v>
      </c>
      <c r="Y973" s="18">
        <v>17.281103999999999</v>
      </c>
      <c r="Z973" s="18">
        <v>76.684899000000001</v>
      </c>
      <c r="AA973" s="18">
        <v>112.32717599999999</v>
      </c>
      <c r="AB973" s="18">
        <v>199.81276499999998</v>
      </c>
      <c r="AC973" s="18">
        <v>61.563932999999999</v>
      </c>
      <c r="AD973" s="18">
        <v>324.02069999999998</v>
      </c>
    </row>
    <row r="974" spans="2:30" x14ac:dyDescent="0.25">
      <c r="B974" t="s">
        <v>133</v>
      </c>
      <c r="C974" t="s">
        <v>570</v>
      </c>
      <c r="D974" t="s">
        <v>428</v>
      </c>
      <c r="E974" s="35">
        <v>0.9</v>
      </c>
      <c r="F974" s="35">
        <v>50</v>
      </c>
      <c r="G974" s="36">
        <v>1.0131300000000001</v>
      </c>
      <c r="H974" s="18">
        <v>1823.6338350000001</v>
      </c>
      <c r="I974" s="16">
        <v>0</v>
      </c>
      <c r="J974" s="16"/>
      <c r="K974" s="16"/>
      <c r="L974" s="37" t="s">
        <v>107</v>
      </c>
      <c r="M974" s="37"/>
      <c r="N974" s="37">
        <v>468</v>
      </c>
      <c r="O974" s="37"/>
      <c r="P974" s="37"/>
      <c r="Q974" s="18">
        <v>11.144430000000002</v>
      </c>
      <c r="R974" s="18">
        <v>7.5984750000000004E-2</v>
      </c>
      <c r="S974" s="18">
        <v>21.275730000000003</v>
      </c>
      <c r="T974" s="18">
        <v>91.181700000000006</v>
      </c>
      <c r="U974" s="18">
        <v>45.590850000000003</v>
      </c>
      <c r="V974" s="18">
        <v>583.56288000000006</v>
      </c>
      <c r="W974" s="18">
        <v>547.0902000000001</v>
      </c>
      <c r="X974" s="18">
        <v>364.72680000000003</v>
      </c>
      <c r="Y974" s="18">
        <v>16.210080000000001</v>
      </c>
      <c r="Z974" s="18">
        <v>71.932230000000004</v>
      </c>
      <c r="AA974" s="18">
        <v>105.36552</v>
      </c>
      <c r="AB974" s="18">
        <v>187.42905000000002</v>
      </c>
      <c r="AC974" s="18">
        <v>57.748410000000007</v>
      </c>
      <c r="AD974" s="18">
        <v>303.93900000000002</v>
      </c>
    </row>
    <row r="975" spans="2:30" x14ac:dyDescent="0.25">
      <c r="B975" t="s">
        <v>133</v>
      </c>
      <c r="C975" t="s">
        <v>570</v>
      </c>
      <c r="D975" t="s">
        <v>368</v>
      </c>
      <c r="E975" s="35">
        <v>0.9</v>
      </c>
      <c r="F975" s="35">
        <v>50</v>
      </c>
      <c r="G975" s="36">
        <v>0.99396099999999998</v>
      </c>
      <c r="H975" s="18">
        <v>1789.1301269999999</v>
      </c>
      <c r="I975" s="16">
        <v>0</v>
      </c>
      <c r="J975" s="16"/>
      <c r="K975" s="16"/>
      <c r="L975" s="37" t="s">
        <v>107</v>
      </c>
      <c r="M975" s="37"/>
      <c r="N975" s="37">
        <v>469</v>
      </c>
      <c r="O975" s="37"/>
      <c r="P975" s="37"/>
      <c r="Q975" s="18">
        <v>10.933571000000001</v>
      </c>
      <c r="R975" s="18">
        <v>7.454707499999999E-2</v>
      </c>
      <c r="S975" s="18">
        <v>20.873180999999999</v>
      </c>
      <c r="T975" s="18">
        <v>89.456490000000002</v>
      </c>
      <c r="U975" s="18">
        <v>44.728245000000001</v>
      </c>
      <c r="V975" s="18">
        <v>572.52153599999997</v>
      </c>
      <c r="W975" s="18">
        <v>536.73893999999996</v>
      </c>
      <c r="X975" s="18">
        <v>357.82596000000001</v>
      </c>
      <c r="Y975" s="18">
        <v>15.903376</v>
      </c>
      <c r="Z975" s="18">
        <v>70.571230999999997</v>
      </c>
      <c r="AA975" s="18">
        <v>103.371944</v>
      </c>
      <c r="AB975" s="18">
        <v>183.88278499999998</v>
      </c>
      <c r="AC975" s="18">
        <v>56.655777</v>
      </c>
      <c r="AD975" s="18">
        <v>298.18829999999997</v>
      </c>
    </row>
    <row r="976" spans="2:30" x14ac:dyDescent="0.25">
      <c r="B976" t="s">
        <v>108</v>
      </c>
      <c r="C976" t="s">
        <v>570</v>
      </c>
      <c r="D976" t="s">
        <v>429</v>
      </c>
      <c r="E976" s="35">
        <v>0.9</v>
      </c>
      <c r="F976" s="35">
        <v>16</v>
      </c>
      <c r="G976" s="36">
        <v>0.109116</v>
      </c>
      <c r="H976" s="18">
        <v>196.40894499999999</v>
      </c>
      <c r="I976" s="16">
        <v>0</v>
      </c>
      <c r="J976" s="16"/>
      <c r="K976" s="16"/>
      <c r="L976" s="37" t="s">
        <v>107</v>
      </c>
      <c r="M976" s="37"/>
      <c r="N976" s="37">
        <v>470</v>
      </c>
      <c r="O976" s="37"/>
      <c r="P976" s="37"/>
      <c r="Q976" s="18">
        <v>1.2002760000000001</v>
      </c>
      <c r="R976" s="18">
        <v>8.1837000000000003E-3</v>
      </c>
      <c r="S976" s="18">
        <v>2.291436</v>
      </c>
      <c r="T976" s="18">
        <v>9.8204399999999996</v>
      </c>
      <c r="U976" s="18">
        <v>4.9102199999999998</v>
      </c>
      <c r="V976" s="18">
        <v>62.850816000000002</v>
      </c>
      <c r="W976" s="18">
        <v>58.922640000000001</v>
      </c>
      <c r="X976" s="18">
        <v>39.281759999999998</v>
      </c>
      <c r="Y976" s="18">
        <v>1.7458560000000001</v>
      </c>
      <c r="Z976" s="18">
        <v>7.747236</v>
      </c>
      <c r="AA976" s="18">
        <v>11.348064000000001</v>
      </c>
      <c r="AB976" s="18">
        <v>20.18646</v>
      </c>
      <c r="AC976" s="18">
        <v>6.2196120000000006</v>
      </c>
      <c r="AD976" s="18">
        <v>32.7348</v>
      </c>
    </row>
    <row r="977" spans="2:30" x14ac:dyDescent="0.25">
      <c r="B977" t="s">
        <v>187</v>
      </c>
      <c r="C977" t="s">
        <v>570</v>
      </c>
      <c r="D977" t="s">
        <v>430</v>
      </c>
      <c r="E977" s="35">
        <v>0.9</v>
      </c>
      <c r="F977" s="35">
        <v>55</v>
      </c>
      <c r="G977" s="36">
        <v>0.81240000000000001</v>
      </c>
      <c r="H977" s="18">
        <v>1462.3201280000001</v>
      </c>
      <c r="I977" s="16">
        <v>0</v>
      </c>
      <c r="J977" s="16"/>
      <c r="K977" s="16"/>
      <c r="L977" s="37" t="s">
        <v>107</v>
      </c>
      <c r="M977" s="37"/>
      <c r="N977" s="37">
        <v>471</v>
      </c>
      <c r="O977" s="37"/>
      <c r="P977" s="37"/>
      <c r="Q977" s="18">
        <v>8.9364000000000008</v>
      </c>
      <c r="R977" s="18">
        <v>6.0929999999999998E-2</v>
      </c>
      <c r="S977" s="18">
        <v>17.060400000000001</v>
      </c>
      <c r="T977" s="18">
        <v>73.116</v>
      </c>
      <c r="U977" s="18">
        <v>36.558</v>
      </c>
      <c r="V977" s="18">
        <v>467.94240000000002</v>
      </c>
      <c r="W977" s="18">
        <v>438.69600000000003</v>
      </c>
      <c r="X977" s="18">
        <v>292.464</v>
      </c>
      <c r="Y977" s="18">
        <v>12.9984</v>
      </c>
      <c r="Z977" s="18">
        <v>57.680399999999999</v>
      </c>
      <c r="AA977" s="18">
        <v>84.489599999999996</v>
      </c>
      <c r="AB977" s="18">
        <v>150.29400000000001</v>
      </c>
      <c r="AC977" s="18">
        <v>46.306800000000003</v>
      </c>
      <c r="AD977" s="18">
        <v>243.72</v>
      </c>
    </row>
    <row r="978" spans="2:30" x14ac:dyDescent="0.25">
      <c r="B978" t="s">
        <v>269</v>
      </c>
      <c r="C978" t="s">
        <v>570</v>
      </c>
      <c r="D978" t="s">
        <v>670</v>
      </c>
      <c r="E978" s="35">
        <v>0.9</v>
      </c>
      <c r="F978" s="35">
        <v>6.6</v>
      </c>
      <c r="G978" s="36">
        <v>0.12554899999999999</v>
      </c>
      <c r="H978" s="18">
        <v>225.98750799999999</v>
      </c>
      <c r="I978" s="16"/>
      <c r="J978" s="16"/>
      <c r="K978" s="16"/>
      <c r="L978" s="37" t="s">
        <v>107</v>
      </c>
      <c r="M978" s="37"/>
      <c r="N978" s="37">
        <v>472</v>
      </c>
      <c r="O978" s="37"/>
      <c r="P978" s="37"/>
      <c r="Q978" s="18">
        <v>1.3810389999999999</v>
      </c>
      <c r="R978" s="18">
        <v>9.4161749999999989E-3</v>
      </c>
      <c r="S978" s="18">
        <v>2.6365289999999999</v>
      </c>
      <c r="T978" s="18">
        <v>11.29941</v>
      </c>
      <c r="U978" s="18">
        <v>5.649705</v>
      </c>
      <c r="V978" s="18">
        <v>72.316223999999991</v>
      </c>
      <c r="W978" s="18">
        <v>67.796459999999996</v>
      </c>
      <c r="X978" s="18">
        <v>45.19764</v>
      </c>
      <c r="Y978" s="18">
        <v>2.0087839999999999</v>
      </c>
      <c r="Z978" s="18">
        <v>8.9139789999999994</v>
      </c>
      <c r="AA978" s="18">
        <v>13.057096</v>
      </c>
      <c r="AB978" s="18">
        <v>23.226564999999997</v>
      </c>
      <c r="AC978" s="18">
        <v>7.1562929999999998</v>
      </c>
      <c r="AD978" s="18">
        <v>37.664699999999996</v>
      </c>
    </row>
    <row r="979" spans="2:30" x14ac:dyDescent="0.25">
      <c r="B979" t="s">
        <v>133</v>
      </c>
      <c r="C979" t="s">
        <v>570</v>
      </c>
      <c r="D979" t="s">
        <v>431</v>
      </c>
      <c r="E979" s="35">
        <v>0.9</v>
      </c>
      <c r="F979" s="35">
        <v>50</v>
      </c>
      <c r="G979" s="36">
        <v>1.0225580000000001</v>
      </c>
      <c r="H979" s="18">
        <v>1840.6036730000001</v>
      </c>
      <c r="I979" s="16">
        <v>0</v>
      </c>
      <c r="J979" s="16"/>
      <c r="K979" s="16"/>
      <c r="L979" s="37" t="s">
        <v>107</v>
      </c>
      <c r="M979" s="37"/>
      <c r="N979" s="37">
        <v>473</v>
      </c>
      <c r="O979" s="37"/>
      <c r="P979" s="37"/>
      <c r="Q979" s="18">
        <v>11.248138000000001</v>
      </c>
      <c r="R979" s="18">
        <v>7.6691850000000006E-2</v>
      </c>
      <c r="S979" s="18">
        <v>21.473718000000002</v>
      </c>
      <c r="T979" s="18">
        <v>92.030220000000014</v>
      </c>
      <c r="U979" s="18">
        <v>46.015110000000007</v>
      </c>
      <c r="V979" s="18">
        <v>588.99340800000004</v>
      </c>
      <c r="W979" s="18">
        <v>552.18132000000003</v>
      </c>
      <c r="X979" s="18">
        <v>368.12088000000006</v>
      </c>
      <c r="Y979" s="18">
        <v>16.360928000000001</v>
      </c>
      <c r="Z979" s="18">
        <v>72.601618000000002</v>
      </c>
      <c r="AA979" s="18">
        <v>106.34603200000001</v>
      </c>
      <c r="AB979" s="18">
        <v>189.17323000000002</v>
      </c>
      <c r="AC979" s="18">
        <v>58.285806000000008</v>
      </c>
      <c r="AD979" s="18">
        <v>306.76740000000001</v>
      </c>
    </row>
    <row r="980" spans="2:30" x14ac:dyDescent="0.25">
      <c r="B980" t="s">
        <v>133</v>
      </c>
      <c r="C980" t="s">
        <v>570</v>
      </c>
      <c r="D980" t="s">
        <v>401</v>
      </c>
      <c r="E980" s="35">
        <v>0.9</v>
      </c>
      <c r="F980" s="35">
        <v>50</v>
      </c>
      <c r="G980" s="36">
        <v>0.97329500000000002</v>
      </c>
      <c r="H980" s="18">
        <v>1751.9316409999999</v>
      </c>
      <c r="I980" s="16">
        <v>0</v>
      </c>
      <c r="J980" s="16"/>
      <c r="K980" s="16"/>
      <c r="L980" s="37" t="s">
        <v>107</v>
      </c>
      <c r="M980" s="37"/>
      <c r="N980" s="37">
        <v>474</v>
      </c>
      <c r="O980" s="37"/>
      <c r="P980" s="37"/>
      <c r="Q980" s="18">
        <v>10.706245000000001</v>
      </c>
      <c r="R980" s="18">
        <v>7.2997124999999996E-2</v>
      </c>
      <c r="S980" s="18">
        <v>20.439195000000002</v>
      </c>
      <c r="T980" s="18">
        <v>87.596550000000008</v>
      </c>
      <c r="U980" s="18">
        <v>43.798275000000004</v>
      </c>
      <c r="V980" s="18">
        <v>560.61792000000003</v>
      </c>
      <c r="W980" s="18">
        <v>525.57929999999999</v>
      </c>
      <c r="X980" s="18">
        <v>350.38620000000003</v>
      </c>
      <c r="Y980" s="18">
        <v>15.57272</v>
      </c>
      <c r="Z980" s="18">
        <v>69.103944999999996</v>
      </c>
      <c r="AA980" s="18">
        <v>101.22268</v>
      </c>
      <c r="AB980" s="18">
        <v>180.059575</v>
      </c>
      <c r="AC980" s="18">
        <v>55.477815</v>
      </c>
      <c r="AD980" s="18">
        <v>291.98849999999999</v>
      </c>
    </row>
    <row r="981" spans="2:30" x14ac:dyDescent="0.25">
      <c r="B981" t="s">
        <v>108</v>
      </c>
      <c r="C981" t="s">
        <v>570</v>
      </c>
      <c r="D981" t="s">
        <v>432</v>
      </c>
      <c r="E981" s="35">
        <v>0.9</v>
      </c>
      <c r="F981" s="35">
        <v>16</v>
      </c>
      <c r="G981" s="36">
        <v>0.110503</v>
      </c>
      <c r="H981" s="18">
        <v>198.904844</v>
      </c>
      <c r="I981" s="16">
        <v>0</v>
      </c>
      <c r="J981" s="16"/>
      <c r="K981" s="16"/>
      <c r="L981" s="37" t="s">
        <v>107</v>
      </c>
      <c r="M981" s="37"/>
      <c r="N981" s="37">
        <v>475</v>
      </c>
      <c r="O981" s="37"/>
      <c r="P981" s="37"/>
      <c r="Q981" s="18">
        <v>1.215533</v>
      </c>
      <c r="R981" s="18">
        <v>8.2877249999999993E-3</v>
      </c>
      <c r="S981" s="18">
        <v>2.3205629999999999</v>
      </c>
      <c r="T981" s="18">
        <v>9.9452700000000007</v>
      </c>
      <c r="U981" s="18">
        <v>4.9726350000000004</v>
      </c>
      <c r="V981" s="18">
        <v>63.649728000000003</v>
      </c>
      <c r="W981" s="18">
        <v>59.671620000000004</v>
      </c>
      <c r="X981" s="18">
        <v>39.781080000000003</v>
      </c>
      <c r="Y981" s="18">
        <v>1.7680480000000001</v>
      </c>
      <c r="Z981" s="18">
        <v>7.8457129999999999</v>
      </c>
      <c r="AA981" s="18">
        <v>11.492312</v>
      </c>
      <c r="AB981" s="18">
        <v>20.443055000000001</v>
      </c>
      <c r="AC981" s="18">
        <v>6.2986710000000006</v>
      </c>
      <c r="AD981" s="18">
        <v>33.1509</v>
      </c>
    </row>
    <row r="982" spans="2:30" x14ac:dyDescent="0.25">
      <c r="B982" t="s">
        <v>133</v>
      </c>
      <c r="C982" t="s">
        <v>570</v>
      </c>
      <c r="D982" t="s">
        <v>434</v>
      </c>
      <c r="E982" s="35">
        <v>0.9</v>
      </c>
      <c r="F982" s="35">
        <v>50</v>
      </c>
      <c r="G982" s="36">
        <v>1.0107269999999999</v>
      </c>
      <c r="H982" s="18">
        <v>1819.3078390000001</v>
      </c>
      <c r="I982" s="16">
        <v>0</v>
      </c>
      <c r="J982" s="16"/>
      <c r="K982" s="16"/>
      <c r="L982" s="37" t="s">
        <v>107</v>
      </c>
      <c r="M982" s="37"/>
      <c r="N982" s="37">
        <v>476</v>
      </c>
      <c r="O982" s="37"/>
      <c r="P982" s="37"/>
      <c r="Q982" s="18">
        <v>11.117996999999999</v>
      </c>
      <c r="R982" s="18">
        <v>7.5804524999999998E-2</v>
      </c>
      <c r="S982" s="18">
        <v>21.225266999999999</v>
      </c>
      <c r="T982" s="18">
        <v>90.965429999999998</v>
      </c>
      <c r="U982" s="18">
        <v>45.482714999999999</v>
      </c>
      <c r="V982" s="18">
        <v>582.17875199999992</v>
      </c>
      <c r="W982" s="18">
        <v>545.79257999999993</v>
      </c>
      <c r="X982" s="18">
        <v>363.86171999999999</v>
      </c>
      <c r="Y982" s="18">
        <v>16.171631999999999</v>
      </c>
      <c r="Z982" s="18">
        <v>71.761617000000001</v>
      </c>
      <c r="AA982" s="18">
        <v>105.11560799999999</v>
      </c>
      <c r="AB982" s="18">
        <v>186.98449499999998</v>
      </c>
      <c r="AC982" s="18">
        <v>57.611438999999997</v>
      </c>
      <c r="AD982" s="18">
        <v>303.21809999999999</v>
      </c>
    </row>
    <row r="983" spans="2:30" x14ac:dyDescent="0.25">
      <c r="B983" t="s">
        <v>133</v>
      </c>
      <c r="C983" t="s">
        <v>570</v>
      </c>
      <c r="D983" t="s">
        <v>368</v>
      </c>
      <c r="E983" s="35">
        <v>0.9</v>
      </c>
      <c r="F983" s="35">
        <v>50</v>
      </c>
      <c r="G983" s="36">
        <v>0.99396099999999998</v>
      </c>
      <c r="H983" s="18">
        <v>1789.1301269999999</v>
      </c>
      <c r="I983" s="16">
        <v>0</v>
      </c>
      <c r="J983" s="16"/>
      <c r="K983" s="16"/>
      <c r="L983" s="37" t="s">
        <v>107</v>
      </c>
      <c r="M983" s="37"/>
      <c r="N983" s="37">
        <v>477</v>
      </c>
      <c r="O983" s="37"/>
      <c r="P983" s="37"/>
      <c r="Q983" s="18">
        <v>10.933571000000001</v>
      </c>
      <c r="R983" s="18">
        <v>7.454707499999999E-2</v>
      </c>
      <c r="S983" s="18">
        <v>20.873180999999999</v>
      </c>
      <c r="T983" s="18">
        <v>89.456490000000002</v>
      </c>
      <c r="U983" s="18">
        <v>44.728245000000001</v>
      </c>
      <c r="V983" s="18">
        <v>572.52153599999997</v>
      </c>
      <c r="W983" s="18">
        <v>536.73893999999996</v>
      </c>
      <c r="X983" s="18">
        <v>357.82596000000001</v>
      </c>
      <c r="Y983" s="18">
        <v>15.903376</v>
      </c>
      <c r="Z983" s="18">
        <v>70.571230999999997</v>
      </c>
      <c r="AA983" s="18">
        <v>103.371944</v>
      </c>
      <c r="AB983" s="18">
        <v>183.88278499999998</v>
      </c>
      <c r="AC983" s="18">
        <v>56.655777</v>
      </c>
      <c r="AD983" s="18">
        <v>298.18829999999997</v>
      </c>
    </row>
    <row r="984" spans="2:30" x14ac:dyDescent="0.25">
      <c r="B984" t="s">
        <v>108</v>
      </c>
      <c r="C984" t="s">
        <v>570</v>
      </c>
      <c r="D984" t="s">
        <v>435</v>
      </c>
      <c r="E984" s="35">
        <v>0.9</v>
      </c>
      <c r="F984" s="35">
        <v>16</v>
      </c>
      <c r="G984" s="36">
        <v>0.12031600000000001</v>
      </c>
      <c r="H984" s="18">
        <v>216.56812500000001</v>
      </c>
      <c r="I984" s="16">
        <v>0</v>
      </c>
      <c r="J984" s="16"/>
      <c r="K984" s="16"/>
      <c r="L984" s="37" t="s">
        <v>107</v>
      </c>
      <c r="M984" s="37"/>
      <c r="N984" s="37">
        <v>478</v>
      </c>
      <c r="O984" s="37"/>
      <c r="P984" s="37"/>
      <c r="Q984" s="18">
        <v>1.3234760000000001</v>
      </c>
      <c r="R984" s="18">
        <v>9.0237000000000008E-3</v>
      </c>
      <c r="S984" s="18">
        <v>2.5266360000000003</v>
      </c>
      <c r="T984" s="18">
        <v>10.828440000000001</v>
      </c>
      <c r="U984" s="18">
        <v>5.4142200000000003</v>
      </c>
      <c r="V984" s="18">
        <v>69.302016000000009</v>
      </c>
      <c r="W984" s="18">
        <v>64.970640000000003</v>
      </c>
      <c r="X984" s="18">
        <v>43.313760000000002</v>
      </c>
      <c r="Y984" s="18">
        <v>1.9250560000000001</v>
      </c>
      <c r="Z984" s="18">
        <v>8.5424360000000004</v>
      </c>
      <c r="AA984" s="18">
        <v>12.512864</v>
      </c>
      <c r="AB984" s="18">
        <v>22.258459999999999</v>
      </c>
      <c r="AC984" s="18">
        <v>6.8580120000000004</v>
      </c>
      <c r="AD984" s="18">
        <v>36.094799999999999</v>
      </c>
    </row>
    <row r="985" spans="2:30" x14ac:dyDescent="0.25">
      <c r="B985" t="s">
        <v>191</v>
      </c>
      <c r="C985" t="s">
        <v>570</v>
      </c>
      <c r="D985" t="s">
        <v>671</v>
      </c>
      <c r="E985" s="35">
        <v>0.9</v>
      </c>
      <c r="F985" s="35">
        <v>8.1999999999999993</v>
      </c>
      <c r="G985" s="36">
        <v>1.3256E-2</v>
      </c>
      <c r="H985" s="18">
        <v>23.860579000000001</v>
      </c>
      <c r="I985" s="16"/>
      <c r="J985" s="16"/>
      <c r="K985" s="16"/>
      <c r="L985" s="37" t="s">
        <v>107</v>
      </c>
      <c r="M985" s="37"/>
      <c r="N985" s="37">
        <v>479</v>
      </c>
      <c r="O985" s="37"/>
      <c r="P985" s="37"/>
      <c r="Q985" s="18">
        <v>0.145816</v>
      </c>
      <c r="R985" s="18">
        <v>9.9419999999999999E-4</v>
      </c>
      <c r="S985" s="18">
        <v>0.27837600000000001</v>
      </c>
      <c r="T985" s="18">
        <v>1.1930400000000001</v>
      </c>
      <c r="U985" s="18">
        <v>0.59652000000000005</v>
      </c>
      <c r="V985" s="18">
        <v>7.6354560000000005</v>
      </c>
      <c r="W985" s="18">
        <v>7.1582400000000002</v>
      </c>
      <c r="X985" s="18">
        <v>4.7721600000000004</v>
      </c>
      <c r="Y985" s="18">
        <v>0.21209600000000001</v>
      </c>
      <c r="Z985" s="18">
        <v>0.94117600000000001</v>
      </c>
      <c r="AA985" s="18">
        <v>1.3786240000000001</v>
      </c>
      <c r="AB985" s="18">
        <v>2.4523600000000001</v>
      </c>
      <c r="AC985" s="18">
        <v>0.75559200000000004</v>
      </c>
      <c r="AD985" s="18">
        <v>3.9768000000000003</v>
      </c>
    </row>
    <row r="986" spans="2:30" x14ac:dyDescent="0.25">
      <c r="B986" t="s">
        <v>191</v>
      </c>
      <c r="C986" t="s">
        <v>570</v>
      </c>
      <c r="D986" t="s">
        <v>672</v>
      </c>
      <c r="E986" s="35">
        <v>0.9</v>
      </c>
      <c r="F986" s="35">
        <v>8.1999999999999993</v>
      </c>
      <c r="G986" s="36">
        <v>3.2265000000000002E-2</v>
      </c>
      <c r="H986" s="18">
        <v>58.076976999999999</v>
      </c>
      <c r="I986" s="16"/>
      <c r="J986" s="16"/>
      <c r="K986" s="16"/>
      <c r="L986" s="37" t="s">
        <v>107</v>
      </c>
      <c r="M986" s="37"/>
      <c r="N986" s="37">
        <v>480</v>
      </c>
      <c r="O986" s="37"/>
      <c r="P986" s="37"/>
      <c r="Q986" s="18">
        <v>0.35491500000000004</v>
      </c>
      <c r="R986" s="18">
        <v>2.4198750000000002E-3</v>
      </c>
      <c r="S986" s="18">
        <v>0.67756500000000008</v>
      </c>
      <c r="T986" s="18">
        <v>2.9038500000000003</v>
      </c>
      <c r="U986" s="18">
        <v>1.4519250000000001</v>
      </c>
      <c r="V986" s="18">
        <v>18.58464</v>
      </c>
      <c r="W986" s="18">
        <v>17.423100000000002</v>
      </c>
      <c r="X986" s="18">
        <v>11.615400000000001</v>
      </c>
      <c r="Y986" s="18">
        <v>0.51624000000000003</v>
      </c>
      <c r="Z986" s="18">
        <v>2.2908150000000003</v>
      </c>
      <c r="AA986" s="18">
        <v>3.3555600000000001</v>
      </c>
      <c r="AB986" s="18">
        <v>5.9690250000000002</v>
      </c>
      <c r="AC986" s="18">
        <v>1.8391050000000002</v>
      </c>
      <c r="AD986" s="18">
        <v>9.6795000000000009</v>
      </c>
    </row>
    <row r="987" spans="2:30" x14ac:dyDescent="0.25">
      <c r="B987" t="s">
        <v>191</v>
      </c>
      <c r="C987" t="s">
        <v>570</v>
      </c>
      <c r="D987" t="s">
        <v>672</v>
      </c>
      <c r="E987" s="35">
        <v>0.9</v>
      </c>
      <c r="F987" s="35">
        <v>8.1999999999999993</v>
      </c>
      <c r="G987" s="36">
        <v>3.2266000000000003E-2</v>
      </c>
      <c r="H987" s="18">
        <v>58.079284999999999</v>
      </c>
      <c r="I987" s="16"/>
      <c r="J987" s="16"/>
      <c r="K987" s="16"/>
      <c r="L987" s="37" t="s">
        <v>107</v>
      </c>
      <c r="M987" s="37"/>
      <c r="N987" s="37">
        <v>481</v>
      </c>
      <c r="O987" s="37"/>
      <c r="P987" s="37"/>
      <c r="Q987" s="18">
        <v>0.35492600000000002</v>
      </c>
      <c r="R987" s="18">
        <v>2.4199500000000001E-3</v>
      </c>
      <c r="S987" s="18">
        <v>0.67758600000000002</v>
      </c>
      <c r="T987" s="18">
        <v>2.9039400000000004</v>
      </c>
      <c r="U987" s="18">
        <v>1.4519700000000002</v>
      </c>
      <c r="V987" s="18">
        <v>18.585216000000003</v>
      </c>
      <c r="W987" s="18">
        <v>17.423640000000002</v>
      </c>
      <c r="X987" s="18">
        <v>11.615760000000002</v>
      </c>
      <c r="Y987" s="18">
        <v>0.51625600000000005</v>
      </c>
      <c r="Z987" s="18">
        <v>2.2908860000000004</v>
      </c>
      <c r="AA987" s="18">
        <v>3.3556640000000004</v>
      </c>
      <c r="AB987" s="18">
        <v>5.9692100000000003</v>
      </c>
      <c r="AC987" s="18">
        <v>1.8391620000000002</v>
      </c>
      <c r="AD987" s="18">
        <v>9.6798000000000002</v>
      </c>
    </row>
    <row r="988" spans="2:30" x14ac:dyDescent="0.25">
      <c r="B988" t="s">
        <v>138</v>
      </c>
      <c r="C988" t="s">
        <v>570</v>
      </c>
      <c r="D988" t="s">
        <v>415</v>
      </c>
      <c r="E988" s="35">
        <v>0.9</v>
      </c>
      <c r="F988" s="35">
        <v>44</v>
      </c>
      <c r="G988" s="36">
        <v>0.55965900000000002</v>
      </c>
      <c r="H988" s="18">
        <v>1007.385586</v>
      </c>
      <c r="I988" s="16">
        <v>0</v>
      </c>
      <c r="J988" s="16"/>
      <c r="K988" s="16"/>
      <c r="L988" s="37" t="s">
        <v>107</v>
      </c>
      <c r="M988" s="37"/>
      <c r="N988" s="37">
        <v>482</v>
      </c>
      <c r="O988" s="37"/>
      <c r="P988" s="37"/>
      <c r="Q988" s="18">
        <v>6.1562489999999999</v>
      </c>
      <c r="R988" s="18">
        <v>4.1974425000000003E-2</v>
      </c>
      <c r="S988" s="18">
        <v>11.752839</v>
      </c>
      <c r="T988" s="18">
        <v>50.369309999999999</v>
      </c>
      <c r="U988" s="18">
        <v>25.184654999999999</v>
      </c>
      <c r="V988" s="18">
        <v>322.363584</v>
      </c>
      <c r="W988" s="18">
        <v>302.21586000000002</v>
      </c>
      <c r="X988" s="18">
        <v>201.47723999999999</v>
      </c>
      <c r="Y988" s="18">
        <v>8.9545440000000003</v>
      </c>
      <c r="Z988" s="18">
        <v>39.735789000000004</v>
      </c>
      <c r="AA988" s="18">
        <v>58.204536000000004</v>
      </c>
      <c r="AB988" s="18">
        <v>103.53691500000001</v>
      </c>
      <c r="AC988" s="18">
        <v>31.900563000000002</v>
      </c>
      <c r="AD988" s="18">
        <v>167.89770000000001</v>
      </c>
    </row>
    <row r="989" spans="2:30" x14ac:dyDescent="0.25">
      <c r="B989" t="s">
        <v>269</v>
      </c>
      <c r="C989" t="s">
        <v>570</v>
      </c>
      <c r="D989" t="s">
        <v>175</v>
      </c>
      <c r="E989" s="35">
        <v>0.9</v>
      </c>
      <c r="F989" s="35">
        <v>6.6</v>
      </c>
      <c r="G989" s="36">
        <v>8.5796999999999998E-2</v>
      </c>
      <c r="H989" s="18">
        <v>154.433716</v>
      </c>
      <c r="I989" s="16"/>
      <c r="J989" s="16"/>
      <c r="K989" s="16"/>
      <c r="L989" s="37" t="s">
        <v>107</v>
      </c>
      <c r="M989" s="37"/>
      <c r="N989" s="37">
        <v>483</v>
      </c>
      <c r="O989" s="37"/>
      <c r="P989" s="37"/>
      <c r="Q989" s="18">
        <v>0.94376700000000002</v>
      </c>
      <c r="R989" s="18">
        <v>6.4347749999999993E-3</v>
      </c>
      <c r="S989" s="18">
        <v>1.8017369999999999</v>
      </c>
      <c r="T989" s="18">
        <v>7.72173</v>
      </c>
      <c r="U989" s="18">
        <v>3.860865</v>
      </c>
      <c r="V989" s="18">
        <v>49.419072</v>
      </c>
      <c r="W989" s="18">
        <v>46.330379999999998</v>
      </c>
      <c r="X989" s="18">
        <v>30.88692</v>
      </c>
      <c r="Y989" s="18">
        <v>1.372752</v>
      </c>
      <c r="Z989" s="18">
        <v>6.0915869999999996</v>
      </c>
      <c r="AA989" s="18">
        <v>8.9228880000000004</v>
      </c>
      <c r="AB989" s="18">
        <v>15.872444999999999</v>
      </c>
      <c r="AC989" s="18">
        <v>4.8904290000000001</v>
      </c>
      <c r="AD989" s="18">
        <v>25.739100000000001</v>
      </c>
    </row>
    <row r="990" spans="2:30" x14ac:dyDescent="0.25">
      <c r="B990" t="s">
        <v>144</v>
      </c>
      <c r="C990" t="s">
        <v>570</v>
      </c>
      <c r="D990" t="s">
        <v>415</v>
      </c>
      <c r="E990" s="35">
        <v>0.9</v>
      </c>
      <c r="F990" s="35">
        <v>40</v>
      </c>
      <c r="G990" s="36">
        <v>0.50878100000000004</v>
      </c>
      <c r="H990" s="18">
        <v>915.80507799999998</v>
      </c>
      <c r="I990" s="16">
        <v>0</v>
      </c>
      <c r="J990" s="16"/>
      <c r="K990" s="16"/>
      <c r="L990" s="37" t="s">
        <v>107</v>
      </c>
      <c r="M990" s="37"/>
      <c r="N990" s="37">
        <v>484</v>
      </c>
      <c r="O990" s="37"/>
      <c r="P990" s="37"/>
      <c r="Q990" s="18">
        <v>5.5965910000000001</v>
      </c>
      <c r="R990" s="18">
        <v>3.8158575E-2</v>
      </c>
      <c r="S990" s="18">
        <v>10.684401000000001</v>
      </c>
      <c r="T990" s="18">
        <v>45.790290000000006</v>
      </c>
      <c r="U990" s="18">
        <v>22.895145000000003</v>
      </c>
      <c r="V990" s="18">
        <v>293.05785600000002</v>
      </c>
      <c r="W990" s="18">
        <v>274.74173999999999</v>
      </c>
      <c r="X990" s="18">
        <v>183.16116000000002</v>
      </c>
      <c r="Y990" s="18">
        <v>8.1404960000000006</v>
      </c>
      <c r="Z990" s="18">
        <v>36.123451000000003</v>
      </c>
      <c r="AA990" s="18">
        <v>52.913224000000007</v>
      </c>
      <c r="AB990" s="18">
        <v>94.124485000000007</v>
      </c>
      <c r="AC990" s="18">
        <v>29.000517000000002</v>
      </c>
      <c r="AD990" s="18">
        <v>152.63430000000002</v>
      </c>
    </row>
    <row r="991" spans="2:30" x14ac:dyDescent="0.25">
      <c r="B991" t="s">
        <v>191</v>
      </c>
      <c r="C991" t="s">
        <v>570</v>
      </c>
      <c r="D991" t="s">
        <v>671</v>
      </c>
      <c r="E991" s="35">
        <v>0.9</v>
      </c>
      <c r="F991" s="35">
        <v>8.1999999999999993</v>
      </c>
      <c r="G991" s="36">
        <v>1.3263E-2</v>
      </c>
      <c r="H991" s="18">
        <v>23.873975000000002</v>
      </c>
      <c r="I991" s="16"/>
      <c r="J991" s="16"/>
      <c r="K991" s="16"/>
      <c r="L991" s="37" t="s">
        <v>107</v>
      </c>
      <c r="M991" s="37"/>
      <c r="N991" s="37">
        <v>485</v>
      </c>
      <c r="O991" s="37"/>
      <c r="P991" s="37"/>
      <c r="Q991" s="18">
        <v>0.14589299999999999</v>
      </c>
      <c r="R991" s="18">
        <v>9.9472499999999991E-4</v>
      </c>
      <c r="S991" s="18">
        <v>0.27852300000000002</v>
      </c>
      <c r="T991" s="18">
        <v>1.19367</v>
      </c>
      <c r="U991" s="18">
        <v>0.596835</v>
      </c>
      <c r="V991" s="18">
        <v>7.6394880000000001</v>
      </c>
      <c r="W991" s="18">
        <v>7.1620200000000001</v>
      </c>
      <c r="X991" s="18">
        <v>4.77468</v>
      </c>
      <c r="Y991" s="18">
        <v>0.21220800000000001</v>
      </c>
      <c r="Z991" s="18">
        <v>0.94167299999999998</v>
      </c>
      <c r="AA991" s="18">
        <v>1.3793520000000001</v>
      </c>
      <c r="AB991" s="18">
        <v>2.4536549999999999</v>
      </c>
      <c r="AC991" s="18">
        <v>0.75599100000000008</v>
      </c>
      <c r="AD991" s="18">
        <v>3.9789000000000003</v>
      </c>
    </row>
    <row r="992" spans="2:30" x14ac:dyDescent="0.25">
      <c r="B992" t="s">
        <v>187</v>
      </c>
      <c r="C992" t="s">
        <v>570</v>
      </c>
      <c r="D992" t="s">
        <v>436</v>
      </c>
      <c r="E992" s="35">
        <v>0.9</v>
      </c>
      <c r="F992" s="35">
        <v>55</v>
      </c>
      <c r="G992" s="36">
        <v>1.1347700000000001</v>
      </c>
      <c r="H992" s="18">
        <v>2042.5853870000001</v>
      </c>
      <c r="I992" s="16">
        <v>0</v>
      </c>
      <c r="J992" s="16"/>
      <c r="K992" s="16"/>
      <c r="L992" s="37" t="s">
        <v>107</v>
      </c>
      <c r="M992" s="37"/>
      <c r="N992" s="37">
        <v>486</v>
      </c>
      <c r="O992" s="37"/>
      <c r="P992" s="37"/>
      <c r="Q992" s="18">
        <v>12.482470000000001</v>
      </c>
      <c r="R992" s="18">
        <v>8.5107749999999996E-2</v>
      </c>
      <c r="S992" s="18">
        <v>23.830170000000003</v>
      </c>
      <c r="T992" s="18">
        <v>102.1293</v>
      </c>
      <c r="U992" s="18">
        <v>51.06465</v>
      </c>
      <c r="V992" s="18">
        <v>653.62752</v>
      </c>
      <c r="W992" s="18">
        <v>612.7758</v>
      </c>
      <c r="X992" s="18">
        <v>408.5172</v>
      </c>
      <c r="Y992" s="18">
        <v>18.156320000000001</v>
      </c>
      <c r="Z992" s="18">
        <v>80.568669999999997</v>
      </c>
      <c r="AA992" s="18">
        <v>118.01608</v>
      </c>
      <c r="AB992" s="18">
        <v>209.93245000000002</v>
      </c>
      <c r="AC992" s="18">
        <v>64.68189000000001</v>
      </c>
      <c r="AD992" s="18">
        <v>340.43100000000004</v>
      </c>
    </row>
    <row r="993" spans="2:30" x14ac:dyDescent="0.25">
      <c r="B993" t="s">
        <v>133</v>
      </c>
      <c r="C993" t="s">
        <v>570</v>
      </c>
      <c r="D993" t="s">
        <v>368</v>
      </c>
      <c r="E993" s="35">
        <v>0.9</v>
      </c>
      <c r="F993" s="35">
        <v>50</v>
      </c>
      <c r="G993" s="36">
        <v>0.99396099999999998</v>
      </c>
      <c r="H993" s="18">
        <v>1789.1301269999999</v>
      </c>
      <c r="I993" s="16">
        <v>0</v>
      </c>
      <c r="J993" s="16"/>
      <c r="K993" s="16"/>
      <c r="L993" s="37" t="s">
        <v>107</v>
      </c>
      <c r="M993" s="37"/>
      <c r="N993" s="37">
        <v>487</v>
      </c>
      <c r="O993" s="37"/>
      <c r="P993" s="37"/>
      <c r="Q993" s="18">
        <v>10.933571000000001</v>
      </c>
      <c r="R993" s="18">
        <v>7.454707499999999E-2</v>
      </c>
      <c r="S993" s="18">
        <v>20.873180999999999</v>
      </c>
      <c r="T993" s="18">
        <v>89.456490000000002</v>
      </c>
      <c r="U993" s="18">
        <v>44.728245000000001</v>
      </c>
      <c r="V993" s="18">
        <v>572.52153599999997</v>
      </c>
      <c r="W993" s="18">
        <v>536.73893999999996</v>
      </c>
      <c r="X993" s="18">
        <v>357.82596000000001</v>
      </c>
      <c r="Y993" s="18">
        <v>15.903376</v>
      </c>
      <c r="Z993" s="18">
        <v>70.571230999999997</v>
      </c>
      <c r="AA993" s="18">
        <v>103.371944</v>
      </c>
      <c r="AB993" s="18">
        <v>183.88278499999998</v>
      </c>
      <c r="AC993" s="18">
        <v>56.655777</v>
      </c>
      <c r="AD993" s="18">
        <v>298.18829999999997</v>
      </c>
    </row>
    <row r="994" spans="2:30" x14ac:dyDescent="0.25">
      <c r="B994" t="s">
        <v>108</v>
      </c>
      <c r="C994" t="s">
        <v>570</v>
      </c>
      <c r="D994" t="s">
        <v>437</v>
      </c>
      <c r="E994" s="35">
        <v>0.9</v>
      </c>
      <c r="F994" s="35">
        <v>16</v>
      </c>
      <c r="G994" s="36">
        <v>0.129382</v>
      </c>
      <c r="H994" s="18">
        <v>232.887461</v>
      </c>
      <c r="I994" s="16">
        <v>0</v>
      </c>
      <c r="J994" s="16"/>
      <c r="K994" s="16"/>
      <c r="L994" s="37" t="s">
        <v>107</v>
      </c>
      <c r="M994" s="37"/>
      <c r="N994" s="37">
        <v>488</v>
      </c>
      <c r="O994" s="37"/>
      <c r="P994" s="37"/>
      <c r="Q994" s="18">
        <v>1.4232019999999999</v>
      </c>
      <c r="R994" s="18">
        <v>9.7036499999999994E-3</v>
      </c>
      <c r="S994" s="18">
        <v>2.717022</v>
      </c>
      <c r="T994" s="18">
        <v>11.64438</v>
      </c>
      <c r="U994" s="18">
        <v>5.82219</v>
      </c>
      <c r="V994" s="18">
        <v>74.524032000000005</v>
      </c>
      <c r="W994" s="18">
        <v>69.866280000000003</v>
      </c>
      <c r="X994" s="18">
        <v>46.57752</v>
      </c>
      <c r="Y994" s="18">
        <v>2.070112</v>
      </c>
      <c r="Z994" s="18">
        <v>9.1861219999999992</v>
      </c>
      <c r="AA994" s="18">
        <v>13.455728000000001</v>
      </c>
      <c r="AB994" s="18">
        <v>23.935669999999998</v>
      </c>
      <c r="AC994" s="18">
        <v>7.3747739999999995</v>
      </c>
      <c r="AD994" s="18">
        <v>38.814599999999999</v>
      </c>
    </row>
    <row r="995" spans="2:30" x14ac:dyDescent="0.25">
      <c r="B995" t="s">
        <v>158</v>
      </c>
      <c r="C995" t="s">
        <v>570</v>
      </c>
      <c r="D995" t="s">
        <v>224</v>
      </c>
      <c r="E995" s="35">
        <v>0.9</v>
      </c>
      <c r="F995" s="35">
        <v>18</v>
      </c>
      <c r="G995" s="36">
        <v>7.1826000000000001E-2</v>
      </c>
      <c r="H995" s="18">
        <v>129.28753599999999</v>
      </c>
      <c r="I995" s="16">
        <v>0</v>
      </c>
      <c r="J995" s="16"/>
      <c r="K995" s="16"/>
      <c r="L995" s="37" t="s">
        <v>107</v>
      </c>
      <c r="M995" s="37"/>
      <c r="N995" s="37">
        <v>489</v>
      </c>
      <c r="O995" s="37"/>
      <c r="P995" s="37"/>
      <c r="Q995" s="18">
        <v>0.79008600000000007</v>
      </c>
      <c r="R995" s="18">
        <v>5.3869499999999997E-3</v>
      </c>
      <c r="S995" s="18">
        <v>1.508346</v>
      </c>
      <c r="T995" s="18">
        <v>6.46434</v>
      </c>
      <c r="U995" s="18">
        <v>3.23217</v>
      </c>
      <c r="V995" s="18">
        <v>41.371775999999997</v>
      </c>
      <c r="W995" s="18">
        <v>38.78604</v>
      </c>
      <c r="X995" s="18">
        <v>25.85736</v>
      </c>
      <c r="Y995" s="18">
        <v>1.149216</v>
      </c>
      <c r="Z995" s="18">
        <v>5.0996459999999999</v>
      </c>
      <c r="AA995" s="18">
        <v>7.4699039999999997</v>
      </c>
      <c r="AB995" s="18">
        <v>13.28781</v>
      </c>
      <c r="AC995" s="18">
        <v>4.0940820000000002</v>
      </c>
      <c r="AD995" s="18">
        <v>21.547799999999999</v>
      </c>
    </row>
    <row r="996" spans="2:30" x14ac:dyDescent="0.25">
      <c r="B996" t="s">
        <v>162</v>
      </c>
      <c r="C996" t="s">
        <v>570</v>
      </c>
      <c r="D996" t="s">
        <v>673</v>
      </c>
      <c r="E996" s="35">
        <v>0.9</v>
      </c>
      <c r="F996" s="35">
        <v>24</v>
      </c>
      <c r="G996" s="36">
        <v>9.9026000000000003E-2</v>
      </c>
      <c r="H996" s="18">
        <v>178.24739400000001</v>
      </c>
      <c r="I996" s="16">
        <v>0</v>
      </c>
      <c r="J996" s="16"/>
      <c r="K996" s="16"/>
      <c r="L996" s="37" t="s">
        <v>107</v>
      </c>
      <c r="M996" s="37"/>
      <c r="N996" s="37">
        <v>490</v>
      </c>
      <c r="O996" s="37"/>
      <c r="P996" s="37"/>
      <c r="Q996" s="18">
        <v>1.089286</v>
      </c>
      <c r="R996" s="18">
        <v>7.4269499999999999E-3</v>
      </c>
      <c r="S996" s="18">
        <v>2.0795460000000001</v>
      </c>
      <c r="T996" s="18">
        <v>8.9123400000000004</v>
      </c>
      <c r="U996" s="18">
        <v>4.4561700000000002</v>
      </c>
      <c r="V996" s="18">
        <v>57.038976000000005</v>
      </c>
      <c r="W996" s="18">
        <v>53.474040000000002</v>
      </c>
      <c r="X996" s="18">
        <v>35.649360000000001</v>
      </c>
      <c r="Y996" s="18">
        <v>1.584416</v>
      </c>
      <c r="Z996" s="18">
        <v>7.0308460000000004</v>
      </c>
      <c r="AA996" s="18">
        <v>10.298704000000001</v>
      </c>
      <c r="AB996" s="18">
        <v>18.31981</v>
      </c>
      <c r="AC996" s="18">
        <v>5.644482</v>
      </c>
      <c r="AD996" s="18">
        <v>29.707800000000002</v>
      </c>
    </row>
    <row r="997" spans="2:30" x14ac:dyDescent="0.25">
      <c r="B997" t="s">
        <v>158</v>
      </c>
      <c r="C997" t="s">
        <v>570</v>
      </c>
      <c r="D997" t="s">
        <v>433</v>
      </c>
      <c r="E997" s="35">
        <v>0.9</v>
      </c>
      <c r="F997" s="35">
        <v>18</v>
      </c>
      <c r="G997" s="36">
        <v>7.1723999999999996E-2</v>
      </c>
      <c r="H997" s="18">
        <v>129.10368299999999</v>
      </c>
      <c r="I997" s="16">
        <v>0</v>
      </c>
      <c r="J997" s="16"/>
      <c r="K997" s="16"/>
      <c r="L997" s="37" t="s">
        <v>107</v>
      </c>
      <c r="M997" s="37"/>
      <c r="N997" s="37">
        <v>491</v>
      </c>
      <c r="O997" s="37"/>
      <c r="P997" s="37"/>
      <c r="Q997" s="18">
        <v>0.788964</v>
      </c>
      <c r="R997" s="18">
        <v>5.3792999999999992E-3</v>
      </c>
      <c r="S997" s="18">
        <v>1.5062039999999999</v>
      </c>
      <c r="T997" s="18">
        <v>6.4551599999999993</v>
      </c>
      <c r="U997" s="18">
        <v>3.2275799999999997</v>
      </c>
      <c r="V997" s="18">
        <v>41.313023999999999</v>
      </c>
      <c r="W997" s="18">
        <v>38.730959999999996</v>
      </c>
      <c r="X997" s="18">
        <v>25.820639999999997</v>
      </c>
      <c r="Y997" s="18">
        <v>1.1475839999999999</v>
      </c>
      <c r="Z997" s="18">
        <v>5.0924040000000002</v>
      </c>
      <c r="AA997" s="18">
        <v>7.4592959999999993</v>
      </c>
      <c r="AB997" s="18">
        <v>13.268939999999999</v>
      </c>
      <c r="AC997" s="18">
        <v>4.0882679999999993</v>
      </c>
      <c r="AD997" s="18">
        <v>21.517199999999999</v>
      </c>
    </row>
    <row r="998" spans="2:30" x14ac:dyDescent="0.25">
      <c r="B998" t="s">
        <v>162</v>
      </c>
      <c r="C998" t="s">
        <v>570</v>
      </c>
      <c r="D998" t="s">
        <v>399</v>
      </c>
      <c r="E998" s="35">
        <v>0.9</v>
      </c>
      <c r="F998" s="35">
        <v>24</v>
      </c>
      <c r="G998" s="36">
        <v>9.6424999999999997E-2</v>
      </c>
      <c r="H998" s="18">
        <v>173.56410099999999</v>
      </c>
      <c r="I998" s="16">
        <v>0</v>
      </c>
      <c r="J998" s="16"/>
      <c r="K998" s="16"/>
      <c r="L998" s="37" t="s">
        <v>107</v>
      </c>
      <c r="M998" s="37"/>
      <c r="N998" s="37">
        <v>492</v>
      </c>
      <c r="O998" s="37"/>
      <c r="P998" s="37"/>
      <c r="Q998" s="18">
        <v>1.060675</v>
      </c>
      <c r="R998" s="18">
        <v>7.2318749999999996E-3</v>
      </c>
      <c r="S998" s="18">
        <v>2.0249250000000001</v>
      </c>
      <c r="T998" s="18">
        <v>8.6782500000000002</v>
      </c>
      <c r="U998" s="18">
        <v>4.3391250000000001</v>
      </c>
      <c r="V998" s="18">
        <v>55.540799999999997</v>
      </c>
      <c r="W998" s="18">
        <v>52.069499999999998</v>
      </c>
      <c r="X998" s="18">
        <v>34.713000000000001</v>
      </c>
      <c r="Y998" s="18">
        <v>1.5427999999999999</v>
      </c>
      <c r="Z998" s="18">
        <v>6.8461749999999997</v>
      </c>
      <c r="AA998" s="18">
        <v>10.0282</v>
      </c>
      <c r="AB998" s="18">
        <v>17.838625</v>
      </c>
      <c r="AC998" s="18">
        <v>5.4962249999999999</v>
      </c>
      <c r="AD998" s="18">
        <v>28.927499999999998</v>
      </c>
    </row>
    <row r="999" spans="2:30" x14ac:dyDescent="0.25">
      <c r="B999" t="s">
        <v>158</v>
      </c>
      <c r="C999" t="s">
        <v>570</v>
      </c>
      <c r="D999" t="s">
        <v>433</v>
      </c>
      <c r="E999" s="35">
        <v>0.9</v>
      </c>
      <c r="F999" s="35">
        <v>18</v>
      </c>
      <c r="G999" s="36">
        <v>7.1723999999999996E-2</v>
      </c>
      <c r="H999" s="18">
        <v>129.10368299999999</v>
      </c>
      <c r="I999" s="16">
        <v>0</v>
      </c>
      <c r="J999" s="16"/>
      <c r="K999" s="16"/>
      <c r="L999" s="37" t="s">
        <v>107</v>
      </c>
      <c r="M999" s="37"/>
      <c r="N999" s="37">
        <v>493</v>
      </c>
      <c r="O999" s="37"/>
      <c r="P999" s="37"/>
      <c r="Q999" s="18">
        <v>0.788964</v>
      </c>
      <c r="R999" s="18">
        <v>5.3792999999999992E-3</v>
      </c>
      <c r="S999" s="18">
        <v>1.5062039999999999</v>
      </c>
      <c r="T999" s="18">
        <v>6.4551599999999993</v>
      </c>
      <c r="U999" s="18">
        <v>3.2275799999999997</v>
      </c>
      <c r="V999" s="18">
        <v>41.313023999999999</v>
      </c>
      <c r="W999" s="18">
        <v>38.730959999999996</v>
      </c>
      <c r="X999" s="18">
        <v>25.820639999999997</v>
      </c>
      <c r="Y999" s="18">
        <v>1.1475839999999999</v>
      </c>
      <c r="Z999" s="18">
        <v>5.0924040000000002</v>
      </c>
      <c r="AA999" s="18">
        <v>7.4592959999999993</v>
      </c>
      <c r="AB999" s="18">
        <v>13.268939999999999</v>
      </c>
      <c r="AC999" s="18">
        <v>4.0882679999999993</v>
      </c>
      <c r="AD999" s="18">
        <v>21.517199999999999</v>
      </c>
    </row>
    <row r="1000" spans="2:30" x14ac:dyDescent="0.25">
      <c r="B1000" t="s">
        <v>162</v>
      </c>
      <c r="C1000" t="s">
        <v>570</v>
      </c>
      <c r="D1000" t="s">
        <v>674</v>
      </c>
      <c r="E1000" s="35">
        <v>0.9</v>
      </c>
      <c r="F1000" s="35">
        <v>24</v>
      </c>
      <c r="G1000" s="36">
        <v>9.6604999999999996E-2</v>
      </c>
      <c r="H1000" s="18">
        <v>173.88949199999999</v>
      </c>
      <c r="I1000" s="16">
        <v>0</v>
      </c>
      <c r="J1000" s="16"/>
      <c r="K1000" s="16"/>
      <c r="L1000" s="37" t="s">
        <v>107</v>
      </c>
      <c r="M1000" s="37"/>
      <c r="N1000" s="37">
        <v>494</v>
      </c>
      <c r="O1000" s="37"/>
      <c r="P1000" s="37"/>
      <c r="Q1000" s="18">
        <v>1.0626549999999999</v>
      </c>
      <c r="R1000" s="18">
        <v>7.2453749999999992E-3</v>
      </c>
      <c r="S1000" s="18">
        <v>2.028705</v>
      </c>
      <c r="T1000" s="18">
        <v>8.6944499999999998</v>
      </c>
      <c r="U1000" s="18">
        <v>4.3472249999999999</v>
      </c>
      <c r="V1000" s="18">
        <v>55.644480000000001</v>
      </c>
      <c r="W1000" s="18">
        <v>52.166699999999999</v>
      </c>
      <c r="X1000" s="18">
        <v>34.777799999999999</v>
      </c>
      <c r="Y1000" s="18">
        <v>1.5456799999999999</v>
      </c>
      <c r="Z1000" s="18">
        <v>6.8589549999999999</v>
      </c>
      <c r="AA1000" s="18">
        <v>10.04692</v>
      </c>
      <c r="AB1000" s="18">
        <v>17.871925000000001</v>
      </c>
      <c r="AC1000" s="18">
        <v>5.5064849999999996</v>
      </c>
      <c r="AD1000" s="18">
        <v>28.9815</v>
      </c>
    </row>
    <row r="1001" spans="2:30" x14ac:dyDescent="0.25">
      <c r="B1001" t="s">
        <v>675</v>
      </c>
      <c r="C1001" t="s">
        <v>570</v>
      </c>
      <c r="D1001" t="s">
        <v>439</v>
      </c>
      <c r="E1001" s="35">
        <v>1.17</v>
      </c>
      <c r="F1001" s="35">
        <v>93</v>
      </c>
      <c r="G1001" s="36">
        <v>1.4385810000000001</v>
      </c>
      <c r="H1001" s="18">
        <v>3366.2790089999999</v>
      </c>
      <c r="I1001" s="16">
        <v>0</v>
      </c>
      <c r="J1001" s="16"/>
      <c r="K1001" s="16"/>
      <c r="L1001" s="37" t="s">
        <v>107</v>
      </c>
      <c r="M1001" s="37"/>
      <c r="N1001" s="37">
        <v>495</v>
      </c>
      <c r="O1001" s="37"/>
      <c r="P1001" s="37"/>
      <c r="Q1001" s="18">
        <v>15.824391000000002</v>
      </c>
      <c r="R1001" s="18">
        <v>0.10789357500000001</v>
      </c>
      <c r="S1001" s="18">
        <v>30.210201000000001</v>
      </c>
      <c r="T1001" s="18">
        <v>129.47229000000002</v>
      </c>
      <c r="U1001" s="18">
        <v>64.736145000000008</v>
      </c>
      <c r="V1001" s="18">
        <v>828.62265600000001</v>
      </c>
      <c r="W1001" s="18">
        <v>776.83374000000003</v>
      </c>
      <c r="X1001" s="18">
        <v>517.88916000000006</v>
      </c>
      <c r="Y1001" s="18">
        <v>23.017296000000002</v>
      </c>
      <c r="Z1001" s="18">
        <v>102.139251</v>
      </c>
      <c r="AA1001" s="18">
        <v>149.612424</v>
      </c>
      <c r="AB1001" s="18">
        <v>266.13748500000003</v>
      </c>
      <c r="AC1001" s="18">
        <v>81.999117000000012</v>
      </c>
      <c r="AD1001" s="18">
        <v>431.57430000000005</v>
      </c>
    </row>
    <row r="1002" spans="2:30" x14ac:dyDescent="0.25">
      <c r="B1002" t="s">
        <v>158</v>
      </c>
      <c r="C1002" t="s">
        <v>570</v>
      </c>
      <c r="D1002" t="s">
        <v>433</v>
      </c>
      <c r="E1002" s="35">
        <v>0.9</v>
      </c>
      <c r="F1002" s="35">
        <v>18</v>
      </c>
      <c r="G1002" s="36">
        <v>7.1723999999999996E-2</v>
      </c>
      <c r="H1002" s="18">
        <v>129.10368299999999</v>
      </c>
      <c r="I1002" s="16">
        <v>0</v>
      </c>
      <c r="J1002" s="16"/>
      <c r="K1002" s="16"/>
      <c r="L1002" s="37" t="s">
        <v>107</v>
      </c>
      <c r="M1002" s="37"/>
      <c r="N1002" s="37">
        <v>496</v>
      </c>
      <c r="O1002" s="37"/>
      <c r="P1002" s="37"/>
      <c r="Q1002" s="18">
        <v>0.788964</v>
      </c>
      <c r="R1002" s="18">
        <v>5.3792999999999992E-3</v>
      </c>
      <c r="S1002" s="18">
        <v>1.5062039999999999</v>
      </c>
      <c r="T1002" s="18">
        <v>6.4551599999999993</v>
      </c>
      <c r="U1002" s="18">
        <v>3.2275799999999997</v>
      </c>
      <c r="V1002" s="18">
        <v>41.313023999999999</v>
      </c>
      <c r="W1002" s="18">
        <v>38.730959999999996</v>
      </c>
      <c r="X1002" s="18">
        <v>25.820639999999997</v>
      </c>
      <c r="Y1002" s="18">
        <v>1.1475839999999999</v>
      </c>
      <c r="Z1002" s="18">
        <v>5.0924040000000002</v>
      </c>
      <c r="AA1002" s="18">
        <v>7.4592959999999993</v>
      </c>
      <c r="AB1002" s="18">
        <v>13.268939999999999</v>
      </c>
      <c r="AC1002" s="18">
        <v>4.0882679999999993</v>
      </c>
      <c r="AD1002" s="18">
        <v>21.517199999999999</v>
      </c>
    </row>
    <row r="1003" spans="2:30" x14ac:dyDescent="0.25">
      <c r="B1003" t="s">
        <v>162</v>
      </c>
      <c r="C1003" t="s">
        <v>570</v>
      </c>
      <c r="D1003" t="s">
        <v>674</v>
      </c>
      <c r="E1003" s="35">
        <v>0.9</v>
      </c>
      <c r="F1003" s="35">
        <v>24</v>
      </c>
      <c r="G1003" s="36">
        <v>9.6604999999999996E-2</v>
      </c>
      <c r="H1003" s="18">
        <v>173.88949199999999</v>
      </c>
      <c r="I1003" s="16">
        <v>0</v>
      </c>
      <c r="J1003" s="16"/>
      <c r="K1003" s="16"/>
      <c r="L1003" s="37" t="s">
        <v>107</v>
      </c>
      <c r="M1003" s="37"/>
      <c r="N1003" s="37">
        <v>497</v>
      </c>
      <c r="O1003" s="37"/>
      <c r="P1003" s="37"/>
      <c r="Q1003" s="18">
        <v>1.0626549999999999</v>
      </c>
      <c r="R1003" s="18">
        <v>7.2453749999999992E-3</v>
      </c>
      <c r="S1003" s="18">
        <v>2.028705</v>
      </c>
      <c r="T1003" s="18">
        <v>8.6944499999999998</v>
      </c>
      <c r="U1003" s="18">
        <v>4.3472249999999999</v>
      </c>
      <c r="V1003" s="18">
        <v>55.644480000000001</v>
      </c>
      <c r="W1003" s="18">
        <v>52.166699999999999</v>
      </c>
      <c r="X1003" s="18">
        <v>34.777799999999999</v>
      </c>
      <c r="Y1003" s="18">
        <v>1.5456799999999999</v>
      </c>
      <c r="Z1003" s="18">
        <v>6.8589549999999999</v>
      </c>
      <c r="AA1003" s="18">
        <v>10.04692</v>
      </c>
      <c r="AB1003" s="18">
        <v>17.871925000000001</v>
      </c>
      <c r="AC1003" s="18">
        <v>5.5064849999999996</v>
      </c>
      <c r="AD1003" s="18">
        <v>28.9815</v>
      </c>
    </row>
    <row r="1004" spans="2:30" x14ac:dyDescent="0.25">
      <c r="B1004" t="s">
        <v>187</v>
      </c>
      <c r="C1004" t="s">
        <v>570</v>
      </c>
      <c r="D1004" t="s">
        <v>436</v>
      </c>
      <c r="E1004" s="35">
        <v>0.9</v>
      </c>
      <c r="F1004" s="35">
        <v>55</v>
      </c>
      <c r="G1004" s="36">
        <v>1.1347700000000001</v>
      </c>
      <c r="H1004" s="18">
        <v>2042.5853870000001</v>
      </c>
      <c r="I1004" s="16">
        <v>0</v>
      </c>
      <c r="J1004" s="16"/>
      <c r="K1004" s="16"/>
      <c r="L1004" s="37" t="s">
        <v>107</v>
      </c>
      <c r="M1004" s="37"/>
      <c r="N1004" s="37">
        <v>498</v>
      </c>
      <c r="O1004" s="37"/>
      <c r="P1004" s="37"/>
      <c r="Q1004" s="18">
        <v>12.482470000000001</v>
      </c>
      <c r="R1004" s="18">
        <v>8.5107749999999996E-2</v>
      </c>
      <c r="S1004" s="18">
        <v>23.830170000000003</v>
      </c>
      <c r="T1004" s="18">
        <v>102.1293</v>
      </c>
      <c r="U1004" s="18">
        <v>51.06465</v>
      </c>
      <c r="V1004" s="18">
        <v>653.62752</v>
      </c>
      <c r="W1004" s="18">
        <v>612.7758</v>
      </c>
      <c r="X1004" s="18">
        <v>408.5172</v>
      </c>
      <c r="Y1004" s="18">
        <v>18.156320000000001</v>
      </c>
      <c r="Z1004" s="18">
        <v>80.568669999999997</v>
      </c>
      <c r="AA1004" s="18">
        <v>118.01608</v>
      </c>
      <c r="AB1004" s="18">
        <v>209.93245000000002</v>
      </c>
      <c r="AC1004" s="18">
        <v>64.68189000000001</v>
      </c>
      <c r="AD1004" s="18">
        <v>340.43100000000004</v>
      </c>
    </row>
    <row r="1005" spans="2:30" x14ac:dyDescent="0.25">
      <c r="B1005" t="s">
        <v>128</v>
      </c>
      <c r="C1005" t="s">
        <v>570</v>
      </c>
      <c r="D1005" t="s">
        <v>440</v>
      </c>
      <c r="E1005" s="35">
        <v>0.9</v>
      </c>
      <c r="F1005" s="35">
        <v>65</v>
      </c>
      <c r="G1005" s="36">
        <v>1.002456</v>
      </c>
      <c r="H1005" s="18">
        <v>1804.4208679999999</v>
      </c>
      <c r="I1005" s="16">
        <v>0</v>
      </c>
      <c r="J1005" s="16"/>
      <c r="K1005" s="16"/>
      <c r="L1005" s="37" t="s">
        <v>107</v>
      </c>
      <c r="M1005" s="37"/>
      <c r="N1005" s="37">
        <v>499</v>
      </c>
      <c r="O1005" s="37"/>
      <c r="P1005" s="37"/>
      <c r="Q1005" s="18">
        <v>11.027016</v>
      </c>
      <c r="R1005" s="18">
        <v>7.5184199999999993E-2</v>
      </c>
      <c r="S1005" s="18">
        <v>21.051576000000001</v>
      </c>
      <c r="T1005" s="18">
        <v>90.221040000000002</v>
      </c>
      <c r="U1005" s="18">
        <v>45.110520000000001</v>
      </c>
      <c r="V1005" s="18">
        <v>577.41465600000004</v>
      </c>
      <c r="W1005" s="18">
        <v>541.32623999999998</v>
      </c>
      <c r="X1005" s="18">
        <v>360.88416000000001</v>
      </c>
      <c r="Y1005" s="18">
        <v>16.039296</v>
      </c>
      <c r="Z1005" s="18">
        <v>71.174375999999995</v>
      </c>
      <c r="AA1005" s="18">
        <v>104.255424</v>
      </c>
      <c r="AB1005" s="18">
        <v>185.45436000000001</v>
      </c>
      <c r="AC1005" s="18">
        <v>57.139991999999999</v>
      </c>
      <c r="AD1005" s="18">
        <v>300.73680000000002</v>
      </c>
    </row>
    <row r="1006" spans="2:30" x14ac:dyDescent="0.25">
      <c r="B1006" t="s">
        <v>668</v>
      </c>
      <c r="C1006" t="s">
        <v>570</v>
      </c>
      <c r="D1006" t="s">
        <v>401</v>
      </c>
      <c r="E1006" s="35">
        <v>0.9</v>
      </c>
      <c r="F1006" s="35">
        <v>84</v>
      </c>
      <c r="G1006" s="36">
        <v>1.6351359999999999</v>
      </c>
      <c r="H1006" s="18">
        <v>2943.245156</v>
      </c>
      <c r="I1006" s="16">
        <v>0</v>
      </c>
      <c r="J1006" s="16"/>
      <c r="K1006" s="16"/>
      <c r="L1006" s="37" t="s">
        <v>107</v>
      </c>
      <c r="M1006" s="37"/>
      <c r="N1006" s="37">
        <v>500</v>
      </c>
      <c r="O1006" s="37"/>
      <c r="P1006" s="37"/>
      <c r="Q1006" s="18">
        <v>17.986495999999999</v>
      </c>
      <c r="R1006" s="18">
        <v>0.12263519999999999</v>
      </c>
      <c r="S1006" s="18">
        <v>34.337855999999995</v>
      </c>
      <c r="T1006" s="18">
        <v>147.16224</v>
      </c>
      <c r="U1006" s="18">
        <v>73.581119999999999</v>
      </c>
      <c r="V1006" s="18">
        <v>941.83833599999991</v>
      </c>
      <c r="W1006" s="18">
        <v>882.97343999999998</v>
      </c>
      <c r="X1006" s="18">
        <v>588.64895999999999</v>
      </c>
      <c r="Y1006" s="18">
        <v>26.162175999999999</v>
      </c>
      <c r="Z1006" s="18">
        <v>116.094656</v>
      </c>
      <c r="AA1006" s="18">
        <v>170.05414399999998</v>
      </c>
      <c r="AB1006" s="18">
        <v>302.50015999999999</v>
      </c>
      <c r="AC1006" s="18">
        <v>93.20275199999999</v>
      </c>
      <c r="AD1006" s="18">
        <v>490.54079999999999</v>
      </c>
    </row>
    <row r="1007" spans="2:30" x14ac:dyDescent="0.25">
      <c r="B1007" t="s">
        <v>108</v>
      </c>
      <c r="C1007" t="s">
        <v>570</v>
      </c>
      <c r="D1007" t="s">
        <v>441</v>
      </c>
      <c r="E1007" s="35">
        <v>0.9</v>
      </c>
      <c r="F1007" s="35">
        <v>16</v>
      </c>
      <c r="G1007" s="36">
        <v>0.13578200000000001</v>
      </c>
      <c r="H1007" s="18">
        <v>244.406992</v>
      </c>
      <c r="I1007" s="16">
        <v>0</v>
      </c>
      <c r="J1007" s="16"/>
      <c r="K1007" s="16"/>
      <c r="L1007" s="37" t="s">
        <v>107</v>
      </c>
      <c r="M1007" s="37"/>
      <c r="N1007" s="37">
        <v>501</v>
      </c>
      <c r="O1007" s="37"/>
      <c r="P1007" s="37"/>
      <c r="Q1007" s="18">
        <v>1.4936020000000001</v>
      </c>
      <c r="R1007" s="18">
        <v>1.0183650000000001E-2</v>
      </c>
      <c r="S1007" s="18">
        <v>2.8514220000000003</v>
      </c>
      <c r="T1007" s="18">
        <v>12.22038</v>
      </c>
      <c r="U1007" s="18">
        <v>6.1101900000000002</v>
      </c>
      <c r="V1007" s="18">
        <v>78.210432000000011</v>
      </c>
      <c r="W1007" s="18">
        <v>73.322280000000006</v>
      </c>
      <c r="X1007" s="18">
        <v>48.881520000000002</v>
      </c>
      <c r="Y1007" s="18">
        <v>2.1725120000000002</v>
      </c>
      <c r="Z1007" s="18">
        <v>9.6405220000000007</v>
      </c>
      <c r="AA1007" s="18">
        <v>14.121328000000002</v>
      </c>
      <c r="AB1007" s="18">
        <v>25.119670000000003</v>
      </c>
      <c r="AC1007" s="18">
        <v>7.7395740000000011</v>
      </c>
      <c r="AD1007" s="18">
        <v>40.734600000000007</v>
      </c>
    </row>
    <row r="1008" spans="2:30" x14ac:dyDescent="0.25">
      <c r="B1008" t="s">
        <v>162</v>
      </c>
      <c r="C1008" t="s">
        <v>570</v>
      </c>
      <c r="D1008" t="s">
        <v>676</v>
      </c>
      <c r="E1008" s="35">
        <v>0.9</v>
      </c>
      <c r="F1008" s="35">
        <v>24</v>
      </c>
      <c r="G1008" s="36">
        <v>9.9516999999999994E-2</v>
      </c>
      <c r="H1008" s="18">
        <v>179.13011700000001</v>
      </c>
      <c r="I1008" s="16">
        <v>0</v>
      </c>
      <c r="J1008" s="16"/>
      <c r="K1008" s="16"/>
      <c r="L1008" s="37" t="s">
        <v>107</v>
      </c>
      <c r="M1008" s="37"/>
      <c r="N1008" s="37">
        <v>502</v>
      </c>
      <c r="O1008" s="37"/>
      <c r="P1008" s="37"/>
      <c r="Q1008" s="18">
        <v>1.094687</v>
      </c>
      <c r="R1008" s="18">
        <v>7.4637749999999989E-3</v>
      </c>
      <c r="S1008" s="18">
        <v>2.0898569999999999</v>
      </c>
      <c r="T1008" s="18">
        <v>8.956529999999999</v>
      </c>
      <c r="U1008" s="18">
        <v>4.4782649999999995</v>
      </c>
      <c r="V1008" s="18">
        <v>57.321791999999995</v>
      </c>
      <c r="W1008" s="18">
        <v>53.739179999999998</v>
      </c>
      <c r="X1008" s="18">
        <v>35.826119999999996</v>
      </c>
      <c r="Y1008" s="18">
        <v>1.5922719999999999</v>
      </c>
      <c r="Z1008" s="18">
        <v>7.0657069999999997</v>
      </c>
      <c r="AA1008" s="18">
        <v>10.349767999999999</v>
      </c>
      <c r="AB1008" s="18">
        <v>18.410644999999999</v>
      </c>
      <c r="AC1008" s="18">
        <v>5.6724689999999995</v>
      </c>
      <c r="AD1008" s="18">
        <v>29.855099999999997</v>
      </c>
    </row>
    <row r="1009" spans="2:30" x14ac:dyDescent="0.25">
      <c r="B1009" t="s">
        <v>162</v>
      </c>
      <c r="C1009" t="s">
        <v>570</v>
      </c>
      <c r="D1009" t="s">
        <v>676</v>
      </c>
      <c r="E1009" s="35">
        <v>0.9</v>
      </c>
      <c r="F1009" s="35">
        <v>24</v>
      </c>
      <c r="G1009" s="36">
        <v>9.9516999999999994E-2</v>
      </c>
      <c r="H1009" s="18">
        <v>179.13011700000001</v>
      </c>
      <c r="I1009" s="16">
        <v>0</v>
      </c>
      <c r="J1009" s="16"/>
      <c r="K1009" s="16"/>
      <c r="L1009" s="37" t="s">
        <v>107</v>
      </c>
      <c r="M1009" s="37"/>
      <c r="N1009" s="37">
        <v>503</v>
      </c>
      <c r="O1009" s="37"/>
      <c r="P1009" s="37"/>
      <c r="Q1009" s="18">
        <v>1.094687</v>
      </c>
      <c r="R1009" s="18">
        <v>7.4637749999999989E-3</v>
      </c>
      <c r="S1009" s="18">
        <v>2.0898569999999999</v>
      </c>
      <c r="T1009" s="18">
        <v>8.956529999999999</v>
      </c>
      <c r="U1009" s="18">
        <v>4.4782649999999995</v>
      </c>
      <c r="V1009" s="18">
        <v>57.321791999999995</v>
      </c>
      <c r="W1009" s="18">
        <v>53.739179999999998</v>
      </c>
      <c r="X1009" s="18">
        <v>35.826119999999996</v>
      </c>
      <c r="Y1009" s="18">
        <v>1.5922719999999999</v>
      </c>
      <c r="Z1009" s="18">
        <v>7.0657069999999997</v>
      </c>
      <c r="AA1009" s="18">
        <v>10.349767999999999</v>
      </c>
      <c r="AB1009" s="18">
        <v>18.410644999999999</v>
      </c>
      <c r="AC1009" s="18">
        <v>5.6724689999999995</v>
      </c>
      <c r="AD1009" s="18">
        <v>29.855099999999997</v>
      </c>
    </row>
    <row r="1010" spans="2:30" x14ac:dyDescent="0.25">
      <c r="B1010" t="s">
        <v>162</v>
      </c>
      <c r="C1010" t="s">
        <v>570</v>
      </c>
      <c r="D1010" t="s">
        <v>676</v>
      </c>
      <c r="E1010" s="35">
        <v>0.9</v>
      </c>
      <c r="F1010" s="35">
        <v>24</v>
      </c>
      <c r="G1010" s="36">
        <v>9.9516999999999994E-2</v>
      </c>
      <c r="H1010" s="18">
        <v>179.13011700000001</v>
      </c>
      <c r="I1010" s="16">
        <v>0</v>
      </c>
      <c r="J1010" s="16"/>
      <c r="K1010" s="16"/>
      <c r="L1010" s="37" t="s">
        <v>107</v>
      </c>
      <c r="M1010" s="37"/>
      <c r="N1010" s="37">
        <v>504</v>
      </c>
      <c r="O1010" s="37"/>
      <c r="P1010" s="37"/>
      <c r="Q1010" s="18">
        <v>1.094687</v>
      </c>
      <c r="R1010" s="18">
        <v>7.4637749999999989E-3</v>
      </c>
      <c r="S1010" s="18">
        <v>2.0898569999999999</v>
      </c>
      <c r="T1010" s="18">
        <v>8.956529999999999</v>
      </c>
      <c r="U1010" s="18">
        <v>4.4782649999999995</v>
      </c>
      <c r="V1010" s="18">
        <v>57.321791999999995</v>
      </c>
      <c r="W1010" s="18">
        <v>53.739179999999998</v>
      </c>
      <c r="X1010" s="18">
        <v>35.826119999999996</v>
      </c>
      <c r="Y1010" s="18">
        <v>1.5922719999999999</v>
      </c>
      <c r="Z1010" s="18">
        <v>7.0657069999999997</v>
      </c>
      <c r="AA1010" s="18">
        <v>10.349767999999999</v>
      </c>
      <c r="AB1010" s="18">
        <v>18.410644999999999</v>
      </c>
      <c r="AC1010" s="18">
        <v>5.6724689999999995</v>
      </c>
      <c r="AD1010" s="18">
        <v>29.855099999999997</v>
      </c>
    </row>
    <row r="1011" spans="2:30" x14ac:dyDescent="0.25">
      <c r="B1011" t="s">
        <v>158</v>
      </c>
      <c r="C1011" t="s">
        <v>570</v>
      </c>
      <c r="D1011" t="s">
        <v>677</v>
      </c>
      <c r="E1011" s="35">
        <v>0.9</v>
      </c>
      <c r="F1011" s="35">
        <v>18</v>
      </c>
      <c r="G1011" s="36">
        <v>8.4957000000000005E-2</v>
      </c>
      <c r="H1011" s="18">
        <v>152.922832</v>
      </c>
      <c r="I1011" s="16">
        <v>0</v>
      </c>
      <c r="J1011" s="16"/>
      <c r="K1011" s="16"/>
      <c r="L1011" s="37" t="s">
        <v>107</v>
      </c>
      <c r="M1011" s="37"/>
      <c r="N1011" s="37">
        <v>505</v>
      </c>
      <c r="O1011" s="37"/>
      <c r="P1011" s="37"/>
      <c r="Q1011" s="18">
        <v>0.93452700000000011</v>
      </c>
      <c r="R1011" s="18">
        <v>6.3717750000000005E-3</v>
      </c>
      <c r="S1011" s="18">
        <v>1.784097</v>
      </c>
      <c r="T1011" s="18">
        <v>7.6461300000000003</v>
      </c>
      <c r="U1011" s="18">
        <v>3.8230650000000002</v>
      </c>
      <c r="V1011" s="18">
        <v>48.935231999999999</v>
      </c>
      <c r="W1011" s="18">
        <v>45.876780000000004</v>
      </c>
      <c r="X1011" s="18">
        <v>30.584520000000001</v>
      </c>
      <c r="Y1011" s="18">
        <v>1.3593120000000001</v>
      </c>
      <c r="Z1011" s="18">
        <v>6.0319470000000006</v>
      </c>
      <c r="AA1011" s="18">
        <v>8.835528</v>
      </c>
      <c r="AB1011" s="18">
        <v>15.717045000000001</v>
      </c>
      <c r="AC1011" s="18">
        <v>4.842549</v>
      </c>
      <c r="AD1011" s="18">
        <v>25.487100000000002</v>
      </c>
    </row>
    <row r="1012" spans="2:30" x14ac:dyDescent="0.25">
      <c r="B1012" t="s">
        <v>158</v>
      </c>
      <c r="C1012" t="s">
        <v>570</v>
      </c>
      <c r="D1012" t="s">
        <v>677</v>
      </c>
      <c r="E1012" s="35">
        <v>0.9</v>
      </c>
      <c r="F1012" s="35">
        <v>18</v>
      </c>
      <c r="G1012" s="36">
        <v>8.4957000000000005E-2</v>
      </c>
      <c r="H1012" s="18">
        <v>152.922832</v>
      </c>
      <c r="I1012" s="16">
        <v>0</v>
      </c>
      <c r="J1012" s="16"/>
      <c r="K1012" s="16"/>
      <c r="L1012" s="37" t="s">
        <v>107</v>
      </c>
      <c r="M1012" s="37"/>
      <c r="N1012" s="37">
        <v>506</v>
      </c>
      <c r="O1012" s="37"/>
      <c r="P1012" s="37"/>
      <c r="Q1012" s="18">
        <v>0.93452700000000011</v>
      </c>
      <c r="R1012" s="18">
        <v>6.3717750000000005E-3</v>
      </c>
      <c r="S1012" s="18">
        <v>1.784097</v>
      </c>
      <c r="T1012" s="18">
        <v>7.6461300000000003</v>
      </c>
      <c r="U1012" s="18">
        <v>3.8230650000000002</v>
      </c>
      <c r="V1012" s="18">
        <v>48.935231999999999</v>
      </c>
      <c r="W1012" s="18">
        <v>45.876780000000004</v>
      </c>
      <c r="X1012" s="18">
        <v>30.584520000000001</v>
      </c>
      <c r="Y1012" s="18">
        <v>1.3593120000000001</v>
      </c>
      <c r="Z1012" s="18">
        <v>6.0319470000000006</v>
      </c>
      <c r="AA1012" s="18">
        <v>8.835528</v>
      </c>
      <c r="AB1012" s="18">
        <v>15.717045000000001</v>
      </c>
      <c r="AC1012" s="18">
        <v>4.842549</v>
      </c>
      <c r="AD1012" s="18">
        <v>25.487100000000002</v>
      </c>
    </row>
    <row r="1013" spans="2:30" x14ac:dyDescent="0.25">
      <c r="B1013" t="s">
        <v>158</v>
      </c>
      <c r="C1013" t="s">
        <v>570</v>
      </c>
      <c r="D1013" t="s">
        <v>677</v>
      </c>
      <c r="E1013" s="35">
        <v>0.9</v>
      </c>
      <c r="F1013" s="35">
        <v>18</v>
      </c>
      <c r="G1013" s="36">
        <v>8.4957000000000005E-2</v>
      </c>
      <c r="H1013" s="18">
        <v>152.922832</v>
      </c>
      <c r="I1013" s="16">
        <v>0</v>
      </c>
      <c r="J1013" s="16"/>
      <c r="K1013" s="16"/>
      <c r="L1013" s="37" t="s">
        <v>107</v>
      </c>
      <c r="M1013" s="37"/>
      <c r="N1013" s="37">
        <v>507</v>
      </c>
      <c r="O1013" s="37"/>
      <c r="P1013" s="37"/>
      <c r="Q1013" s="18">
        <v>0.93452700000000011</v>
      </c>
      <c r="R1013" s="18">
        <v>6.3717750000000005E-3</v>
      </c>
      <c r="S1013" s="18">
        <v>1.784097</v>
      </c>
      <c r="T1013" s="18">
        <v>7.6461300000000003</v>
      </c>
      <c r="U1013" s="18">
        <v>3.8230650000000002</v>
      </c>
      <c r="V1013" s="18">
        <v>48.935231999999999</v>
      </c>
      <c r="W1013" s="18">
        <v>45.876780000000004</v>
      </c>
      <c r="X1013" s="18">
        <v>30.584520000000001</v>
      </c>
      <c r="Y1013" s="18">
        <v>1.3593120000000001</v>
      </c>
      <c r="Z1013" s="18">
        <v>6.0319470000000006</v>
      </c>
      <c r="AA1013" s="18">
        <v>8.835528</v>
      </c>
      <c r="AB1013" s="18">
        <v>15.717045000000001</v>
      </c>
      <c r="AC1013" s="18">
        <v>4.842549</v>
      </c>
      <c r="AD1013" s="18">
        <v>25.487100000000002</v>
      </c>
    </row>
    <row r="1014" spans="2:30" x14ac:dyDescent="0.25">
      <c r="B1014" t="s">
        <v>133</v>
      </c>
      <c r="C1014" t="s">
        <v>570</v>
      </c>
      <c r="D1014" t="s">
        <v>436</v>
      </c>
      <c r="E1014" s="35">
        <v>0.9</v>
      </c>
      <c r="F1014" s="35">
        <v>50</v>
      </c>
      <c r="G1014" s="36">
        <v>1.031609</v>
      </c>
      <c r="H1014" s="18">
        <v>1856.895806</v>
      </c>
      <c r="I1014" s="16">
        <v>0</v>
      </c>
      <c r="J1014" s="16"/>
      <c r="K1014" s="16"/>
      <c r="L1014" s="37" t="s">
        <v>107</v>
      </c>
      <c r="M1014" s="37"/>
      <c r="N1014" s="37">
        <v>508</v>
      </c>
      <c r="O1014" s="37"/>
      <c r="P1014" s="37"/>
      <c r="Q1014" s="18">
        <v>11.347699</v>
      </c>
      <c r="R1014" s="18">
        <v>7.7370675E-2</v>
      </c>
      <c r="S1014" s="18">
        <v>21.663789000000001</v>
      </c>
      <c r="T1014" s="18">
        <v>92.844809999999995</v>
      </c>
      <c r="U1014" s="18">
        <v>46.422404999999998</v>
      </c>
      <c r="V1014" s="18">
        <v>594.20678399999997</v>
      </c>
      <c r="W1014" s="18">
        <v>557.06885999999997</v>
      </c>
      <c r="X1014" s="18">
        <v>371.37923999999998</v>
      </c>
      <c r="Y1014" s="18">
        <v>16.505744</v>
      </c>
      <c r="Z1014" s="18">
        <v>73.244238999999993</v>
      </c>
      <c r="AA1014" s="18">
        <v>107.287336</v>
      </c>
      <c r="AB1014" s="18">
        <v>190.84766500000001</v>
      </c>
      <c r="AC1014" s="18">
        <v>58.801712999999999</v>
      </c>
      <c r="AD1014" s="18">
        <v>309.48270000000002</v>
      </c>
    </row>
    <row r="1015" spans="2:30" x14ac:dyDescent="0.25">
      <c r="B1015" t="s">
        <v>668</v>
      </c>
      <c r="C1015" t="s">
        <v>570</v>
      </c>
      <c r="D1015" t="s">
        <v>368</v>
      </c>
      <c r="E1015" s="35">
        <v>0.9</v>
      </c>
      <c r="F1015" s="35">
        <v>84</v>
      </c>
      <c r="G1015" s="36">
        <v>1.6698550000000001</v>
      </c>
      <c r="H1015" s="18">
        <v>3005.738613</v>
      </c>
      <c r="I1015" s="16">
        <v>0</v>
      </c>
      <c r="J1015" s="16"/>
      <c r="K1015" s="16"/>
      <c r="L1015" s="37" t="s">
        <v>107</v>
      </c>
      <c r="M1015" s="37"/>
      <c r="N1015" s="37">
        <v>509</v>
      </c>
      <c r="O1015" s="37"/>
      <c r="P1015" s="37"/>
      <c r="Q1015" s="18">
        <v>18.368405000000003</v>
      </c>
      <c r="R1015" s="18">
        <v>0.12523912500000001</v>
      </c>
      <c r="S1015" s="18">
        <v>35.066955</v>
      </c>
      <c r="T1015" s="18">
        <v>150.28695000000002</v>
      </c>
      <c r="U1015" s="18">
        <v>75.143475000000009</v>
      </c>
      <c r="V1015" s="18">
        <v>961.83648000000005</v>
      </c>
      <c r="W1015" s="18">
        <v>901.72170000000006</v>
      </c>
      <c r="X1015" s="18">
        <v>601.14780000000007</v>
      </c>
      <c r="Y1015" s="18">
        <v>26.717680000000001</v>
      </c>
      <c r="Z1015" s="18">
        <v>118.55970500000001</v>
      </c>
      <c r="AA1015" s="18">
        <v>173.66492</v>
      </c>
      <c r="AB1015" s="18">
        <v>308.92317500000001</v>
      </c>
      <c r="AC1015" s="18">
        <v>95.181735000000003</v>
      </c>
      <c r="AD1015" s="18">
        <v>500.95650000000001</v>
      </c>
    </row>
    <row r="1016" spans="2:30" x14ac:dyDescent="0.25">
      <c r="B1016" t="s">
        <v>108</v>
      </c>
      <c r="C1016" t="s">
        <v>570</v>
      </c>
      <c r="D1016" t="s">
        <v>678</v>
      </c>
      <c r="E1016" s="35">
        <v>0.9</v>
      </c>
      <c r="F1016" s="35">
        <v>16</v>
      </c>
      <c r="G1016" s="36">
        <v>0.149648</v>
      </c>
      <c r="H1016" s="18">
        <v>269.36597699999999</v>
      </c>
      <c r="I1016" s="16">
        <v>0</v>
      </c>
      <c r="J1016" s="16"/>
      <c r="K1016" s="16"/>
      <c r="L1016" s="37" t="s">
        <v>107</v>
      </c>
      <c r="M1016" s="37"/>
      <c r="N1016" s="37">
        <v>510</v>
      </c>
      <c r="O1016" s="37"/>
      <c r="P1016" s="37"/>
      <c r="Q1016" s="18">
        <v>1.646128</v>
      </c>
      <c r="R1016" s="18">
        <v>1.12236E-2</v>
      </c>
      <c r="S1016" s="18">
        <v>3.1426080000000001</v>
      </c>
      <c r="T1016" s="18">
        <v>13.46832</v>
      </c>
      <c r="U1016" s="18">
        <v>6.7341600000000001</v>
      </c>
      <c r="V1016" s="18">
        <v>86.197248000000002</v>
      </c>
      <c r="W1016" s="18">
        <v>80.809920000000005</v>
      </c>
      <c r="X1016" s="18">
        <v>53.873280000000001</v>
      </c>
      <c r="Y1016" s="18">
        <v>2.3943680000000001</v>
      </c>
      <c r="Z1016" s="18">
        <v>10.625008000000001</v>
      </c>
      <c r="AA1016" s="18">
        <v>15.563392</v>
      </c>
      <c r="AB1016" s="18">
        <v>27.68488</v>
      </c>
      <c r="AC1016" s="18">
        <v>8.5299359999999993</v>
      </c>
      <c r="AD1016" s="18">
        <v>44.894400000000005</v>
      </c>
    </row>
    <row r="1017" spans="2:30" x14ac:dyDescent="0.25">
      <c r="B1017" t="s">
        <v>133</v>
      </c>
      <c r="C1017" t="s">
        <v>570</v>
      </c>
      <c r="D1017" t="s">
        <v>434</v>
      </c>
      <c r="E1017" s="35">
        <v>0.9</v>
      </c>
      <c r="F1017" s="35">
        <v>50</v>
      </c>
      <c r="G1017" s="36">
        <v>1.0107729999999999</v>
      </c>
      <c r="H1017" s="18">
        <v>1819.391376</v>
      </c>
      <c r="I1017" s="16">
        <v>0</v>
      </c>
      <c r="J1017" s="16"/>
      <c r="K1017" s="16"/>
      <c r="L1017" s="37" t="s">
        <v>107</v>
      </c>
      <c r="M1017" s="37"/>
      <c r="N1017" s="37">
        <v>511</v>
      </c>
      <c r="O1017" s="37"/>
      <c r="P1017" s="37"/>
      <c r="Q1017" s="18">
        <v>11.118502999999999</v>
      </c>
      <c r="R1017" s="18">
        <v>7.5807974999999986E-2</v>
      </c>
      <c r="S1017" s="18">
        <v>21.226232999999997</v>
      </c>
      <c r="T1017" s="18">
        <v>90.96956999999999</v>
      </c>
      <c r="U1017" s="18">
        <v>45.484784999999995</v>
      </c>
      <c r="V1017" s="18">
        <v>582.20524799999998</v>
      </c>
      <c r="W1017" s="18">
        <v>545.81741999999997</v>
      </c>
      <c r="X1017" s="18">
        <v>363.87827999999996</v>
      </c>
      <c r="Y1017" s="18">
        <v>16.172367999999999</v>
      </c>
      <c r="Z1017" s="18">
        <v>71.764882999999998</v>
      </c>
      <c r="AA1017" s="18">
        <v>105.120392</v>
      </c>
      <c r="AB1017" s="18">
        <v>186.99300499999998</v>
      </c>
      <c r="AC1017" s="18">
        <v>57.614060999999992</v>
      </c>
      <c r="AD1017" s="18">
        <v>303.2319</v>
      </c>
    </row>
    <row r="1018" spans="2:30" x14ac:dyDescent="0.25">
      <c r="B1018" t="s">
        <v>309</v>
      </c>
      <c r="C1018" t="s">
        <v>570</v>
      </c>
      <c r="D1018" t="s">
        <v>443</v>
      </c>
      <c r="E1018" s="35">
        <v>0.9</v>
      </c>
      <c r="F1018" s="35">
        <v>55</v>
      </c>
      <c r="G1018" s="36">
        <v>0.75457099999999999</v>
      </c>
      <c r="H1018" s="18">
        <v>1358.227954</v>
      </c>
      <c r="I1018" s="16">
        <v>0</v>
      </c>
      <c r="J1018" s="16"/>
      <c r="K1018" s="16"/>
      <c r="L1018" s="37" t="s">
        <v>107</v>
      </c>
      <c r="M1018" s="37"/>
      <c r="N1018" s="37">
        <v>512</v>
      </c>
      <c r="O1018" s="37"/>
      <c r="P1018" s="37"/>
      <c r="Q1018" s="18">
        <v>8.300281</v>
      </c>
      <c r="R1018" s="18">
        <v>5.6592824999999999E-2</v>
      </c>
      <c r="S1018" s="18">
        <v>15.845991</v>
      </c>
      <c r="T1018" s="18">
        <v>67.911389999999997</v>
      </c>
      <c r="U1018" s="18">
        <v>33.955694999999999</v>
      </c>
      <c r="V1018" s="18">
        <v>434.63289600000002</v>
      </c>
      <c r="W1018" s="18">
        <v>407.46834000000001</v>
      </c>
      <c r="X1018" s="18">
        <v>271.64555999999999</v>
      </c>
      <c r="Y1018" s="18">
        <v>12.073136</v>
      </c>
      <c r="Z1018" s="18">
        <v>53.574540999999996</v>
      </c>
      <c r="AA1018" s="18">
        <v>78.475384000000005</v>
      </c>
      <c r="AB1018" s="18">
        <v>139.59563499999999</v>
      </c>
      <c r="AC1018" s="18">
        <v>43.010547000000003</v>
      </c>
      <c r="AD1018" s="18">
        <v>226.37129999999999</v>
      </c>
    </row>
    <row r="1019" spans="2:30" x14ac:dyDescent="0.25">
      <c r="B1019" t="s">
        <v>141</v>
      </c>
      <c r="C1019" t="s">
        <v>570</v>
      </c>
      <c r="D1019" t="s">
        <v>443</v>
      </c>
      <c r="E1019" s="35">
        <v>0.9</v>
      </c>
      <c r="F1019" s="35">
        <v>46</v>
      </c>
      <c r="G1019" s="36">
        <v>0.63109599999999999</v>
      </c>
      <c r="H1019" s="18">
        <v>1135.972471</v>
      </c>
      <c r="I1019" s="16">
        <v>0</v>
      </c>
      <c r="J1019" s="16"/>
      <c r="K1019" s="16"/>
      <c r="L1019" s="37" t="s">
        <v>107</v>
      </c>
      <c r="M1019" s="37"/>
      <c r="N1019" s="37">
        <v>513</v>
      </c>
      <c r="O1019" s="37"/>
      <c r="P1019" s="37"/>
      <c r="Q1019" s="18">
        <v>6.942056</v>
      </c>
      <c r="R1019" s="18">
        <v>4.7332199999999998E-2</v>
      </c>
      <c r="S1019" s="18">
        <v>13.253016000000001</v>
      </c>
      <c r="T1019" s="18">
        <v>56.798639999999999</v>
      </c>
      <c r="U1019" s="18">
        <v>28.399319999999999</v>
      </c>
      <c r="V1019" s="18">
        <v>363.51129600000002</v>
      </c>
      <c r="W1019" s="18">
        <v>340.79183999999998</v>
      </c>
      <c r="X1019" s="18">
        <v>227.19456</v>
      </c>
      <c r="Y1019" s="18">
        <v>10.097536</v>
      </c>
      <c r="Z1019" s="18">
        <v>44.807816000000003</v>
      </c>
      <c r="AA1019" s="18">
        <v>65.633983999999998</v>
      </c>
      <c r="AB1019" s="18">
        <v>116.75275999999999</v>
      </c>
      <c r="AC1019" s="18">
        <v>35.972471999999996</v>
      </c>
      <c r="AD1019" s="18">
        <v>189.3288</v>
      </c>
    </row>
    <row r="1020" spans="2:30" x14ac:dyDescent="0.25">
      <c r="B1020" t="s">
        <v>269</v>
      </c>
      <c r="C1020" t="s">
        <v>570</v>
      </c>
      <c r="D1020" t="s">
        <v>679</v>
      </c>
      <c r="E1020" s="35">
        <v>0.9</v>
      </c>
      <c r="F1020" s="35">
        <v>6.6</v>
      </c>
      <c r="G1020" s="36">
        <v>0.138873</v>
      </c>
      <c r="H1020" s="18">
        <v>249.97095100000001</v>
      </c>
      <c r="I1020" s="16"/>
      <c r="J1020" s="16"/>
      <c r="K1020" s="16"/>
      <c r="L1020" s="37" t="s">
        <v>107</v>
      </c>
      <c r="M1020" s="37"/>
      <c r="N1020" s="37">
        <v>514</v>
      </c>
      <c r="O1020" s="37"/>
      <c r="P1020" s="37"/>
      <c r="Q1020" s="18">
        <v>1.527603</v>
      </c>
      <c r="R1020" s="18">
        <v>1.0415474999999999E-2</v>
      </c>
      <c r="S1020" s="18">
        <v>2.9163329999999998</v>
      </c>
      <c r="T1020" s="18">
        <v>12.498569999999999</v>
      </c>
      <c r="U1020" s="18">
        <v>6.2492849999999995</v>
      </c>
      <c r="V1020" s="18">
        <v>79.990848</v>
      </c>
      <c r="W1020" s="18">
        <v>74.991420000000005</v>
      </c>
      <c r="X1020" s="18">
        <v>49.994279999999996</v>
      </c>
      <c r="Y1020" s="18">
        <v>2.2219679999999999</v>
      </c>
      <c r="Z1020" s="18">
        <v>9.8599829999999997</v>
      </c>
      <c r="AA1020" s="18">
        <v>14.442791999999999</v>
      </c>
      <c r="AB1020" s="18">
        <v>25.691504999999999</v>
      </c>
      <c r="AC1020" s="18">
        <v>7.9157609999999998</v>
      </c>
      <c r="AD1020" s="18">
        <v>41.661899999999996</v>
      </c>
    </row>
    <row r="1021" spans="2:30" x14ac:dyDescent="0.25">
      <c r="B1021" t="s">
        <v>133</v>
      </c>
      <c r="C1021" t="s">
        <v>570</v>
      </c>
      <c r="D1021" t="s">
        <v>368</v>
      </c>
      <c r="E1021" s="35">
        <v>0.9</v>
      </c>
      <c r="F1021" s="35">
        <v>50</v>
      </c>
      <c r="G1021" s="36">
        <v>0.99396099999999998</v>
      </c>
      <c r="H1021" s="18">
        <v>1789.1301269999999</v>
      </c>
      <c r="I1021" s="16">
        <v>0</v>
      </c>
      <c r="J1021" s="16"/>
      <c r="K1021" s="16"/>
      <c r="L1021" s="37" t="s">
        <v>107</v>
      </c>
      <c r="M1021" s="37"/>
      <c r="N1021" s="37">
        <v>515</v>
      </c>
      <c r="O1021" s="37"/>
      <c r="P1021" s="37"/>
      <c r="Q1021" s="18">
        <v>10.933571000000001</v>
      </c>
      <c r="R1021" s="18">
        <v>7.454707499999999E-2</v>
      </c>
      <c r="S1021" s="18">
        <v>20.873180999999999</v>
      </c>
      <c r="T1021" s="18">
        <v>89.456490000000002</v>
      </c>
      <c r="U1021" s="18">
        <v>44.728245000000001</v>
      </c>
      <c r="V1021" s="18">
        <v>572.52153599999997</v>
      </c>
      <c r="W1021" s="18">
        <v>536.73893999999996</v>
      </c>
      <c r="X1021" s="18">
        <v>357.82596000000001</v>
      </c>
      <c r="Y1021" s="18">
        <v>15.903376</v>
      </c>
      <c r="Z1021" s="18">
        <v>70.571230999999997</v>
      </c>
      <c r="AA1021" s="18">
        <v>103.371944</v>
      </c>
      <c r="AB1021" s="18">
        <v>183.88278499999998</v>
      </c>
      <c r="AC1021" s="18">
        <v>56.655777</v>
      </c>
      <c r="AD1021" s="18">
        <v>298.18829999999997</v>
      </c>
    </row>
    <row r="1022" spans="2:30" x14ac:dyDescent="0.25">
      <c r="B1022" t="s">
        <v>108</v>
      </c>
      <c r="C1022" t="s">
        <v>570</v>
      </c>
      <c r="D1022" t="s">
        <v>444</v>
      </c>
      <c r="E1022" s="35">
        <v>0.9</v>
      </c>
      <c r="F1022" s="35">
        <v>16</v>
      </c>
      <c r="G1022" s="36">
        <v>0.16010099999999999</v>
      </c>
      <c r="H1022" s="18">
        <v>288.18121100000002</v>
      </c>
      <c r="I1022" s="16">
        <v>0</v>
      </c>
      <c r="J1022" s="16"/>
      <c r="K1022" s="16"/>
      <c r="L1022" s="37" t="s">
        <v>107</v>
      </c>
      <c r="M1022" s="37"/>
      <c r="N1022" s="37">
        <v>516</v>
      </c>
      <c r="O1022" s="37"/>
      <c r="P1022" s="37"/>
      <c r="Q1022" s="18">
        <v>1.7611109999999999</v>
      </c>
      <c r="R1022" s="18">
        <v>1.2007574999999999E-2</v>
      </c>
      <c r="S1022" s="18">
        <v>3.3621209999999997</v>
      </c>
      <c r="T1022" s="18">
        <v>14.409089999999999</v>
      </c>
      <c r="U1022" s="18">
        <v>7.2045449999999995</v>
      </c>
      <c r="V1022" s="18">
        <v>92.218176</v>
      </c>
      <c r="W1022" s="18">
        <v>86.454539999999994</v>
      </c>
      <c r="X1022" s="18">
        <v>57.636359999999996</v>
      </c>
      <c r="Y1022" s="18">
        <v>2.5616159999999999</v>
      </c>
      <c r="Z1022" s="18">
        <v>11.367170999999999</v>
      </c>
      <c r="AA1022" s="18">
        <v>16.650503999999998</v>
      </c>
      <c r="AB1022" s="18">
        <v>29.618684999999999</v>
      </c>
      <c r="AC1022" s="18">
        <v>9.1257570000000001</v>
      </c>
      <c r="AD1022" s="18">
        <v>48.030299999999997</v>
      </c>
    </row>
    <row r="1023" spans="2:30" x14ac:dyDescent="0.25">
      <c r="B1023" t="s">
        <v>133</v>
      </c>
      <c r="C1023" t="s">
        <v>570</v>
      </c>
      <c r="D1023" t="s">
        <v>436</v>
      </c>
      <c r="E1023" s="35">
        <v>0.9</v>
      </c>
      <c r="F1023" s="35">
        <v>50</v>
      </c>
      <c r="G1023" s="36">
        <v>1.031609</v>
      </c>
      <c r="H1023" s="18">
        <v>1856.895806</v>
      </c>
      <c r="I1023" s="16">
        <v>0</v>
      </c>
      <c r="J1023" s="16"/>
      <c r="K1023" s="16"/>
      <c r="L1023" s="37" t="s">
        <v>107</v>
      </c>
      <c r="M1023" s="37"/>
      <c r="N1023" s="37">
        <v>517</v>
      </c>
      <c r="O1023" s="37"/>
      <c r="P1023" s="37"/>
      <c r="Q1023" s="18">
        <v>11.347699</v>
      </c>
      <c r="R1023" s="18">
        <v>7.7370675E-2</v>
      </c>
      <c r="S1023" s="18">
        <v>21.663789000000001</v>
      </c>
      <c r="T1023" s="18">
        <v>92.844809999999995</v>
      </c>
      <c r="U1023" s="18">
        <v>46.422404999999998</v>
      </c>
      <c r="V1023" s="18">
        <v>594.20678399999997</v>
      </c>
      <c r="W1023" s="18">
        <v>557.06885999999997</v>
      </c>
      <c r="X1023" s="18">
        <v>371.37923999999998</v>
      </c>
      <c r="Y1023" s="18">
        <v>16.505744</v>
      </c>
      <c r="Z1023" s="18">
        <v>73.244238999999993</v>
      </c>
      <c r="AA1023" s="18">
        <v>107.287336</v>
      </c>
      <c r="AB1023" s="18">
        <v>190.84766500000001</v>
      </c>
      <c r="AC1023" s="18">
        <v>58.801712999999999</v>
      </c>
      <c r="AD1023" s="18">
        <v>309.48270000000002</v>
      </c>
    </row>
    <row r="1024" spans="2:30" x14ac:dyDescent="0.25">
      <c r="B1024" t="s">
        <v>116</v>
      </c>
      <c r="C1024" t="s">
        <v>570</v>
      </c>
      <c r="D1024" t="s">
        <v>445</v>
      </c>
      <c r="E1024" s="35">
        <v>0.9</v>
      </c>
      <c r="F1024" s="35">
        <v>50</v>
      </c>
      <c r="G1024" s="36">
        <v>0.64384600000000003</v>
      </c>
      <c r="H1024" s="18">
        <v>1158.9232959999999</v>
      </c>
      <c r="I1024" s="16">
        <v>0</v>
      </c>
      <c r="J1024" s="16"/>
      <c r="K1024" s="16"/>
      <c r="L1024" s="37" t="s">
        <v>107</v>
      </c>
      <c r="M1024" s="37"/>
      <c r="N1024" s="37">
        <v>518</v>
      </c>
      <c r="O1024" s="37"/>
      <c r="P1024" s="37"/>
      <c r="Q1024" s="18">
        <v>7.082306</v>
      </c>
      <c r="R1024" s="18">
        <v>4.8288450000000004E-2</v>
      </c>
      <c r="S1024" s="18">
        <v>13.520766</v>
      </c>
      <c r="T1024" s="18">
        <v>57.94614</v>
      </c>
      <c r="U1024" s="18">
        <v>28.97307</v>
      </c>
      <c r="V1024" s="18">
        <v>370.85529600000001</v>
      </c>
      <c r="W1024" s="18">
        <v>347.67684000000003</v>
      </c>
      <c r="X1024" s="18">
        <v>231.78456</v>
      </c>
      <c r="Y1024" s="18">
        <v>10.301536</v>
      </c>
      <c r="Z1024" s="18">
        <v>45.713066000000005</v>
      </c>
      <c r="AA1024" s="18">
        <v>66.959984000000006</v>
      </c>
      <c r="AB1024" s="18">
        <v>119.11151000000001</v>
      </c>
      <c r="AC1024" s="18">
        <v>36.699221999999999</v>
      </c>
      <c r="AD1024" s="18">
        <v>193.15380000000002</v>
      </c>
    </row>
    <row r="1025" spans="2:30" x14ac:dyDescent="0.25">
      <c r="B1025" t="s">
        <v>133</v>
      </c>
      <c r="C1025" t="s">
        <v>570</v>
      </c>
      <c r="D1025" t="s">
        <v>401</v>
      </c>
      <c r="E1025" s="35">
        <v>0.9</v>
      </c>
      <c r="F1025" s="35">
        <v>50</v>
      </c>
      <c r="G1025" s="36">
        <v>0.97329500000000002</v>
      </c>
      <c r="H1025" s="18">
        <v>1751.9316409999999</v>
      </c>
      <c r="I1025" s="16">
        <v>0</v>
      </c>
      <c r="J1025" s="16"/>
      <c r="K1025" s="16"/>
      <c r="L1025" s="37" t="s">
        <v>107</v>
      </c>
      <c r="M1025" s="37"/>
      <c r="N1025" s="37">
        <v>519</v>
      </c>
      <c r="O1025" s="37"/>
      <c r="P1025" s="37"/>
      <c r="Q1025" s="18">
        <v>10.706245000000001</v>
      </c>
      <c r="R1025" s="18">
        <v>7.2997124999999996E-2</v>
      </c>
      <c r="S1025" s="18">
        <v>20.439195000000002</v>
      </c>
      <c r="T1025" s="18">
        <v>87.596550000000008</v>
      </c>
      <c r="U1025" s="18">
        <v>43.798275000000004</v>
      </c>
      <c r="V1025" s="18">
        <v>560.61792000000003</v>
      </c>
      <c r="W1025" s="18">
        <v>525.57929999999999</v>
      </c>
      <c r="X1025" s="18">
        <v>350.38620000000003</v>
      </c>
      <c r="Y1025" s="18">
        <v>15.57272</v>
      </c>
      <c r="Z1025" s="18">
        <v>69.103944999999996</v>
      </c>
      <c r="AA1025" s="18">
        <v>101.22268</v>
      </c>
      <c r="AB1025" s="18">
        <v>180.059575</v>
      </c>
      <c r="AC1025" s="18">
        <v>55.477815</v>
      </c>
      <c r="AD1025" s="18">
        <v>291.98849999999999</v>
      </c>
    </row>
    <row r="1026" spans="2:30" x14ac:dyDescent="0.25">
      <c r="B1026" t="s">
        <v>119</v>
      </c>
      <c r="C1026" t="s">
        <v>570</v>
      </c>
      <c r="D1026" t="s">
        <v>446</v>
      </c>
      <c r="E1026" s="35">
        <v>0.9</v>
      </c>
      <c r="F1026" s="35">
        <v>19</v>
      </c>
      <c r="G1026" s="36">
        <v>0.198606</v>
      </c>
      <c r="H1026" s="18">
        <v>357.490566</v>
      </c>
      <c r="I1026" s="16">
        <v>0</v>
      </c>
      <c r="J1026" s="16"/>
      <c r="K1026" s="16"/>
      <c r="L1026" s="37" t="s">
        <v>107</v>
      </c>
      <c r="M1026" s="37"/>
      <c r="N1026" s="37">
        <v>520</v>
      </c>
      <c r="O1026" s="37"/>
      <c r="P1026" s="37"/>
      <c r="Q1026" s="18">
        <v>2.184666</v>
      </c>
      <c r="R1026" s="18">
        <v>1.4895449999999999E-2</v>
      </c>
      <c r="S1026" s="18">
        <v>4.1707260000000002</v>
      </c>
      <c r="T1026" s="18">
        <v>17.87454</v>
      </c>
      <c r="U1026" s="18">
        <v>8.9372699999999998</v>
      </c>
      <c r="V1026" s="18">
        <v>114.39705600000001</v>
      </c>
      <c r="W1026" s="18">
        <v>107.24724000000001</v>
      </c>
      <c r="X1026" s="18">
        <v>71.498159999999999</v>
      </c>
      <c r="Y1026" s="18">
        <v>3.1776960000000001</v>
      </c>
      <c r="Z1026" s="18">
        <v>14.101026000000001</v>
      </c>
      <c r="AA1026" s="18">
        <v>20.655024000000001</v>
      </c>
      <c r="AB1026" s="18">
        <v>36.742110000000004</v>
      </c>
      <c r="AC1026" s="18">
        <v>11.320542</v>
      </c>
      <c r="AD1026" s="18">
        <v>59.581800000000001</v>
      </c>
    </row>
    <row r="1027" spans="2:30" x14ac:dyDescent="0.25">
      <c r="B1027" t="s">
        <v>141</v>
      </c>
      <c r="C1027" t="s">
        <v>570</v>
      </c>
      <c r="D1027" t="s">
        <v>447</v>
      </c>
      <c r="E1027" s="35">
        <v>0.9</v>
      </c>
      <c r="F1027" s="35">
        <v>46</v>
      </c>
      <c r="G1027" s="36">
        <v>0.58891300000000002</v>
      </c>
      <c r="H1027" s="18">
        <v>1060.043177</v>
      </c>
      <c r="I1027" s="16">
        <v>0</v>
      </c>
      <c r="J1027" s="16"/>
      <c r="K1027" s="16"/>
      <c r="L1027" s="37" t="s">
        <v>107</v>
      </c>
      <c r="M1027" s="37"/>
      <c r="N1027" s="37">
        <v>521</v>
      </c>
      <c r="O1027" s="37"/>
      <c r="P1027" s="37"/>
      <c r="Q1027" s="18">
        <v>6.4780430000000004</v>
      </c>
      <c r="R1027" s="18">
        <v>4.4168474999999999E-2</v>
      </c>
      <c r="S1027" s="18">
        <v>12.367173000000001</v>
      </c>
      <c r="T1027" s="18">
        <v>53.00217</v>
      </c>
      <c r="U1027" s="18">
        <v>26.501085</v>
      </c>
      <c r="V1027" s="18">
        <v>339.213888</v>
      </c>
      <c r="W1027" s="18">
        <v>318.01301999999998</v>
      </c>
      <c r="X1027" s="18">
        <v>212.00868</v>
      </c>
      <c r="Y1027" s="18">
        <v>9.4226080000000003</v>
      </c>
      <c r="Z1027" s="18">
        <v>41.812823000000002</v>
      </c>
      <c r="AA1027" s="18">
        <v>61.246952</v>
      </c>
      <c r="AB1027" s="18">
        <v>108.94890500000001</v>
      </c>
      <c r="AC1027" s="18">
        <v>33.568041000000001</v>
      </c>
      <c r="AD1027" s="18">
        <v>176.6739</v>
      </c>
    </row>
    <row r="1028" spans="2:30" x14ac:dyDescent="0.25">
      <c r="B1028" t="s">
        <v>187</v>
      </c>
      <c r="C1028" t="s">
        <v>570</v>
      </c>
      <c r="D1028" t="s">
        <v>436</v>
      </c>
      <c r="E1028" s="35">
        <v>0.9</v>
      </c>
      <c r="F1028" s="35">
        <v>55</v>
      </c>
      <c r="G1028" s="36">
        <v>1.1347700000000001</v>
      </c>
      <c r="H1028" s="18">
        <v>2042.5853870000001</v>
      </c>
      <c r="I1028" s="16">
        <v>0</v>
      </c>
      <c r="J1028" s="16"/>
      <c r="K1028" s="16"/>
      <c r="L1028" s="37" t="s">
        <v>107</v>
      </c>
      <c r="M1028" s="37"/>
      <c r="N1028" s="37">
        <v>522</v>
      </c>
      <c r="O1028" s="37"/>
      <c r="P1028" s="37"/>
      <c r="Q1028" s="18">
        <v>12.482470000000001</v>
      </c>
      <c r="R1028" s="18">
        <v>8.5107749999999996E-2</v>
      </c>
      <c r="S1028" s="18">
        <v>23.830170000000003</v>
      </c>
      <c r="T1028" s="18">
        <v>102.1293</v>
      </c>
      <c r="U1028" s="18">
        <v>51.06465</v>
      </c>
      <c r="V1028" s="18">
        <v>653.62752</v>
      </c>
      <c r="W1028" s="18">
        <v>612.7758</v>
      </c>
      <c r="X1028" s="18">
        <v>408.5172</v>
      </c>
      <c r="Y1028" s="18">
        <v>18.156320000000001</v>
      </c>
      <c r="Z1028" s="18">
        <v>80.568669999999997</v>
      </c>
      <c r="AA1028" s="18">
        <v>118.01608</v>
      </c>
      <c r="AB1028" s="18">
        <v>209.93245000000002</v>
      </c>
      <c r="AC1028" s="18">
        <v>64.68189000000001</v>
      </c>
      <c r="AD1028" s="18">
        <v>340.43100000000004</v>
      </c>
    </row>
    <row r="1029" spans="2:30" x14ac:dyDescent="0.25">
      <c r="B1029" t="s">
        <v>269</v>
      </c>
      <c r="C1029" t="s">
        <v>570</v>
      </c>
      <c r="D1029" t="s">
        <v>680</v>
      </c>
      <c r="E1029" s="35">
        <v>0.9</v>
      </c>
      <c r="F1029" s="35">
        <v>6.6</v>
      </c>
      <c r="G1029" s="36">
        <v>0.15509400000000001</v>
      </c>
      <c r="H1029" s="18">
        <v>279.16863999999998</v>
      </c>
      <c r="I1029" s="16"/>
      <c r="J1029" s="16"/>
      <c r="K1029" s="16"/>
      <c r="L1029" s="37" t="s">
        <v>107</v>
      </c>
      <c r="M1029" s="37"/>
      <c r="N1029" s="37">
        <v>523</v>
      </c>
      <c r="O1029" s="37"/>
      <c r="P1029" s="37"/>
      <c r="Q1029" s="18">
        <v>1.7060340000000001</v>
      </c>
      <c r="R1029" s="18">
        <v>1.163205E-2</v>
      </c>
      <c r="S1029" s="18">
        <v>3.256974</v>
      </c>
      <c r="T1029" s="18">
        <v>13.958460000000001</v>
      </c>
      <c r="U1029" s="18">
        <v>6.9792300000000003</v>
      </c>
      <c r="V1029" s="18">
        <v>89.334144000000009</v>
      </c>
      <c r="W1029" s="18">
        <v>83.75076</v>
      </c>
      <c r="X1029" s="18">
        <v>55.833840000000002</v>
      </c>
      <c r="Y1029" s="18">
        <v>2.4815040000000002</v>
      </c>
      <c r="Z1029" s="18">
        <v>11.011674000000001</v>
      </c>
      <c r="AA1029" s="18">
        <v>16.129776</v>
      </c>
      <c r="AB1029" s="18">
        <v>28.692390000000003</v>
      </c>
      <c r="AC1029" s="18">
        <v>8.8403580000000002</v>
      </c>
      <c r="AD1029" s="18">
        <v>46.528200000000005</v>
      </c>
    </row>
    <row r="1030" spans="2:30" x14ac:dyDescent="0.25">
      <c r="B1030" t="s">
        <v>108</v>
      </c>
      <c r="C1030" t="s">
        <v>570</v>
      </c>
      <c r="D1030" t="s">
        <v>448</v>
      </c>
      <c r="E1030" s="35">
        <v>0.9</v>
      </c>
      <c r="F1030" s="35">
        <v>16</v>
      </c>
      <c r="G1030" s="36">
        <v>7.0965E-2</v>
      </c>
      <c r="H1030" s="18">
        <v>127.737549</v>
      </c>
      <c r="I1030" s="16">
        <v>0</v>
      </c>
      <c r="J1030" s="16"/>
      <c r="K1030" s="16"/>
      <c r="L1030" s="37" t="s">
        <v>107</v>
      </c>
      <c r="M1030" s="37"/>
      <c r="N1030" s="37">
        <v>524</v>
      </c>
      <c r="O1030" s="37"/>
      <c r="P1030" s="37"/>
      <c r="Q1030" s="18">
        <v>0.78061500000000006</v>
      </c>
      <c r="R1030" s="18">
        <v>5.3223749999999998E-3</v>
      </c>
      <c r="S1030" s="18">
        <v>1.490265</v>
      </c>
      <c r="T1030" s="18">
        <v>6.3868499999999999</v>
      </c>
      <c r="U1030" s="18">
        <v>3.193425</v>
      </c>
      <c r="V1030" s="18">
        <v>40.875839999999997</v>
      </c>
      <c r="W1030" s="18">
        <v>38.321100000000001</v>
      </c>
      <c r="X1030" s="18">
        <v>25.5474</v>
      </c>
      <c r="Y1030" s="18">
        <v>1.13544</v>
      </c>
      <c r="Z1030" s="18">
        <v>5.0385150000000003</v>
      </c>
      <c r="AA1030" s="18">
        <v>7.3803599999999996</v>
      </c>
      <c r="AB1030" s="18">
        <v>13.128525</v>
      </c>
      <c r="AC1030" s="18">
        <v>4.0450049999999997</v>
      </c>
      <c r="AD1030" s="18">
        <v>21.2895</v>
      </c>
    </row>
    <row r="1031" spans="2:30" x14ac:dyDescent="0.25">
      <c r="B1031" t="s">
        <v>269</v>
      </c>
      <c r="C1031" t="s">
        <v>570</v>
      </c>
      <c r="D1031" t="s">
        <v>681</v>
      </c>
      <c r="E1031" s="35">
        <v>0.9</v>
      </c>
      <c r="F1031" s="35">
        <v>6.6</v>
      </c>
      <c r="G1031" s="36">
        <v>2.8948999999999999E-2</v>
      </c>
      <c r="H1031" s="18">
        <v>52.108919999999998</v>
      </c>
      <c r="I1031" s="16"/>
      <c r="J1031" s="16"/>
      <c r="K1031" s="16"/>
      <c r="L1031" s="37" t="s">
        <v>107</v>
      </c>
      <c r="M1031" s="37"/>
      <c r="N1031" s="37">
        <v>525</v>
      </c>
      <c r="O1031" s="37"/>
      <c r="P1031" s="37"/>
      <c r="Q1031" s="18">
        <v>0.31843899999999997</v>
      </c>
      <c r="R1031" s="18">
        <v>2.171175E-3</v>
      </c>
      <c r="S1031" s="18">
        <v>0.60792899999999994</v>
      </c>
      <c r="T1031" s="18">
        <v>2.60541</v>
      </c>
      <c r="U1031" s="18">
        <v>1.302705</v>
      </c>
      <c r="V1031" s="18">
        <v>16.674623999999998</v>
      </c>
      <c r="W1031" s="18">
        <v>15.63246</v>
      </c>
      <c r="X1031" s="18">
        <v>10.42164</v>
      </c>
      <c r="Y1031" s="18">
        <v>0.46318399999999998</v>
      </c>
      <c r="Z1031" s="18">
        <v>2.0553789999999998</v>
      </c>
      <c r="AA1031" s="18">
        <v>3.0106959999999998</v>
      </c>
      <c r="AB1031" s="18">
        <v>5.3555649999999995</v>
      </c>
      <c r="AC1031" s="18">
        <v>1.650093</v>
      </c>
      <c r="AD1031" s="18">
        <v>8.6846999999999994</v>
      </c>
    </row>
    <row r="1032" spans="2:30" x14ac:dyDescent="0.25">
      <c r="B1032" t="s">
        <v>119</v>
      </c>
      <c r="C1032" t="s">
        <v>570</v>
      </c>
      <c r="D1032" t="s">
        <v>449</v>
      </c>
      <c r="E1032" s="35">
        <v>0.9</v>
      </c>
      <c r="F1032" s="35">
        <v>19</v>
      </c>
      <c r="G1032" s="36">
        <v>0.21165200000000001</v>
      </c>
      <c r="H1032" s="18">
        <v>380.97361100000001</v>
      </c>
      <c r="I1032" s="16">
        <v>0</v>
      </c>
      <c r="J1032" s="16"/>
      <c r="K1032" s="16"/>
      <c r="L1032" s="37" t="s">
        <v>107</v>
      </c>
      <c r="M1032" s="37"/>
      <c r="N1032" s="37">
        <v>526</v>
      </c>
      <c r="O1032" s="37"/>
      <c r="P1032" s="37"/>
      <c r="Q1032" s="18">
        <v>2.3281719999999999</v>
      </c>
      <c r="R1032" s="18">
        <v>1.58739E-2</v>
      </c>
      <c r="S1032" s="18">
        <v>4.4446919999999999</v>
      </c>
      <c r="T1032" s="18">
        <v>19.048680000000001</v>
      </c>
      <c r="U1032" s="18">
        <v>9.5243400000000005</v>
      </c>
      <c r="V1032" s="18">
        <v>121.911552</v>
      </c>
      <c r="W1032" s="18">
        <v>114.29208</v>
      </c>
      <c r="X1032" s="18">
        <v>76.194720000000004</v>
      </c>
      <c r="Y1032" s="18">
        <v>3.3864320000000001</v>
      </c>
      <c r="Z1032" s="18">
        <v>15.027292000000001</v>
      </c>
      <c r="AA1032" s="18">
        <v>22.011808000000002</v>
      </c>
      <c r="AB1032" s="18">
        <v>39.155619999999999</v>
      </c>
      <c r="AC1032" s="18">
        <v>12.064164</v>
      </c>
      <c r="AD1032" s="18">
        <v>63.495600000000003</v>
      </c>
    </row>
    <row r="1033" spans="2:30" x14ac:dyDescent="0.25">
      <c r="B1033" t="s">
        <v>108</v>
      </c>
      <c r="C1033" t="s">
        <v>570</v>
      </c>
      <c r="D1033" t="s">
        <v>450</v>
      </c>
      <c r="E1033" s="35">
        <v>0.9</v>
      </c>
      <c r="F1033" s="35">
        <v>16</v>
      </c>
      <c r="G1033" s="36">
        <v>7.1070999999999995E-2</v>
      </c>
      <c r="H1033" s="18">
        <v>127.927671</v>
      </c>
      <c r="I1033" s="16">
        <v>0</v>
      </c>
      <c r="J1033" s="16"/>
      <c r="K1033" s="16"/>
      <c r="L1033" s="37" t="s">
        <v>107</v>
      </c>
      <c r="M1033" s="37"/>
      <c r="N1033" s="37">
        <v>527</v>
      </c>
      <c r="O1033" s="37"/>
      <c r="P1033" s="37"/>
      <c r="Q1033" s="18">
        <v>0.78178099999999995</v>
      </c>
      <c r="R1033" s="18">
        <v>5.3303249999999995E-3</v>
      </c>
      <c r="S1033" s="18">
        <v>1.4924909999999998</v>
      </c>
      <c r="T1033" s="18">
        <v>6.3963899999999994</v>
      </c>
      <c r="U1033" s="18">
        <v>3.1981949999999997</v>
      </c>
      <c r="V1033" s="18">
        <v>40.936895999999997</v>
      </c>
      <c r="W1033" s="18">
        <v>38.378339999999994</v>
      </c>
      <c r="X1033" s="18">
        <v>25.585559999999997</v>
      </c>
      <c r="Y1033" s="18">
        <v>1.1371359999999999</v>
      </c>
      <c r="Z1033" s="18">
        <v>5.0460409999999998</v>
      </c>
      <c r="AA1033" s="18">
        <v>7.3913839999999995</v>
      </c>
      <c r="AB1033" s="18">
        <v>13.148135</v>
      </c>
      <c r="AC1033" s="18">
        <v>4.0510469999999996</v>
      </c>
      <c r="AD1033" s="18">
        <v>21.321299999999997</v>
      </c>
    </row>
    <row r="1034" spans="2:30" x14ac:dyDescent="0.25">
      <c r="B1034" t="s">
        <v>133</v>
      </c>
      <c r="C1034" t="s">
        <v>570</v>
      </c>
      <c r="D1034" t="s">
        <v>368</v>
      </c>
      <c r="E1034" s="35">
        <v>0.9</v>
      </c>
      <c r="F1034" s="35">
        <v>50</v>
      </c>
      <c r="G1034" s="36">
        <v>0.99396099999999998</v>
      </c>
      <c r="H1034" s="18">
        <v>1789.1301269999999</v>
      </c>
      <c r="I1034" s="16">
        <v>0</v>
      </c>
      <c r="J1034" s="16"/>
      <c r="K1034" s="16"/>
      <c r="L1034" s="37" t="s">
        <v>107</v>
      </c>
      <c r="M1034" s="37"/>
      <c r="N1034" s="37">
        <v>528</v>
      </c>
      <c r="O1034" s="37"/>
      <c r="P1034" s="37"/>
      <c r="Q1034" s="18">
        <v>10.933571000000001</v>
      </c>
      <c r="R1034" s="18">
        <v>7.454707499999999E-2</v>
      </c>
      <c r="S1034" s="18">
        <v>20.873180999999999</v>
      </c>
      <c r="T1034" s="18">
        <v>89.456490000000002</v>
      </c>
      <c r="U1034" s="18">
        <v>44.728245000000001</v>
      </c>
      <c r="V1034" s="18">
        <v>572.52153599999997</v>
      </c>
      <c r="W1034" s="18">
        <v>536.73893999999996</v>
      </c>
      <c r="X1034" s="18">
        <v>357.82596000000001</v>
      </c>
      <c r="Y1034" s="18">
        <v>15.903376</v>
      </c>
      <c r="Z1034" s="18">
        <v>70.571230999999997</v>
      </c>
      <c r="AA1034" s="18">
        <v>103.371944</v>
      </c>
      <c r="AB1034" s="18">
        <v>183.88278499999998</v>
      </c>
      <c r="AC1034" s="18">
        <v>56.655777</v>
      </c>
      <c r="AD1034" s="18">
        <v>298.18829999999997</v>
      </c>
    </row>
    <row r="1035" spans="2:30" x14ac:dyDescent="0.25">
      <c r="B1035" t="s">
        <v>104</v>
      </c>
      <c r="C1035" t="s">
        <v>570</v>
      </c>
      <c r="D1035" t="s">
        <v>453</v>
      </c>
      <c r="E1035" s="35">
        <v>0.9</v>
      </c>
      <c r="F1035" s="35">
        <v>68</v>
      </c>
      <c r="G1035" s="36">
        <v>1.377794</v>
      </c>
      <c r="H1035" s="18">
        <v>2480.028401</v>
      </c>
      <c r="I1035" s="16">
        <v>0</v>
      </c>
      <c r="J1035" s="16"/>
      <c r="K1035" s="16"/>
      <c r="L1035" s="37" t="s">
        <v>107</v>
      </c>
      <c r="M1035" s="37"/>
      <c r="N1035" s="37">
        <v>529</v>
      </c>
      <c r="O1035" s="37"/>
      <c r="P1035" s="37"/>
      <c r="Q1035" s="18">
        <v>15.155733999999999</v>
      </c>
      <c r="R1035" s="18">
        <v>0.10333455</v>
      </c>
      <c r="S1035" s="18">
        <v>28.933674</v>
      </c>
      <c r="T1035" s="18">
        <v>124.00145999999999</v>
      </c>
      <c r="U1035" s="18">
        <v>62.000729999999997</v>
      </c>
      <c r="V1035" s="18">
        <v>793.60934399999996</v>
      </c>
      <c r="W1035" s="18">
        <v>744.00875999999994</v>
      </c>
      <c r="X1035" s="18">
        <v>496.00583999999998</v>
      </c>
      <c r="Y1035" s="18">
        <v>22.044703999999999</v>
      </c>
      <c r="Z1035" s="18">
        <v>97.823374000000001</v>
      </c>
      <c r="AA1035" s="18">
        <v>143.29057599999999</v>
      </c>
      <c r="AB1035" s="18">
        <v>254.89188999999999</v>
      </c>
      <c r="AC1035" s="18">
        <v>78.534257999999994</v>
      </c>
      <c r="AD1035" s="18">
        <v>413.33819999999997</v>
      </c>
    </row>
    <row r="1036" spans="2:30" x14ac:dyDescent="0.25">
      <c r="B1036" t="s">
        <v>246</v>
      </c>
      <c r="C1036" t="s">
        <v>570</v>
      </c>
      <c r="D1036" t="s">
        <v>454</v>
      </c>
      <c r="E1036" s="35">
        <v>0.9</v>
      </c>
      <c r="F1036" s="35">
        <v>26</v>
      </c>
      <c r="G1036" s="36">
        <v>0.29760199999999998</v>
      </c>
      <c r="H1036" s="18">
        <v>535.68372599999998</v>
      </c>
      <c r="I1036" s="16">
        <v>0</v>
      </c>
      <c r="J1036" s="16"/>
      <c r="K1036" s="16"/>
      <c r="L1036" s="37" t="s">
        <v>107</v>
      </c>
      <c r="M1036" s="37"/>
      <c r="N1036" s="37">
        <v>530</v>
      </c>
      <c r="O1036" s="37"/>
      <c r="P1036" s="37"/>
      <c r="Q1036" s="18">
        <v>3.2736219999999996</v>
      </c>
      <c r="R1036" s="18">
        <v>2.2320149999999997E-2</v>
      </c>
      <c r="S1036" s="18">
        <v>6.2496419999999997</v>
      </c>
      <c r="T1036" s="18">
        <v>26.784179999999999</v>
      </c>
      <c r="U1036" s="18">
        <v>13.39209</v>
      </c>
      <c r="V1036" s="18">
        <v>171.41875199999998</v>
      </c>
      <c r="W1036" s="18">
        <v>160.70507999999998</v>
      </c>
      <c r="X1036" s="18">
        <v>107.13672</v>
      </c>
      <c r="Y1036" s="18">
        <v>4.7616319999999996</v>
      </c>
      <c r="Z1036" s="18">
        <v>21.129741999999997</v>
      </c>
      <c r="AA1036" s="18">
        <v>30.950607999999999</v>
      </c>
      <c r="AB1036" s="18">
        <v>55.056369999999994</v>
      </c>
      <c r="AC1036" s="18">
        <v>16.963314</v>
      </c>
      <c r="AD1036" s="18">
        <v>89.280599999999993</v>
      </c>
    </row>
    <row r="1037" spans="2:30" x14ac:dyDescent="0.25">
      <c r="B1037" t="s">
        <v>112</v>
      </c>
      <c r="C1037" t="s">
        <v>570</v>
      </c>
      <c r="D1037" t="s">
        <v>157</v>
      </c>
      <c r="E1037" s="35">
        <v>0.9</v>
      </c>
      <c r="F1037" s="35">
        <v>60</v>
      </c>
      <c r="G1037" s="36">
        <v>0.83076799999999995</v>
      </c>
      <c r="H1037" s="18">
        <v>1495.382666</v>
      </c>
      <c r="I1037" s="16">
        <v>0</v>
      </c>
      <c r="J1037" s="16"/>
      <c r="K1037" s="16"/>
      <c r="L1037" s="37" t="s">
        <v>107</v>
      </c>
      <c r="M1037" s="37"/>
      <c r="N1037" s="37">
        <v>531</v>
      </c>
      <c r="O1037" s="37"/>
      <c r="P1037" s="37"/>
      <c r="Q1037" s="18">
        <v>9.1384480000000003</v>
      </c>
      <c r="R1037" s="18">
        <v>6.2307599999999991E-2</v>
      </c>
      <c r="S1037" s="18">
        <v>17.446127999999998</v>
      </c>
      <c r="T1037" s="18">
        <v>74.769120000000001</v>
      </c>
      <c r="U1037" s="18">
        <v>37.38456</v>
      </c>
      <c r="V1037" s="18">
        <v>478.52236799999997</v>
      </c>
      <c r="W1037" s="18">
        <v>448.61471999999998</v>
      </c>
      <c r="X1037" s="18">
        <v>299.07648</v>
      </c>
      <c r="Y1037" s="18">
        <v>13.292287999999999</v>
      </c>
      <c r="Z1037" s="18">
        <v>58.984527999999997</v>
      </c>
      <c r="AA1037" s="18">
        <v>86.399871999999988</v>
      </c>
      <c r="AB1037" s="18">
        <v>153.69208</v>
      </c>
      <c r="AC1037" s="18">
        <v>47.353775999999996</v>
      </c>
      <c r="AD1037" s="18">
        <v>249.23039999999997</v>
      </c>
    </row>
    <row r="1038" spans="2:30" x14ac:dyDescent="0.25">
      <c r="B1038" t="s">
        <v>353</v>
      </c>
      <c r="C1038" t="s">
        <v>570</v>
      </c>
      <c r="D1038" t="s">
        <v>455</v>
      </c>
      <c r="E1038" s="35">
        <v>0.9</v>
      </c>
      <c r="F1038" s="35">
        <v>62</v>
      </c>
      <c r="G1038" s="36">
        <v>0.86094000000000004</v>
      </c>
      <c r="H1038" s="18">
        <v>1549.692573</v>
      </c>
      <c r="I1038" s="16">
        <v>0</v>
      </c>
      <c r="J1038" s="16"/>
      <c r="K1038" s="16"/>
      <c r="L1038" s="37" t="s">
        <v>107</v>
      </c>
      <c r="M1038" s="37"/>
      <c r="N1038" s="37">
        <v>532</v>
      </c>
      <c r="O1038" s="37"/>
      <c r="P1038" s="37"/>
      <c r="Q1038" s="18">
        <v>9.4703400000000002</v>
      </c>
      <c r="R1038" s="18">
        <v>6.4570500000000003E-2</v>
      </c>
      <c r="S1038" s="18">
        <v>18.079740000000001</v>
      </c>
      <c r="T1038" s="18">
        <v>77.4846</v>
      </c>
      <c r="U1038" s="18">
        <v>38.7423</v>
      </c>
      <c r="V1038" s="18">
        <v>495.90144000000004</v>
      </c>
      <c r="W1038" s="18">
        <v>464.9076</v>
      </c>
      <c r="X1038" s="18">
        <v>309.9384</v>
      </c>
      <c r="Y1038" s="18">
        <v>13.775040000000001</v>
      </c>
      <c r="Z1038" s="18">
        <v>61.126740000000005</v>
      </c>
      <c r="AA1038" s="18">
        <v>89.537760000000006</v>
      </c>
      <c r="AB1038" s="18">
        <v>159.2739</v>
      </c>
      <c r="AC1038" s="18">
        <v>49.07358</v>
      </c>
      <c r="AD1038" s="18">
        <v>258.28200000000004</v>
      </c>
    </row>
    <row r="1039" spans="2:30" x14ac:dyDescent="0.25">
      <c r="B1039" t="s">
        <v>465</v>
      </c>
      <c r="C1039" t="s">
        <v>570</v>
      </c>
      <c r="D1039" t="s">
        <v>682</v>
      </c>
      <c r="E1039" s="35">
        <v>0.9</v>
      </c>
      <c r="F1039" s="35">
        <v>7.2</v>
      </c>
      <c r="G1039" s="36">
        <v>2.2384000000000001E-2</v>
      </c>
      <c r="H1039" s="18">
        <v>40.290759000000001</v>
      </c>
      <c r="I1039" s="16"/>
      <c r="J1039" s="16"/>
      <c r="K1039" s="16"/>
      <c r="L1039" s="37" t="s">
        <v>107</v>
      </c>
      <c r="M1039" s="37"/>
      <c r="N1039" s="37">
        <v>533</v>
      </c>
      <c r="O1039" s="37"/>
      <c r="P1039" s="37"/>
      <c r="Q1039" s="18">
        <v>0.246224</v>
      </c>
      <c r="R1039" s="18">
        <v>1.6788E-3</v>
      </c>
      <c r="S1039" s="18">
        <v>0.47006400000000004</v>
      </c>
      <c r="T1039" s="18">
        <v>2.0145599999999999</v>
      </c>
      <c r="U1039" s="18">
        <v>1.00728</v>
      </c>
      <c r="V1039" s="18">
        <v>12.893184000000002</v>
      </c>
      <c r="W1039" s="18">
        <v>12.08736</v>
      </c>
      <c r="X1039" s="18">
        <v>8.0582399999999996</v>
      </c>
      <c r="Y1039" s="18">
        <v>0.35814400000000002</v>
      </c>
      <c r="Z1039" s="18">
        <v>1.589264</v>
      </c>
      <c r="AA1039" s="18">
        <v>2.3279360000000002</v>
      </c>
      <c r="AB1039" s="18">
        <v>4.1410400000000003</v>
      </c>
      <c r="AC1039" s="18">
        <v>1.2758880000000001</v>
      </c>
      <c r="AD1039" s="18">
        <v>6.7152000000000003</v>
      </c>
    </row>
    <row r="1040" spans="2:30" x14ac:dyDescent="0.25">
      <c r="B1040" t="s">
        <v>110</v>
      </c>
      <c r="C1040" t="s">
        <v>570</v>
      </c>
      <c r="D1040" t="s">
        <v>683</v>
      </c>
      <c r="E1040" s="35">
        <v>0.9</v>
      </c>
      <c r="F1040" s="35">
        <v>22</v>
      </c>
      <c r="G1040" s="36">
        <v>7.2597999999999996E-2</v>
      </c>
      <c r="H1040" s="18">
        <v>130.675972</v>
      </c>
      <c r="I1040" s="16">
        <v>0</v>
      </c>
      <c r="J1040" s="16"/>
      <c r="K1040" s="16"/>
      <c r="L1040" s="37" t="s">
        <v>107</v>
      </c>
      <c r="M1040" s="37"/>
      <c r="N1040" s="37">
        <v>534</v>
      </c>
      <c r="O1040" s="37"/>
      <c r="P1040" s="37"/>
      <c r="Q1040" s="18">
        <v>0.79857800000000001</v>
      </c>
      <c r="R1040" s="18">
        <v>5.4448499999999993E-3</v>
      </c>
      <c r="S1040" s="18">
        <v>1.5245579999999999</v>
      </c>
      <c r="T1040" s="18">
        <v>6.5338199999999995</v>
      </c>
      <c r="U1040" s="18">
        <v>3.2669099999999998</v>
      </c>
      <c r="V1040" s="18">
        <v>41.816447999999994</v>
      </c>
      <c r="W1040" s="18">
        <v>39.202919999999999</v>
      </c>
      <c r="X1040" s="18">
        <v>26.135279999999998</v>
      </c>
      <c r="Y1040" s="18">
        <v>1.1615679999999999</v>
      </c>
      <c r="Z1040" s="18">
        <v>5.154458</v>
      </c>
      <c r="AA1040" s="18">
        <v>7.5501919999999991</v>
      </c>
      <c r="AB1040" s="18">
        <v>13.430629999999999</v>
      </c>
      <c r="AC1040" s="18">
        <v>4.1380859999999995</v>
      </c>
      <c r="AD1040" s="18">
        <v>21.779399999999999</v>
      </c>
    </row>
    <row r="1041" spans="2:30" x14ac:dyDescent="0.25">
      <c r="B1041" t="s">
        <v>110</v>
      </c>
      <c r="C1041" t="s">
        <v>570</v>
      </c>
      <c r="D1041" t="s">
        <v>684</v>
      </c>
      <c r="E1041" s="35">
        <v>0.9</v>
      </c>
      <c r="F1041" s="35">
        <v>22</v>
      </c>
      <c r="G1041" s="36">
        <v>0.10645499999999999</v>
      </c>
      <c r="H1041" s="18">
        <v>191.618279</v>
      </c>
      <c r="I1041" s="16">
        <v>0</v>
      </c>
      <c r="J1041" s="16"/>
      <c r="K1041" s="16"/>
      <c r="L1041" s="37" t="s">
        <v>107</v>
      </c>
      <c r="M1041" s="37"/>
      <c r="N1041" s="37">
        <v>535</v>
      </c>
      <c r="O1041" s="37"/>
      <c r="P1041" s="37"/>
      <c r="Q1041" s="18">
        <v>1.1710049999999999</v>
      </c>
      <c r="R1041" s="18">
        <v>7.9841249999999999E-3</v>
      </c>
      <c r="S1041" s="18">
        <v>2.2355549999999997</v>
      </c>
      <c r="T1041" s="18">
        <v>9.5809499999999996</v>
      </c>
      <c r="U1041" s="18">
        <v>4.7904749999999998</v>
      </c>
      <c r="V1041" s="18">
        <v>61.318079999999995</v>
      </c>
      <c r="W1041" s="18">
        <v>57.485699999999994</v>
      </c>
      <c r="X1041" s="18">
        <v>38.323799999999999</v>
      </c>
      <c r="Y1041" s="18">
        <v>1.7032799999999999</v>
      </c>
      <c r="Z1041" s="18">
        <v>7.5583049999999998</v>
      </c>
      <c r="AA1041" s="18">
        <v>11.07132</v>
      </c>
      <c r="AB1041" s="18">
        <v>19.694174999999998</v>
      </c>
      <c r="AC1041" s="18">
        <v>6.0679349999999994</v>
      </c>
      <c r="AD1041" s="18">
        <v>31.936499999999999</v>
      </c>
    </row>
    <row r="1042" spans="2:30" x14ac:dyDescent="0.25">
      <c r="B1042" t="s">
        <v>112</v>
      </c>
      <c r="C1042" t="s">
        <v>570</v>
      </c>
      <c r="D1042" t="s">
        <v>368</v>
      </c>
      <c r="E1042" s="35">
        <v>0.9</v>
      </c>
      <c r="F1042" s="35">
        <v>60</v>
      </c>
      <c r="G1042" s="36">
        <v>1.192753</v>
      </c>
      <c r="H1042" s="18">
        <v>2146.9561520000002</v>
      </c>
      <c r="I1042" s="16">
        <v>0</v>
      </c>
      <c r="J1042" s="16"/>
      <c r="K1042" s="16"/>
      <c r="L1042" s="37" t="s">
        <v>107</v>
      </c>
      <c r="M1042" s="37"/>
      <c r="N1042" s="37">
        <v>536</v>
      </c>
      <c r="O1042" s="37"/>
      <c r="P1042" s="37"/>
      <c r="Q1042" s="18">
        <v>13.120282999999999</v>
      </c>
      <c r="R1042" s="18">
        <v>8.9456474999999994E-2</v>
      </c>
      <c r="S1042" s="18">
        <v>25.047812999999998</v>
      </c>
      <c r="T1042" s="18">
        <v>107.34777</v>
      </c>
      <c r="U1042" s="18">
        <v>53.673884999999999</v>
      </c>
      <c r="V1042" s="18">
        <v>687.02572799999996</v>
      </c>
      <c r="W1042" s="18">
        <v>644.08661999999993</v>
      </c>
      <c r="X1042" s="18">
        <v>429.39107999999999</v>
      </c>
      <c r="Y1042" s="18">
        <v>19.084047999999999</v>
      </c>
      <c r="Z1042" s="18">
        <v>84.685462999999999</v>
      </c>
      <c r="AA1042" s="18">
        <v>124.046312</v>
      </c>
      <c r="AB1042" s="18">
        <v>220.65930499999999</v>
      </c>
      <c r="AC1042" s="18">
        <v>67.986920999999995</v>
      </c>
      <c r="AD1042" s="18">
        <v>357.82589999999999</v>
      </c>
    </row>
    <row r="1043" spans="2:30" x14ac:dyDescent="0.25">
      <c r="B1043" t="s">
        <v>110</v>
      </c>
      <c r="C1043" t="s">
        <v>570</v>
      </c>
      <c r="D1043" t="s">
        <v>685</v>
      </c>
      <c r="E1043" s="35">
        <v>0.9</v>
      </c>
      <c r="F1043" s="35">
        <v>22</v>
      </c>
      <c r="G1043" s="36">
        <v>0.28773100000000001</v>
      </c>
      <c r="H1043" s="18">
        <v>517.91582200000005</v>
      </c>
      <c r="I1043" s="16">
        <v>0</v>
      </c>
      <c r="J1043" s="16"/>
      <c r="K1043" s="16"/>
      <c r="L1043" s="37" t="s">
        <v>107</v>
      </c>
      <c r="M1043" s="37"/>
      <c r="N1043" s="37">
        <v>537</v>
      </c>
      <c r="O1043" s="37"/>
      <c r="P1043" s="37"/>
      <c r="Q1043" s="18">
        <v>3.165041</v>
      </c>
      <c r="R1043" s="18">
        <v>2.1579825E-2</v>
      </c>
      <c r="S1043" s="18">
        <v>6.042351</v>
      </c>
      <c r="T1043" s="18">
        <v>25.895790000000002</v>
      </c>
      <c r="U1043" s="18">
        <v>12.947895000000001</v>
      </c>
      <c r="V1043" s="18">
        <v>165.733056</v>
      </c>
      <c r="W1043" s="18">
        <v>155.37474</v>
      </c>
      <c r="X1043" s="18">
        <v>103.58316000000001</v>
      </c>
      <c r="Y1043" s="18">
        <v>4.6036960000000002</v>
      </c>
      <c r="Z1043" s="18">
        <v>20.428901</v>
      </c>
      <c r="AA1043" s="18">
        <v>29.924024000000003</v>
      </c>
      <c r="AB1043" s="18">
        <v>53.230235</v>
      </c>
      <c r="AC1043" s="18">
        <v>16.400667000000002</v>
      </c>
      <c r="AD1043" s="18">
        <v>86.319299999999998</v>
      </c>
    </row>
    <row r="1044" spans="2:30" x14ac:dyDescent="0.25">
      <c r="B1044" t="s">
        <v>110</v>
      </c>
      <c r="C1044" t="s">
        <v>570</v>
      </c>
      <c r="D1044" t="s">
        <v>456</v>
      </c>
      <c r="E1044" s="35">
        <v>0.9</v>
      </c>
      <c r="F1044" s="35">
        <v>22</v>
      </c>
      <c r="G1044" s="36">
        <v>0.246391</v>
      </c>
      <c r="H1044" s="18">
        <v>443.503242</v>
      </c>
      <c r="I1044" s="16">
        <v>0</v>
      </c>
      <c r="J1044" s="16"/>
      <c r="K1044" s="16"/>
      <c r="L1044" s="37" t="s">
        <v>107</v>
      </c>
      <c r="M1044" s="37"/>
      <c r="N1044" s="37">
        <v>538</v>
      </c>
      <c r="O1044" s="37"/>
      <c r="P1044" s="37"/>
      <c r="Q1044" s="18">
        <v>2.7103009999999998</v>
      </c>
      <c r="R1044" s="18">
        <v>1.8479324999999998E-2</v>
      </c>
      <c r="S1044" s="18">
        <v>5.1742109999999997</v>
      </c>
      <c r="T1044" s="18">
        <v>22.175190000000001</v>
      </c>
      <c r="U1044" s="18">
        <v>11.087595</v>
      </c>
      <c r="V1044" s="18">
        <v>141.92121599999999</v>
      </c>
      <c r="W1044" s="18">
        <v>133.05114</v>
      </c>
      <c r="X1044" s="18">
        <v>88.700760000000002</v>
      </c>
      <c r="Y1044" s="18">
        <v>3.942256</v>
      </c>
      <c r="Z1044" s="18">
        <v>17.493760999999999</v>
      </c>
      <c r="AA1044" s="18">
        <v>25.624663999999999</v>
      </c>
      <c r="AB1044" s="18">
        <v>45.582335</v>
      </c>
      <c r="AC1044" s="18">
        <v>14.044287000000001</v>
      </c>
      <c r="AD1044" s="18">
        <v>73.917299999999997</v>
      </c>
    </row>
    <row r="1045" spans="2:30" x14ac:dyDescent="0.25">
      <c r="B1045" t="s">
        <v>465</v>
      </c>
      <c r="C1045" t="s">
        <v>570</v>
      </c>
      <c r="D1045" t="s">
        <v>686</v>
      </c>
      <c r="E1045" s="35">
        <v>0.9</v>
      </c>
      <c r="F1045" s="35">
        <v>7.2</v>
      </c>
      <c r="G1045" s="36">
        <v>2.7427E-2</v>
      </c>
      <c r="H1045" s="18">
        <v>49.368907999999998</v>
      </c>
      <c r="I1045" s="16"/>
      <c r="J1045" s="16"/>
      <c r="K1045" s="16"/>
      <c r="L1045" s="37" t="s">
        <v>107</v>
      </c>
      <c r="M1045" s="37"/>
      <c r="N1045" s="37">
        <v>539</v>
      </c>
      <c r="O1045" s="37"/>
      <c r="P1045" s="37"/>
      <c r="Q1045" s="18">
        <v>0.30169699999999999</v>
      </c>
      <c r="R1045" s="18">
        <v>2.0570250000000001E-3</v>
      </c>
      <c r="S1045" s="18">
        <v>0.57596700000000001</v>
      </c>
      <c r="T1045" s="18">
        <v>2.4684300000000001</v>
      </c>
      <c r="U1045" s="18">
        <v>1.2342150000000001</v>
      </c>
      <c r="V1045" s="18">
        <v>15.797952</v>
      </c>
      <c r="W1045" s="18">
        <v>14.81058</v>
      </c>
      <c r="X1045" s="18">
        <v>9.8737200000000005</v>
      </c>
      <c r="Y1045" s="18">
        <v>0.438832</v>
      </c>
      <c r="Z1045" s="18">
        <v>1.947317</v>
      </c>
      <c r="AA1045" s="18">
        <v>2.8524080000000001</v>
      </c>
      <c r="AB1045" s="18">
        <v>5.073995</v>
      </c>
      <c r="AC1045" s="18">
        <v>1.563339</v>
      </c>
      <c r="AD1045" s="18">
        <v>8.2280999999999995</v>
      </c>
    </row>
    <row r="1046" spans="2:30" x14ac:dyDescent="0.25">
      <c r="B1046" t="s">
        <v>108</v>
      </c>
      <c r="C1046" t="s">
        <v>570</v>
      </c>
      <c r="D1046" t="s">
        <v>687</v>
      </c>
      <c r="E1046" s="35">
        <v>0.9</v>
      </c>
      <c r="F1046" s="35">
        <v>16</v>
      </c>
      <c r="G1046" s="36">
        <v>3.5000000000000003E-2</v>
      </c>
      <c r="H1046" s="18">
        <v>63.000672999999999</v>
      </c>
      <c r="I1046" s="16">
        <v>0</v>
      </c>
      <c r="J1046" s="16"/>
      <c r="K1046" s="16"/>
      <c r="L1046" s="37" t="s">
        <v>107</v>
      </c>
      <c r="M1046" s="37"/>
      <c r="N1046" s="37">
        <v>540</v>
      </c>
      <c r="O1046" s="37"/>
      <c r="P1046" s="37"/>
      <c r="Q1046" s="18">
        <v>0.38500000000000001</v>
      </c>
      <c r="R1046" s="18">
        <v>2.6250000000000002E-3</v>
      </c>
      <c r="S1046" s="18">
        <v>0.7350000000000001</v>
      </c>
      <c r="T1046" s="18">
        <v>3.1500000000000004</v>
      </c>
      <c r="U1046" s="18">
        <v>1.5750000000000002</v>
      </c>
      <c r="V1046" s="18">
        <v>20.160000000000004</v>
      </c>
      <c r="W1046" s="18">
        <v>18.900000000000002</v>
      </c>
      <c r="X1046" s="18">
        <v>12.600000000000001</v>
      </c>
      <c r="Y1046" s="18">
        <v>0.56000000000000005</v>
      </c>
      <c r="Z1046" s="18">
        <v>2.4850000000000003</v>
      </c>
      <c r="AA1046" s="18">
        <v>3.6400000000000006</v>
      </c>
      <c r="AB1046" s="18">
        <v>6.4750000000000005</v>
      </c>
      <c r="AC1046" s="18">
        <v>1.9950000000000001</v>
      </c>
      <c r="AD1046" s="18">
        <v>10.500000000000002</v>
      </c>
    </row>
    <row r="1047" spans="2:30" x14ac:dyDescent="0.25">
      <c r="B1047" t="s">
        <v>108</v>
      </c>
      <c r="C1047" t="s">
        <v>570</v>
      </c>
      <c r="D1047" t="s">
        <v>688</v>
      </c>
      <c r="E1047" s="35">
        <v>0.9</v>
      </c>
      <c r="F1047" s="35">
        <v>16</v>
      </c>
      <c r="G1047" s="36">
        <v>4.6258000000000001E-2</v>
      </c>
      <c r="H1047" s="18">
        <v>83.264678000000004</v>
      </c>
      <c r="I1047" s="16">
        <v>0</v>
      </c>
      <c r="J1047" s="16"/>
      <c r="K1047" s="16"/>
      <c r="L1047" s="37" t="s">
        <v>107</v>
      </c>
      <c r="M1047" s="37"/>
      <c r="N1047" s="37">
        <v>541</v>
      </c>
      <c r="O1047" s="37"/>
      <c r="P1047" s="37"/>
      <c r="Q1047" s="18">
        <v>0.50883800000000001</v>
      </c>
      <c r="R1047" s="18">
        <v>3.46935E-3</v>
      </c>
      <c r="S1047" s="18">
        <v>0.971418</v>
      </c>
      <c r="T1047" s="18">
        <v>4.1632199999999999</v>
      </c>
      <c r="U1047" s="18">
        <v>2.08161</v>
      </c>
      <c r="V1047" s="18">
        <v>26.644608000000002</v>
      </c>
      <c r="W1047" s="18">
        <v>24.979320000000001</v>
      </c>
      <c r="X1047" s="18">
        <v>16.65288</v>
      </c>
      <c r="Y1047" s="18">
        <v>0.74012800000000001</v>
      </c>
      <c r="Z1047" s="18">
        <v>3.2843179999999998</v>
      </c>
      <c r="AA1047" s="18">
        <v>4.8108320000000004</v>
      </c>
      <c r="AB1047" s="18">
        <v>8.5577299999999994</v>
      </c>
      <c r="AC1047" s="18">
        <v>2.6367060000000002</v>
      </c>
      <c r="AD1047" s="18">
        <v>13.8774</v>
      </c>
    </row>
    <row r="1048" spans="2:30" x14ac:dyDescent="0.25">
      <c r="B1048" t="s">
        <v>108</v>
      </c>
      <c r="C1048" t="s">
        <v>570</v>
      </c>
      <c r="D1048" t="s">
        <v>458</v>
      </c>
      <c r="E1048" s="35">
        <v>0.9</v>
      </c>
      <c r="F1048" s="35">
        <v>16</v>
      </c>
      <c r="G1048" s="36">
        <v>7.6370999999999994E-2</v>
      </c>
      <c r="H1048" s="18">
        <v>137.467344</v>
      </c>
      <c r="I1048" s="16">
        <v>0</v>
      </c>
      <c r="J1048" s="16"/>
      <c r="K1048" s="16"/>
      <c r="L1048" s="37" t="s">
        <v>107</v>
      </c>
      <c r="M1048" s="37"/>
      <c r="N1048" s="37">
        <v>542</v>
      </c>
      <c r="O1048" s="37"/>
      <c r="P1048" s="37"/>
      <c r="Q1048" s="18">
        <v>0.84008099999999997</v>
      </c>
      <c r="R1048" s="18">
        <v>5.7278249999999998E-3</v>
      </c>
      <c r="S1048" s="18">
        <v>1.603791</v>
      </c>
      <c r="T1048" s="18">
        <v>6.8733899999999997</v>
      </c>
      <c r="U1048" s="18">
        <v>3.4366949999999998</v>
      </c>
      <c r="V1048" s="18">
        <v>43.989695999999995</v>
      </c>
      <c r="W1048" s="18">
        <v>41.240339999999996</v>
      </c>
      <c r="X1048" s="18">
        <v>27.493559999999999</v>
      </c>
      <c r="Y1048" s="18">
        <v>1.2219359999999999</v>
      </c>
      <c r="Z1048" s="18">
        <v>5.4223409999999994</v>
      </c>
      <c r="AA1048" s="18">
        <v>7.9425839999999992</v>
      </c>
      <c r="AB1048" s="18">
        <v>14.128634999999999</v>
      </c>
      <c r="AC1048" s="18">
        <v>4.3531469999999999</v>
      </c>
      <c r="AD1048" s="18">
        <v>22.911299999999997</v>
      </c>
    </row>
    <row r="1049" spans="2:30" x14ac:dyDescent="0.25">
      <c r="B1049" t="s">
        <v>269</v>
      </c>
      <c r="C1049" t="s">
        <v>570</v>
      </c>
      <c r="D1049" t="s">
        <v>677</v>
      </c>
      <c r="E1049" s="35">
        <v>0.9</v>
      </c>
      <c r="F1049" s="35">
        <v>6.6</v>
      </c>
      <c r="G1049" s="36">
        <v>3.1151000000000002E-2</v>
      </c>
      <c r="H1049" s="18">
        <v>56.071317999999998</v>
      </c>
      <c r="I1049" s="16"/>
      <c r="J1049" s="16"/>
      <c r="K1049" s="16"/>
      <c r="L1049" s="37" t="s">
        <v>107</v>
      </c>
      <c r="M1049" s="37"/>
      <c r="N1049" s="37">
        <v>543</v>
      </c>
      <c r="O1049" s="37"/>
      <c r="P1049" s="37"/>
      <c r="Q1049" s="18">
        <v>0.34266099999999999</v>
      </c>
      <c r="R1049" s="18">
        <v>2.3363250000000002E-3</v>
      </c>
      <c r="S1049" s="18">
        <v>0.65417100000000006</v>
      </c>
      <c r="T1049" s="18">
        <v>2.8035900000000002</v>
      </c>
      <c r="U1049" s="18">
        <v>1.4017950000000001</v>
      </c>
      <c r="V1049" s="18">
        <v>17.942976000000002</v>
      </c>
      <c r="W1049" s="18">
        <v>16.821540000000002</v>
      </c>
      <c r="X1049" s="18">
        <v>11.214360000000001</v>
      </c>
      <c r="Y1049" s="18">
        <v>0.49841600000000003</v>
      </c>
      <c r="Z1049" s="18">
        <v>2.2117210000000003</v>
      </c>
      <c r="AA1049" s="18">
        <v>3.2397040000000001</v>
      </c>
      <c r="AB1049" s="18">
        <v>5.7629350000000006</v>
      </c>
      <c r="AC1049" s="18">
        <v>1.7756070000000002</v>
      </c>
      <c r="AD1049" s="18">
        <v>9.3452999999999999</v>
      </c>
    </row>
    <row r="1050" spans="2:30" x14ac:dyDescent="0.25">
      <c r="B1050" t="s">
        <v>108</v>
      </c>
      <c r="C1050" t="s">
        <v>570</v>
      </c>
      <c r="D1050" t="s">
        <v>458</v>
      </c>
      <c r="E1050" s="35">
        <v>0.9</v>
      </c>
      <c r="F1050" s="35">
        <v>16</v>
      </c>
      <c r="G1050" s="36">
        <v>7.6370999999999994E-2</v>
      </c>
      <c r="H1050" s="18">
        <v>137.467344</v>
      </c>
      <c r="I1050" s="16">
        <v>0</v>
      </c>
      <c r="J1050" s="16"/>
      <c r="K1050" s="16"/>
      <c r="L1050" s="37" t="s">
        <v>107</v>
      </c>
      <c r="M1050" s="37"/>
      <c r="N1050" s="37">
        <v>544</v>
      </c>
      <c r="O1050" s="37"/>
      <c r="P1050" s="37"/>
      <c r="Q1050" s="18">
        <v>0.84008099999999997</v>
      </c>
      <c r="R1050" s="18">
        <v>5.7278249999999998E-3</v>
      </c>
      <c r="S1050" s="18">
        <v>1.603791</v>
      </c>
      <c r="T1050" s="18">
        <v>6.8733899999999997</v>
      </c>
      <c r="U1050" s="18">
        <v>3.4366949999999998</v>
      </c>
      <c r="V1050" s="18">
        <v>43.989695999999995</v>
      </c>
      <c r="W1050" s="18">
        <v>41.240339999999996</v>
      </c>
      <c r="X1050" s="18">
        <v>27.493559999999999</v>
      </c>
      <c r="Y1050" s="18">
        <v>1.2219359999999999</v>
      </c>
      <c r="Z1050" s="18">
        <v>5.4223409999999994</v>
      </c>
      <c r="AA1050" s="18">
        <v>7.9425839999999992</v>
      </c>
      <c r="AB1050" s="18">
        <v>14.128634999999999</v>
      </c>
      <c r="AC1050" s="18">
        <v>4.3531469999999999</v>
      </c>
      <c r="AD1050" s="18">
        <v>22.911299999999997</v>
      </c>
    </row>
    <row r="1051" spans="2:30" x14ac:dyDescent="0.25">
      <c r="B1051" t="s">
        <v>108</v>
      </c>
      <c r="C1051" t="s">
        <v>570</v>
      </c>
      <c r="D1051" t="s">
        <v>689</v>
      </c>
      <c r="E1051" s="35">
        <v>0.9</v>
      </c>
      <c r="F1051" s="35">
        <v>16</v>
      </c>
      <c r="G1051" s="36">
        <v>6.6664000000000001E-2</v>
      </c>
      <c r="H1051" s="18">
        <v>119.995586</v>
      </c>
      <c r="I1051" s="16">
        <v>2</v>
      </c>
      <c r="J1051" s="16"/>
      <c r="K1051" s="16"/>
      <c r="L1051" s="37" t="s">
        <v>107</v>
      </c>
      <c r="M1051" s="37"/>
      <c r="N1051" s="37">
        <v>545</v>
      </c>
      <c r="O1051" s="37"/>
      <c r="P1051" s="37"/>
      <c r="Q1051" s="18">
        <v>0.73330399999999996</v>
      </c>
      <c r="R1051" s="18">
        <v>4.9997999999999996E-3</v>
      </c>
      <c r="S1051" s="18">
        <v>1.3999440000000001</v>
      </c>
      <c r="T1051" s="18">
        <v>5.9997600000000002</v>
      </c>
      <c r="U1051" s="18">
        <v>2.9998800000000001</v>
      </c>
      <c r="V1051" s="18">
        <v>38.398464000000004</v>
      </c>
      <c r="W1051" s="18">
        <v>35.998559999999998</v>
      </c>
      <c r="X1051" s="18">
        <v>23.999040000000001</v>
      </c>
      <c r="Y1051" s="18">
        <v>1.066624</v>
      </c>
      <c r="Z1051" s="18">
        <v>4.7331440000000002</v>
      </c>
      <c r="AA1051" s="18">
        <v>6.9330560000000006</v>
      </c>
      <c r="AB1051" s="18">
        <v>12.332840000000001</v>
      </c>
      <c r="AC1051" s="18">
        <v>3.7998479999999999</v>
      </c>
      <c r="AD1051" s="18">
        <v>19.999200000000002</v>
      </c>
    </row>
    <row r="1052" spans="2:30" x14ac:dyDescent="0.25">
      <c r="B1052" t="s">
        <v>465</v>
      </c>
      <c r="C1052" t="s">
        <v>570</v>
      </c>
      <c r="D1052" t="s">
        <v>690</v>
      </c>
      <c r="E1052" s="35">
        <v>0.9</v>
      </c>
      <c r="F1052" s="35">
        <v>7.2</v>
      </c>
      <c r="G1052" s="36">
        <v>2.9076999999999999E-2</v>
      </c>
      <c r="H1052" s="18">
        <v>52.337932000000002</v>
      </c>
      <c r="I1052" s="16"/>
      <c r="J1052" s="16"/>
      <c r="K1052" s="16"/>
      <c r="L1052" s="37" t="s">
        <v>107</v>
      </c>
      <c r="M1052" s="37"/>
      <c r="N1052" s="37">
        <v>546</v>
      </c>
      <c r="O1052" s="37"/>
      <c r="P1052" s="37"/>
      <c r="Q1052" s="18">
        <v>0.31984699999999999</v>
      </c>
      <c r="R1052" s="18">
        <v>2.1807749999999998E-3</v>
      </c>
      <c r="S1052" s="18">
        <v>0.61061699999999997</v>
      </c>
      <c r="T1052" s="18">
        <v>2.61693</v>
      </c>
      <c r="U1052" s="18">
        <v>1.308465</v>
      </c>
      <c r="V1052" s="18">
        <v>16.748352000000001</v>
      </c>
      <c r="W1052" s="18">
        <v>15.70158</v>
      </c>
      <c r="X1052" s="18">
        <v>10.46772</v>
      </c>
      <c r="Y1052" s="18">
        <v>0.46523199999999998</v>
      </c>
      <c r="Z1052" s="18">
        <v>2.0644670000000001</v>
      </c>
      <c r="AA1052" s="18">
        <v>3.0240079999999998</v>
      </c>
      <c r="AB1052" s="18">
        <v>5.3792450000000001</v>
      </c>
      <c r="AC1052" s="18">
        <v>1.657389</v>
      </c>
      <c r="AD1052" s="18">
        <v>8.7230999999999987</v>
      </c>
    </row>
    <row r="1053" spans="2:30" x14ac:dyDescent="0.25">
      <c r="B1053" t="s">
        <v>110</v>
      </c>
      <c r="C1053" t="s">
        <v>570</v>
      </c>
      <c r="D1053" t="s">
        <v>691</v>
      </c>
      <c r="E1053" s="35">
        <v>0.9</v>
      </c>
      <c r="F1053" s="35">
        <v>22</v>
      </c>
      <c r="G1053" s="36">
        <v>0.249671</v>
      </c>
      <c r="H1053" s="18">
        <v>449.40819699999997</v>
      </c>
      <c r="I1053" s="16">
        <v>0</v>
      </c>
      <c r="J1053" s="16"/>
      <c r="K1053" s="16"/>
      <c r="L1053" s="37" t="s">
        <v>107</v>
      </c>
      <c r="M1053" s="37"/>
      <c r="N1053" s="37">
        <v>547</v>
      </c>
      <c r="O1053" s="37"/>
      <c r="P1053" s="37"/>
      <c r="Q1053" s="18">
        <v>2.746381</v>
      </c>
      <c r="R1053" s="18">
        <v>1.8725325000000001E-2</v>
      </c>
      <c r="S1053" s="18">
        <v>5.2430909999999997</v>
      </c>
      <c r="T1053" s="18">
        <v>22.470390000000002</v>
      </c>
      <c r="U1053" s="18">
        <v>11.235195000000001</v>
      </c>
      <c r="V1053" s="18">
        <v>143.810496</v>
      </c>
      <c r="W1053" s="18">
        <v>134.82234</v>
      </c>
      <c r="X1053" s="18">
        <v>89.881560000000007</v>
      </c>
      <c r="Y1053" s="18">
        <v>3.9947360000000001</v>
      </c>
      <c r="Z1053" s="18">
        <v>17.726641000000001</v>
      </c>
      <c r="AA1053" s="18">
        <v>25.965783999999999</v>
      </c>
      <c r="AB1053" s="18">
        <v>46.189135</v>
      </c>
      <c r="AC1053" s="18">
        <v>14.231247</v>
      </c>
      <c r="AD1053" s="18">
        <v>74.901300000000006</v>
      </c>
    </row>
    <row r="1054" spans="2:30" x14ac:dyDescent="0.25">
      <c r="B1054" t="s">
        <v>465</v>
      </c>
      <c r="C1054" t="s">
        <v>570</v>
      </c>
      <c r="D1054" t="s">
        <v>692</v>
      </c>
      <c r="E1054" s="35">
        <v>0.9</v>
      </c>
      <c r="F1054" s="35">
        <v>7.2</v>
      </c>
      <c r="G1054" s="36">
        <v>9.4118999999999994E-2</v>
      </c>
      <c r="H1054" s="18">
        <v>169.41416599999999</v>
      </c>
      <c r="I1054" s="16"/>
      <c r="J1054" s="16"/>
      <c r="K1054" s="16"/>
      <c r="L1054" s="37" t="s">
        <v>107</v>
      </c>
      <c r="M1054" s="37"/>
      <c r="N1054" s="37">
        <v>548</v>
      </c>
      <c r="O1054" s="37"/>
      <c r="P1054" s="37"/>
      <c r="Q1054" s="18">
        <v>1.035309</v>
      </c>
      <c r="R1054" s="18">
        <v>7.0589249999999989E-3</v>
      </c>
      <c r="S1054" s="18">
        <v>1.9764989999999998</v>
      </c>
      <c r="T1054" s="18">
        <v>8.4707099999999986</v>
      </c>
      <c r="U1054" s="18">
        <v>4.2353549999999993</v>
      </c>
      <c r="V1054" s="18">
        <v>54.212543999999994</v>
      </c>
      <c r="W1054" s="18">
        <v>50.824259999999995</v>
      </c>
      <c r="X1054" s="18">
        <v>33.882839999999995</v>
      </c>
      <c r="Y1054" s="18">
        <v>1.5059039999999999</v>
      </c>
      <c r="Z1054" s="18">
        <v>6.6824489999999992</v>
      </c>
      <c r="AA1054" s="18">
        <v>9.7883759999999995</v>
      </c>
      <c r="AB1054" s="18">
        <v>17.412015</v>
      </c>
      <c r="AC1054" s="18">
        <v>5.3647830000000001</v>
      </c>
      <c r="AD1054" s="18">
        <v>28.235699999999998</v>
      </c>
    </row>
    <row r="1055" spans="2:30" x14ac:dyDescent="0.25">
      <c r="B1055" t="s">
        <v>104</v>
      </c>
      <c r="C1055" t="s">
        <v>570</v>
      </c>
      <c r="D1055" t="s">
        <v>693</v>
      </c>
      <c r="E1055" s="35">
        <v>0.9</v>
      </c>
      <c r="F1055" s="35">
        <v>68</v>
      </c>
      <c r="G1055" s="36">
        <v>1.3218669999999999</v>
      </c>
      <c r="H1055" s="18">
        <v>2379.3611719999999</v>
      </c>
      <c r="I1055" s="16">
        <v>0</v>
      </c>
      <c r="J1055" s="16"/>
      <c r="K1055" s="16"/>
      <c r="L1055" s="37" t="s">
        <v>107</v>
      </c>
      <c r="M1055" s="37"/>
      <c r="N1055" s="37">
        <v>549</v>
      </c>
      <c r="O1055" s="37"/>
      <c r="P1055" s="37"/>
      <c r="Q1055" s="18">
        <v>14.540536999999999</v>
      </c>
      <c r="R1055" s="18">
        <v>9.9140024999999993E-2</v>
      </c>
      <c r="S1055" s="18">
        <v>27.759206999999996</v>
      </c>
      <c r="T1055" s="18">
        <v>118.96802999999998</v>
      </c>
      <c r="U1055" s="18">
        <v>59.484014999999992</v>
      </c>
      <c r="V1055" s="18">
        <v>761.3953919999999</v>
      </c>
      <c r="W1055" s="18">
        <v>713.80817999999999</v>
      </c>
      <c r="X1055" s="18">
        <v>475.87211999999994</v>
      </c>
      <c r="Y1055" s="18">
        <v>21.149871999999998</v>
      </c>
      <c r="Z1055" s="18">
        <v>93.85255699999999</v>
      </c>
      <c r="AA1055" s="18">
        <v>137.47416799999999</v>
      </c>
      <c r="AB1055" s="18">
        <v>244.54539499999998</v>
      </c>
      <c r="AC1055" s="18">
        <v>75.346418999999997</v>
      </c>
      <c r="AD1055" s="18">
        <v>396.56009999999998</v>
      </c>
    </row>
    <row r="1056" spans="2:30" x14ac:dyDescent="0.25">
      <c r="B1056" t="s">
        <v>108</v>
      </c>
      <c r="C1056" t="s">
        <v>570</v>
      </c>
      <c r="D1056" t="s">
        <v>694</v>
      </c>
      <c r="E1056" s="35">
        <v>0.9</v>
      </c>
      <c r="F1056" s="35">
        <v>16</v>
      </c>
      <c r="G1056" s="36">
        <v>2.7999E-2</v>
      </c>
      <c r="H1056" s="18">
        <v>50.397948999999997</v>
      </c>
      <c r="I1056" s="16">
        <v>0</v>
      </c>
      <c r="J1056" s="16"/>
      <c r="K1056" s="16"/>
      <c r="L1056" s="37" t="s">
        <v>107</v>
      </c>
      <c r="M1056" s="37"/>
      <c r="N1056" s="37">
        <v>550</v>
      </c>
      <c r="O1056" s="37"/>
      <c r="P1056" s="37"/>
      <c r="Q1056" s="18">
        <v>0.30798900000000001</v>
      </c>
      <c r="R1056" s="18">
        <v>2.0999249999999999E-3</v>
      </c>
      <c r="S1056" s="18">
        <v>0.58797900000000003</v>
      </c>
      <c r="T1056" s="18">
        <v>2.5199099999999999</v>
      </c>
      <c r="U1056" s="18">
        <v>1.2599549999999999</v>
      </c>
      <c r="V1056" s="18">
        <v>16.127424000000001</v>
      </c>
      <c r="W1056" s="18">
        <v>15.11946</v>
      </c>
      <c r="X1056" s="18">
        <v>10.079639999999999</v>
      </c>
      <c r="Y1056" s="18">
        <v>0.44798399999999999</v>
      </c>
      <c r="Z1056" s="18">
        <v>1.9879290000000001</v>
      </c>
      <c r="AA1056" s="18">
        <v>2.911896</v>
      </c>
      <c r="AB1056" s="18">
        <v>5.1798149999999996</v>
      </c>
      <c r="AC1056" s="18">
        <v>1.5959429999999999</v>
      </c>
      <c r="AD1056" s="18">
        <v>8.3996999999999993</v>
      </c>
    </row>
    <row r="1057" spans="2:30" x14ac:dyDescent="0.25">
      <c r="B1057" t="s">
        <v>465</v>
      </c>
      <c r="C1057" t="s">
        <v>695</v>
      </c>
      <c r="D1057" t="s">
        <v>696</v>
      </c>
      <c r="E1057" s="35">
        <v>0.9</v>
      </c>
      <c r="F1057" s="35">
        <v>7.2</v>
      </c>
      <c r="G1057" s="36">
        <v>3.9793000000000002E-2</v>
      </c>
      <c r="H1057" s="18">
        <v>71.627386999999999</v>
      </c>
      <c r="I1057" s="16"/>
      <c r="J1057" s="16"/>
      <c r="K1057" s="16"/>
      <c r="L1057" s="37" t="s">
        <v>107</v>
      </c>
      <c r="M1057" s="37"/>
      <c r="N1057" s="37">
        <v>587</v>
      </c>
      <c r="O1057" s="37"/>
      <c r="P1057" s="37"/>
      <c r="Q1057" s="18">
        <v>0.43772300000000003</v>
      </c>
      <c r="R1057" s="18">
        <v>2.9844749999999999E-3</v>
      </c>
      <c r="S1057" s="18">
        <v>0.83565300000000009</v>
      </c>
      <c r="T1057" s="18">
        <v>3.5813700000000002</v>
      </c>
      <c r="U1057" s="18">
        <v>1.7906850000000001</v>
      </c>
      <c r="V1057" s="18">
        <v>22.920768000000002</v>
      </c>
      <c r="W1057" s="18">
        <v>21.488220000000002</v>
      </c>
      <c r="X1057" s="18">
        <v>14.325480000000001</v>
      </c>
      <c r="Y1057" s="18">
        <v>0.63668800000000003</v>
      </c>
      <c r="Z1057" s="18">
        <v>2.8253030000000003</v>
      </c>
      <c r="AA1057" s="18">
        <v>4.1384720000000002</v>
      </c>
      <c r="AB1057" s="18">
        <v>7.3617050000000006</v>
      </c>
      <c r="AC1057" s="18">
        <v>2.2682009999999999</v>
      </c>
      <c r="AD1057" s="18">
        <v>11.937900000000001</v>
      </c>
    </row>
    <row r="1058" spans="2:30" x14ac:dyDescent="0.25">
      <c r="B1058" t="s">
        <v>465</v>
      </c>
      <c r="C1058" t="s">
        <v>695</v>
      </c>
      <c r="D1058" t="s">
        <v>696</v>
      </c>
      <c r="E1058" s="35">
        <v>0.9</v>
      </c>
      <c r="F1058" s="35">
        <v>7.2</v>
      </c>
      <c r="G1058" s="36">
        <v>3.9793000000000002E-2</v>
      </c>
      <c r="H1058" s="18">
        <v>71.627386999999999</v>
      </c>
      <c r="I1058" s="16"/>
      <c r="J1058" s="16"/>
      <c r="K1058" s="16"/>
      <c r="L1058" s="37" t="s">
        <v>107</v>
      </c>
      <c r="M1058" s="37"/>
      <c r="N1058" s="37">
        <v>588</v>
      </c>
      <c r="O1058" s="37"/>
      <c r="P1058" s="37"/>
      <c r="Q1058" s="18">
        <v>0.43772300000000003</v>
      </c>
      <c r="R1058" s="18">
        <v>2.9844749999999999E-3</v>
      </c>
      <c r="S1058" s="18">
        <v>0.83565300000000009</v>
      </c>
      <c r="T1058" s="18">
        <v>3.5813700000000002</v>
      </c>
      <c r="U1058" s="18">
        <v>1.7906850000000001</v>
      </c>
      <c r="V1058" s="18">
        <v>22.920768000000002</v>
      </c>
      <c r="W1058" s="18">
        <v>21.488220000000002</v>
      </c>
      <c r="X1058" s="18">
        <v>14.325480000000001</v>
      </c>
      <c r="Y1058" s="18">
        <v>0.63668800000000003</v>
      </c>
      <c r="Z1058" s="18">
        <v>2.8253030000000003</v>
      </c>
      <c r="AA1058" s="18">
        <v>4.1384720000000002</v>
      </c>
      <c r="AB1058" s="18">
        <v>7.3617050000000006</v>
      </c>
      <c r="AC1058" s="18">
        <v>2.2682009999999999</v>
      </c>
      <c r="AD1058" s="18">
        <v>11.937900000000001</v>
      </c>
    </row>
    <row r="1059" spans="2:30" x14ac:dyDescent="0.25">
      <c r="B1059" t="s">
        <v>465</v>
      </c>
      <c r="C1059" t="s">
        <v>695</v>
      </c>
      <c r="D1059" t="s">
        <v>697</v>
      </c>
      <c r="E1059" s="35">
        <v>0.9</v>
      </c>
      <c r="F1059" s="35">
        <v>7.2</v>
      </c>
      <c r="G1059" s="36">
        <v>0.11479200000000001</v>
      </c>
      <c r="H1059" s="18">
        <v>206.626037</v>
      </c>
      <c r="I1059" s="16"/>
      <c r="J1059" s="16"/>
      <c r="K1059" s="16"/>
      <c r="L1059" s="37" t="s">
        <v>107</v>
      </c>
      <c r="M1059" s="37"/>
      <c r="N1059" s="37">
        <v>589</v>
      </c>
      <c r="O1059" s="37"/>
      <c r="P1059" s="37"/>
      <c r="Q1059" s="18">
        <v>1.2627120000000001</v>
      </c>
      <c r="R1059" s="18">
        <v>8.6093999999999997E-3</v>
      </c>
      <c r="S1059" s="18">
        <v>2.4106320000000001</v>
      </c>
      <c r="T1059" s="18">
        <v>10.33128</v>
      </c>
      <c r="U1059" s="18">
        <v>5.1656399999999998</v>
      </c>
      <c r="V1059" s="18">
        <v>66.120192000000003</v>
      </c>
      <c r="W1059" s="18">
        <v>61.987680000000005</v>
      </c>
      <c r="X1059" s="18">
        <v>41.325119999999998</v>
      </c>
      <c r="Y1059" s="18">
        <v>1.8366720000000001</v>
      </c>
      <c r="Z1059" s="18">
        <v>8.1502320000000008</v>
      </c>
      <c r="AA1059" s="18">
        <v>11.938368000000001</v>
      </c>
      <c r="AB1059" s="18">
        <v>21.236520000000002</v>
      </c>
      <c r="AC1059" s="18">
        <v>6.5431439999999998</v>
      </c>
      <c r="AD1059" s="18">
        <v>34.437600000000003</v>
      </c>
    </row>
    <row r="1060" spans="2:30" x14ac:dyDescent="0.25">
      <c r="B1060" t="s">
        <v>160</v>
      </c>
      <c r="C1060" t="s">
        <v>695</v>
      </c>
      <c r="D1060" t="s">
        <v>698</v>
      </c>
      <c r="E1060" s="35">
        <v>0.9</v>
      </c>
      <c r="F1060" s="35">
        <v>31</v>
      </c>
      <c r="G1060" s="36">
        <v>0.52122599999999997</v>
      </c>
      <c r="H1060" s="18">
        <v>938.20606399999997</v>
      </c>
      <c r="I1060" s="16">
        <v>0</v>
      </c>
      <c r="J1060" s="16"/>
      <c r="K1060" s="16"/>
      <c r="L1060" s="37" t="s">
        <v>107</v>
      </c>
      <c r="M1060" s="37"/>
      <c r="N1060" s="37">
        <v>590</v>
      </c>
      <c r="O1060" s="37"/>
      <c r="P1060" s="37"/>
      <c r="Q1060" s="18">
        <v>5.7334859999999992</v>
      </c>
      <c r="R1060" s="18">
        <v>3.9091949999999993E-2</v>
      </c>
      <c r="S1060" s="18">
        <v>10.945746</v>
      </c>
      <c r="T1060" s="18">
        <v>46.910339999999998</v>
      </c>
      <c r="U1060" s="18">
        <v>23.455169999999999</v>
      </c>
      <c r="V1060" s="18">
        <v>300.22617600000001</v>
      </c>
      <c r="W1060" s="18">
        <v>281.46204</v>
      </c>
      <c r="X1060" s="18">
        <v>187.64135999999999</v>
      </c>
      <c r="Y1060" s="18">
        <v>8.3396159999999995</v>
      </c>
      <c r="Z1060" s="18">
        <v>37.007045999999995</v>
      </c>
      <c r="AA1060" s="18">
        <v>54.207504</v>
      </c>
      <c r="AB1060" s="18">
        <v>96.426809999999989</v>
      </c>
      <c r="AC1060" s="18">
        <v>29.709881999999997</v>
      </c>
      <c r="AD1060" s="18">
        <v>156.36779999999999</v>
      </c>
    </row>
    <row r="1061" spans="2:30" x14ac:dyDescent="0.25">
      <c r="B1061" t="s">
        <v>465</v>
      </c>
      <c r="C1061" t="s">
        <v>695</v>
      </c>
      <c r="D1061" t="s">
        <v>698</v>
      </c>
      <c r="E1061" s="35">
        <v>0.9</v>
      </c>
      <c r="F1061" s="35">
        <v>7.2</v>
      </c>
      <c r="G1061" s="36">
        <v>0.121059</v>
      </c>
      <c r="H1061" s="18">
        <v>217.905925</v>
      </c>
      <c r="I1061" s="16"/>
      <c r="J1061" s="16"/>
      <c r="K1061" s="16"/>
      <c r="L1061" s="37" t="s">
        <v>107</v>
      </c>
      <c r="M1061" s="37"/>
      <c r="N1061" s="37">
        <v>591</v>
      </c>
      <c r="O1061" s="37"/>
      <c r="P1061" s="37"/>
      <c r="Q1061" s="18">
        <v>1.3316490000000001</v>
      </c>
      <c r="R1061" s="18">
        <v>9.0794250000000003E-3</v>
      </c>
      <c r="S1061" s="18">
        <v>2.5422389999999999</v>
      </c>
      <c r="T1061" s="18">
        <v>10.89531</v>
      </c>
      <c r="U1061" s="18">
        <v>5.4476550000000001</v>
      </c>
      <c r="V1061" s="18">
        <v>69.729984000000002</v>
      </c>
      <c r="W1061" s="18">
        <v>65.371859999999998</v>
      </c>
      <c r="X1061" s="18">
        <v>43.581240000000001</v>
      </c>
      <c r="Y1061" s="18">
        <v>1.936944</v>
      </c>
      <c r="Z1061" s="18">
        <v>8.5951889999999995</v>
      </c>
      <c r="AA1061" s="18">
        <v>12.590135999999999</v>
      </c>
      <c r="AB1061" s="18">
        <v>22.395914999999999</v>
      </c>
      <c r="AC1061" s="18">
        <v>6.9003629999999996</v>
      </c>
      <c r="AD1061" s="18">
        <v>36.317700000000002</v>
      </c>
    </row>
    <row r="1062" spans="2:30" x14ac:dyDescent="0.25">
      <c r="B1062" t="s">
        <v>699</v>
      </c>
      <c r="C1062" t="s">
        <v>695</v>
      </c>
      <c r="D1062" t="s">
        <v>700</v>
      </c>
      <c r="E1062" s="35">
        <v>0.9</v>
      </c>
      <c r="F1062" s="35">
        <v>9.8000000000000007</v>
      </c>
      <c r="G1062" s="36">
        <v>5.6749000000000001E-2</v>
      </c>
      <c r="H1062" s="18">
        <v>102.147786</v>
      </c>
      <c r="I1062" s="16"/>
      <c r="J1062" s="16"/>
      <c r="K1062" s="16"/>
      <c r="L1062" s="37" t="s">
        <v>107</v>
      </c>
      <c r="M1062" s="37"/>
      <c r="N1062" s="37">
        <v>592</v>
      </c>
      <c r="O1062" s="37"/>
      <c r="P1062" s="37"/>
      <c r="Q1062" s="18">
        <v>0.62423899999999999</v>
      </c>
      <c r="R1062" s="18">
        <v>4.2561750000000001E-3</v>
      </c>
      <c r="S1062" s="18">
        <v>1.191729</v>
      </c>
      <c r="T1062" s="18">
        <v>5.1074099999999998</v>
      </c>
      <c r="U1062" s="18">
        <v>2.5537049999999999</v>
      </c>
      <c r="V1062" s="18">
        <v>32.687424</v>
      </c>
      <c r="W1062" s="18">
        <v>30.644459999999999</v>
      </c>
      <c r="X1062" s="18">
        <v>20.429639999999999</v>
      </c>
      <c r="Y1062" s="18">
        <v>0.90798400000000001</v>
      </c>
      <c r="Z1062" s="18">
        <v>4.0291790000000001</v>
      </c>
      <c r="AA1062" s="18">
        <v>5.9018959999999998</v>
      </c>
      <c r="AB1062" s="18">
        <v>10.498565000000001</v>
      </c>
      <c r="AC1062" s="18">
        <v>3.234693</v>
      </c>
      <c r="AD1062" s="18">
        <v>17.024699999999999</v>
      </c>
    </row>
    <row r="1063" spans="2:30" x14ac:dyDescent="0.25">
      <c r="B1063" t="s">
        <v>465</v>
      </c>
      <c r="C1063" t="s">
        <v>695</v>
      </c>
      <c r="D1063" t="s">
        <v>701</v>
      </c>
      <c r="E1063" s="35">
        <v>0.9</v>
      </c>
      <c r="F1063" s="35">
        <v>7.2</v>
      </c>
      <c r="G1063" s="36">
        <v>4.0425999999999997E-2</v>
      </c>
      <c r="H1063" s="18">
        <v>72.767375999999999</v>
      </c>
      <c r="I1063" s="16"/>
      <c r="J1063" s="16"/>
      <c r="K1063" s="16"/>
      <c r="L1063" s="37" t="s">
        <v>107</v>
      </c>
      <c r="M1063" s="37"/>
      <c r="N1063" s="37">
        <v>593</v>
      </c>
      <c r="O1063" s="37"/>
      <c r="P1063" s="37"/>
      <c r="Q1063" s="18">
        <v>0.44468599999999997</v>
      </c>
      <c r="R1063" s="18">
        <v>3.0319499999999998E-3</v>
      </c>
      <c r="S1063" s="18">
        <v>0.84894599999999998</v>
      </c>
      <c r="T1063" s="18">
        <v>3.6383399999999999</v>
      </c>
      <c r="U1063" s="18">
        <v>1.81917</v>
      </c>
      <c r="V1063" s="18">
        <v>23.285375999999999</v>
      </c>
      <c r="W1063" s="18">
        <v>21.830039999999997</v>
      </c>
      <c r="X1063" s="18">
        <v>14.55336</v>
      </c>
      <c r="Y1063" s="18">
        <v>0.64681599999999995</v>
      </c>
      <c r="Z1063" s="18">
        <v>2.8702459999999999</v>
      </c>
      <c r="AA1063" s="18">
        <v>4.2043039999999996</v>
      </c>
      <c r="AB1063" s="18">
        <v>7.4788099999999993</v>
      </c>
      <c r="AC1063" s="18">
        <v>2.3042819999999997</v>
      </c>
      <c r="AD1063" s="18">
        <v>12.127799999999999</v>
      </c>
    </row>
    <row r="1064" spans="2:30" x14ac:dyDescent="0.25">
      <c r="B1064" t="s">
        <v>465</v>
      </c>
      <c r="C1064" t="s">
        <v>695</v>
      </c>
      <c r="D1064" t="s">
        <v>702</v>
      </c>
      <c r="E1064" s="35">
        <v>0.9</v>
      </c>
      <c r="F1064" s="35">
        <v>7.2</v>
      </c>
      <c r="G1064" s="36">
        <v>4.0126000000000002E-2</v>
      </c>
      <c r="H1064" s="18">
        <v>72.227380999999994</v>
      </c>
      <c r="I1064" s="16"/>
      <c r="J1064" s="16"/>
      <c r="K1064" s="16"/>
      <c r="L1064" s="37" t="s">
        <v>107</v>
      </c>
      <c r="M1064" s="37"/>
      <c r="N1064" s="37">
        <v>594</v>
      </c>
      <c r="O1064" s="37"/>
      <c r="P1064" s="37"/>
      <c r="Q1064" s="18">
        <v>0.441386</v>
      </c>
      <c r="R1064" s="18">
        <v>3.0094499999999999E-3</v>
      </c>
      <c r="S1064" s="18">
        <v>0.84264600000000001</v>
      </c>
      <c r="T1064" s="18">
        <v>3.6113400000000002</v>
      </c>
      <c r="U1064" s="18">
        <v>1.8056700000000001</v>
      </c>
      <c r="V1064" s="18">
        <v>23.112576000000001</v>
      </c>
      <c r="W1064" s="18">
        <v>21.668040000000001</v>
      </c>
      <c r="X1064" s="18">
        <v>14.445360000000001</v>
      </c>
      <c r="Y1064" s="18">
        <v>0.64201600000000003</v>
      </c>
      <c r="Z1064" s="18">
        <v>2.8489460000000002</v>
      </c>
      <c r="AA1064" s="18">
        <v>4.1731040000000004</v>
      </c>
      <c r="AB1064" s="18">
        <v>7.4233100000000007</v>
      </c>
      <c r="AC1064" s="18">
        <v>2.287182</v>
      </c>
      <c r="AD1064" s="18">
        <v>12.037800000000001</v>
      </c>
    </row>
    <row r="1065" spans="2:30" x14ac:dyDescent="0.25">
      <c r="E1065" s="38" t="s">
        <v>797</v>
      </c>
      <c r="F1065" s="38"/>
      <c r="G1065" s="39">
        <f>SUM(G7:G1064)</f>
        <v>400.8979510000006</v>
      </c>
      <c r="H1065" s="40">
        <f>SUM(H7:H1064)</f>
        <v>750834.17410200043</v>
      </c>
      <c r="I1065" s="41"/>
      <c r="J1065" s="41"/>
      <c r="K1065" s="41"/>
      <c r="L1065" s="42"/>
      <c r="M1065" s="42"/>
      <c r="N1065" s="42"/>
      <c r="O1065" s="42"/>
      <c r="P1065" s="42"/>
      <c r="Q1065" s="40">
        <f>SUM(Q7:Q1064)</f>
        <v>4409.8774610000046</v>
      </c>
      <c r="R1065" s="40">
        <f>SUM(R7:R1064)</f>
        <v>30.067346325000017</v>
      </c>
      <c r="S1065" s="40">
        <f>SUM(S7:S1064)</f>
        <v>8418.8569709999683</v>
      </c>
      <c r="T1065" s="40">
        <f>SUM(T7:T1064)</f>
        <v>36080.815590000006</v>
      </c>
      <c r="U1065" s="40">
        <f>SUM(U7:U1064)</f>
        <v>18040.407795000003</v>
      </c>
      <c r="V1065" s="40">
        <f>SUM(V7:V1064)</f>
        <v>230917.21977599966</v>
      </c>
      <c r="W1065" s="40">
        <f>SUM(W7:W1064)</f>
        <v>216484.8935399997</v>
      </c>
      <c r="X1065" s="40">
        <f>SUM(X7:X1064)</f>
        <v>144323.26236000002</v>
      </c>
      <c r="Y1065" s="40">
        <f>SUM(Y7:Y1064)</f>
        <v>6414.3672160000096</v>
      </c>
      <c r="Z1065" s="40">
        <f>SUM(Z7:Z1064)</f>
        <v>28463.754521000021</v>
      </c>
      <c r="AA1065" s="40">
        <f>SUM(AA7:AA1064)</f>
        <v>41693.38690399997</v>
      </c>
      <c r="AB1065" s="40">
        <f>SUM(AB7:AB1064)</f>
        <v>74166.120934999912</v>
      </c>
      <c r="AC1065" s="40">
        <f>SUM(AC7:AC1064)</f>
        <v>22851.183206999991</v>
      </c>
      <c r="AD1065" s="40">
        <f>SUM(AD7:AD1064)</f>
        <v>120269.38530000008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AD43"/>
  <sheetViews>
    <sheetView showGridLines="0" workbookViewId="0">
      <selection activeCell="P30" sqref="P30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9.5703125" customWidth="1"/>
    <col min="7" max="7" width="16.42578125" style="16" customWidth="1"/>
    <col min="8" max="8" width="14.28515625" style="16" customWidth="1"/>
    <col min="9" max="9" width="21.140625" customWidth="1"/>
    <col min="10" max="10" width="18.140625" customWidth="1"/>
    <col min="11" max="11" width="14.42578125" customWidth="1"/>
    <col min="13" max="13" width="12.7109375" customWidth="1"/>
    <col min="14" max="14" width="15.85546875" customWidth="1"/>
    <col min="15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703</v>
      </c>
      <c r="F4" t="s">
        <v>95</v>
      </c>
      <c r="G4" t="s">
        <v>96</v>
      </c>
      <c r="H4" t="s">
        <v>97</v>
      </c>
      <c r="I4" t="s">
        <v>29</v>
      </c>
      <c r="J4" t="s">
        <v>30</v>
      </c>
      <c r="K4" t="s">
        <v>31</v>
      </c>
      <c r="L4" t="s">
        <v>98</v>
      </c>
      <c r="M4" t="s">
        <v>99</v>
      </c>
      <c r="N4" t="s">
        <v>100</v>
      </c>
    </row>
    <row r="5" spans="2:30" x14ac:dyDescent="0.25">
      <c r="B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 t="s">
        <v>101</v>
      </c>
      <c r="J5" t="s">
        <v>102</v>
      </c>
      <c r="K5" t="s">
        <v>103</v>
      </c>
      <c r="L5" t="s">
        <v>39</v>
      </c>
      <c r="M5" t="s">
        <v>40</v>
      </c>
      <c r="N5" t="s">
        <v>41</v>
      </c>
      <c r="O5" t="s">
        <v>798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365</v>
      </c>
      <c r="C7" t="s">
        <v>704</v>
      </c>
      <c r="D7" t="s">
        <v>705</v>
      </c>
      <c r="E7" s="35">
        <v>1.8</v>
      </c>
      <c r="F7" s="35">
        <v>27.48</v>
      </c>
      <c r="G7" s="36">
        <v>0.273565</v>
      </c>
      <c r="H7" s="18">
        <v>984.83358099999998</v>
      </c>
      <c r="I7" s="16"/>
      <c r="J7" s="16"/>
      <c r="K7" s="16"/>
      <c r="L7" s="37" t="s">
        <v>706</v>
      </c>
      <c r="M7" s="37">
        <v>551</v>
      </c>
      <c r="N7" s="37"/>
      <c r="O7" s="37"/>
      <c r="P7" s="37"/>
      <c r="Q7" s="18">
        <v>3.0092150000000002</v>
      </c>
      <c r="R7" s="18">
        <v>2.0517375000000001E-2</v>
      </c>
      <c r="S7" s="18">
        <v>5.7448649999999999</v>
      </c>
      <c r="T7" s="18">
        <v>24.620850000000001</v>
      </c>
      <c r="U7" s="18">
        <v>12.310425</v>
      </c>
      <c r="V7" s="18">
        <v>157.57344000000001</v>
      </c>
      <c r="W7" s="18">
        <v>147.7251</v>
      </c>
      <c r="X7" s="18">
        <v>98.483400000000003</v>
      </c>
      <c r="Y7" s="18">
        <v>4.37704</v>
      </c>
      <c r="Z7" s="18">
        <v>19.423114999999999</v>
      </c>
      <c r="AA7" s="18">
        <v>28.450759999999999</v>
      </c>
      <c r="AB7" s="18">
        <v>50.609524999999998</v>
      </c>
      <c r="AC7" s="18">
        <v>15.593204999999999</v>
      </c>
      <c r="AD7" s="18">
        <v>82.069500000000005</v>
      </c>
    </row>
    <row r="8" spans="2:30" x14ac:dyDescent="0.25">
      <c r="B8" t="s">
        <v>365</v>
      </c>
      <c r="C8" t="s">
        <v>704</v>
      </c>
      <c r="D8" t="s">
        <v>707</v>
      </c>
      <c r="E8" s="35">
        <v>1.8</v>
      </c>
      <c r="F8" s="35">
        <v>27.48</v>
      </c>
      <c r="G8" s="36">
        <v>0.27243800000000001</v>
      </c>
      <c r="H8" s="18">
        <v>980.77740100000005</v>
      </c>
      <c r="I8" s="16"/>
      <c r="J8" s="16"/>
      <c r="K8" s="16"/>
      <c r="L8" s="37" t="s">
        <v>706</v>
      </c>
      <c r="M8" s="37">
        <v>552</v>
      </c>
      <c r="N8" s="37"/>
      <c r="O8" s="37"/>
      <c r="P8" s="37"/>
      <c r="Q8" s="18">
        <v>2.9968180000000002</v>
      </c>
      <c r="R8" s="18">
        <v>2.0432849999999999E-2</v>
      </c>
      <c r="S8" s="18">
        <v>5.7211980000000002</v>
      </c>
      <c r="T8" s="18">
        <v>24.51942</v>
      </c>
      <c r="U8" s="18">
        <v>12.25971</v>
      </c>
      <c r="V8" s="18">
        <v>156.92428800000002</v>
      </c>
      <c r="W8" s="18">
        <v>147.11652000000001</v>
      </c>
      <c r="X8" s="18">
        <v>98.077680000000001</v>
      </c>
      <c r="Y8" s="18">
        <v>4.3590080000000002</v>
      </c>
      <c r="Z8" s="18">
        <v>19.343098000000001</v>
      </c>
      <c r="AA8" s="18">
        <v>28.333552000000001</v>
      </c>
      <c r="AB8" s="18">
        <v>50.401030000000006</v>
      </c>
      <c r="AC8" s="18">
        <v>15.528966</v>
      </c>
      <c r="AD8" s="18">
        <v>81.731400000000008</v>
      </c>
    </row>
    <row r="9" spans="2:30" x14ac:dyDescent="0.25">
      <c r="B9" t="s">
        <v>708</v>
      </c>
      <c r="C9" t="s">
        <v>704</v>
      </c>
      <c r="D9" t="s">
        <v>709</v>
      </c>
      <c r="E9" s="35">
        <v>1.8</v>
      </c>
      <c r="F9" s="35">
        <v>42.3</v>
      </c>
      <c r="G9" s="36">
        <v>0.42221500000000001</v>
      </c>
      <c r="H9" s="18">
        <v>1519.9752940000001</v>
      </c>
      <c r="I9" s="16"/>
      <c r="J9" s="16"/>
      <c r="K9" s="16"/>
      <c r="L9" s="37" t="s">
        <v>706</v>
      </c>
      <c r="M9" s="37">
        <v>553</v>
      </c>
      <c r="N9" s="37"/>
      <c r="O9" s="37"/>
      <c r="P9" s="37"/>
      <c r="Q9" s="18">
        <v>4.6443650000000005</v>
      </c>
      <c r="R9" s="18">
        <v>3.1666124999999996E-2</v>
      </c>
      <c r="S9" s="18">
        <v>8.8665149999999997</v>
      </c>
      <c r="T9" s="18">
        <v>37.99935</v>
      </c>
      <c r="U9" s="18">
        <v>18.999675</v>
      </c>
      <c r="V9" s="18">
        <v>243.19584</v>
      </c>
      <c r="W9" s="18">
        <v>227.99610000000001</v>
      </c>
      <c r="X9" s="18">
        <v>151.9974</v>
      </c>
      <c r="Y9" s="18">
        <v>6.7554400000000001</v>
      </c>
      <c r="Z9" s="18">
        <v>29.977264999999999</v>
      </c>
      <c r="AA9" s="18">
        <v>43.910359999999997</v>
      </c>
      <c r="AB9" s="18">
        <v>78.109774999999999</v>
      </c>
      <c r="AC9" s="18">
        <v>24.066255000000002</v>
      </c>
      <c r="AD9" s="18">
        <v>126.6645</v>
      </c>
    </row>
    <row r="10" spans="2:30" x14ac:dyDescent="0.25">
      <c r="B10" t="s">
        <v>710</v>
      </c>
      <c r="C10" t="s">
        <v>704</v>
      </c>
      <c r="D10" t="s">
        <v>711</v>
      </c>
      <c r="E10" s="35">
        <v>1.8</v>
      </c>
      <c r="F10" s="35">
        <v>35.24</v>
      </c>
      <c r="G10" s="36">
        <v>0.30654900000000002</v>
      </c>
      <c r="H10" s="18">
        <v>1103.5755859999999</v>
      </c>
      <c r="I10" s="16"/>
      <c r="J10" s="16"/>
      <c r="K10" s="16"/>
      <c r="L10" s="37" t="s">
        <v>706</v>
      </c>
      <c r="M10" s="37">
        <v>554</v>
      </c>
      <c r="N10" s="37"/>
      <c r="O10" s="37"/>
      <c r="P10" s="37"/>
      <c r="Q10" s="18">
        <v>3.372039</v>
      </c>
      <c r="R10" s="18">
        <v>2.2991174999999999E-2</v>
      </c>
      <c r="S10" s="18">
        <v>6.4375290000000005</v>
      </c>
      <c r="T10" s="18">
        <v>27.589410000000001</v>
      </c>
      <c r="U10" s="18">
        <v>13.794705</v>
      </c>
      <c r="V10" s="18">
        <v>176.57222400000001</v>
      </c>
      <c r="W10" s="18">
        <v>165.53646000000001</v>
      </c>
      <c r="X10" s="18">
        <v>110.35764</v>
      </c>
      <c r="Y10" s="18">
        <v>4.9047840000000003</v>
      </c>
      <c r="Z10" s="18">
        <v>21.764979</v>
      </c>
      <c r="AA10" s="18">
        <v>31.881096000000003</v>
      </c>
      <c r="AB10" s="18">
        <v>56.711565</v>
      </c>
      <c r="AC10" s="18">
        <v>17.473293000000002</v>
      </c>
      <c r="AD10" s="18">
        <v>91.964700000000008</v>
      </c>
    </row>
    <row r="11" spans="2:30" x14ac:dyDescent="0.25">
      <c r="B11" t="s">
        <v>365</v>
      </c>
      <c r="C11" t="s">
        <v>704</v>
      </c>
      <c r="D11" t="s">
        <v>712</v>
      </c>
      <c r="E11" s="35">
        <v>1.8</v>
      </c>
      <c r="F11" s="35">
        <v>27.48</v>
      </c>
      <c r="G11" s="36">
        <v>0.44949499999999998</v>
      </c>
      <c r="H11" s="18">
        <v>1618.1831380000001</v>
      </c>
      <c r="I11" s="16"/>
      <c r="J11" s="16"/>
      <c r="K11" s="16"/>
      <c r="L11" s="37" t="s">
        <v>706</v>
      </c>
      <c r="M11" s="37">
        <v>555</v>
      </c>
      <c r="N11" s="37"/>
      <c r="O11" s="37"/>
      <c r="P11" s="37"/>
      <c r="Q11" s="18">
        <v>4.944445</v>
      </c>
      <c r="R11" s="18">
        <v>3.3712124999999996E-2</v>
      </c>
      <c r="S11" s="18">
        <v>9.4393949999999993</v>
      </c>
      <c r="T11" s="18">
        <v>40.454549999999998</v>
      </c>
      <c r="U11" s="18">
        <v>20.227274999999999</v>
      </c>
      <c r="V11" s="18">
        <v>258.90911999999997</v>
      </c>
      <c r="W11" s="18">
        <v>242.72729999999999</v>
      </c>
      <c r="X11" s="18">
        <v>161.81819999999999</v>
      </c>
      <c r="Y11" s="18">
        <v>7.1919199999999996</v>
      </c>
      <c r="Z11" s="18">
        <v>31.914144999999998</v>
      </c>
      <c r="AA11" s="18">
        <v>46.747479999999996</v>
      </c>
      <c r="AB11" s="18">
        <v>83.156574999999989</v>
      </c>
      <c r="AC11" s="18">
        <v>25.621214999999999</v>
      </c>
      <c r="AD11" s="18">
        <v>134.8485</v>
      </c>
    </row>
    <row r="12" spans="2:30" x14ac:dyDescent="0.25">
      <c r="B12" t="s">
        <v>365</v>
      </c>
      <c r="C12" t="s">
        <v>704</v>
      </c>
      <c r="D12" t="s">
        <v>713</v>
      </c>
      <c r="E12" s="35">
        <v>1.8</v>
      </c>
      <c r="F12" s="35">
        <v>27.48</v>
      </c>
      <c r="G12" s="36">
        <v>0.273482</v>
      </c>
      <c r="H12" s="18">
        <v>984.53512799999999</v>
      </c>
      <c r="I12" s="16"/>
      <c r="J12" s="16"/>
      <c r="K12" s="16"/>
      <c r="L12" s="37" t="s">
        <v>706</v>
      </c>
      <c r="M12" s="37">
        <v>556</v>
      </c>
      <c r="N12" s="37"/>
      <c r="O12" s="37"/>
      <c r="P12" s="37"/>
      <c r="Q12" s="18">
        <v>3.008302</v>
      </c>
      <c r="R12" s="18">
        <v>2.0511149999999999E-2</v>
      </c>
      <c r="S12" s="18">
        <v>5.7431219999999996</v>
      </c>
      <c r="T12" s="18">
        <v>24.613379999999999</v>
      </c>
      <c r="U12" s="18">
        <v>12.30669</v>
      </c>
      <c r="V12" s="18">
        <v>157.525632</v>
      </c>
      <c r="W12" s="18">
        <v>147.68028000000001</v>
      </c>
      <c r="X12" s="18">
        <v>98.453519999999997</v>
      </c>
      <c r="Y12" s="18">
        <v>4.375712</v>
      </c>
      <c r="Z12" s="18">
        <v>19.417221999999999</v>
      </c>
      <c r="AA12" s="18">
        <v>28.442128</v>
      </c>
      <c r="AB12" s="18">
        <v>50.594169999999998</v>
      </c>
      <c r="AC12" s="18">
        <v>15.588474</v>
      </c>
      <c r="AD12" s="18">
        <v>82.044600000000003</v>
      </c>
    </row>
    <row r="13" spans="2:30" x14ac:dyDescent="0.25">
      <c r="B13" t="s">
        <v>365</v>
      </c>
      <c r="C13" t="s">
        <v>704</v>
      </c>
      <c r="D13" t="s">
        <v>714</v>
      </c>
      <c r="E13" s="35">
        <v>1.8</v>
      </c>
      <c r="F13" s="35">
        <v>27.48</v>
      </c>
      <c r="G13" s="36">
        <v>0.27113999999999999</v>
      </c>
      <c r="H13" s="18">
        <v>976.10468100000003</v>
      </c>
      <c r="I13" s="16"/>
      <c r="J13" s="16"/>
      <c r="K13" s="16"/>
      <c r="L13" s="37" t="s">
        <v>706</v>
      </c>
      <c r="M13" s="37">
        <v>557</v>
      </c>
      <c r="N13" s="37"/>
      <c r="O13" s="37"/>
      <c r="P13" s="37"/>
      <c r="Q13" s="18">
        <v>2.9825399999999997</v>
      </c>
      <c r="R13" s="18">
        <v>2.0335499999999999E-2</v>
      </c>
      <c r="S13" s="18">
        <v>5.6939399999999996</v>
      </c>
      <c r="T13" s="18">
        <v>24.4026</v>
      </c>
      <c r="U13" s="18">
        <v>12.2013</v>
      </c>
      <c r="V13" s="18">
        <v>156.17663999999999</v>
      </c>
      <c r="W13" s="18">
        <v>146.41559999999998</v>
      </c>
      <c r="X13" s="18">
        <v>97.610399999999998</v>
      </c>
      <c r="Y13" s="18">
        <v>4.3382399999999999</v>
      </c>
      <c r="Z13" s="18">
        <v>19.25094</v>
      </c>
      <c r="AA13" s="18">
        <v>28.198560000000001</v>
      </c>
      <c r="AB13" s="18">
        <v>50.160899999999998</v>
      </c>
      <c r="AC13" s="18">
        <v>15.454979999999999</v>
      </c>
      <c r="AD13" s="18">
        <v>81.341999999999999</v>
      </c>
    </row>
    <row r="14" spans="2:30" x14ac:dyDescent="0.25">
      <c r="B14" t="s">
        <v>708</v>
      </c>
      <c r="C14" t="s">
        <v>704</v>
      </c>
      <c r="D14" t="s">
        <v>715</v>
      </c>
      <c r="E14" s="35">
        <v>1.8</v>
      </c>
      <c r="F14" s="35">
        <v>42.3</v>
      </c>
      <c r="G14" s="36">
        <v>0.42249199999999998</v>
      </c>
      <c r="H14" s="18">
        <v>1520.9722139999999</v>
      </c>
      <c r="I14" s="16"/>
      <c r="J14" s="16"/>
      <c r="K14" s="16"/>
      <c r="L14" s="37" t="s">
        <v>706</v>
      </c>
      <c r="M14" s="37">
        <v>558</v>
      </c>
      <c r="N14" s="37"/>
      <c r="O14" s="37"/>
      <c r="P14" s="37"/>
      <c r="Q14" s="18">
        <v>4.6474120000000001</v>
      </c>
      <c r="R14" s="18">
        <v>3.1686899999999997E-2</v>
      </c>
      <c r="S14" s="18">
        <v>8.8723320000000001</v>
      </c>
      <c r="T14" s="18">
        <v>38.024279999999997</v>
      </c>
      <c r="U14" s="18">
        <v>19.012139999999999</v>
      </c>
      <c r="V14" s="18">
        <v>243.35539199999999</v>
      </c>
      <c r="W14" s="18">
        <v>228.14568</v>
      </c>
      <c r="X14" s="18">
        <v>152.09711999999999</v>
      </c>
      <c r="Y14" s="18">
        <v>6.7598719999999997</v>
      </c>
      <c r="Z14" s="18">
        <v>29.996931999999997</v>
      </c>
      <c r="AA14" s="18">
        <v>43.939167999999995</v>
      </c>
      <c r="AB14" s="18">
        <v>78.161019999999994</v>
      </c>
      <c r="AC14" s="18">
        <v>24.082044</v>
      </c>
      <c r="AD14" s="18">
        <v>126.74759999999999</v>
      </c>
    </row>
    <row r="15" spans="2:30" x14ac:dyDescent="0.25">
      <c r="B15" t="s">
        <v>710</v>
      </c>
      <c r="C15" t="s">
        <v>704</v>
      </c>
      <c r="D15" t="s">
        <v>716</v>
      </c>
      <c r="E15" s="35">
        <v>1.8</v>
      </c>
      <c r="F15" s="35">
        <v>35.24</v>
      </c>
      <c r="G15" s="36">
        <v>0.38157099999999999</v>
      </c>
      <c r="H15" s="18">
        <v>1373.6551750000001</v>
      </c>
      <c r="I15" s="16"/>
      <c r="J15" s="16"/>
      <c r="K15" s="16"/>
      <c r="L15" s="37" t="s">
        <v>706</v>
      </c>
      <c r="M15" s="37">
        <v>559</v>
      </c>
      <c r="N15" s="37"/>
      <c r="O15" s="37"/>
      <c r="P15" s="37"/>
      <c r="Q15" s="18">
        <v>4.1972810000000003</v>
      </c>
      <c r="R15" s="18">
        <v>2.8617825E-2</v>
      </c>
      <c r="S15" s="18">
        <v>8.0129909999999995</v>
      </c>
      <c r="T15" s="18">
        <v>34.341389999999997</v>
      </c>
      <c r="U15" s="18">
        <v>17.170694999999998</v>
      </c>
      <c r="V15" s="18">
        <v>219.784896</v>
      </c>
      <c r="W15" s="18">
        <v>206.04834</v>
      </c>
      <c r="X15" s="18">
        <v>137.36555999999999</v>
      </c>
      <c r="Y15" s="18">
        <v>6.1051359999999999</v>
      </c>
      <c r="Z15" s="18">
        <v>27.091540999999999</v>
      </c>
      <c r="AA15" s="18">
        <v>39.683383999999997</v>
      </c>
      <c r="AB15" s="18">
        <v>70.590634999999992</v>
      </c>
      <c r="AC15" s="18">
        <v>21.749547</v>
      </c>
      <c r="AD15" s="18">
        <v>114.4713</v>
      </c>
    </row>
    <row r="16" spans="2:30" x14ac:dyDescent="0.25">
      <c r="B16" t="s">
        <v>365</v>
      </c>
      <c r="C16" t="s">
        <v>704</v>
      </c>
      <c r="D16" t="s">
        <v>717</v>
      </c>
      <c r="E16" s="35">
        <v>1.8</v>
      </c>
      <c r="F16" s="35">
        <v>27.48</v>
      </c>
      <c r="G16" s="36">
        <v>0.42585699999999999</v>
      </c>
      <c r="H16" s="18">
        <v>1533.085288</v>
      </c>
      <c r="I16" s="16"/>
      <c r="J16" s="16"/>
      <c r="K16" s="16"/>
      <c r="L16" s="37" t="s">
        <v>706</v>
      </c>
      <c r="M16" s="37">
        <v>560</v>
      </c>
      <c r="N16" s="37"/>
      <c r="O16" s="37"/>
      <c r="P16" s="37"/>
      <c r="Q16" s="18">
        <v>4.6844269999999995</v>
      </c>
      <c r="R16" s="18">
        <v>3.1939274999999996E-2</v>
      </c>
      <c r="S16" s="18">
        <v>8.9429970000000001</v>
      </c>
      <c r="T16" s="18">
        <v>38.327129999999997</v>
      </c>
      <c r="U16" s="18">
        <v>19.163564999999998</v>
      </c>
      <c r="V16" s="18">
        <v>245.293632</v>
      </c>
      <c r="W16" s="18">
        <v>229.96277999999998</v>
      </c>
      <c r="X16" s="18">
        <v>153.30851999999999</v>
      </c>
      <c r="Y16" s="18">
        <v>6.8137119999999998</v>
      </c>
      <c r="Z16" s="18">
        <v>30.235847</v>
      </c>
      <c r="AA16" s="18">
        <v>44.289127999999998</v>
      </c>
      <c r="AB16" s="18">
        <v>78.783545000000004</v>
      </c>
      <c r="AC16" s="18">
        <v>24.273848999999998</v>
      </c>
      <c r="AD16" s="18">
        <v>127.75709999999999</v>
      </c>
    </row>
    <row r="17" spans="2:30" x14ac:dyDescent="0.25">
      <c r="B17" t="s">
        <v>365</v>
      </c>
      <c r="C17" t="s">
        <v>704</v>
      </c>
      <c r="D17" t="s">
        <v>718</v>
      </c>
      <c r="E17" s="35">
        <v>1.8</v>
      </c>
      <c r="F17" s="35">
        <v>27.48</v>
      </c>
      <c r="G17" s="36">
        <v>0.247727</v>
      </c>
      <c r="H17" s="18">
        <v>891.81633599999998</v>
      </c>
      <c r="I17" s="16"/>
      <c r="J17" s="16"/>
      <c r="K17" s="16"/>
      <c r="L17" s="37" t="s">
        <v>706</v>
      </c>
      <c r="M17" s="37">
        <v>561</v>
      </c>
      <c r="N17" s="37"/>
      <c r="O17" s="37"/>
      <c r="P17" s="37"/>
      <c r="Q17" s="18">
        <v>2.7249970000000001</v>
      </c>
      <c r="R17" s="18">
        <v>1.8579525E-2</v>
      </c>
      <c r="S17" s="18">
        <v>5.202267</v>
      </c>
      <c r="T17" s="18">
        <v>22.29543</v>
      </c>
      <c r="U17" s="18">
        <v>11.147715</v>
      </c>
      <c r="V17" s="18">
        <v>142.690752</v>
      </c>
      <c r="W17" s="18">
        <v>133.77258</v>
      </c>
      <c r="X17" s="18">
        <v>89.181719999999999</v>
      </c>
      <c r="Y17" s="18">
        <v>3.963632</v>
      </c>
      <c r="Z17" s="18">
        <v>17.588616999999999</v>
      </c>
      <c r="AA17" s="18">
        <v>25.763608000000001</v>
      </c>
      <c r="AB17" s="18">
        <v>45.829495000000001</v>
      </c>
      <c r="AC17" s="18">
        <v>14.120438999999999</v>
      </c>
      <c r="AD17" s="18">
        <v>74.318100000000001</v>
      </c>
    </row>
    <row r="18" spans="2:30" x14ac:dyDescent="0.25">
      <c r="B18" t="s">
        <v>365</v>
      </c>
      <c r="C18" t="s">
        <v>704</v>
      </c>
      <c r="D18" t="s">
        <v>719</v>
      </c>
      <c r="E18" s="35">
        <v>1.8</v>
      </c>
      <c r="F18" s="35">
        <v>27.48</v>
      </c>
      <c r="G18" s="36">
        <v>0.250085</v>
      </c>
      <c r="H18" s="18">
        <v>900.30540900000005</v>
      </c>
      <c r="I18" s="16"/>
      <c r="J18" s="16"/>
      <c r="K18" s="16"/>
      <c r="L18" s="37" t="s">
        <v>706</v>
      </c>
      <c r="M18" s="37">
        <v>562</v>
      </c>
      <c r="N18" s="37"/>
      <c r="O18" s="37"/>
      <c r="P18" s="37"/>
      <c r="Q18" s="18">
        <v>2.7509350000000001</v>
      </c>
      <c r="R18" s="18">
        <v>1.8756374999999999E-2</v>
      </c>
      <c r="S18" s="18">
        <v>5.2517849999999999</v>
      </c>
      <c r="T18" s="18">
        <v>22.507650000000002</v>
      </c>
      <c r="U18" s="18">
        <v>11.253825000000001</v>
      </c>
      <c r="V18" s="18">
        <v>144.04895999999999</v>
      </c>
      <c r="W18" s="18">
        <v>135.04589999999999</v>
      </c>
      <c r="X18" s="18">
        <v>90.030600000000007</v>
      </c>
      <c r="Y18" s="18">
        <v>4.00136</v>
      </c>
      <c r="Z18" s="18">
        <v>17.756035000000001</v>
      </c>
      <c r="AA18" s="18">
        <v>26.008839999999999</v>
      </c>
      <c r="AB18" s="18">
        <v>46.265725000000003</v>
      </c>
      <c r="AC18" s="18">
        <v>14.254845</v>
      </c>
      <c r="AD18" s="18">
        <v>75.025499999999994</v>
      </c>
    </row>
    <row r="19" spans="2:30" x14ac:dyDescent="0.25">
      <c r="B19" t="s">
        <v>710</v>
      </c>
      <c r="C19" t="s">
        <v>704</v>
      </c>
      <c r="D19" t="s">
        <v>720</v>
      </c>
      <c r="E19" s="35">
        <v>1.8</v>
      </c>
      <c r="F19" s="35">
        <v>35.24</v>
      </c>
      <c r="G19" s="36">
        <v>0.52129999999999999</v>
      </c>
      <c r="H19" s="18">
        <v>1876.6790719999999</v>
      </c>
      <c r="I19" s="16"/>
      <c r="J19" s="16"/>
      <c r="K19" s="16"/>
      <c r="L19" s="37" t="s">
        <v>706</v>
      </c>
      <c r="M19" s="37">
        <v>563</v>
      </c>
      <c r="N19" s="37"/>
      <c r="O19" s="37"/>
      <c r="P19" s="37"/>
      <c r="Q19" s="18">
        <v>5.7343000000000002</v>
      </c>
      <c r="R19" s="18">
        <v>3.90975E-2</v>
      </c>
      <c r="S19" s="18">
        <v>10.9473</v>
      </c>
      <c r="T19" s="18">
        <v>46.917000000000002</v>
      </c>
      <c r="U19" s="18">
        <v>23.458500000000001</v>
      </c>
      <c r="V19" s="18">
        <v>300.2688</v>
      </c>
      <c r="W19" s="18">
        <v>281.50200000000001</v>
      </c>
      <c r="X19" s="18">
        <v>187.66800000000001</v>
      </c>
      <c r="Y19" s="18">
        <v>8.3407999999999998</v>
      </c>
      <c r="Z19" s="18">
        <v>37.012299999999996</v>
      </c>
      <c r="AA19" s="18">
        <v>54.215199999999996</v>
      </c>
      <c r="AB19" s="18">
        <v>96.4405</v>
      </c>
      <c r="AC19" s="18">
        <v>29.714099999999998</v>
      </c>
      <c r="AD19" s="18">
        <v>156.38999999999999</v>
      </c>
    </row>
    <row r="20" spans="2:30" x14ac:dyDescent="0.25">
      <c r="B20" t="s">
        <v>365</v>
      </c>
      <c r="C20" t="s">
        <v>704</v>
      </c>
      <c r="D20" t="s">
        <v>721</v>
      </c>
      <c r="E20" s="35">
        <v>1.8</v>
      </c>
      <c r="F20" s="35">
        <v>27.48</v>
      </c>
      <c r="G20" s="36">
        <v>0.40921200000000002</v>
      </c>
      <c r="H20" s="18">
        <v>1473.164634</v>
      </c>
      <c r="I20" s="16"/>
      <c r="J20" s="16"/>
      <c r="K20" s="16"/>
      <c r="L20" s="37" t="s">
        <v>706</v>
      </c>
      <c r="M20" s="37">
        <v>564</v>
      </c>
      <c r="N20" s="37"/>
      <c r="O20" s="37"/>
      <c r="P20" s="37"/>
      <c r="Q20" s="18">
        <v>4.5013320000000006</v>
      </c>
      <c r="R20" s="18">
        <v>3.06909E-2</v>
      </c>
      <c r="S20" s="18">
        <v>8.593452000000001</v>
      </c>
      <c r="T20" s="18">
        <v>36.829080000000005</v>
      </c>
      <c r="U20" s="18">
        <v>18.414540000000002</v>
      </c>
      <c r="V20" s="18">
        <v>235.70611200000002</v>
      </c>
      <c r="W20" s="18">
        <v>220.97448</v>
      </c>
      <c r="X20" s="18">
        <v>147.31632000000002</v>
      </c>
      <c r="Y20" s="18">
        <v>6.5473920000000003</v>
      </c>
      <c r="Z20" s="18">
        <v>29.054052000000002</v>
      </c>
      <c r="AA20" s="18">
        <v>42.558047999999999</v>
      </c>
      <c r="AB20" s="18">
        <v>75.704220000000007</v>
      </c>
      <c r="AC20" s="18">
        <v>23.325084</v>
      </c>
      <c r="AD20" s="18">
        <v>122.76360000000001</v>
      </c>
    </row>
    <row r="21" spans="2:30" x14ac:dyDescent="0.25">
      <c r="B21" t="s">
        <v>365</v>
      </c>
      <c r="C21" t="s">
        <v>704</v>
      </c>
      <c r="D21" t="s">
        <v>722</v>
      </c>
      <c r="E21" s="35">
        <v>1.8</v>
      </c>
      <c r="F21" s="35">
        <v>27.48</v>
      </c>
      <c r="G21" s="36">
        <v>0.24895900000000001</v>
      </c>
      <c r="H21" s="18">
        <v>896.25230599999998</v>
      </c>
      <c r="I21" s="16"/>
      <c r="J21" s="16"/>
      <c r="K21" s="16"/>
      <c r="L21" s="37" t="s">
        <v>706</v>
      </c>
      <c r="M21" s="37">
        <v>565</v>
      </c>
      <c r="N21" s="37"/>
      <c r="O21" s="37"/>
      <c r="P21" s="37"/>
      <c r="Q21" s="18">
        <v>2.7385490000000003</v>
      </c>
      <c r="R21" s="18">
        <v>1.8671924999999999E-2</v>
      </c>
      <c r="S21" s="18">
        <v>5.2281390000000005</v>
      </c>
      <c r="T21" s="18">
        <v>22.406310000000001</v>
      </c>
      <c r="U21" s="18">
        <v>11.203155000000001</v>
      </c>
      <c r="V21" s="18">
        <v>143.400384</v>
      </c>
      <c r="W21" s="18">
        <v>134.43786</v>
      </c>
      <c r="X21" s="18">
        <v>89.625240000000005</v>
      </c>
      <c r="Y21" s="18">
        <v>3.9833440000000002</v>
      </c>
      <c r="Z21" s="18">
        <v>17.676089000000001</v>
      </c>
      <c r="AA21" s="18">
        <v>25.891736000000002</v>
      </c>
      <c r="AB21" s="18">
        <v>46.057415000000006</v>
      </c>
      <c r="AC21" s="18">
        <v>14.190663000000001</v>
      </c>
      <c r="AD21" s="18">
        <v>74.687700000000007</v>
      </c>
    </row>
    <row r="22" spans="2:30" x14ac:dyDescent="0.25">
      <c r="B22" t="s">
        <v>365</v>
      </c>
      <c r="C22" t="s">
        <v>704</v>
      </c>
      <c r="D22" t="s">
        <v>723</v>
      </c>
      <c r="E22" s="35">
        <v>1.8</v>
      </c>
      <c r="F22" s="35">
        <v>27.48</v>
      </c>
      <c r="G22" s="36">
        <v>0.24945999999999999</v>
      </c>
      <c r="H22" s="18">
        <v>898.057368</v>
      </c>
      <c r="I22" s="16"/>
      <c r="J22" s="16"/>
      <c r="K22" s="16"/>
      <c r="L22" s="37" t="s">
        <v>706</v>
      </c>
      <c r="M22" s="37">
        <v>566</v>
      </c>
      <c r="N22" s="37"/>
      <c r="O22" s="37"/>
      <c r="P22" s="37"/>
      <c r="Q22" s="18">
        <v>2.7440599999999997</v>
      </c>
      <c r="R22" s="18">
        <v>1.8709499999999997E-2</v>
      </c>
      <c r="S22" s="18">
        <v>5.2386599999999994</v>
      </c>
      <c r="T22" s="18">
        <v>22.4514</v>
      </c>
      <c r="U22" s="18">
        <v>11.2257</v>
      </c>
      <c r="V22" s="18">
        <v>143.68895999999998</v>
      </c>
      <c r="W22" s="18">
        <v>134.70839999999998</v>
      </c>
      <c r="X22" s="18">
        <v>89.805599999999998</v>
      </c>
      <c r="Y22" s="18">
        <v>3.9913599999999998</v>
      </c>
      <c r="Z22" s="18">
        <v>17.711659999999998</v>
      </c>
      <c r="AA22" s="18">
        <v>25.943839999999998</v>
      </c>
      <c r="AB22" s="18">
        <v>46.150099999999995</v>
      </c>
      <c r="AC22" s="18">
        <v>14.21922</v>
      </c>
      <c r="AD22" s="18">
        <v>74.837999999999994</v>
      </c>
    </row>
    <row r="23" spans="2:30" x14ac:dyDescent="0.25">
      <c r="B23" t="s">
        <v>365</v>
      </c>
      <c r="C23" t="s">
        <v>704</v>
      </c>
      <c r="D23" t="s">
        <v>724</v>
      </c>
      <c r="E23" s="35">
        <v>1.8</v>
      </c>
      <c r="F23" s="35">
        <v>27.48</v>
      </c>
      <c r="G23" s="36">
        <v>0.36891600000000002</v>
      </c>
      <c r="H23" s="18">
        <v>1328.099391</v>
      </c>
      <c r="I23" s="16"/>
      <c r="J23" s="16"/>
      <c r="K23" s="16"/>
      <c r="L23" s="37" t="s">
        <v>706</v>
      </c>
      <c r="M23" s="37">
        <v>567</v>
      </c>
      <c r="N23" s="37"/>
      <c r="O23" s="37"/>
      <c r="P23" s="37"/>
      <c r="Q23" s="18">
        <v>4.0580759999999998</v>
      </c>
      <c r="R23" s="18">
        <v>2.7668700000000001E-2</v>
      </c>
      <c r="S23" s="18">
        <v>7.7472360000000009</v>
      </c>
      <c r="T23" s="18">
        <v>33.202440000000003</v>
      </c>
      <c r="U23" s="18">
        <v>16.601220000000001</v>
      </c>
      <c r="V23" s="18">
        <v>212.49561600000001</v>
      </c>
      <c r="W23" s="18">
        <v>199.21464</v>
      </c>
      <c r="X23" s="18">
        <v>132.80976000000001</v>
      </c>
      <c r="Y23" s="18">
        <v>5.9026560000000003</v>
      </c>
      <c r="Z23" s="18">
        <v>26.193036000000003</v>
      </c>
      <c r="AA23" s="18">
        <v>38.367264000000006</v>
      </c>
      <c r="AB23" s="18">
        <v>68.249459999999999</v>
      </c>
      <c r="AC23" s="18">
        <v>21.028212</v>
      </c>
      <c r="AD23" s="18">
        <v>110.6748</v>
      </c>
    </row>
    <row r="24" spans="2:30" x14ac:dyDescent="0.25">
      <c r="B24" t="s">
        <v>365</v>
      </c>
      <c r="C24" t="s">
        <v>704</v>
      </c>
      <c r="D24" t="s">
        <v>725</v>
      </c>
      <c r="E24" s="35">
        <v>1.8</v>
      </c>
      <c r="F24" s="35">
        <v>27.48</v>
      </c>
      <c r="G24" s="36">
        <v>0.35969200000000001</v>
      </c>
      <c r="H24" s="18">
        <v>1294.8915850000001</v>
      </c>
      <c r="I24" s="16"/>
      <c r="J24" s="16"/>
      <c r="K24" s="16"/>
      <c r="L24" s="37" t="s">
        <v>706</v>
      </c>
      <c r="M24" s="37">
        <v>568</v>
      </c>
      <c r="N24" s="37"/>
      <c r="O24" s="37"/>
      <c r="P24" s="37"/>
      <c r="Q24" s="18">
        <v>3.9566120000000002</v>
      </c>
      <c r="R24" s="18">
        <v>2.6976900000000002E-2</v>
      </c>
      <c r="S24" s="18">
        <v>7.5535320000000006</v>
      </c>
      <c r="T24" s="18">
        <v>32.372280000000003</v>
      </c>
      <c r="U24" s="18">
        <v>16.186140000000002</v>
      </c>
      <c r="V24" s="18">
        <v>207.182592</v>
      </c>
      <c r="W24" s="18">
        <v>194.23367999999999</v>
      </c>
      <c r="X24" s="18">
        <v>129.48912000000001</v>
      </c>
      <c r="Y24" s="18">
        <v>5.7550720000000002</v>
      </c>
      <c r="Z24" s="18">
        <v>25.538132000000001</v>
      </c>
      <c r="AA24" s="18">
        <v>37.407968000000004</v>
      </c>
      <c r="AB24" s="18">
        <v>66.543019999999999</v>
      </c>
      <c r="AC24" s="18">
        <v>20.502444000000001</v>
      </c>
      <c r="AD24" s="18">
        <v>107.9076</v>
      </c>
    </row>
    <row r="25" spans="2:30" x14ac:dyDescent="0.25">
      <c r="B25" t="s">
        <v>726</v>
      </c>
      <c r="C25" t="s">
        <v>704</v>
      </c>
      <c r="D25" t="s">
        <v>727</v>
      </c>
      <c r="E25" s="35">
        <v>1.8</v>
      </c>
      <c r="F25" s="35">
        <v>37.69</v>
      </c>
      <c r="G25" s="36">
        <v>0.55806100000000003</v>
      </c>
      <c r="H25" s="18">
        <v>2009.020458</v>
      </c>
      <c r="I25" s="16"/>
      <c r="J25" s="16"/>
      <c r="K25" s="16"/>
      <c r="L25" s="37" t="s">
        <v>706</v>
      </c>
      <c r="M25" s="37">
        <v>569</v>
      </c>
      <c r="N25" s="37"/>
      <c r="O25" s="37"/>
      <c r="P25" s="37"/>
      <c r="Q25" s="18">
        <v>6.1386710000000004</v>
      </c>
      <c r="R25" s="18">
        <v>4.1854574999999998E-2</v>
      </c>
      <c r="S25" s="18">
        <v>11.719281000000001</v>
      </c>
      <c r="T25" s="18">
        <v>50.225490000000001</v>
      </c>
      <c r="U25" s="18">
        <v>25.112745</v>
      </c>
      <c r="V25" s="18">
        <v>321.44313600000004</v>
      </c>
      <c r="W25" s="18">
        <v>301.35293999999999</v>
      </c>
      <c r="X25" s="18">
        <v>200.90196</v>
      </c>
      <c r="Y25" s="18">
        <v>8.9289760000000005</v>
      </c>
      <c r="Z25" s="18">
        <v>39.622331000000003</v>
      </c>
      <c r="AA25" s="18">
        <v>58.038344000000002</v>
      </c>
      <c r="AB25" s="18">
        <v>103.241285</v>
      </c>
      <c r="AC25" s="18">
        <v>31.809477000000001</v>
      </c>
      <c r="AD25" s="18">
        <v>167.41830000000002</v>
      </c>
    </row>
    <row r="26" spans="2:30" x14ac:dyDescent="0.25">
      <c r="B26" t="s">
        <v>726</v>
      </c>
      <c r="C26" t="s">
        <v>704</v>
      </c>
      <c r="D26" t="s">
        <v>728</v>
      </c>
      <c r="E26" s="35">
        <v>1.8</v>
      </c>
      <c r="F26" s="35">
        <v>37.69</v>
      </c>
      <c r="G26" s="36">
        <v>0.55657500000000004</v>
      </c>
      <c r="H26" s="18">
        <v>2003.671787</v>
      </c>
      <c r="I26" s="16"/>
      <c r="J26" s="16"/>
      <c r="K26" s="16"/>
      <c r="L26" s="37" t="s">
        <v>706</v>
      </c>
      <c r="M26" s="37">
        <v>570</v>
      </c>
      <c r="N26" s="37"/>
      <c r="O26" s="37"/>
      <c r="P26" s="37"/>
      <c r="Q26" s="18">
        <v>6.122325</v>
      </c>
      <c r="R26" s="18">
        <v>4.1743124999999999E-2</v>
      </c>
      <c r="S26" s="18">
        <v>11.688075000000001</v>
      </c>
      <c r="T26" s="18">
        <v>50.091750000000005</v>
      </c>
      <c r="U26" s="18">
        <v>25.045875000000002</v>
      </c>
      <c r="V26" s="18">
        <v>320.58720000000005</v>
      </c>
      <c r="W26" s="18">
        <v>300.5505</v>
      </c>
      <c r="X26" s="18">
        <v>200.36700000000002</v>
      </c>
      <c r="Y26" s="18">
        <v>8.9052000000000007</v>
      </c>
      <c r="Z26" s="18">
        <v>39.516825000000004</v>
      </c>
      <c r="AA26" s="18">
        <v>57.883800000000008</v>
      </c>
      <c r="AB26" s="18">
        <v>102.96637500000001</v>
      </c>
      <c r="AC26" s="18">
        <v>31.724775000000001</v>
      </c>
      <c r="AD26" s="18">
        <v>166.97250000000003</v>
      </c>
    </row>
    <row r="27" spans="2:30" x14ac:dyDescent="0.25">
      <c r="B27" t="s">
        <v>365</v>
      </c>
      <c r="C27" t="s">
        <v>704</v>
      </c>
      <c r="D27" t="s">
        <v>729</v>
      </c>
      <c r="E27" s="35">
        <v>1.8</v>
      </c>
      <c r="F27" s="35">
        <v>27.48</v>
      </c>
      <c r="G27" s="36">
        <v>0.24845999999999999</v>
      </c>
      <c r="H27" s="18">
        <v>894.45487600000001</v>
      </c>
      <c r="I27" s="16"/>
      <c r="J27" s="16"/>
      <c r="K27" s="16"/>
      <c r="L27" s="37" t="s">
        <v>706</v>
      </c>
      <c r="M27" s="37">
        <v>571</v>
      </c>
      <c r="N27" s="37"/>
      <c r="O27" s="37"/>
      <c r="P27" s="37"/>
      <c r="Q27" s="18">
        <v>2.73306</v>
      </c>
      <c r="R27" s="18">
        <v>1.8634499999999998E-2</v>
      </c>
      <c r="S27" s="18">
        <v>5.2176599999999995</v>
      </c>
      <c r="T27" s="18">
        <v>22.3614</v>
      </c>
      <c r="U27" s="18">
        <v>11.1807</v>
      </c>
      <c r="V27" s="18">
        <v>143.11295999999999</v>
      </c>
      <c r="W27" s="18">
        <v>134.16839999999999</v>
      </c>
      <c r="X27" s="18">
        <v>89.445599999999999</v>
      </c>
      <c r="Y27" s="18">
        <v>3.9753599999999998</v>
      </c>
      <c r="Z27" s="18">
        <v>17.64066</v>
      </c>
      <c r="AA27" s="18">
        <v>25.839839999999999</v>
      </c>
      <c r="AB27" s="18">
        <v>45.9651</v>
      </c>
      <c r="AC27" s="18">
        <v>14.16222</v>
      </c>
      <c r="AD27" s="18">
        <v>74.537999999999997</v>
      </c>
    </row>
    <row r="28" spans="2:30" x14ac:dyDescent="0.25">
      <c r="B28" t="s">
        <v>365</v>
      </c>
      <c r="C28" t="s">
        <v>704</v>
      </c>
      <c r="D28" t="s">
        <v>730</v>
      </c>
      <c r="E28" s="35">
        <v>1.8</v>
      </c>
      <c r="F28" s="35">
        <v>27.48</v>
      </c>
      <c r="G28" s="36">
        <v>0.24871499999999999</v>
      </c>
      <c r="H28" s="18">
        <v>895.37320499999998</v>
      </c>
      <c r="I28" s="16"/>
      <c r="J28" s="16"/>
      <c r="K28" s="16"/>
      <c r="L28" s="37" t="s">
        <v>706</v>
      </c>
      <c r="M28" s="37">
        <v>572</v>
      </c>
      <c r="N28" s="37"/>
      <c r="O28" s="37"/>
      <c r="P28" s="37"/>
      <c r="Q28" s="18">
        <v>2.735865</v>
      </c>
      <c r="R28" s="18">
        <v>1.8653625E-2</v>
      </c>
      <c r="S28" s="18">
        <v>5.2230150000000002</v>
      </c>
      <c r="T28" s="18">
        <v>22.384349999999998</v>
      </c>
      <c r="U28" s="18">
        <v>11.192174999999999</v>
      </c>
      <c r="V28" s="18">
        <v>143.25984</v>
      </c>
      <c r="W28" s="18">
        <v>134.30609999999999</v>
      </c>
      <c r="X28" s="18">
        <v>89.537399999999991</v>
      </c>
      <c r="Y28" s="18">
        <v>3.9794399999999999</v>
      </c>
      <c r="Z28" s="18">
        <v>17.658764999999999</v>
      </c>
      <c r="AA28" s="18">
        <v>25.86636</v>
      </c>
      <c r="AB28" s="18">
        <v>46.012274999999995</v>
      </c>
      <c r="AC28" s="18">
        <v>14.176755</v>
      </c>
      <c r="AD28" s="18">
        <v>74.614499999999992</v>
      </c>
    </row>
    <row r="29" spans="2:30" x14ac:dyDescent="0.25">
      <c r="B29" t="s">
        <v>710</v>
      </c>
      <c r="C29" t="s">
        <v>731</v>
      </c>
      <c r="D29" t="s">
        <v>732</v>
      </c>
      <c r="E29" s="35">
        <v>1.8</v>
      </c>
      <c r="F29" s="35">
        <v>35.24</v>
      </c>
      <c r="G29" s="36">
        <v>0.42094599999999999</v>
      </c>
      <c r="H29" s="18">
        <v>1515.4044960000001</v>
      </c>
      <c r="I29" s="16"/>
      <c r="J29" s="16"/>
      <c r="K29" s="16"/>
      <c r="L29" s="37" t="s">
        <v>706</v>
      </c>
      <c r="M29" s="37">
        <v>573</v>
      </c>
      <c r="N29" s="37"/>
      <c r="O29" s="37"/>
      <c r="P29" s="37"/>
      <c r="Q29" s="18">
        <v>4.6304059999999998</v>
      </c>
      <c r="R29" s="18">
        <v>3.157095E-2</v>
      </c>
      <c r="S29" s="18">
        <v>8.8398659999999989</v>
      </c>
      <c r="T29" s="18">
        <v>37.88514</v>
      </c>
      <c r="U29" s="18">
        <v>18.94257</v>
      </c>
      <c r="V29" s="18">
        <v>242.46489599999998</v>
      </c>
      <c r="W29" s="18">
        <v>227.31083999999998</v>
      </c>
      <c r="X29" s="18">
        <v>151.54056</v>
      </c>
      <c r="Y29" s="18">
        <v>6.7351359999999998</v>
      </c>
      <c r="Z29" s="18">
        <v>29.887166000000001</v>
      </c>
      <c r="AA29" s="18">
        <v>43.778383999999996</v>
      </c>
      <c r="AB29" s="18">
        <v>77.875010000000003</v>
      </c>
      <c r="AC29" s="18">
        <v>23.993921999999998</v>
      </c>
      <c r="AD29" s="18">
        <v>126.2838</v>
      </c>
    </row>
    <row r="30" spans="2:30" x14ac:dyDescent="0.25">
      <c r="B30" t="s">
        <v>365</v>
      </c>
      <c r="C30" t="s">
        <v>731</v>
      </c>
      <c r="D30" t="s">
        <v>733</v>
      </c>
      <c r="E30" s="35">
        <v>1.8</v>
      </c>
      <c r="F30" s="35">
        <v>27.48</v>
      </c>
      <c r="G30" s="36">
        <v>0.36815500000000001</v>
      </c>
      <c r="H30" s="18">
        <v>1325.358757</v>
      </c>
      <c r="I30" s="16"/>
      <c r="J30" s="16"/>
      <c r="K30" s="16"/>
      <c r="L30" s="37" t="s">
        <v>706</v>
      </c>
      <c r="M30" s="37">
        <v>574</v>
      </c>
      <c r="N30" s="37"/>
      <c r="O30" s="37"/>
      <c r="P30" s="37"/>
      <c r="Q30" s="18">
        <v>4.0497050000000003</v>
      </c>
      <c r="R30" s="18">
        <v>2.7611625000000001E-2</v>
      </c>
      <c r="S30" s="18">
        <v>7.731255</v>
      </c>
      <c r="T30" s="18">
        <v>33.133949999999999</v>
      </c>
      <c r="U30" s="18">
        <v>16.566974999999999</v>
      </c>
      <c r="V30" s="18">
        <v>212.05727999999999</v>
      </c>
      <c r="W30" s="18">
        <v>198.80369999999999</v>
      </c>
      <c r="X30" s="18">
        <v>132.53579999999999</v>
      </c>
      <c r="Y30" s="18">
        <v>5.8904800000000002</v>
      </c>
      <c r="Z30" s="18">
        <v>26.139005000000001</v>
      </c>
      <c r="AA30" s="18">
        <v>38.288119999999999</v>
      </c>
      <c r="AB30" s="18">
        <v>68.108675000000005</v>
      </c>
      <c r="AC30" s="18">
        <v>20.984835</v>
      </c>
      <c r="AD30" s="18">
        <v>110.4465</v>
      </c>
    </row>
    <row r="31" spans="2:30" x14ac:dyDescent="0.25">
      <c r="B31" t="s">
        <v>726</v>
      </c>
      <c r="C31" t="s">
        <v>731</v>
      </c>
      <c r="D31" t="s">
        <v>734</v>
      </c>
      <c r="E31" s="35">
        <v>1.8</v>
      </c>
      <c r="F31" s="35">
        <v>37.69</v>
      </c>
      <c r="G31" s="36">
        <v>0.58661700000000006</v>
      </c>
      <c r="H31" s="18">
        <v>2111.8223560000001</v>
      </c>
      <c r="I31" s="16"/>
      <c r="J31" s="16"/>
      <c r="K31" s="16"/>
      <c r="L31" s="37" t="s">
        <v>706</v>
      </c>
      <c r="M31" s="37">
        <v>575</v>
      </c>
      <c r="N31" s="37"/>
      <c r="O31" s="37"/>
      <c r="P31" s="37"/>
      <c r="Q31" s="18">
        <v>6.4527870000000007</v>
      </c>
      <c r="R31" s="18">
        <v>4.3996275000000001E-2</v>
      </c>
      <c r="S31" s="18">
        <v>12.318957000000001</v>
      </c>
      <c r="T31" s="18">
        <v>52.795530000000007</v>
      </c>
      <c r="U31" s="18">
        <v>26.397765000000003</v>
      </c>
      <c r="V31" s="18">
        <v>337.89139200000005</v>
      </c>
      <c r="W31" s="18">
        <v>316.77318000000002</v>
      </c>
      <c r="X31" s="18">
        <v>211.18212000000003</v>
      </c>
      <c r="Y31" s="18">
        <v>9.3858720000000009</v>
      </c>
      <c r="Z31" s="18">
        <v>41.649807000000003</v>
      </c>
      <c r="AA31" s="18">
        <v>61.008168000000005</v>
      </c>
      <c r="AB31" s="18">
        <v>108.524145</v>
      </c>
      <c r="AC31" s="18">
        <v>33.437169000000004</v>
      </c>
      <c r="AD31" s="18">
        <v>175.98510000000002</v>
      </c>
    </row>
    <row r="32" spans="2:30" x14ac:dyDescent="0.25">
      <c r="B32" t="s">
        <v>365</v>
      </c>
      <c r="C32" t="s">
        <v>731</v>
      </c>
      <c r="D32" t="s">
        <v>735</v>
      </c>
      <c r="E32" s="35">
        <v>1.8</v>
      </c>
      <c r="F32" s="35">
        <v>27.48</v>
      </c>
      <c r="G32" s="36">
        <v>0.427761</v>
      </c>
      <c r="H32" s="18">
        <v>1539.9387369999999</v>
      </c>
      <c r="I32" s="16"/>
      <c r="J32" s="16"/>
      <c r="K32" s="16"/>
      <c r="L32" s="37" t="s">
        <v>706</v>
      </c>
      <c r="M32" s="37">
        <v>576</v>
      </c>
      <c r="N32" s="37"/>
      <c r="O32" s="37"/>
      <c r="P32" s="37"/>
      <c r="Q32" s="18">
        <v>4.7053710000000004</v>
      </c>
      <c r="R32" s="18">
        <v>3.2082075000000002E-2</v>
      </c>
      <c r="S32" s="18">
        <v>8.9829810000000005</v>
      </c>
      <c r="T32" s="18">
        <v>38.498489999999997</v>
      </c>
      <c r="U32" s="18">
        <v>19.249244999999998</v>
      </c>
      <c r="V32" s="18">
        <v>246.39033599999999</v>
      </c>
      <c r="W32" s="18">
        <v>230.99093999999999</v>
      </c>
      <c r="X32" s="18">
        <v>153.99395999999999</v>
      </c>
      <c r="Y32" s="18">
        <v>6.844176</v>
      </c>
      <c r="Z32" s="18">
        <v>30.371030999999999</v>
      </c>
      <c r="AA32" s="18">
        <v>44.487144000000001</v>
      </c>
      <c r="AB32" s="18">
        <v>79.135784999999998</v>
      </c>
      <c r="AC32" s="18">
        <v>24.382377000000002</v>
      </c>
      <c r="AD32" s="18">
        <v>128.32830000000001</v>
      </c>
    </row>
    <row r="33" spans="2:30" x14ac:dyDescent="0.25">
      <c r="B33" t="s">
        <v>365</v>
      </c>
      <c r="C33" t="s">
        <v>731</v>
      </c>
      <c r="D33" t="s">
        <v>262</v>
      </c>
      <c r="E33" s="35">
        <v>1.8</v>
      </c>
      <c r="F33" s="35">
        <v>27.48</v>
      </c>
      <c r="G33" s="36">
        <v>0.37004100000000001</v>
      </c>
      <c r="H33" s="18">
        <v>1332.1470300000001</v>
      </c>
      <c r="I33" s="16"/>
      <c r="J33" s="16"/>
      <c r="K33" s="16"/>
      <c r="L33" s="37" t="s">
        <v>706</v>
      </c>
      <c r="M33" s="37">
        <v>577</v>
      </c>
      <c r="N33" s="37"/>
      <c r="O33" s="37"/>
      <c r="P33" s="37"/>
      <c r="Q33" s="18">
        <v>4.0704510000000003</v>
      </c>
      <c r="R33" s="18">
        <v>2.7753074999999999E-2</v>
      </c>
      <c r="S33" s="18">
        <v>7.770861</v>
      </c>
      <c r="T33" s="18">
        <v>33.303690000000003</v>
      </c>
      <c r="U33" s="18">
        <v>16.651845000000002</v>
      </c>
      <c r="V33" s="18">
        <v>213.14361600000001</v>
      </c>
      <c r="W33" s="18">
        <v>199.82214000000002</v>
      </c>
      <c r="X33" s="18">
        <v>133.21476000000001</v>
      </c>
      <c r="Y33" s="18">
        <v>5.9206560000000001</v>
      </c>
      <c r="Z33" s="18">
        <v>26.272911000000001</v>
      </c>
      <c r="AA33" s="18">
        <v>38.484264000000003</v>
      </c>
      <c r="AB33" s="18">
        <v>68.457584999999995</v>
      </c>
      <c r="AC33" s="18">
        <v>21.092337000000001</v>
      </c>
      <c r="AD33" s="18">
        <v>111.0123</v>
      </c>
    </row>
    <row r="34" spans="2:30" x14ac:dyDescent="0.25">
      <c r="B34" t="s">
        <v>710</v>
      </c>
      <c r="C34" t="s">
        <v>731</v>
      </c>
      <c r="D34" t="s">
        <v>736</v>
      </c>
      <c r="E34" s="35">
        <v>1.8</v>
      </c>
      <c r="F34" s="35">
        <v>35.24</v>
      </c>
      <c r="G34" s="36">
        <v>0.42120200000000002</v>
      </c>
      <c r="H34" s="18">
        <v>1516.325593</v>
      </c>
      <c r="I34" s="16"/>
      <c r="J34" s="16"/>
      <c r="K34" s="16"/>
      <c r="L34" s="37" t="s">
        <v>706</v>
      </c>
      <c r="M34" s="37">
        <v>578</v>
      </c>
      <c r="N34" s="37"/>
      <c r="O34" s="37"/>
      <c r="P34" s="37"/>
      <c r="Q34" s="18">
        <v>4.633222</v>
      </c>
      <c r="R34" s="18">
        <v>3.1590149999999997E-2</v>
      </c>
      <c r="S34" s="18">
        <v>8.8452420000000007</v>
      </c>
      <c r="T34" s="18">
        <v>37.908180000000002</v>
      </c>
      <c r="U34" s="18">
        <v>18.954090000000001</v>
      </c>
      <c r="V34" s="18">
        <v>242.61235200000002</v>
      </c>
      <c r="W34" s="18">
        <v>227.44908000000001</v>
      </c>
      <c r="X34" s="18">
        <v>151.63272000000001</v>
      </c>
      <c r="Y34" s="18">
        <v>6.7392320000000003</v>
      </c>
      <c r="Z34" s="18">
        <v>29.905342000000001</v>
      </c>
      <c r="AA34" s="18">
        <v>43.805008000000001</v>
      </c>
      <c r="AB34" s="18">
        <v>77.922370000000001</v>
      </c>
      <c r="AC34" s="18">
        <v>24.008514000000002</v>
      </c>
      <c r="AD34" s="18">
        <v>126.36060000000001</v>
      </c>
    </row>
    <row r="35" spans="2:30" x14ac:dyDescent="0.25">
      <c r="B35" t="s">
        <v>365</v>
      </c>
      <c r="C35" t="s">
        <v>731</v>
      </c>
      <c r="D35" t="s">
        <v>737</v>
      </c>
      <c r="E35" s="35">
        <v>1.8</v>
      </c>
      <c r="F35" s="35">
        <v>27.48</v>
      </c>
      <c r="G35" s="36">
        <v>0.26002700000000001</v>
      </c>
      <c r="H35" s="18">
        <v>936.09768799999995</v>
      </c>
      <c r="I35" s="16"/>
      <c r="J35" s="16"/>
      <c r="K35" s="16"/>
      <c r="L35" s="37" t="s">
        <v>706</v>
      </c>
      <c r="M35" s="37">
        <v>579</v>
      </c>
      <c r="N35" s="37"/>
      <c r="O35" s="37"/>
      <c r="P35" s="37"/>
      <c r="Q35" s="18">
        <v>2.8602970000000001</v>
      </c>
      <c r="R35" s="18">
        <v>1.9502024999999999E-2</v>
      </c>
      <c r="S35" s="18">
        <v>5.4605670000000002</v>
      </c>
      <c r="T35" s="18">
        <v>23.402430000000003</v>
      </c>
      <c r="U35" s="18">
        <v>11.701215000000001</v>
      </c>
      <c r="V35" s="18">
        <v>149.775552</v>
      </c>
      <c r="W35" s="18">
        <v>140.41458</v>
      </c>
      <c r="X35" s="18">
        <v>93.60972000000001</v>
      </c>
      <c r="Y35" s="18">
        <v>4.1604320000000001</v>
      </c>
      <c r="Z35" s="18">
        <v>18.461917</v>
      </c>
      <c r="AA35" s="18">
        <v>27.042808000000001</v>
      </c>
      <c r="AB35" s="18">
        <v>48.104995000000002</v>
      </c>
      <c r="AC35" s="18">
        <v>14.821539000000001</v>
      </c>
      <c r="AD35" s="18">
        <v>78.008099999999999</v>
      </c>
    </row>
    <row r="36" spans="2:30" x14ac:dyDescent="0.25">
      <c r="B36" t="s">
        <v>365</v>
      </c>
      <c r="C36" t="s">
        <v>731</v>
      </c>
      <c r="D36" t="s">
        <v>738</v>
      </c>
      <c r="E36" s="35">
        <v>1.8</v>
      </c>
      <c r="F36" s="35">
        <v>27.48</v>
      </c>
      <c r="G36" s="36">
        <v>0.30540499999999998</v>
      </c>
      <c r="H36" s="18">
        <v>1099.458621</v>
      </c>
      <c r="I36" s="16"/>
      <c r="J36" s="16"/>
      <c r="K36" s="16"/>
      <c r="L36" s="37" t="s">
        <v>706</v>
      </c>
      <c r="M36" s="37">
        <v>580</v>
      </c>
      <c r="N36" s="37"/>
      <c r="O36" s="37"/>
      <c r="P36" s="37"/>
      <c r="Q36" s="18">
        <v>3.3594549999999996</v>
      </c>
      <c r="R36" s="18">
        <v>2.2905374999999999E-2</v>
      </c>
      <c r="S36" s="18">
        <v>6.4135049999999998</v>
      </c>
      <c r="T36" s="18">
        <v>27.486449999999998</v>
      </c>
      <c r="U36" s="18">
        <v>13.743224999999999</v>
      </c>
      <c r="V36" s="18">
        <v>175.91327999999999</v>
      </c>
      <c r="W36" s="18">
        <v>164.9187</v>
      </c>
      <c r="X36" s="18">
        <v>109.94579999999999</v>
      </c>
      <c r="Y36" s="18">
        <v>4.8864799999999997</v>
      </c>
      <c r="Z36" s="18">
        <v>21.683754999999998</v>
      </c>
      <c r="AA36" s="18">
        <v>31.762119999999999</v>
      </c>
      <c r="AB36" s="18">
        <v>56.499924999999998</v>
      </c>
      <c r="AC36" s="18">
        <v>17.408085</v>
      </c>
      <c r="AD36" s="18">
        <v>91.621499999999997</v>
      </c>
    </row>
    <row r="37" spans="2:30" x14ac:dyDescent="0.25">
      <c r="B37" t="s">
        <v>365</v>
      </c>
      <c r="C37" t="s">
        <v>731</v>
      </c>
      <c r="D37" t="s">
        <v>739</v>
      </c>
      <c r="E37" s="35">
        <v>1.8</v>
      </c>
      <c r="F37" s="35">
        <v>27.48</v>
      </c>
      <c r="G37" s="36">
        <v>0.30601600000000001</v>
      </c>
      <c r="H37" s="18">
        <v>1101.6593780000001</v>
      </c>
      <c r="I37" s="16"/>
      <c r="J37" s="16"/>
      <c r="K37" s="16"/>
      <c r="L37" s="37" t="s">
        <v>706</v>
      </c>
      <c r="M37" s="37">
        <v>581</v>
      </c>
      <c r="N37" s="37"/>
      <c r="O37" s="37"/>
      <c r="P37" s="37"/>
      <c r="Q37" s="18">
        <v>3.3661760000000003</v>
      </c>
      <c r="R37" s="18">
        <v>2.2951200000000001E-2</v>
      </c>
      <c r="S37" s="18">
        <v>6.426336</v>
      </c>
      <c r="T37" s="18">
        <v>27.541440000000001</v>
      </c>
      <c r="U37" s="18">
        <v>13.770720000000001</v>
      </c>
      <c r="V37" s="18">
        <v>176.26521600000001</v>
      </c>
      <c r="W37" s="18">
        <v>165.24863999999999</v>
      </c>
      <c r="X37" s="18">
        <v>110.16576000000001</v>
      </c>
      <c r="Y37" s="18">
        <v>4.8962560000000002</v>
      </c>
      <c r="Z37" s="18">
        <v>21.727136000000002</v>
      </c>
      <c r="AA37" s="18">
        <v>31.825664</v>
      </c>
      <c r="AB37" s="18">
        <v>56.612960000000001</v>
      </c>
      <c r="AC37" s="18">
        <v>17.442912</v>
      </c>
      <c r="AD37" s="18">
        <v>91.8048</v>
      </c>
    </row>
    <row r="38" spans="2:30" x14ac:dyDescent="0.25">
      <c r="B38" t="s">
        <v>365</v>
      </c>
      <c r="C38" t="s">
        <v>731</v>
      </c>
      <c r="D38" t="s">
        <v>740</v>
      </c>
      <c r="E38" s="35">
        <v>1.8</v>
      </c>
      <c r="F38" s="35">
        <v>27.48</v>
      </c>
      <c r="G38" s="36">
        <v>0.25910499999999997</v>
      </c>
      <c r="H38" s="18">
        <v>932.77658699999995</v>
      </c>
      <c r="I38" s="16"/>
      <c r="J38" s="16"/>
      <c r="K38" s="16"/>
      <c r="L38" s="37" t="s">
        <v>706</v>
      </c>
      <c r="M38" s="37">
        <v>582</v>
      </c>
      <c r="N38" s="37"/>
      <c r="O38" s="37"/>
      <c r="P38" s="37"/>
      <c r="Q38" s="18">
        <v>2.8501549999999995</v>
      </c>
      <c r="R38" s="18">
        <v>1.9432874999999999E-2</v>
      </c>
      <c r="S38" s="18">
        <v>5.4412049999999992</v>
      </c>
      <c r="T38" s="18">
        <v>23.319449999999996</v>
      </c>
      <c r="U38" s="18">
        <v>11.659724999999998</v>
      </c>
      <c r="V38" s="18">
        <v>149.24447999999998</v>
      </c>
      <c r="W38" s="18">
        <v>139.91669999999999</v>
      </c>
      <c r="X38" s="18">
        <v>93.277799999999985</v>
      </c>
      <c r="Y38" s="18">
        <v>4.1456799999999996</v>
      </c>
      <c r="Z38" s="18">
        <v>18.396455</v>
      </c>
      <c r="AA38" s="18">
        <v>26.946919999999999</v>
      </c>
      <c r="AB38" s="18">
        <v>47.934424999999997</v>
      </c>
      <c r="AC38" s="18">
        <v>14.768984999999999</v>
      </c>
      <c r="AD38" s="18">
        <v>77.731499999999997</v>
      </c>
    </row>
    <row r="39" spans="2:30" x14ac:dyDescent="0.25">
      <c r="B39" t="s">
        <v>365</v>
      </c>
      <c r="C39" t="s">
        <v>731</v>
      </c>
      <c r="D39" t="s">
        <v>741</v>
      </c>
      <c r="E39" s="35">
        <v>1.8</v>
      </c>
      <c r="F39" s="35">
        <v>27.48</v>
      </c>
      <c r="G39" s="36">
        <v>0.32902900000000002</v>
      </c>
      <c r="H39" s="18">
        <v>1184.5033860000001</v>
      </c>
      <c r="I39" s="16"/>
      <c r="J39" s="16"/>
      <c r="K39" s="16"/>
      <c r="L39" s="37" t="s">
        <v>706</v>
      </c>
      <c r="M39" s="37">
        <v>583</v>
      </c>
      <c r="N39" s="37"/>
      <c r="O39" s="37"/>
      <c r="P39" s="37"/>
      <c r="Q39" s="18">
        <v>3.619319</v>
      </c>
      <c r="R39" s="18">
        <v>2.4677174999999999E-2</v>
      </c>
      <c r="S39" s="18">
        <v>6.9096090000000006</v>
      </c>
      <c r="T39" s="18">
        <v>29.61261</v>
      </c>
      <c r="U39" s="18">
        <v>14.806305</v>
      </c>
      <c r="V39" s="18">
        <v>189.52070400000002</v>
      </c>
      <c r="W39" s="18">
        <v>177.67566000000002</v>
      </c>
      <c r="X39" s="18">
        <v>118.45044</v>
      </c>
      <c r="Y39" s="18">
        <v>5.2644640000000003</v>
      </c>
      <c r="Z39" s="18">
        <v>23.361059000000001</v>
      </c>
      <c r="AA39" s="18">
        <v>34.219016000000003</v>
      </c>
      <c r="AB39" s="18">
        <v>60.870365</v>
      </c>
      <c r="AC39" s="18">
        <v>18.754653000000001</v>
      </c>
      <c r="AD39" s="18">
        <v>98.708700000000007</v>
      </c>
    </row>
    <row r="40" spans="2:30" x14ac:dyDescent="0.25">
      <c r="B40" t="s">
        <v>365</v>
      </c>
      <c r="C40" t="s">
        <v>731</v>
      </c>
      <c r="D40" t="s">
        <v>742</v>
      </c>
      <c r="E40" s="35">
        <v>1.8</v>
      </c>
      <c r="F40" s="35">
        <v>27.48</v>
      </c>
      <c r="G40" s="36">
        <v>0.32738299999999998</v>
      </c>
      <c r="H40" s="18">
        <v>1178.5777459999999</v>
      </c>
      <c r="I40" s="16"/>
      <c r="J40" s="16"/>
      <c r="K40" s="16"/>
      <c r="L40" s="37" t="s">
        <v>706</v>
      </c>
      <c r="M40" s="37">
        <v>584</v>
      </c>
      <c r="N40" s="37"/>
      <c r="O40" s="37"/>
      <c r="P40" s="37"/>
      <c r="Q40" s="18">
        <v>3.6012129999999996</v>
      </c>
      <c r="R40" s="18">
        <v>2.4553724999999998E-2</v>
      </c>
      <c r="S40" s="18">
        <v>6.8750429999999998</v>
      </c>
      <c r="T40" s="18">
        <v>29.464469999999999</v>
      </c>
      <c r="U40" s="18">
        <v>14.732234999999999</v>
      </c>
      <c r="V40" s="18">
        <v>188.572608</v>
      </c>
      <c r="W40" s="18">
        <v>176.78681999999998</v>
      </c>
      <c r="X40" s="18">
        <v>117.85787999999999</v>
      </c>
      <c r="Y40" s="18">
        <v>5.2381279999999997</v>
      </c>
      <c r="Z40" s="18">
        <v>23.244192999999999</v>
      </c>
      <c r="AA40" s="18">
        <v>34.047832</v>
      </c>
      <c r="AB40" s="18">
        <v>60.565854999999999</v>
      </c>
      <c r="AC40" s="18">
        <v>18.660830999999998</v>
      </c>
      <c r="AD40" s="18">
        <v>98.2149</v>
      </c>
    </row>
    <row r="41" spans="2:30" x14ac:dyDescent="0.25">
      <c r="B41" t="s">
        <v>365</v>
      </c>
      <c r="C41" t="s">
        <v>731</v>
      </c>
      <c r="D41" t="s">
        <v>743</v>
      </c>
      <c r="E41" s="35">
        <v>1.8</v>
      </c>
      <c r="F41" s="35">
        <v>27.48</v>
      </c>
      <c r="G41" s="36">
        <v>0.325071</v>
      </c>
      <c r="H41" s="18">
        <v>1170.254451</v>
      </c>
      <c r="I41" s="16"/>
      <c r="J41" s="16"/>
      <c r="K41" s="16"/>
      <c r="L41" s="37" t="s">
        <v>706</v>
      </c>
      <c r="M41" s="37">
        <v>585</v>
      </c>
      <c r="N41" s="37"/>
      <c r="O41" s="37"/>
      <c r="P41" s="37"/>
      <c r="Q41" s="18">
        <v>3.5757810000000001</v>
      </c>
      <c r="R41" s="18">
        <v>2.4380324999999998E-2</v>
      </c>
      <c r="S41" s="18">
        <v>6.8264909999999999</v>
      </c>
      <c r="T41" s="18">
        <v>29.25639</v>
      </c>
      <c r="U41" s="18">
        <v>14.628195</v>
      </c>
      <c r="V41" s="18">
        <v>187.24089599999999</v>
      </c>
      <c r="W41" s="18">
        <v>175.53834000000001</v>
      </c>
      <c r="X41" s="18">
        <v>117.02556</v>
      </c>
      <c r="Y41" s="18">
        <v>5.201136</v>
      </c>
      <c r="Z41" s="18">
        <v>23.080041000000001</v>
      </c>
      <c r="AA41" s="18">
        <v>33.807383999999999</v>
      </c>
      <c r="AB41" s="18">
        <v>60.138134999999998</v>
      </c>
      <c r="AC41" s="18">
        <v>18.529046999999998</v>
      </c>
      <c r="AD41" s="18">
        <v>97.521299999999997</v>
      </c>
    </row>
    <row r="42" spans="2:30" x14ac:dyDescent="0.25">
      <c r="B42" t="s">
        <v>365</v>
      </c>
      <c r="C42" t="s">
        <v>731</v>
      </c>
      <c r="D42" t="s">
        <v>741</v>
      </c>
      <c r="E42" s="35">
        <v>1.8</v>
      </c>
      <c r="F42" s="35">
        <v>27.48</v>
      </c>
      <c r="G42" s="36">
        <v>0.32902900000000002</v>
      </c>
      <c r="H42" s="18">
        <v>1184.5033860000001</v>
      </c>
      <c r="I42" s="16"/>
      <c r="J42" s="16"/>
      <c r="K42" s="16"/>
      <c r="L42" s="37" t="s">
        <v>706</v>
      </c>
      <c r="M42" s="37">
        <v>586</v>
      </c>
      <c r="N42" s="37"/>
      <c r="O42" s="37"/>
      <c r="P42" s="37"/>
      <c r="Q42" s="18">
        <v>3.619319</v>
      </c>
      <c r="R42" s="18">
        <v>2.4677174999999999E-2</v>
      </c>
      <c r="S42" s="18">
        <v>6.9096090000000006</v>
      </c>
      <c r="T42" s="18">
        <v>29.61261</v>
      </c>
      <c r="U42" s="18">
        <v>14.806305</v>
      </c>
      <c r="V42" s="18">
        <v>189.52070400000002</v>
      </c>
      <c r="W42" s="18">
        <v>177.67566000000002</v>
      </c>
      <c r="X42" s="18">
        <v>118.45044</v>
      </c>
      <c r="Y42" s="18">
        <v>5.2644640000000003</v>
      </c>
      <c r="Z42" s="18">
        <v>23.361059000000001</v>
      </c>
      <c r="AA42" s="18">
        <v>34.219016000000003</v>
      </c>
      <c r="AB42" s="18">
        <v>60.870365</v>
      </c>
      <c r="AC42" s="18">
        <v>18.754653000000001</v>
      </c>
      <c r="AD42" s="18">
        <v>98.708700000000007</v>
      </c>
    </row>
    <row r="43" spans="2:30" x14ac:dyDescent="0.25">
      <c r="E43" s="38" t="s">
        <v>797</v>
      </c>
      <c r="F43" s="38"/>
      <c r="G43" s="39">
        <f>SUM(G7:G42)</f>
        <v>12.801753</v>
      </c>
      <c r="H43" s="40">
        <f>SUM(H7:H42)</f>
        <v>46086.312124999989</v>
      </c>
      <c r="I43" s="41"/>
      <c r="J43" s="41"/>
      <c r="K43" s="41"/>
      <c r="L43" s="42"/>
      <c r="M43" s="42"/>
      <c r="N43" s="42"/>
      <c r="O43" s="42"/>
      <c r="P43" s="42"/>
      <c r="Q43" s="40">
        <f>SUM(Q7:Q42)</f>
        <v>140.81928299999998</v>
      </c>
      <c r="R43" s="40">
        <f>SUM(R7:R42)</f>
        <v>0.96013147499999996</v>
      </c>
      <c r="S43" s="40">
        <f>SUM(S7:S42)</f>
        <v>268.83681299999995</v>
      </c>
      <c r="T43" s="40">
        <f>SUM(T7:T42)</f>
        <v>1152.1577699999998</v>
      </c>
      <c r="U43" s="40">
        <f>SUM(U7:U42)</f>
        <v>576.0788849999999</v>
      </c>
      <c r="V43" s="40">
        <f>SUM(V7:V42)</f>
        <v>7373.809728000002</v>
      </c>
      <c r="W43" s="40">
        <f>SUM(W7:W42)</f>
        <v>6912.9466199999997</v>
      </c>
      <c r="X43" s="40">
        <f>SUM(X7:X42)</f>
        <v>4608.6310799999992</v>
      </c>
      <c r="Y43" s="40">
        <f>SUM(Y7:Y42)</f>
        <v>204.828048</v>
      </c>
      <c r="Z43" s="40">
        <f>SUM(Z7:Z42)</f>
        <v>908.92446299999995</v>
      </c>
      <c r="AA43" s="40">
        <f>SUM(AA7:AA42)</f>
        <v>1331.382312</v>
      </c>
      <c r="AB43" s="40">
        <f>SUM(AB7:AB42)</f>
        <v>2368.3243050000001</v>
      </c>
      <c r="AC43" s="40">
        <f>SUM(AC7:AC42)</f>
        <v>729.69992100000013</v>
      </c>
      <c r="AD43" s="40">
        <f>SUM(AD7:AD42)</f>
        <v>3840.5259000000001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AD1757"/>
  <sheetViews>
    <sheetView showGridLines="0" workbookViewId="0">
      <selection activeCell="R12" sqref="R12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6" max="6" width="9.5703125" customWidth="1"/>
    <col min="7" max="7" width="16.42578125" style="16" customWidth="1"/>
    <col min="8" max="8" width="14.28515625" style="16" customWidth="1"/>
    <col min="10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744</v>
      </c>
      <c r="I4" t="s">
        <v>29</v>
      </c>
    </row>
    <row r="5" spans="2:30" x14ac:dyDescent="0.25">
      <c r="B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  <c r="H5" t="s">
        <v>38</v>
      </c>
      <c r="I5" t="s">
        <v>39</v>
      </c>
      <c r="J5" t="s">
        <v>798</v>
      </c>
      <c r="K5" t="s">
        <v>799</v>
      </c>
      <c r="L5" t="s">
        <v>800</v>
      </c>
      <c r="M5" t="s">
        <v>801</v>
      </c>
      <c r="N5" t="s">
        <v>802</v>
      </c>
      <c r="O5" t="s">
        <v>803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269</v>
      </c>
      <c r="C7" t="s">
        <v>326</v>
      </c>
      <c r="D7" t="s">
        <v>745</v>
      </c>
      <c r="E7" s="35">
        <v>0.9</v>
      </c>
      <c r="F7" s="35">
        <v>6.6</v>
      </c>
      <c r="G7" s="36">
        <v>2.1719999999999999E-3</v>
      </c>
      <c r="H7" s="18">
        <v>3.9099249999999999</v>
      </c>
      <c r="I7" s="16" t="s">
        <v>746</v>
      </c>
      <c r="J7" s="16"/>
      <c r="K7" s="16"/>
      <c r="L7" s="37"/>
      <c r="M7" s="37"/>
      <c r="N7" s="37"/>
      <c r="O7" s="37"/>
      <c r="P7" s="37"/>
      <c r="Q7" s="18">
        <v>2.3892E-2</v>
      </c>
      <c r="R7" s="18">
        <v>1.6289999999999998E-4</v>
      </c>
      <c r="S7" s="18">
        <v>4.5612E-2</v>
      </c>
      <c r="T7" s="18">
        <v>0.19547999999999999</v>
      </c>
      <c r="U7" s="18">
        <v>9.7739999999999994E-2</v>
      </c>
      <c r="V7" s="18">
        <v>1.251072</v>
      </c>
      <c r="W7" s="18">
        <v>1.1728799999999999</v>
      </c>
      <c r="X7" s="18">
        <v>0.78191999999999995</v>
      </c>
      <c r="Y7" s="18">
        <v>3.4751999999999998E-2</v>
      </c>
      <c r="Z7" s="18">
        <v>0.15421199999999999</v>
      </c>
      <c r="AA7" s="18">
        <v>0.22588799999999998</v>
      </c>
      <c r="AB7" s="18">
        <v>0.40181999999999995</v>
      </c>
      <c r="AC7" s="18">
        <v>0.123804</v>
      </c>
      <c r="AD7" s="18">
        <v>0.65159999999999996</v>
      </c>
    </row>
    <row r="8" spans="2:30" x14ac:dyDescent="0.25">
      <c r="B8" t="s">
        <v>269</v>
      </c>
      <c r="C8" t="s">
        <v>105</v>
      </c>
      <c r="D8" t="s">
        <v>747</v>
      </c>
      <c r="E8" s="35">
        <v>0.9</v>
      </c>
      <c r="F8" s="35">
        <v>6.6</v>
      </c>
      <c r="G8" s="36">
        <v>4.9449999999999997E-3</v>
      </c>
      <c r="H8" s="18">
        <v>8.9002979999999994</v>
      </c>
      <c r="I8" s="16" t="s">
        <v>746</v>
      </c>
      <c r="J8" s="16"/>
      <c r="K8" s="16"/>
      <c r="L8" s="37"/>
      <c r="M8" s="37"/>
      <c r="N8" s="37"/>
      <c r="O8" s="37"/>
      <c r="P8" s="37"/>
      <c r="Q8" s="18">
        <v>5.4394999999999999E-2</v>
      </c>
      <c r="R8" s="18">
        <v>3.7087499999999995E-4</v>
      </c>
      <c r="S8" s="18">
        <v>0.10384499999999999</v>
      </c>
      <c r="T8" s="18">
        <v>0.44505</v>
      </c>
      <c r="U8" s="18">
        <v>0.222525</v>
      </c>
      <c r="V8" s="18">
        <v>2.8483199999999997</v>
      </c>
      <c r="W8" s="18">
        <v>2.6702999999999997</v>
      </c>
      <c r="X8" s="18">
        <v>1.7802</v>
      </c>
      <c r="Y8" s="18">
        <v>7.9119999999999996E-2</v>
      </c>
      <c r="Z8" s="18">
        <v>0.35109499999999999</v>
      </c>
      <c r="AA8" s="18">
        <v>0.51427999999999996</v>
      </c>
      <c r="AB8" s="18">
        <v>0.914825</v>
      </c>
      <c r="AC8" s="18">
        <v>0.28186499999999998</v>
      </c>
      <c r="AD8" s="18">
        <v>1.4834999999999998</v>
      </c>
    </row>
    <row r="9" spans="2:30" x14ac:dyDescent="0.25">
      <c r="B9" t="s">
        <v>269</v>
      </c>
      <c r="C9" t="s">
        <v>105</v>
      </c>
      <c r="D9" t="s">
        <v>748</v>
      </c>
      <c r="E9" s="35">
        <v>0.9</v>
      </c>
      <c r="F9" s="35">
        <v>6.6</v>
      </c>
      <c r="G9" s="36">
        <v>4.1200000000000004E-3</v>
      </c>
      <c r="H9" s="18">
        <v>7.4152979999999999</v>
      </c>
      <c r="I9" s="16" t="s">
        <v>746</v>
      </c>
      <c r="J9" s="16"/>
      <c r="K9" s="16"/>
      <c r="L9" s="37"/>
      <c r="M9" s="37"/>
      <c r="N9" s="37"/>
      <c r="O9" s="37"/>
      <c r="P9" s="37"/>
      <c r="Q9" s="18">
        <v>4.5320000000000006E-2</v>
      </c>
      <c r="R9" s="18">
        <v>3.0900000000000003E-4</v>
      </c>
      <c r="S9" s="18">
        <v>8.6520000000000014E-2</v>
      </c>
      <c r="T9" s="18">
        <v>0.37080000000000002</v>
      </c>
      <c r="U9" s="18">
        <v>0.18540000000000001</v>
      </c>
      <c r="V9" s="18">
        <v>2.3731200000000001</v>
      </c>
      <c r="W9" s="18">
        <v>2.2248000000000001</v>
      </c>
      <c r="X9" s="18">
        <v>1.4832000000000001</v>
      </c>
      <c r="Y9" s="18">
        <v>6.5920000000000006E-2</v>
      </c>
      <c r="Z9" s="18">
        <v>0.29252</v>
      </c>
      <c r="AA9" s="18">
        <v>0.42848000000000003</v>
      </c>
      <c r="AB9" s="18">
        <v>0.7622000000000001</v>
      </c>
      <c r="AC9" s="18">
        <v>0.23484000000000002</v>
      </c>
      <c r="AD9" s="18">
        <v>1.2360000000000002</v>
      </c>
    </row>
    <row r="10" spans="2:30" x14ac:dyDescent="0.25">
      <c r="B10" t="s">
        <v>269</v>
      </c>
      <c r="C10" t="s">
        <v>105</v>
      </c>
      <c r="D10" t="s">
        <v>748</v>
      </c>
      <c r="E10" s="35">
        <v>0.9</v>
      </c>
      <c r="F10" s="35">
        <v>6.6</v>
      </c>
      <c r="G10" s="36">
        <v>4.1200000000000004E-3</v>
      </c>
      <c r="H10" s="18">
        <v>7.4152979999999999</v>
      </c>
      <c r="I10" s="16" t="s">
        <v>746</v>
      </c>
      <c r="J10" s="16"/>
      <c r="K10" s="16"/>
      <c r="L10" s="37"/>
      <c r="M10" s="37"/>
      <c r="N10" s="37"/>
      <c r="O10" s="37"/>
      <c r="P10" s="37"/>
      <c r="Q10" s="18">
        <v>4.5320000000000006E-2</v>
      </c>
      <c r="R10" s="18">
        <v>3.0900000000000003E-4</v>
      </c>
      <c r="S10" s="18">
        <v>8.6520000000000014E-2</v>
      </c>
      <c r="T10" s="18">
        <v>0.37080000000000002</v>
      </c>
      <c r="U10" s="18">
        <v>0.18540000000000001</v>
      </c>
      <c r="V10" s="18">
        <v>2.3731200000000001</v>
      </c>
      <c r="W10" s="18">
        <v>2.2248000000000001</v>
      </c>
      <c r="X10" s="18">
        <v>1.4832000000000001</v>
      </c>
      <c r="Y10" s="18">
        <v>6.5920000000000006E-2</v>
      </c>
      <c r="Z10" s="18">
        <v>0.29252</v>
      </c>
      <c r="AA10" s="18">
        <v>0.42848000000000003</v>
      </c>
      <c r="AB10" s="18">
        <v>0.7622000000000001</v>
      </c>
      <c r="AC10" s="18">
        <v>0.23484000000000002</v>
      </c>
      <c r="AD10" s="18">
        <v>1.2360000000000002</v>
      </c>
    </row>
    <row r="11" spans="2:30" x14ac:dyDescent="0.25">
      <c r="B11" t="s">
        <v>269</v>
      </c>
      <c r="C11" t="s">
        <v>105</v>
      </c>
      <c r="D11" t="s">
        <v>747</v>
      </c>
      <c r="E11" s="35">
        <v>0.9</v>
      </c>
      <c r="F11" s="35">
        <v>6.6</v>
      </c>
      <c r="G11" s="36">
        <v>4.9449999999999997E-3</v>
      </c>
      <c r="H11" s="18">
        <v>8.9002979999999994</v>
      </c>
      <c r="I11" s="16" t="s">
        <v>746</v>
      </c>
      <c r="J11" s="16"/>
      <c r="K11" s="16"/>
      <c r="L11" s="37"/>
      <c r="M11" s="37"/>
      <c r="N11" s="37"/>
      <c r="O11" s="37"/>
      <c r="P11" s="37"/>
      <c r="Q11" s="18">
        <v>5.4394999999999999E-2</v>
      </c>
      <c r="R11" s="18">
        <v>3.7087499999999995E-4</v>
      </c>
      <c r="S11" s="18">
        <v>0.10384499999999999</v>
      </c>
      <c r="T11" s="18">
        <v>0.44505</v>
      </c>
      <c r="U11" s="18">
        <v>0.222525</v>
      </c>
      <c r="V11" s="18">
        <v>2.8483199999999997</v>
      </c>
      <c r="W11" s="18">
        <v>2.6702999999999997</v>
      </c>
      <c r="X11" s="18">
        <v>1.7802</v>
      </c>
      <c r="Y11" s="18">
        <v>7.9119999999999996E-2</v>
      </c>
      <c r="Z11" s="18">
        <v>0.35109499999999999</v>
      </c>
      <c r="AA11" s="18">
        <v>0.51427999999999996</v>
      </c>
      <c r="AB11" s="18">
        <v>0.914825</v>
      </c>
      <c r="AC11" s="18">
        <v>0.28186499999999998</v>
      </c>
      <c r="AD11" s="18">
        <v>1.4834999999999998</v>
      </c>
    </row>
    <row r="12" spans="2:30" x14ac:dyDescent="0.25">
      <c r="B12" t="s">
        <v>269</v>
      </c>
      <c r="C12" t="s">
        <v>105</v>
      </c>
      <c r="D12" t="s">
        <v>748</v>
      </c>
      <c r="E12" s="35">
        <v>0.9</v>
      </c>
      <c r="F12" s="35">
        <v>6.6</v>
      </c>
      <c r="G12" s="36">
        <v>4.1200000000000004E-3</v>
      </c>
      <c r="H12" s="18">
        <v>7.4152979999999999</v>
      </c>
      <c r="I12" s="16" t="s">
        <v>746</v>
      </c>
      <c r="J12" s="16"/>
      <c r="K12" s="16"/>
      <c r="L12" s="37"/>
      <c r="M12" s="37"/>
      <c r="N12" s="37"/>
      <c r="O12" s="37"/>
      <c r="P12" s="37"/>
      <c r="Q12" s="18">
        <v>4.5320000000000006E-2</v>
      </c>
      <c r="R12" s="18">
        <v>3.0900000000000003E-4</v>
      </c>
      <c r="S12" s="18">
        <v>8.6520000000000014E-2</v>
      </c>
      <c r="T12" s="18">
        <v>0.37080000000000002</v>
      </c>
      <c r="U12" s="18">
        <v>0.18540000000000001</v>
      </c>
      <c r="V12" s="18">
        <v>2.3731200000000001</v>
      </c>
      <c r="W12" s="18">
        <v>2.2248000000000001</v>
      </c>
      <c r="X12" s="18">
        <v>1.4832000000000001</v>
      </c>
      <c r="Y12" s="18">
        <v>6.5920000000000006E-2</v>
      </c>
      <c r="Z12" s="18">
        <v>0.29252</v>
      </c>
      <c r="AA12" s="18">
        <v>0.42848000000000003</v>
      </c>
      <c r="AB12" s="18">
        <v>0.7622000000000001</v>
      </c>
      <c r="AC12" s="18">
        <v>0.23484000000000002</v>
      </c>
      <c r="AD12" s="18">
        <v>1.2360000000000002</v>
      </c>
    </row>
    <row r="13" spans="2:30" x14ac:dyDescent="0.25">
      <c r="B13" t="s">
        <v>269</v>
      </c>
      <c r="C13" t="s">
        <v>105</v>
      </c>
      <c r="D13" t="s">
        <v>747</v>
      </c>
      <c r="E13" s="35">
        <v>0.9</v>
      </c>
      <c r="F13" s="35">
        <v>6.6</v>
      </c>
      <c r="G13" s="36">
        <v>4.9449999999999997E-3</v>
      </c>
      <c r="H13" s="18">
        <v>8.9002979999999994</v>
      </c>
      <c r="I13" s="16" t="s">
        <v>746</v>
      </c>
      <c r="J13" s="16"/>
      <c r="K13" s="16"/>
      <c r="L13" s="37"/>
      <c r="M13" s="37"/>
      <c r="N13" s="37"/>
      <c r="O13" s="37"/>
      <c r="P13" s="37"/>
      <c r="Q13" s="18">
        <v>5.4394999999999999E-2</v>
      </c>
      <c r="R13" s="18">
        <v>3.7087499999999995E-4</v>
      </c>
      <c r="S13" s="18">
        <v>0.10384499999999999</v>
      </c>
      <c r="T13" s="18">
        <v>0.44505</v>
      </c>
      <c r="U13" s="18">
        <v>0.222525</v>
      </c>
      <c r="V13" s="18">
        <v>2.8483199999999997</v>
      </c>
      <c r="W13" s="18">
        <v>2.6702999999999997</v>
      </c>
      <c r="X13" s="18">
        <v>1.7802</v>
      </c>
      <c r="Y13" s="18">
        <v>7.9119999999999996E-2</v>
      </c>
      <c r="Z13" s="18">
        <v>0.35109499999999999</v>
      </c>
      <c r="AA13" s="18">
        <v>0.51427999999999996</v>
      </c>
      <c r="AB13" s="18">
        <v>0.914825</v>
      </c>
      <c r="AC13" s="18">
        <v>0.28186499999999998</v>
      </c>
      <c r="AD13" s="18">
        <v>1.4834999999999998</v>
      </c>
    </row>
    <row r="14" spans="2:30" x14ac:dyDescent="0.25">
      <c r="B14" t="s">
        <v>269</v>
      </c>
      <c r="C14" t="s">
        <v>105</v>
      </c>
      <c r="D14" t="s">
        <v>747</v>
      </c>
      <c r="E14" s="35">
        <v>0.9</v>
      </c>
      <c r="F14" s="35">
        <v>6.6</v>
      </c>
      <c r="G14" s="36">
        <v>4.9449999999999997E-3</v>
      </c>
      <c r="H14" s="18">
        <v>8.9002979999999994</v>
      </c>
      <c r="I14" s="16" t="s">
        <v>746</v>
      </c>
      <c r="J14" s="16"/>
      <c r="K14" s="16"/>
      <c r="L14" s="37"/>
      <c r="M14" s="37"/>
      <c r="N14" s="37"/>
      <c r="O14" s="37"/>
      <c r="P14" s="37"/>
      <c r="Q14" s="18">
        <v>5.4394999999999999E-2</v>
      </c>
      <c r="R14" s="18">
        <v>3.7087499999999995E-4</v>
      </c>
      <c r="S14" s="18">
        <v>0.10384499999999999</v>
      </c>
      <c r="T14" s="18">
        <v>0.44505</v>
      </c>
      <c r="U14" s="18">
        <v>0.222525</v>
      </c>
      <c r="V14" s="18">
        <v>2.8483199999999997</v>
      </c>
      <c r="W14" s="18">
        <v>2.6702999999999997</v>
      </c>
      <c r="X14" s="18">
        <v>1.7802</v>
      </c>
      <c r="Y14" s="18">
        <v>7.9119999999999996E-2</v>
      </c>
      <c r="Z14" s="18">
        <v>0.35109499999999999</v>
      </c>
      <c r="AA14" s="18">
        <v>0.51427999999999996</v>
      </c>
      <c r="AB14" s="18">
        <v>0.914825</v>
      </c>
      <c r="AC14" s="18">
        <v>0.28186499999999998</v>
      </c>
      <c r="AD14" s="18">
        <v>1.4834999999999998</v>
      </c>
    </row>
    <row r="15" spans="2:30" x14ac:dyDescent="0.25">
      <c r="B15" t="s">
        <v>269</v>
      </c>
      <c r="C15" t="s">
        <v>105</v>
      </c>
      <c r="D15" t="s">
        <v>748</v>
      </c>
      <c r="E15" s="35">
        <v>0.9</v>
      </c>
      <c r="F15" s="35">
        <v>6.6</v>
      </c>
      <c r="G15" s="36">
        <v>4.1200000000000004E-3</v>
      </c>
      <c r="H15" s="18">
        <v>7.4152979999999999</v>
      </c>
      <c r="I15" s="16" t="s">
        <v>746</v>
      </c>
      <c r="J15" s="16"/>
      <c r="K15" s="16"/>
      <c r="L15" s="37"/>
      <c r="M15" s="37"/>
      <c r="N15" s="37"/>
      <c r="O15" s="37"/>
      <c r="P15" s="37"/>
      <c r="Q15" s="18">
        <v>4.5320000000000006E-2</v>
      </c>
      <c r="R15" s="18">
        <v>3.0900000000000003E-4</v>
      </c>
      <c r="S15" s="18">
        <v>8.6520000000000014E-2</v>
      </c>
      <c r="T15" s="18">
        <v>0.37080000000000002</v>
      </c>
      <c r="U15" s="18">
        <v>0.18540000000000001</v>
      </c>
      <c r="V15" s="18">
        <v>2.3731200000000001</v>
      </c>
      <c r="W15" s="18">
        <v>2.2248000000000001</v>
      </c>
      <c r="X15" s="18">
        <v>1.4832000000000001</v>
      </c>
      <c r="Y15" s="18">
        <v>6.5920000000000006E-2</v>
      </c>
      <c r="Z15" s="18">
        <v>0.29252</v>
      </c>
      <c r="AA15" s="18">
        <v>0.42848000000000003</v>
      </c>
      <c r="AB15" s="18">
        <v>0.7622000000000001</v>
      </c>
      <c r="AC15" s="18">
        <v>0.23484000000000002</v>
      </c>
      <c r="AD15" s="18">
        <v>1.2360000000000002</v>
      </c>
    </row>
    <row r="16" spans="2:30" x14ac:dyDescent="0.25">
      <c r="B16" t="s">
        <v>269</v>
      </c>
      <c r="C16" t="s">
        <v>105</v>
      </c>
      <c r="D16" t="s">
        <v>747</v>
      </c>
      <c r="E16" s="35">
        <v>0.9</v>
      </c>
      <c r="F16" s="35">
        <v>6.6</v>
      </c>
      <c r="G16" s="36">
        <v>4.9449999999999997E-3</v>
      </c>
      <c r="H16" s="18">
        <v>8.9002979999999994</v>
      </c>
      <c r="I16" s="16" t="s">
        <v>746</v>
      </c>
      <c r="J16" s="16"/>
      <c r="K16" s="16"/>
      <c r="L16" s="37"/>
      <c r="M16" s="37"/>
      <c r="N16" s="37"/>
      <c r="O16" s="37"/>
      <c r="P16" s="37"/>
      <c r="Q16" s="18">
        <v>5.4394999999999999E-2</v>
      </c>
      <c r="R16" s="18">
        <v>3.7087499999999995E-4</v>
      </c>
      <c r="S16" s="18">
        <v>0.10384499999999999</v>
      </c>
      <c r="T16" s="18">
        <v>0.44505</v>
      </c>
      <c r="U16" s="18">
        <v>0.222525</v>
      </c>
      <c r="V16" s="18">
        <v>2.8483199999999997</v>
      </c>
      <c r="W16" s="18">
        <v>2.6702999999999997</v>
      </c>
      <c r="X16" s="18">
        <v>1.7802</v>
      </c>
      <c r="Y16" s="18">
        <v>7.9119999999999996E-2</v>
      </c>
      <c r="Z16" s="18">
        <v>0.35109499999999999</v>
      </c>
      <c r="AA16" s="18">
        <v>0.51427999999999996</v>
      </c>
      <c r="AB16" s="18">
        <v>0.914825</v>
      </c>
      <c r="AC16" s="18">
        <v>0.28186499999999998</v>
      </c>
      <c r="AD16" s="18">
        <v>1.4834999999999998</v>
      </c>
    </row>
    <row r="17" spans="2:30" x14ac:dyDescent="0.25">
      <c r="B17" t="s">
        <v>269</v>
      </c>
      <c r="C17" t="s">
        <v>105</v>
      </c>
      <c r="D17" t="s">
        <v>749</v>
      </c>
      <c r="E17" s="35">
        <v>0.9</v>
      </c>
      <c r="F17" s="35">
        <v>6.6</v>
      </c>
      <c r="G17" s="36">
        <v>3.5699999999999998E-3</v>
      </c>
      <c r="H17" s="18">
        <v>6.4252979999999997</v>
      </c>
      <c r="I17" s="16" t="s">
        <v>746</v>
      </c>
      <c r="J17" s="16"/>
      <c r="K17" s="16"/>
      <c r="L17" s="37"/>
      <c r="M17" s="37"/>
      <c r="N17" s="37"/>
      <c r="O17" s="37"/>
      <c r="P17" s="37"/>
      <c r="Q17" s="18">
        <v>3.9269999999999999E-2</v>
      </c>
      <c r="R17" s="18">
        <v>2.6774999999999998E-4</v>
      </c>
      <c r="S17" s="18">
        <v>7.4969999999999995E-2</v>
      </c>
      <c r="T17" s="18">
        <v>0.32129999999999997</v>
      </c>
      <c r="U17" s="18">
        <v>0.16064999999999999</v>
      </c>
      <c r="V17" s="18">
        <v>2.0563199999999999</v>
      </c>
      <c r="W17" s="18">
        <v>1.9278</v>
      </c>
      <c r="X17" s="18">
        <v>1.2851999999999999</v>
      </c>
      <c r="Y17" s="18">
        <v>5.7119999999999997E-2</v>
      </c>
      <c r="Z17" s="18">
        <v>0.25346999999999997</v>
      </c>
      <c r="AA17" s="18">
        <v>0.37128</v>
      </c>
      <c r="AB17" s="18">
        <v>0.66044999999999998</v>
      </c>
      <c r="AC17" s="18">
        <v>0.20348999999999998</v>
      </c>
      <c r="AD17" s="18">
        <v>1.071</v>
      </c>
    </row>
    <row r="18" spans="2:30" x14ac:dyDescent="0.25">
      <c r="B18" t="s">
        <v>269</v>
      </c>
      <c r="C18" t="s">
        <v>105</v>
      </c>
      <c r="D18" t="s">
        <v>750</v>
      </c>
      <c r="E18" s="35">
        <v>0.9</v>
      </c>
      <c r="F18" s="35">
        <v>6.6</v>
      </c>
      <c r="G18" s="36">
        <v>3.0200000000000001E-3</v>
      </c>
      <c r="H18" s="18">
        <v>5.4352980000000004</v>
      </c>
      <c r="I18" s="16" t="s">
        <v>746</v>
      </c>
      <c r="J18" s="16"/>
      <c r="K18" s="16"/>
      <c r="L18" s="37"/>
      <c r="M18" s="37"/>
      <c r="N18" s="37"/>
      <c r="O18" s="37"/>
      <c r="P18" s="37"/>
      <c r="Q18" s="18">
        <v>3.322E-2</v>
      </c>
      <c r="R18" s="18">
        <v>2.265E-4</v>
      </c>
      <c r="S18" s="18">
        <v>6.3420000000000004E-2</v>
      </c>
      <c r="T18" s="18">
        <v>0.27179999999999999</v>
      </c>
      <c r="U18" s="18">
        <v>0.13589999999999999</v>
      </c>
      <c r="V18" s="18">
        <v>1.7395200000000002</v>
      </c>
      <c r="W18" s="18">
        <v>1.6308</v>
      </c>
      <c r="X18" s="18">
        <v>1.0871999999999999</v>
      </c>
      <c r="Y18" s="18">
        <v>4.8320000000000002E-2</v>
      </c>
      <c r="Z18" s="18">
        <v>0.21442</v>
      </c>
      <c r="AA18" s="18">
        <v>0.31408000000000003</v>
      </c>
      <c r="AB18" s="18">
        <v>0.55869999999999997</v>
      </c>
      <c r="AC18" s="18">
        <v>0.17214000000000002</v>
      </c>
      <c r="AD18" s="18">
        <v>0.90600000000000003</v>
      </c>
    </row>
    <row r="19" spans="2:30" x14ac:dyDescent="0.25">
      <c r="B19" t="s">
        <v>269</v>
      </c>
      <c r="C19" t="s">
        <v>105</v>
      </c>
      <c r="D19" t="s">
        <v>750</v>
      </c>
      <c r="E19" s="35">
        <v>0.9</v>
      </c>
      <c r="F19" s="35">
        <v>6.6</v>
      </c>
      <c r="G19" s="36">
        <v>3.0200000000000001E-3</v>
      </c>
      <c r="H19" s="18">
        <v>5.4352980000000004</v>
      </c>
      <c r="I19" s="16" t="s">
        <v>746</v>
      </c>
      <c r="J19" s="16"/>
      <c r="K19" s="16"/>
      <c r="L19" s="37"/>
      <c r="M19" s="37"/>
      <c r="N19" s="37"/>
      <c r="O19" s="37"/>
      <c r="P19" s="37"/>
      <c r="Q19" s="18">
        <v>3.322E-2</v>
      </c>
      <c r="R19" s="18">
        <v>2.265E-4</v>
      </c>
      <c r="S19" s="18">
        <v>6.3420000000000004E-2</v>
      </c>
      <c r="T19" s="18">
        <v>0.27179999999999999</v>
      </c>
      <c r="U19" s="18">
        <v>0.13589999999999999</v>
      </c>
      <c r="V19" s="18">
        <v>1.7395200000000002</v>
      </c>
      <c r="W19" s="18">
        <v>1.6308</v>
      </c>
      <c r="X19" s="18">
        <v>1.0871999999999999</v>
      </c>
      <c r="Y19" s="18">
        <v>4.8320000000000002E-2</v>
      </c>
      <c r="Z19" s="18">
        <v>0.21442</v>
      </c>
      <c r="AA19" s="18">
        <v>0.31408000000000003</v>
      </c>
      <c r="AB19" s="18">
        <v>0.55869999999999997</v>
      </c>
      <c r="AC19" s="18">
        <v>0.17214000000000002</v>
      </c>
      <c r="AD19" s="18">
        <v>0.90600000000000003</v>
      </c>
    </row>
    <row r="20" spans="2:30" x14ac:dyDescent="0.25">
      <c r="B20" t="s">
        <v>269</v>
      </c>
      <c r="C20" t="s">
        <v>105</v>
      </c>
      <c r="D20" t="s">
        <v>749</v>
      </c>
      <c r="E20" s="35">
        <v>0.9</v>
      </c>
      <c r="F20" s="35">
        <v>6.6</v>
      </c>
      <c r="G20" s="36">
        <v>3.5699999999999998E-3</v>
      </c>
      <c r="H20" s="18">
        <v>6.4252979999999997</v>
      </c>
      <c r="I20" s="16" t="s">
        <v>746</v>
      </c>
      <c r="J20" s="16"/>
      <c r="K20" s="16"/>
      <c r="L20" s="37"/>
      <c r="M20" s="37"/>
      <c r="N20" s="37"/>
      <c r="O20" s="37"/>
      <c r="P20" s="37"/>
      <c r="Q20" s="18">
        <v>3.9269999999999999E-2</v>
      </c>
      <c r="R20" s="18">
        <v>2.6774999999999998E-4</v>
      </c>
      <c r="S20" s="18">
        <v>7.4969999999999995E-2</v>
      </c>
      <c r="T20" s="18">
        <v>0.32129999999999997</v>
      </c>
      <c r="U20" s="18">
        <v>0.16064999999999999</v>
      </c>
      <c r="V20" s="18">
        <v>2.0563199999999999</v>
      </c>
      <c r="W20" s="18">
        <v>1.9278</v>
      </c>
      <c r="X20" s="18">
        <v>1.2851999999999999</v>
      </c>
      <c r="Y20" s="18">
        <v>5.7119999999999997E-2</v>
      </c>
      <c r="Z20" s="18">
        <v>0.25346999999999997</v>
      </c>
      <c r="AA20" s="18">
        <v>0.37128</v>
      </c>
      <c r="AB20" s="18">
        <v>0.66044999999999998</v>
      </c>
      <c r="AC20" s="18">
        <v>0.20348999999999998</v>
      </c>
      <c r="AD20" s="18">
        <v>1.071</v>
      </c>
    </row>
    <row r="21" spans="2:30" x14ac:dyDescent="0.25">
      <c r="B21" t="s">
        <v>269</v>
      </c>
      <c r="C21" t="s">
        <v>105</v>
      </c>
      <c r="D21" t="s">
        <v>751</v>
      </c>
      <c r="E21" s="35">
        <v>0.9</v>
      </c>
      <c r="F21" s="35">
        <v>6.6</v>
      </c>
      <c r="G21" s="36">
        <v>2.7910000000000001E-3</v>
      </c>
      <c r="H21" s="18">
        <v>5.0236749999999999</v>
      </c>
      <c r="I21" s="16" t="s">
        <v>746</v>
      </c>
      <c r="J21" s="16"/>
      <c r="K21" s="16"/>
      <c r="L21" s="37"/>
      <c r="M21" s="37"/>
      <c r="N21" s="37"/>
      <c r="O21" s="37"/>
      <c r="P21" s="37"/>
      <c r="Q21" s="18">
        <v>3.0700999999999999E-2</v>
      </c>
      <c r="R21" s="18">
        <v>2.0932500000000001E-4</v>
      </c>
      <c r="S21" s="18">
        <v>5.8611000000000003E-2</v>
      </c>
      <c r="T21" s="18">
        <v>0.25119000000000002</v>
      </c>
      <c r="U21" s="18">
        <v>0.12559500000000001</v>
      </c>
      <c r="V21" s="18">
        <v>1.6076160000000002</v>
      </c>
      <c r="W21" s="18">
        <v>1.5071400000000001</v>
      </c>
      <c r="X21" s="18">
        <v>1.0047600000000001</v>
      </c>
      <c r="Y21" s="18">
        <v>4.4656000000000001E-2</v>
      </c>
      <c r="Z21" s="18">
        <v>0.198161</v>
      </c>
      <c r="AA21" s="18">
        <v>0.29026400000000002</v>
      </c>
      <c r="AB21" s="18">
        <v>0.51633499999999999</v>
      </c>
      <c r="AC21" s="18">
        <v>0.15908700000000001</v>
      </c>
      <c r="AD21" s="18">
        <v>0.83730000000000004</v>
      </c>
    </row>
    <row r="22" spans="2:30" x14ac:dyDescent="0.25">
      <c r="B22" t="s">
        <v>269</v>
      </c>
      <c r="C22" t="s">
        <v>105</v>
      </c>
      <c r="D22" t="s">
        <v>748</v>
      </c>
      <c r="E22" s="35">
        <v>0.9</v>
      </c>
      <c r="F22" s="35">
        <v>6.6</v>
      </c>
      <c r="G22" s="36">
        <v>4.1200000000000004E-3</v>
      </c>
      <c r="H22" s="18">
        <v>7.4152979999999999</v>
      </c>
      <c r="I22" s="16" t="s">
        <v>746</v>
      </c>
      <c r="J22" s="16"/>
      <c r="K22" s="16"/>
      <c r="L22" s="37"/>
      <c r="M22" s="37"/>
      <c r="N22" s="37"/>
      <c r="O22" s="37"/>
      <c r="P22" s="37"/>
      <c r="Q22" s="18">
        <v>4.5320000000000006E-2</v>
      </c>
      <c r="R22" s="18">
        <v>3.0900000000000003E-4</v>
      </c>
      <c r="S22" s="18">
        <v>8.6520000000000014E-2</v>
      </c>
      <c r="T22" s="18">
        <v>0.37080000000000002</v>
      </c>
      <c r="U22" s="18">
        <v>0.18540000000000001</v>
      </c>
      <c r="V22" s="18">
        <v>2.3731200000000001</v>
      </c>
      <c r="W22" s="18">
        <v>2.2248000000000001</v>
      </c>
      <c r="X22" s="18">
        <v>1.4832000000000001</v>
      </c>
      <c r="Y22" s="18">
        <v>6.5920000000000006E-2</v>
      </c>
      <c r="Z22" s="18">
        <v>0.29252</v>
      </c>
      <c r="AA22" s="18">
        <v>0.42848000000000003</v>
      </c>
      <c r="AB22" s="18">
        <v>0.7622000000000001</v>
      </c>
      <c r="AC22" s="18">
        <v>0.23484000000000002</v>
      </c>
      <c r="AD22" s="18">
        <v>1.2360000000000002</v>
      </c>
    </row>
    <row r="23" spans="2:30" x14ac:dyDescent="0.25">
      <c r="B23" t="s">
        <v>269</v>
      </c>
      <c r="C23" t="s">
        <v>105</v>
      </c>
      <c r="D23" t="s">
        <v>748</v>
      </c>
      <c r="E23" s="35">
        <v>0.9</v>
      </c>
      <c r="F23" s="35">
        <v>6.6</v>
      </c>
      <c r="G23" s="36">
        <v>4.1200000000000004E-3</v>
      </c>
      <c r="H23" s="18">
        <v>7.4152979999999999</v>
      </c>
      <c r="I23" s="16" t="s">
        <v>746</v>
      </c>
      <c r="J23" s="16"/>
      <c r="K23" s="16"/>
      <c r="L23" s="37"/>
      <c r="M23" s="37"/>
      <c r="N23" s="37"/>
      <c r="O23" s="37"/>
      <c r="P23" s="37"/>
      <c r="Q23" s="18">
        <v>4.5320000000000006E-2</v>
      </c>
      <c r="R23" s="18">
        <v>3.0900000000000003E-4</v>
      </c>
      <c r="S23" s="18">
        <v>8.6520000000000014E-2</v>
      </c>
      <c r="T23" s="18">
        <v>0.37080000000000002</v>
      </c>
      <c r="U23" s="18">
        <v>0.18540000000000001</v>
      </c>
      <c r="V23" s="18">
        <v>2.3731200000000001</v>
      </c>
      <c r="W23" s="18">
        <v>2.2248000000000001</v>
      </c>
      <c r="X23" s="18">
        <v>1.4832000000000001</v>
      </c>
      <c r="Y23" s="18">
        <v>6.5920000000000006E-2</v>
      </c>
      <c r="Z23" s="18">
        <v>0.29252</v>
      </c>
      <c r="AA23" s="18">
        <v>0.42848000000000003</v>
      </c>
      <c r="AB23" s="18">
        <v>0.7622000000000001</v>
      </c>
      <c r="AC23" s="18">
        <v>0.23484000000000002</v>
      </c>
      <c r="AD23" s="18">
        <v>1.2360000000000002</v>
      </c>
    </row>
    <row r="24" spans="2:30" x14ac:dyDescent="0.25">
      <c r="B24" t="s">
        <v>269</v>
      </c>
      <c r="C24" t="s">
        <v>105</v>
      </c>
      <c r="D24" t="s">
        <v>749</v>
      </c>
      <c r="E24" s="35">
        <v>0.9</v>
      </c>
      <c r="F24" s="35">
        <v>6.6</v>
      </c>
      <c r="G24" s="36">
        <v>3.5699999999999998E-3</v>
      </c>
      <c r="H24" s="18">
        <v>6.4252979999999997</v>
      </c>
      <c r="I24" s="16" t="s">
        <v>746</v>
      </c>
      <c r="J24" s="16"/>
      <c r="K24" s="16"/>
      <c r="L24" s="37"/>
      <c r="M24" s="37"/>
      <c r="N24" s="37"/>
      <c r="O24" s="37"/>
      <c r="P24" s="37"/>
      <c r="Q24" s="18">
        <v>3.9269999999999999E-2</v>
      </c>
      <c r="R24" s="18">
        <v>2.6774999999999998E-4</v>
      </c>
      <c r="S24" s="18">
        <v>7.4969999999999995E-2</v>
      </c>
      <c r="T24" s="18">
        <v>0.32129999999999997</v>
      </c>
      <c r="U24" s="18">
        <v>0.16064999999999999</v>
      </c>
      <c r="V24" s="18">
        <v>2.0563199999999999</v>
      </c>
      <c r="W24" s="18">
        <v>1.9278</v>
      </c>
      <c r="X24" s="18">
        <v>1.2851999999999999</v>
      </c>
      <c r="Y24" s="18">
        <v>5.7119999999999997E-2</v>
      </c>
      <c r="Z24" s="18">
        <v>0.25346999999999997</v>
      </c>
      <c r="AA24" s="18">
        <v>0.37128</v>
      </c>
      <c r="AB24" s="18">
        <v>0.66044999999999998</v>
      </c>
      <c r="AC24" s="18">
        <v>0.20348999999999998</v>
      </c>
      <c r="AD24" s="18">
        <v>1.071</v>
      </c>
    </row>
    <row r="25" spans="2:30" x14ac:dyDescent="0.25">
      <c r="B25" t="s">
        <v>269</v>
      </c>
      <c r="C25" t="s">
        <v>105</v>
      </c>
      <c r="D25" t="s">
        <v>748</v>
      </c>
      <c r="E25" s="35">
        <v>0.9</v>
      </c>
      <c r="F25" s="35">
        <v>6.6</v>
      </c>
      <c r="G25" s="36">
        <v>4.1200000000000004E-3</v>
      </c>
      <c r="H25" s="18">
        <v>7.4152979999999999</v>
      </c>
      <c r="I25" s="16" t="s">
        <v>746</v>
      </c>
      <c r="J25" s="16"/>
      <c r="K25" s="16"/>
      <c r="L25" s="37"/>
      <c r="M25" s="37"/>
      <c r="N25" s="37"/>
      <c r="O25" s="37"/>
      <c r="P25" s="37"/>
      <c r="Q25" s="18">
        <v>4.5320000000000006E-2</v>
      </c>
      <c r="R25" s="18">
        <v>3.0900000000000003E-4</v>
      </c>
      <c r="S25" s="18">
        <v>8.6520000000000014E-2</v>
      </c>
      <c r="T25" s="18">
        <v>0.37080000000000002</v>
      </c>
      <c r="U25" s="18">
        <v>0.18540000000000001</v>
      </c>
      <c r="V25" s="18">
        <v>2.3731200000000001</v>
      </c>
      <c r="W25" s="18">
        <v>2.2248000000000001</v>
      </c>
      <c r="X25" s="18">
        <v>1.4832000000000001</v>
      </c>
      <c r="Y25" s="18">
        <v>6.5920000000000006E-2</v>
      </c>
      <c r="Z25" s="18">
        <v>0.29252</v>
      </c>
      <c r="AA25" s="18">
        <v>0.42848000000000003</v>
      </c>
      <c r="AB25" s="18">
        <v>0.7622000000000001</v>
      </c>
      <c r="AC25" s="18">
        <v>0.23484000000000002</v>
      </c>
      <c r="AD25" s="18">
        <v>1.2360000000000002</v>
      </c>
    </row>
    <row r="26" spans="2:30" x14ac:dyDescent="0.25">
      <c r="B26" t="s">
        <v>269</v>
      </c>
      <c r="C26" t="s">
        <v>105</v>
      </c>
      <c r="D26" t="s">
        <v>751</v>
      </c>
      <c r="E26" s="35">
        <v>0.9</v>
      </c>
      <c r="F26" s="35">
        <v>6.6</v>
      </c>
      <c r="G26" s="36">
        <v>2.7910000000000001E-3</v>
      </c>
      <c r="H26" s="18">
        <v>5.0236749999999999</v>
      </c>
      <c r="I26" s="16" t="s">
        <v>746</v>
      </c>
      <c r="J26" s="16"/>
      <c r="K26" s="16"/>
      <c r="L26" s="37"/>
      <c r="M26" s="37"/>
      <c r="N26" s="37"/>
      <c r="O26" s="37"/>
      <c r="P26" s="37"/>
      <c r="Q26" s="18">
        <v>3.0700999999999999E-2</v>
      </c>
      <c r="R26" s="18">
        <v>2.0932500000000001E-4</v>
      </c>
      <c r="S26" s="18">
        <v>5.8611000000000003E-2</v>
      </c>
      <c r="T26" s="18">
        <v>0.25119000000000002</v>
      </c>
      <c r="U26" s="18">
        <v>0.12559500000000001</v>
      </c>
      <c r="V26" s="18">
        <v>1.6076160000000002</v>
      </c>
      <c r="W26" s="18">
        <v>1.5071400000000001</v>
      </c>
      <c r="X26" s="18">
        <v>1.0047600000000001</v>
      </c>
      <c r="Y26" s="18">
        <v>4.4656000000000001E-2</v>
      </c>
      <c r="Z26" s="18">
        <v>0.198161</v>
      </c>
      <c r="AA26" s="18">
        <v>0.29026400000000002</v>
      </c>
      <c r="AB26" s="18">
        <v>0.51633499999999999</v>
      </c>
      <c r="AC26" s="18">
        <v>0.15908700000000001</v>
      </c>
      <c r="AD26" s="18">
        <v>0.83730000000000004</v>
      </c>
    </row>
    <row r="27" spans="2:30" x14ac:dyDescent="0.25">
      <c r="B27" t="s">
        <v>269</v>
      </c>
      <c r="C27" t="s">
        <v>105</v>
      </c>
      <c r="D27" t="s">
        <v>748</v>
      </c>
      <c r="E27" s="35">
        <v>0.9</v>
      </c>
      <c r="F27" s="35">
        <v>6.6</v>
      </c>
      <c r="G27" s="36">
        <v>4.1200000000000004E-3</v>
      </c>
      <c r="H27" s="18">
        <v>7.4152979999999999</v>
      </c>
      <c r="I27" s="16" t="s">
        <v>746</v>
      </c>
      <c r="J27" s="16"/>
      <c r="K27" s="16"/>
      <c r="L27" s="37"/>
      <c r="M27" s="37"/>
      <c r="N27" s="37"/>
      <c r="O27" s="37"/>
      <c r="P27" s="37"/>
      <c r="Q27" s="18">
        <v>4.5320000000000006E-2</v>
      </c>
      <c r="R27" s="18">
        <v>3.0900000000000003E-4</v>
      </c>
      <c r="S27" s="18">
        <v>8.6520000000000014E-2</v>
      </c>
      <c r="T27" s="18">
        <v>0.37080000000000002</v>
      </c>
      <c r="U27" s="18">
        <v>0.18540000000000001</v>
      </c>
      <c r="V27" s="18">
        <v>2.3731200000000001</v>
      </c>
      <c r="W27" s="18">
        <v>2.2248000000000001</v>
      </c>
      <c r="X27" s="18">
        <v>1.4832000000000001</v>
      </c>
      <c r="Y27" s="18">
        <v>6.5920000000000006E-2</v>
      </c>
      <c r="Z27" s="18">
        <v>0.29252</v>
      </c>
      <c r="AA27" s="18">
        <v>0.42848000000000003</v>
      </c>
      <c r="AB27" s="18">
        <v>0.7622000000000001</v>
      </c>
      <c r="AC27" s="18">
        <v>0.23484000000000002</v>
      </c>
      <c r="AD27" s="18">
        <v>1.2360000000000002</v>
      </c>
    </row>
    <row r="28" spans="2:30" x14ac:dyDescent="0.25">
      <c r="B28" t="s">
        <v>269</v>
      </c>
      <c r="C28" t="s">
        <v>105</v>
      </c>
      <c r="D28" t="s">
        <v>748</v>
      </c>
      <c r="E28" s="35">
        <v>0.9</v>
      </c>
      <c r="F28" s="35">
        <v>6.6</v>
      </c>
      <c r="G28" s="36">
        <v>4.1200000000000004E-3</v>
      </c>
      <c r="H28" s="18">
        <v>7.4152979999999999</v>
      </c>
      <c r="I28" s="16" t="s">
        <v>746</v>
      </c>
      <c r="J28" s="16"/>
      <c r="K28" s="16"/>
      <c r="L28" s="37"/>
      <c r="M28" s="37"/>
      <c r="N28" s="37"/>
      <c r="O28" s="37"/>
      <c r="P28" s="37"/>
      <c r="Q28" s="18">
        <v>4.5320000000000006E-2</v>
      </c>
      <c r="R28" s="18">
        <v>3.0900000000000003E-4</v>
      </c>
      <c r="S28" s="18">
        <v>8.6520000000000014E-2</v>
      </c>
      <c r="T28" s="18">
        <v>0.37080000000000002</v>
      </c>
      <c r="U28" s="18">
        <v>0.18540000000000001</v>
      </c>
      <c r="V28" s="18">
        <v>2.3731200000000001</v>
      </c>
      <c r="W28" s="18">
        <v>2.2248000000000001</v>
      </c>
      <c r="X28" s="18">
        <v>1.4832000000000001</v>
      </c>
      <c r="Y28" s="18">
        <v>6.5920000000000006E-2</v>
      </c>
      <c r="Z28" s="18">
        <v>0.29252</v>
      </c>
      <c r="AA28" s="18">
        <v>0.42848000000000003</v>
      </c>
      <c r="AB28" s="18">
        <v>0.7622000000000001</v>
      </c>
      <c r="AC28" s="18">
        <v>0.23484000000000002</v>
      </c>
      <c r="AD28" s="18">
        <v>1.2360000000000002</v>
      </c>
    </row>
    <row r="29" spans="2:30" x14ac:dyDescent="0.25">
      <c r="B29" t="s">
        <v>269</v>
      </c>
      <c r="C29" t="s">
        <v>105</v>
      </c>
      <c r="D29" t="s">
        <v>748</v>
      </c>
      <c r="E29" s="35">
        <v>0.9</v>
      </c>
      <c r="F29" s="35">
        <v>6.6</v>
      </c>
      <c r="G29" s="36">
        <v>4.1200000000000004E-3</v>
      </c>
      <c r="H29" s="18">
        <v>7.4152979999999999</v>
      </c>
      <c r="I29" s="16" t="s">
        <v>746</v>
      </c>
      <c r="J29" s="16"/>
      <c r="K29" s="16"/>
      <c r="L29" s="37"/>
      <c r="M29" s="37"/>
      <c r="N29" s="37"/>
      <c r="O29" s="37"/>
      <c r="P29" s="37"/>
      <c r="Q29" s="18">
        <v>4.5320000000000006E-2</v>
      </c>
      <c r="R29" s="18">
        <v>3.0900000000000003E-4</v>
      </c>
      <c r="S29" s="18">
        <v>8.6520000000000014E-2</v>
      </c>
      <c r="T29" s="18">
        <v>0.37080000000000002</v>
      </c>
      <c r="U29" s="18">
        <v>0.18540000000000001</v>
      </c>
      <c r="V29" s="18">
        <v>2.3731200000000001</v>
      </c>
      <c r="W29" s="18">
        <v>2.2248000000000001</v>
      </c>
      <c r="X29" s="18">
        <v>1.4832000000000001</v>
      </c>
      <c r="Y29" s="18">
        <v>6.5920000000000006E-2</v>
      </c>
      <c r="Z29" s="18">
        <v>0.29252</v>
      </c>
      <c r="AA29" s="18">
        <v>0.42848000000000003</v>
      </c>
      <c r="AB29" s="18">
        <v>0.7622000000000001</v>
      </c>
      <c r="AC29" s="18">
        <v>0.23484000000000002</v>
      </c>
      <c r="AD29" s="18">
        <v>1.2360000000000002</v>
      </c>
    </row>
    <row r="30" spans="2:30" x14ac:dyDescent="0.25">
      <c r="B30" t="s">
        <v>269</v>
      </c>
      <c r="C30" t="s">
        <v>105</v>
      </c>
      <c r="D30" t="s">
        <v>749</v>
      </c>
      <c r="E30" s="35">
        <v>0.9</v>
      </c>
      <c r="F30" s="35">
        <v>6.6</v>
      </c>
      <c r="G30" s="36">
        <v>3.5699999999999998E-3</v>
      </c>
      <c r="H30" s="18">
        <v>6.4252979999999997</v>
      </c>
      <c r="I30" s="16" t="s">
        <v>746</v>
      </c>
      <c r="J30" s="16"/>
      <c r="K30" s="16"/>
      <c r="L30" s="37"/>
      <c r="M30" s="37"/>
      <c r="N30" s="37"/>
      <c r="O30" s="37"/>
      <c r="P30" s="37"/>
      <c r="Q30" s="18">
        <v>3.9269999999999999E-2</v>
      </c>
      <c r="R30" s="18">
        <v>2.6774999999999998E-4</v>
      </c>
      <c r="S30" s="18">
        <v>7.4969999999999995E-2</v>
      </c>
      <c r="T30" s="18">
        <v>0.32129999999999997</v>
      </c>
      <c r="U30" s="18">
        <v>0.16064999999999999</v>
      </c>
      <c r="V30" s="18">
        <v>2.0563199999999999</v>
      </c>
      <c r="W30" s="18">
        <v>1.9278</v>
      </c>
      <c r="X30" s="18">
        <v>1.2851999999999999</v>
      </c>
      <c r="Y30" s="18">
        <v>5.7119999999999997E-2</v>
      </c>
      <c r="Z30" s="18">
        <v>0.25346999999999997</v>
      </c>
      <c r="AA30" s="18">
        <v>0.37128</v>
      </c>
      <c r="AB30" s="18">
        <v>0.66044999999999998</v>
      </c>
      <c r="AC30" s="18">
        <v>0.20348999999999998</v>
      </c>
      <c r="AD30" s="18">
        <v>1.071</v>
      </c>
    </row>
    <row r="31" spans="2:30" x14ac:dyDescent="0.25">
      <c r="B31" t="s">
        <v>269</v>
      </c>
      <c r="C31" t="s">
        <v>105</v>
      </c>
      <c r="D31" t="s">
        <v>750</v>
      </c>
      <c r="E31" s="35">
        <v>0.9</v>
      </c>
      <c r="F31" s="35">
        <v>6.6</v>
      </c>
      <c r="G31" s="36">
        <v>3.0200000000000001E-3</v>
      </c>
      <c r="H31" s="18">
        <v>5.4352980000000004</v>
      </c>
      <c r="I31" s="16" t="s">
        <v>746</v>
      </c>
      <c r="J31" s="16"/>
      <c r="K31" s="16"/>
      <c r="L31" s="37"/>
      <c r="M31" s="37"/>
      <c r="N31" s="37"/>
      <c r="O31" s="37"/>
      <c r="P31" s="37"/>
      <c r="Q31" s="18">
        <v>3.322E-2</v>
      </c>
      <c r="R31" s="18">
        <v>2.265E-4</v>
      </c>
      <c r="S31" s="18">
        <v>6.3420000000000004E-2</v>
      </c>
      <c r="T31" s="18">
        <v>0.27179999999999999</v>
      </c>
      <c r="U31" s="18">
        <v>0.13589999999999999</v>
      </c>
      <c r="V31" s="18">
        <v>1.7395200000000002</v>
      </c>
      <c r="W31" s="18">
        <v>1.6308</v>
      </c>
      <c r="X31" s="18">
        <v>1.0871999999999999</v>
      </c>
      <c r="Y31" s="18">
        <v>4.8320000000000002E-2</v>
      </c>
      <c r="Z31" s="18">
        <v>0.21442</v>
      </c>
      <c r="AA31" s="18">
        <v>0.31408000000000003</v>
      </c>
      <c r="AB31" s="18">
        <v>0.55869999999999997</v>
      </c>
      <c r="AC31" s="18">
        <v>0.17214000000000002</v>
      </c>
      <c r="AD31" s="18">
        <v>0.90600000000000003</v>
      </c>
    </row>
    <row r="32" spans="2:30" x14ac:dyDescent="0.25">
      <c r="B32" t="s">
        <v>269</v>
      </c>
      <c r="C32" t="s">
        <v>105</v>
      </c>
      <c r="D32" t="s">
        <v>748</v>
      </c>
      <c r="E32" s="35">
        <v>0.9</v>
      </c>
      <c r="F32" s="35">
        <v>6.6</v>
      </c>
      <c r="G32" s="36">
        <v>4.1200000000000004E-3</v>
      </c>
      <c r="H32" s="18">
        <v>7.4152979999999999</v>
      </c>
      <c r="I32" s="16" t="s">
        <v>746</v>
      </c>
      <c r="J32" s="16"/>
      <c r="K32" s="16"/>
      <c r="L32" s="37"/>
      <c r="M32" s="37"/>
      <c r="N32" s="37"/>
      <c r="O32" s="37"/>
      <c r="P32" s="37"/>
      <c r="Q32" s="18">
        <v>4.5320000000000006E-2</v>
      </c>
      <c r="R32" s="18">
        <v>3.0900000000000003E-4</v>
      </c>
      <c r="S32" s="18">
        <v>8.6520000000000014E-2</v>
      </c>
      <c r="T32" s="18">
        <v>0.37080000000000002</v>
      </c>
      <c r="U32" s="18">
        <v>0.18540000000000001</v>
      </c>
      <c r="V32" s="18">
        <v>2.3731200000000001</v>
      </c>
      <c r="W32" s="18">
        <v>2.2248000000000001</v>
      </c>
      <c r="X32" s="18">
        <v>1.4832000000000001</v>
      </c>
      <c r="Y32" s="18">
        <v>6.5920000000000006E-2</v>
      </c>
      <c r="Z32" s="18">
        <v>0.29252</v>
      </c>
      <c r="AA32" s="18">
        <v>0.42848000000000003</v>
      </c>
      <c r="AB32" s="18">
        <v>0.7622000000000001</v>
      </c>
      <c r="AC32" s="18">
        <v>0.23484000000000002</v>
      </c>
      <c r="AD32" s="18">
        <v>1.2360000000000002</v>
      </c>
    </row>
    <row r="33" spans="2:30" x14ac:dyDescent="0.25">
      <c r="B33" t="s">
        <v>269</v>
      </c>
      <c r="C33" t="s">
        <v>105</v>
      </c>
      <c r="D33" t="s">
        <v>748</v>
      </c>
      <c r="E33" s="35">
        <v>0.9</v>
      </c>
      <c r="F33" s="35">
        <v>6.6</v>
      </c>
      <c r="G33" s="36">
        <v>4.1200000000000004E-3</v>
      </c>
      <c r="H33" s="18">
        <v>7.4152979999999999</v>
      </c>
      <c r="I33" s="16" t="s">
        <v>746</v>
      </c>
      <c r="J33" s="16"/>
      <c r="K33" s="16"/>
      <c r="L33" s="37"/>
      <c r="M33" s="37"/>
      <c r="N33" s="37"/>
      <c r="O33" s="37"/>
      <c r="P33" s="37"/>
      <c r="Q33" s="18">
        <v>4.5320000000000006E-2</v>
      </c>
      <c r="R33" s="18">
        <v>3.0900000000000003E-4</v>
      </c>
      <c r="S33" s="18">
        <v>8.6520000000000014E-2</v>
      </c>
      <c r="T33" s="18">
        <v>0.37080000000000002</v>
      </c>
      <c r="U33" s="18">
        <v>0.18540000000000001</v>
      </c>
      <c r="V33" s="18">
        <v>2.3731200000000001</v>
      </c>
      <c r="W33" s="18">
        <v>2.2248000000000001</v>
      </c>
      <c r="X33" s="18">
        <v>1.4832000000000001</v>
      </c>
      <c r="Y33" s="18">
        <v>6.5920000000000006E-2</v>
      </c>
      <c r="Z33" s="18">
        <v>0.29252</v>
      </c>
      <c r="AA33" s="18">
        <v>0.42848000000000003</v>
      </c>
      <c r="AB33" s="18">
        <v>0.7622000000000001</v>
      </c>
      <c r="AC33" s="18">
        <v>0.23484000000000002</v>
      </c>
      <c r="AD33" s="18">
        <v>1.2360000000000002</v>
      </c>
    </row>
    <row r="34" spans="2:30" x14ac:dyDescent="0.25">
      <c r="B34" t="s">
        <v>269</v>
      </c>
      <c r="C34" t="s">
        <v>105</v>
      </c>
      <c r="D34" t="s">
        <v>748</v>
      </c>
      <c r="E34" s="35">
        <v>0.9</v>
      </c>
      <c r="F34" s="35">
        <v>6.6</v>
      </c>
      <c r="G34" s="36">
        <v>4.1200000000000004E-3</v>
      </c>
      <c r="H34" s="18">
        <v>7.4152979999999999</v>
      </c>
      <c r="I34" s="16" t="s">
        <v>746</v>
      </c>
      <c r="J34" s="16"/>
      <c r="K34" s="16"/>
      <c r="L34" s="37"/>
      <c r="M34" s="37"/>
      <c r="N34" s="37"/>
      <c r="O34" s="37"/>
      <c r="P34" s="37"/>
      <c r="Q34" s="18">
        <v>4.5320000000000006E-2</v>
      </c>
      <c r="R34" s="18">
        <v>3.0900000000000003E-4</v>
      </c>
      <c r="S34" s="18">
        <v>8.6520000000000014E-2</v>
      </c>
      <c r="T34" s="18">
        <v>0.37080000000000002</v>
      </c>
      <c r="U34" s="18">
        <v>0.18540000000000001</v>
      </c>
      <c r="V34" s="18">
        <v>2.3731200000000001</v>
      </c>
      <c r="W34" s="18">
        <v>2.2248000000000001</v>
      </c>
      <c r="X34" s="18">
        <v>1.4832000000000001</v>
      </c>
      <c r="Y34" s="18">
        <v>6.5920000000000006E-2</v>
      </c>
      <c r="Z34" s="18">
        <v>0.29252</v>
      </c>
      <c r="AA34" s="18">
        <v>0.42848000000000003</v>
      </c>
      <c r="AB34" s="18">
        <v>0.7622000000000001</v>
      </c>
      <c r="AC34" s="18">
        <v>0.23484000000000002</v>
      </c>
      <c r="AD34" s="18">
        <v>1.2360000000000002</v>
      </c>
    </row>
    <row r="35" spans="2:30" x14ac:dyDescent="0.25">
      <c r="B35" t="s">
        <v>269</v>
      </c>
      <c r="C35" t="s">
        <v>105</v>
      </c>
      <c r="D35" t="s">
        <v>749</v>
      </c>
      <c r="E35" s="35">
        <v>0.9</v>
      </c>
      <c r="F35" s="35">
        <v>6.6</v>
      </c>
      <c r="G35" s="36">
        <v>3.5699999999999998E-3</v>
      </c>
      <c r="H35" s="18">
        <v>6.4252979999999997</v>
      </c>
      <c r="I35" s="16" t="s">
        <v>746</v>
      </c>
      <c r="J35" s="16"/>
      <c r="K35" s="16"/>
      <c r="L35" s="37"/>
      <c r="M35" s="37"/>
      <c r="N35" s="37"/>
      <c r="O35" s="37"/>
      <c r="P35" s="37"/>
      <c r="Q35" s="18">
        <v>3.9269999999999999E-2</v>
      </c>
      <c r="R35" s="18">
        <v>2.6774999999999998E-4</v>
      </c>
      <c r="S35" s="18">
        <v>7.4969999999999995E-2</v>
      </c>
      <c r="T35" s="18">
        <v>0.32129999999999997</v>
      </c>
      <c r="U35" s="18">
        <v>0.16064999999999999</v>
      </c>
      <c r="V35" s="18">
        <v>2.0563199999999999</v>
      </c>
      <c r="W35" s="18">
        <v>1.9278</v>
      </c>
      <c r="X35" s="18">
        <v>1.2851999999999999</v>
      </c>
      <c r="Y35" s="18">
        <v>5.7119999999999997E-2</v>
      </c>
      <c r="Z35" s="18">
        <v>0.25346999999999997</v>
      </c>
      <c r="AA35" s="18">
        <v>0.37128</v>
      </c>
      <c r="AB35" s="18">
        <v>0.66044999999999998</v>
      </c>
      <c r="AC35" s="18">
        <v>0.20348999999999998</v>
      </c>
      <c r="AD35" s="18">
        <v>1.071</v>
      </c>
    </row>
    <row r="36" spans="2:30" x14ac:dyDescent="0.25">
      <c r="B36" t="s">
        <v>269</v>
      </c>
      <c r="C36" t="s">
        <v>105</v>
      </c>
      <c r="D36" t="s">
        <v>751</v>
      </c>
      <c r="E36" s="35">
        <v>0.9</v>
      </c>
      <c r="F36" s="35">
        <v>6.6</v>
      </c>
      <c r="G36" s="36">
        <v>2.7910000000000001E-3</v>
      </c>
      <c r="H36" s="18">
        <v>5.0236749999999999</v>
      </c>
      <c r="I36" s="16" t="s">
        <v>746</v>
      </c>
      <c r="J36" s="16"/>
      <c r="K36" s="16"/>
      <c r="L36" s="37"/>
      <c r="M36" s="37"/>
      <c r="N36" s="37"/>
      <c r="O36" s="37"/>
      <c r="P36" s="37"/>
      <c r="Q36" s="18">
        <v>3.0700999999999999E-2</v>
      </c>
      <c r="R36" s="18">
        <v>2.0932500000000001E-4</v>
      </c>
      <c r="S36" s="18">
        <v>5.8611000000000003E-2</v>
      </c>
      <c r="T36" s="18">
        <v>0.25119000000000002</v>
      </c>
      <c r="U36" s="18">
        <v>0.12559500000000001</v>
      </c>
      <c r="V36" s="18">
        <v>1.6076160000000002</v>
      </c>
      <c r="W36" s="18">
        <v>1.5071400000000001</v>
      </c>
      <c r="X36" s="18">
        <v>1.0047600000000001</v>
      </c>
      <c r="Y36" s="18">
        <v>4.4656000000000001E-2</v>
      </c>
      <c r="Z36" s="18">
        <v>0.198161</v>
      </c>
      <c r="AA36" s="18">
        <v>0.29026400000000002</v>
      </c>
      <c r="AB36" s="18">
        <v>0.51633499999999999</v>
      </c>
      <c r="AC36" s="18">
        <v>0.15908700000000001</v>
      </c>
      <c r="AD36" s="18">
        <v>0.83730000000000004</v>
      </c>
    </row>
    <row r="37" spans="2:30" x14ac:dyDescent="0.25">
      <c r="B37" t="s">
        <v>269</v>
      </c>
      <c r="C37" t="s">
        <v>105</v>
      </c>
      <c r="D37" t="s">
        <v>749</v>
      </c>
      <c r="E37" s="35">
        <v>0.9</v>
      </c>
      <c r="F37" s="35">
        <v>6.6</v>
      </c>
      <c r="G37" s="36">
        <v>3.5699999999999998E-3</v>
      </c>
      <c r="H37" s="18">
        <v>6.4252979999999997</v>
      </c>
      <c r="I37" s="16" t="s">
        <v>746</v>
      </c>
      <c r="J37" s="16"/>
      <c r="K37" s="16"/>
      <c r="L37" s="37"/>
      <c r="M37" s="37"/>
      <c r="N37" s="37"/>
      <c r="O37" s="37"/>
      <c r="P37" s="37"/>
      <c r="Q37" s="18">
        <v>3.9269999999999999E-2</v>
      </c>
      <c r="R37" s="18">
        <v>2.6774999999999998E-4</v>
      </c>
      <c r="S37" s="18">
        <v>7.4969999999999995E-2</v>
      </c>
      <c r="T37" s="18">
        <v>0.32129999999999997</v>
      </c>
      <c r="U37" s="18">
        <v>0.16064999999999999</v>
      </c>
      <c r="V37" s="18">
        <v>2.0563199999999999</v>
      </c>
      <c r="W37" s="18">
        <v>1.9278</v>
      </c>
      <c r="X37" s="18">
        <v>1.2851999999999999</v>
      </c>
      <c r="Y37" s="18">
        <v>5.7119999999999997E-2</v>
      </c>
      <c r="Z37" s="18">
        <v>0.25346999999999997</v>
      </c>
      <c r="AA37" s="18">
        <v>0.37128</v>
      </c>
      <c r="AB37" s="18">
        <v>0.66044999999999998</v>
      </c>
      <c r="AC37" s="18">
        <v>0.20348999999999998</v>
      </c>
      <c r="AD37" s="18">
        <v>1.071</v>
      </c>
    </row>
    <row r="38" spans="2:30" x14ac:dyDescent="0.25">
      <c r="B38" t="s">
        <v>269</v>
      </c>
      <c r="C38" t="s">
        <v>105</v>
      </c>
      <c r="D38" t="s">
        <v>748</v>
      </c>
      <c r="E38" s="35">
        <v>0.9</v>
      </c>
      <c r="F38" s="35">
        <v>6.6</v>
      </c>
      <c r="G38" s="36">
        <v>4.1200000000000004E-3</v>
      </c>
      <c r="H38" s="18">
        <v>7.4152979999999999</v>
      </c>
      <c r="I38" s="16" t="s">
        <v>746</v>
      </c>
      <c r="J38" s="16"/>
      <c r="K38" s="16"/>
      <c r="L38" s="37"/>
      <c r="M38" s="37"/>
      <c r="N38" s="37"/>
      <c r="O38" s="37"/>
      <c r="P38" s="37"/>
      <c r="Q38" s="18">
        <v>4.5320000000000006E-2</v>
      </c>
      <c r="R38" s="18">
        <v>3.0900000000000003E-4</v>
      </c>
      <c r="S38" s="18">
        <v>8.6520000000000014E-2</v>
      </c>
      <c r="T38" s="18">
        <v>0.37080000000000002</v>
      </c>
      <c r="U38" s="18">
        <v>0.18540000000000001</v>
      </c>
      <c r="V38" s="18">
        <v>2.3731200000000001</v>
      </c>
      <c r="W38" s="18">
        <v>2.2248000000000001</v>
      </c>
      <c r="X38" s="18">
        <v>1.4832000000000001</v>
      </c>
      <c r="Y38" s="18">
        <v>6.5920000000000006E-2</v>
      </c>
      <c r="Z38" s="18">
        <v>0.29252</v>
      </c>
      <c r="AA38" s="18">
        <v>0.42848000000000003</v>
      </c>
      <c r="AB38" s="18">
        <v>0.7622000000000001</v>
      </c>
      <c r="AC38" s="18">
        <v>0.23484000000000002</v>
      </c>
      <c r="AD38" s="18">
        <v>1.2360000000000002</v>
      </c>
    </row>
    <row r="39" spans="2:30" x14ac:dyDescent="0.25">
      <c r="B39" t="s">
        <v>269</v>
      </c>
      <c r="C39" t="s">
        <v>105</v>
      </c>
      <c r="D39" t="s">
        <v>750</v>
      </c>
      <c r="E39" s="35">
        <v>0.9</v>
      </c>
      <c r="F39" s="35">
        <v>6.6</v>
      </c>
      <c r="G39" s="36">
        <v>3.0200000000000001E-3</v>
      </c>
      <c r="H39" s="18">
        <v>5.4352980000000004</v>
      </c>
      <c r="I39" s="16" t="s">
        <v>746</v>
      </c>
      <c r="J39" s="16"/>
      <c r="K39" s="16"/>
      <c r="L39" s="37"/>
      <c r="M39" s="37"/>
      <c r="N39" s="37"/>
      <c r="O39" s="37"/>
      <c r="P39" s="37"/>
      <c r="Q39" s="18">
        <v>3.322E-2</v>
      </c>
      <c r="R39" s="18">
        <v>2.265E-4</v>
      </c>
      <c r="S39" s="18">
        <v>6.3420000000000004E-2</v>
      </c>
      <c r="T39" s="18">
        <v>0.27179999999999999</v>
      </c>
      <c r="U39" s="18">
        <v>0.13589999999999999</v>
      </c>
      <c r="V39" s="18">
        <v>1.7395200000000002</v>
      </c>
      <c r="W39" s="18">
        <v>1.6308</v>
      </c>
      <c r="X39" s="18">
        <v>1.0871999999999999</v>
      </c>
      <c r="Y39" s="18">
        <v>4.8320000000000002E-2</v>
      </c>
      <c r="Z39" s="18">
        <v>0.21442</v>
      </c>
      <c r="AA39" s="18">
        <v>0.31408000000000003</v>
      </c>
      <c r="AB39" s="18">
        <v>0.55869999999999997</v>
      </c>
      <c r="AC39" s="18">
        <v>0.17214000000000002</v>
      </c>
      <c r="AD39" s="18">
        <v>0.90600000000000003</v>
      </c>
    </row>
    <row r="40" spans="2:30" x14ac:dyDescent="0.25">
      <c r="B40" t="s">
        <v>269</v>
      </c>
      <c r="C40" t="s">
        <v>105</v>
      </c>
      <c r="D40" t="s">
        <v>748</v>
      </c>
      <c r="E40" s="35">
        <v>0.9</v>
      </c>
      <c r="F40" s="35">
        <v>6.6</v>
      </c>
      <c r="G40" s="36">
        <v>4.1200000000000004E-3</v>
      </c>
      <c r="H40" s="18">
        <v>7.4152979999999999</v>
      </c>
      <c r="I40" s="16" t="s">
        <v>746</v>
      </c>
      <c r="J40" s="16"/>
      <c r="K40" s="16"/>
      <c r="L40" s="37"/>
      <c r="M40" s="37"/>
      <c r="N40" s="37"/>
      <c r="O40" s="37"/>
      <c r="P40" s="37"/>
      <c r="Q40" s="18">
        <v>4.5320000000000006E-2</v>
      </c>
      <c r="R40" s="18">
        <v>3.0900000000000003E-4</v>
      </c>
      <c r="S40" s="18">
        <v>8.6520000000000014E-2</v>
      </c>
      <c r="T40" s="18">
        <v>0.37080000000000002</v>
      </c>
      <c r="U40" s="18">
        <v>0.18540000000000001</v>
      </c>
      <c r="V40" s="18">
        <v>2.3731200000000001</v>
      </c>
      <c r="W40" s="18">
        <v>2.2248000000000001</v>
      </c>
      <c r="X40" s="18">
        <v>1.4832000000000001</v>
      </c>
      <c r="Y40" s="18">
        <v>6.5920000000000006E-2</v>
      </c>
      <c r="Z40" s="18">
        <v>0.29252</v>
      </c>
      <c r="AA40" s="18">
        <v>0.42848000000000003</v>
      </c>
      <c r="AB40" s="18">
        <v>0.7622000000000001</v>
      </c>
      <c r="AC40" s="18">
        <v>0.23484000000000002</v>
      </c>
      <c r="AD40" s="18">
        <v>1.2360000000000002</v>
      </c>
    </row>
    <row r="41" spans="2:30" x14ac:dyDescent="0.25">
      <c r="B41" t="s">
        <v>269</v>
      </c>
      <c r="C41" t="s">
        <v>105</v>
      </c>
      <c r="D41" t="s">
        <v>749</v>
      </c>
      <c r="E41" s="35">
        <v>0.9</v>
      </c>
      <c r="F41" s="35">
        <v>6.6</v>
      </c>
      <c r="G41" s="36">
        <v>3.5699999999999998E-3</v>
      </c>
      <c r="H41" s="18">
        <v>6.4252979999999997</v>
      </c>
      <c r="I41" s="16" t="s">
        <v>746</v>
      </c>
      <c r="J41" s="16"/>
      <c r="K41" s="16"/>
      <c r="L41" s="37"/>
      <c r="M41" s="37"/>
      <c r="N41" s="37"/>
      <c r="O41" s="37"/>
      <c r="P41" s="37"/>
      <c r="Q41" s="18">
        <v>3.9269999999999999E-2</v>
      </c>
      <c r="R41" s="18">
        <v>2.6774999999999998E-4</v>
      </c>
      <c r="S41" s="18">
        <v>7.4969999999999995E-2</v>
      </c>
      <c r="T41" s="18">
        <v>0.32129999999999997</v>
      </c>
      <c r="U41" s="18">
        <v>0.16064999999999999</v>
      </c>
      <c r="V41" s="18">
        <v>2.0563199999999999</v>
      </c>
      <c r="W41" s="18">
        <v>1.9278</v>
      </c>
      <c r="X41" s="18">
        <v>1.2851999999999999</v>
      </c>
      <c r="Y41" s="18">
        <v>5.7119999999999997E-2</v>
      </c>
      <c r="Z41" s="18">
        <v>0.25346999999999997</v>
      </c>
      <c r="AA41" s="18">
        <v>0.37128</v>
      </c>
      <c r="AB41" s="18">
        <v>0.66044999999999998</v>
      </c>
      <c r="AC41" s="18">
        <v>0.20348999999999998</v>
      </c>
      <c r="AD41" s="18">
        <v>1.071</v>
      </c>
    </row>
    <row r="42" spans="2:30" x14ac:dyDescent="0.25">
      <c r="B42" t="s">
        <v>269</v>
      </c>
      <c r="C42" t="s">
        <v>105</v>
      </c>
      <c r="D42" t="s">
        <v>750</v>
      </c>
      <c r="E42" s="35">
        <v>0.9</v>
      </c>
      <c r="F42" s="35">
        <v>6.6</v>
      </c>
      <c r="G42" s="36">
        <v>3.0200000000000001E-3</v>
      </c>
      <c r="H42" s="18">
        <v>5.4352980000000004</v>
      </c>
      <c r="I42" s="16" t="s">
        <v>746</v>
      </c>
      <c r="J42" s="16"/>
      <c r="K42" s="16"/>
      <c r="L42" s="37"/>
      <c r="M42" s="37"/>
      <c r="N42" s="37"/>
      <c r="O42" s="37"/>
      <c r="P42" s="37"/>
      <c r="Q42" s="18">
        <v>3.322E-2</v>
      </c>
      <c r="R42" s="18">
        <v>2.265E-4</v>
      </c>
      <c r="S42" s="18">
        <v>6.3420000000000004E-2</v>
      </c>
      <c r="T42" s="18">
        <v>0.27179999999999999</v>
      </c>
      <c r="U42" s="18">
        <v>0.13589999999999999</v>
      </c>
      <c r="V42" s="18">
        <v>1.7395200000000002</v>
      </c>
      <c r="W42" s="18">
        <v>1.6308</v>
      </c>
      <c r="X42" s="18">
        <v>1.0871999999999999</v>
      </c>
      <c r="Y42" s="18">
        <v>4.8320000000000002E-2</v>
      </c>
      <c r="Z42" s="18">
        <v>0.21442</v>
      </c>
      <c r="AA42" s="18">
        <v>0.31408000000000003</v>
      </c>
      <c r="AB42" s="18">
        <v>0.55869999999999997</v>
      </c>
      <c r="AC42" s="18">
        <v>0.17214000000000002</v>
      </c>
      <c r="AD42" s="18">
        <v>0.90600000000000003</v>
      </c>
    </row>
    <row r="43" spans="2:30" x14ac:dyDescent="0.25">
      <c r="B43" t="s">
        <v>269</v>
      </c>
      <c r="C43" t="s">
        <v>105</v>
      </c>
      <c r="D43" t="s">
        <v>748</v>
      </c>
      <c r="E43" s="35">
        <v>0.9</v>
      </c>
      <c r="F43" s="35">
        <v>6.6</v>
      </c>
      <c r="G43" s="36">
        <v>4.1200000000000004E-3</v>
      </c>
      <c r="H43" s="18">
        <v>7.4152979999999999</v>
      </c>
      <c r="I43" s="16" t="s">
        <v>746</v>
      </c>
      <c r="J43" s="16"/>
      <c r="K43" s="16"/>
      <c r="L43" s="37"/>
      <c r="M43" s="37"/>
      <c r="N43" s="37"/>
      <c r="O43" s="37"/>
      <c r="P43" s="37"/>
      <c r="Q43" s="18">
        <v>4.5320000000000006E-2</v>
      </c>
      <c r="R43" s="18">
        <v>3.0900000000000003E-4</v>
      </c>
      <c r="S43" s="18">
        <v>8.6520000000000014E-2</v>
      </c>
      <c r="T43" s="18">
        <v>0.37080000000000002</v>
      </c>
      <c r="U43" s="18">
        <v>0.18540000000000001</v>
      </c>
      <c r="V43" s="18">
        <v>2.3731200000000001</v>
      </c>
      <c r="W43" s="18">
        <v>2.2248000000000001</v>
      </c>
      <c r="X43" s="18">
        <v>1.4832000000000001</v>
      </c>
      <c r="Y43" s="18">
        <v>6.5920000000000006E-2</v>
      </c>
      <c r="Z43" s="18">
        <v>0.29252</v>
      </c>
      <c r="AA43" s="18">
        <v>0.42848000000000003</v>
      </c>
      <c r="AB43" s="18">
        <v>0.7622000000000001</v>
      </c>
      <c r="AC43" s="18">
        <v>0.23484000000000002</v>
      </c>
      <c r="AD43" s="18">
        <v>1.2360000000000002</v>
      </c>
    </row>
    <row r="44" spans="2:30" x14ac:dyDescent="0.25">
      <c r="B44" t="s">
        <v>269</v>
      </c>
      <c r="C44" t="s">
        <v>105</v>
      </c>
      <c r="D44" t="s">
        <v>748</v>
      </c>
      <c r="E44" s="35">
        <v>0.9</v>
      </c>
      <c r="F44" s="35">
        <v>6.6</v>
      </c>
      <c r="G44" s="36">
        <v>4.1200000000000004E-3</v>
      </c>
      <c r="H44" s="18">
        <v>7.4152979999999999</v>
      </c>
      <c r="I44" s="16" t="s">
        <v>746</v>
      </c>
      <c r="J44" s="16"/>
      <c r="K44" s="16"/>
      <c r="L44" s="37"/>
      <c r="M44" s="37"/>
      <c r="N44" s="37"/>
      <c r="O44" s="37"/>
      <c r="P44" s="37"/>
      <c r="Q44" s="18">
        <v>4.5320000000000006E-2</v>
      </c>
      <c r="R44" s="18">
        <v>3.0900000000000003E-4</v>
      </c>
      <c r="S44" s="18">
        <v>8.6520000000000014E-2</v>
      </c>
      <c r="T44" s="18">
        <v>0.37080000000000002</v>
      </c>
      <c r="U44" s="18">
        <v>0.18540000000000001</v>
      </c>
      <c r="V44" s="18">
        <v>2.3731200000000001</v>
      </c>
      <c r="W44" s="18">
        <v>2.2248000000000001</v>
      </c>
      <c r="X44" s="18">
        <v>1.4832000000000001</v>
      </c>
      <c r="Y44" s="18">
        <v>6.5920000000000006E-2</v>
      </c>
      <c r="Z44" s="18">
        <v>0.29252</v>
      </c>
      <c r="AA44" s="18">
        <v>0.42848000000000003</v>
      </c>
      <c r="AB44" s="18">
        <v>0.7622000000000001</v>
      </c>
      <c r="AC44" s="18">
        <v>0.23484000000000002</v>
      </c>
      <c r="AD44" s="18">
        <v>1.2360000000000002</v>
      </c>
    </row>
    <row r="45" spans="2:30" x14ac:dyDescent="0.25">
      <c r="B45" t="s">
        <v>269</v>
      </c>
      <c r="C45" t="s">
        <v>105</v>
      </c>
      <c r="D45" t="s">
        <v>748</v>
      </c>
      <c r="E45" s="35">
        <v>0.9</v>
      </c>
      <c r="F45" s="35">
        <v>6.6</v>
      </c>
      <c r="G45" s="36">
        <v>4.1200000000000004E-3</v>
      </c>
      <c r="H45" s="18">
        <v>7.4152979999999999</v>
      </c>
      <c r="I45" s="16" t="s">
        <v>746</v>
      </c>
      <c r="J45" s="16"/>
      <c r="K45" s="16"/>
      <c r="L45" s="37"/>
      <c r="M45" s="37"/>
      <c r="N45" s="37"/>
      <c r="O45" s="37"/>
      <c r="P45" s="37"/>
      <c r="Q45" s="18">
        <v>4.5320000000000006E-2</v>
      </c>
      <c r="R45" s="18">
        <v>3.0900000000000003E-4</v>
      </c>
      <c r="S45" s="18">
        <v>8.6520000000000014E-2</v>
      </c>
      <c r="T45" s="18">
        <v>0.37080000000000002</v>
      </c>
      <c r="U45" s="18">
        <v>0.18540000000000001</v>
      </c>
      <c r="V45" s="18">
        <v>2.3731200000000001</v>
      </c>
      <c r="W45" s="18">
        <v>2.2248000000000001</v>
      </c>
      <c r="X45" s="18">
        <v>1.4832000000000001</v>
      </c>
      <c r="Y45" s="18">
        <v>6.5920000000000006E-2</v>
      </c>
      <c r="Z45" s="18">
        <v>0.29252</v>
      </c>
      <c r="AA45" s="18">
        <v>0.42848000000000003</v>
      </c>
      <c r="AB45" s="18">
        <v>0.7622000000000001</v>
      </c>
      <c r="AC45" s="18">
        <v>0.23484000000000002</v>
      </c>
      <c r="AD45" s="18">
        <v>1.2360000000000002</v>
      </c>
    </row>
    <row r="46" spans="2:30" x14ac:dyDescent="0.25">
      <c r="B46" t="s">
        <v>269</v>
      </c>
      <c r="C46" t="s">
        <v>105</v>
      </c>
      <c r="D46" t="s">
        <v>748</v>
      </c>
      <c r="E46" s="35">
        <v>0.9</v>
      </c>
      <c r="F46" s="35">
        <v>6.6</v>
      </c>
      <c r="G46" s="36">
        <v>4.1200000000000004E-3</v>
      </c>
      <c r="H46" s="18">
        <v>7.4152979999999999</v>
      </c>
      <c r="I46" s="16" t="s">
        <v>746</v>
      </c>
      <c r="J46" s="16"/>
      <c r="K46" s="16"/>
      <c r="L46" s="37"/>
      <c r="M46" s="37"/>
      <c r="N46" s="37"/>
      <c r="O46" s="37"/>
      <c r="P46" s="37"/>
      <c r="Q46" s="18">
        <v>4.5320000000000006E-2</v>
      </c>
      <c r="R46" s="18">
        <v>3.0900000000000003E-4</v>
      </c>
      <c r="S46" s="18">
        <v>8.6520000000000014E-2</v>
      </c>
      <c r="T46" s="18">
        <v>0.37080000000000002</v>
      </c>
      <c r="U46" s="18">
        <v>0.18540000000000001</v>
      </c>
      <c r="V46" s="18">
        <v>2.3731200000000001</v>
      </c>
      <c r="W46" s="18">
        <v>2.2248000000000001</v>
      </c>
      <c r="X46" s="18">
        <v>1.4832000000000001</v>
      </c>
      <c r="Y46" s="18">
        <v>6.5920000000000006E-2</v>
      </c>
      <c r="Z46" s="18">
        <v>0.29252</v>
      </c>
      <c r="AA46" s="18">
        <v>0.42848000000000003</v>
      </c>
      <c r="AB46" s="18">
        <v>0.7622000000000001</v>
      </c>
      <c r="AC46" s="18">
        <v>0.23484000000000002</v>
      </c>
      <c r="AD46" s="18">
        <v>1.2360000000000002</v>
      </c>
    </row>
    <row r="47" spans="2:30" x14ac:dyDescent="0.25">
      <c r="B47" t="s">
        <v>269</v>
      </c>
      <c r="C47" t="s">
        <v>105</v>
      </c>
      <c r="D47" t="s">
        <v>748</v>
      </c>
      <c r="E47" s="35">
        <v>0.9</v>
      </c>
      <c r="F47" s="35">
        <v>6.6</v>
      </c>
      <c r="G47" s="36">
        <v>4.1200000000000004E-3</v>
      </c>
      <c r="H47" s="18">
        <v>7.4152979999999999</v>
      </c>
      <c r="I47" s="16" t="s">
        <v>746</v>
      </c>
      <c r="J47" s="16"/>
      <c r="K47" s="16"/>
      <c r="L47" s="37"/>
      <c r="M47" s="37"/>
      <c r="N47" s="37"/>
      <c r="O47" s="37"/>
      <c r="P47" s="37"/>
      <c r="Q47" s="18">
        <v>4.5320000000000006E-2</v>
      </c>
      <c r="R47" s="18">
        <v>3.0900000000000003E-4</v>
      </c>
      <c r="S47" s="18">
        <v>8.6520000000000014E-2</v>
      </c>
      <c r="T47" s="18">
        <v>0.37080000000000002</v>
      </c>
      <c r="U47" s="18">
        <v>0.18540000000000001</v>
      </c>
      <c r="V47" s="18">
        <v>2.3731200000000001</v>
      </c>
      <c r="W47" s="18">
        <v>2.2248000000000001</v>
      </c>
      <c r="X47" s="18">
        <v>1.4832000000000001</v>
      </c>
      <c r="Y47" s="18">
        <v>6.5920000000000006E-2</v>
      </c>
      <c r="Z47" s="18">
        <v>0.29252</v>
      </c>
      <c r="AA47" s="18">
        <v>0.42848000000000003</v>
      </c>
      <c r="AB47" s="18">
        <v>0.7622000000000001</v>
      </c>
      <c r="AC47" s="18">
        <v>0.23484000000000002</v>
      </c>
      <c r="AD47" s="18">
        <v>1.2360000000000002</v>
      </c>
    </row>
    <row r="48" spans="2:30" x14ac:dyDescent="0.25">
      <c r="B48" t="s">
        <v>269</v>
      </c>
      <c r="C48" t="s">
        <v>105</v>
      </c>
      <c r="D48" t="s">
        <v>748</v>
      </c>
      <c r="E48" s="35">
        <v>0.9</v>
      </c>
      <c r="F48" s="35">
        <v>6.6</v>
      </c>
      <c r="G48" s="36">
        <v>4.1200000000000004E-3</v>
      </c>
      <c r="H48" s="18">
        <v>7.4152979999999999</v>
      </c>
      <c r="I48" s="16" t="s">
        <v>746</v>
      </c>
      <c r="J48" s="16"/>
      <c r="K48" s="16"/>
      <c r="L48" s="37"/>
      <c r="M48" s="37"/>
      <c r="N48" s="37"/>
      <c r="O48" s="37"/>
      <c r="P48" s="37"/>
      <c r="Q48" s="18">
        <v>4.5320000000000006E-2</v>
      </c>
      <c r="R48" s="18">
        <v>3.0900000000000003E-4</v>
      </c>
      <c r="S48" s="18">
        <v>8.6520000000000014E-2</v>
      </c>
      <c r="T48" s="18">
        <v>0.37080000000000002</v>
      </c>
      <c r="U48" s="18">
        <v>0.18540000000000001</v>
      </c>
      <c r="V48" s="18">
        <v>2.3731200000000001</v>
      </c>
      <c r="W48" s="18">
        <v>2.2248000000000001</v>
      </c>
      <c r="X48" s="18">
        <v>1.4832000000000001</v>
      </c>
      <c r="Y48" s="18">
        <v>6.5920000000000006E-2</v>
      </c>
      <c r="Z48" s="18">
        <v>0.29252</v>
      </c>
      <c r="AA48" s="18">
        <v>0.42848000000000003</v>
      </c>
      <c r="AB48" s="18">
        <v>0.7622000000000001</v>
      </c>
      <c r="AC48" s="18">
        <v>0.23484000000000002</v>
      </c>
      <c r="AD48" s="18">
        <v>1.2360000000000002</v>
      </c>
    </row>
    <row r="49" spans="2:30" x14ac:dyDescent="0.25">
      <c r="B49" t="s">
        <v>269</v>
      </c>
      <c r="C49" t="s">
        <v>105</v>
      </c>
      <c r="D49" t="s">
        <v>748</v>
      </c>
      <c r="E49" s="35">
        <v>0.9</v>
      </c>
      <c r="F49" s="35">
        <v>6.6</v>
      </c>
      <c r="G49" s="36">
        <v>4.1200000000000004E-3</v>
      </c>
      <c r="H49" s="18">
        <v>7.4152979999999999</v>
      </c>
      <c r="I49" s="16" t="s">
        <v>746</v>
      </c>
      <c r="J49" s="16"/>
      <c r="K49" s="16"/>
      <c r="L49" s="37"/>
      <c r="M49" s="37"/>
      <c r="N49" s="37"/>
      <c r="O49" s="37"/>
      <c r="P49" s="37"/>
      <c r="Q49" s="18">
        <v>4.5320000000000006E-2</v>
      </c>
      <c r="R49" s="18">
        <v>3.0900000000000003E-4</v>
      </c>
      <c r="S49" s="18">
        <v>8.6520000000000014E-2</v>
      </c>
      <c r="T49" s="18">
        <v>0.37080000000000002</v>
      </c>
      <c r="U49" s="18">
        <v>0.18540000000000001</v>
      </c>
      <c r="V49" s="18">
        <v>2.3731200000000001</v>
      </c>
      <c r="W49" s="18">
        <v>2.2248000000000001</v>
      </c>
      <c r="X49" s="18">
        <v>1.4832000000000001</v>
      </c>
      <c r="Y49" s="18">
        <v>6.5920000000000006E-2</v>
      </c>
      <c r="Z49" s="18">
        <v>0.29252</v>
      </c>
      <c r="AA49" s="18">
        <v>0.42848000000000003</v>
      </c>
      <c r="AB49" s="18">
        <v>0.7622000000000001</v>
      </c>
      <c r="AC49" s="18">
        <v>0.23484000000000002</v>
      </c>
      <c r="AD49" s="18">
        <v>1.2360000000000002</v>
      </c>
    </row>
    <row r="50" spans="2:30" x14ac:dyDescent="0.25">
      <c r="B50" t="s">
        <v>269</v>
      </c>
      <c r="C50" t="s">
        <v>105</v>
      </c>
      <c r="D50" t="s">
        <v>748</v>
      </c>
      <c r="E50" s="35">
        <v>0.9</v>
      </c>
      <c r="F50" s="35">
        <v>6.6</v>
      </c>
      <c r="G50" s="36">
        <v>4.1200000000000004E-3</v>
      </c>
      <c r="H50" s="18">
        <v>7.4152979999999999</v>
      </c>
      <c r="I50" s="16" t="s">
        <v>746</v>
      </c>
      <c r="J50" s="16"/>
      <c r="K50" s="16"/>
      <c r="L50" s="37"/>
      <c r="M50" s="37"/>
      <c r="N50" s="37"/>
      <c r="O50" s="37"/>
      <c r="P50" s="37"/>
      <c r="Q50" s="18">
        <v>4.5320000000000006E-2</v>
      </c>
      <c r="R50" s="18">
        <v>3.0900000000000003E-4</v>
      </c>
      <c r="S50" s="18">
        <v>8.6520000000000014E-2</v>
      </c>
      <c r="T50" s="18">
        <v>0.37080000000000002</v>
      </c>
      <c r="U50" s="18">
        <v>0.18540000000000001</v>
      </c>
      <c r="V50" s="18">
        <v>2.3731200000000001</v>
      </c>
      <c r="W50" s="18">
        <v>2.2248000000000001</v>
      </c>
      <c r="X50" s="18">
        <v>1.4832000000000001</v>
      </c>
      <c r="Y50" s="18">
        <v>6.5920000000000006E-2</v>
      </c>
      <c r="Z50" s="18">
        <v>0.29252</v>
      </c>
      <c r="AA50" s="18">
        <v>0.42848000000000003</v>
      </c>
      <c r="AB50" s="18">
        <v>0.7622000000000001</v>
      </c>
      <c r="AC50" s="18">
        <v>0.23484000000000002</v>
      </c>
      <c r="AD50" s="18">
        <v>1.2360000000000002</v>
      </c>
    </row>
    <row r="51" spans="2:30" x14ac:dyDescent="0.25">
      <c r="B51" t="s">
        <v>269</v>
      </c>
      <c r="C51" t="s">
        <v>105</v>
      </c>
      <c r="D51" t="s">
        <v>748</v>
      </c>
      <c r="E51" s="35">
        <v>0.9</v>
      </c>
      <c r="F51" s="35">
        <v>6.6</v>
      </c>
      <c r="G51" s="36">
        <v>4.1200000000000004E-3</v>
      </c>
      <c r="H51" s="18">
        <v>7.4152979999999999</v>
      </c>
      <c r="I51" s="16" t="s">
        <v>746</v>
      </c>
      <c r="J51" s="16"/>
      <c r="K51" s="16"/>
      <c r="L51" s="37"/>
      <c r="M51" s="37"/>
      <c r="N51" s="37"/>
      <c r="O51" s="37"/>
      <c r="P51" s="37"/>
      <c r="Q51" s="18">
        <v>4.5320000000000006E-2</v>
      </c>
      <c r="R51" s="18">
        <v>3.0900000000000003E-4</v>
      </c>
      <c r="S51" s="18">
        <v>8.6520000000000014E-2</v>
      </c>
      <c r="T51" s="18">
        <v>0.37080000000000002</v>
      </c>
      <c r="U51" s="18">
        <v>0.18540000000000001</v>
      </c>
      <c r="V51" s="18">
        <v>2.3731200000000001</v>
      </c>
      <c r="W51" s="18">
        <v>2.2248000000000001</v>
      </c>
      <c r="X51" s="18">
        <v>1.4832000000000001</v>
      </c>
      <c r="Y51" s="18">
        <v>6.5920000000000006E-2</v>
      </c>
      <c r="Z51" s="18">
        <v>0.29252</v>
      </c>
      <c r="AA51" s="18">
        <v>0.42848000000000003</v>
      </c>
      <c r="AB51" s="18">
        <v>0.7622000000000001</v>
      </c>
      <c r="AC51" s="18">
        <v>0.23484000000000002</v>
      </c>
      <c r="AD51" s="18">
        <v>1.2360000000000002</v>
      </c>
    </row>
    <row r="52" spans="2:30" x14ac:dyDescent="0.25">
      <c r="B52" t="s">
        <v>269</v>
      </c>
      <c r="C52" t="s">
        <v>105</v>
      </c>
      <c r="D52" t="s">
        <v>748</v>
      </c>
      <c r="E52" s="35">
        <v>0.9</v>
      </c>
      <c r="F52" s="35">
        <v>6.6</v>
      </c>
      <c r="G52" s="36">
        <v>4.1200000000000004E-3</v>
      </c>
      <c r="H52" s="18">
        <v>7.4152979999999999</v>
      </c>
      <c r="I52" s="16" t="s">
        <v>746</v>
      </c>
      <c r="J52" s="16"/>
      <c r="K52" s="16"/>
      <c r="L52" s="37"/>
      <c r="M52" s="37"/>
      <c r="N52" s="37"/>
      <c r="O52" s="37"/>
      <c r="P52" s="37"/>
      <c r="Q52" s="18">
        <v>4.5320000000000006E-2</v>
      </c>
      <c r="R52" s="18">
        <v>3.0900000000000003E-4</v>
      </c>
      <c r="S52" s="18">
        <v>8.6520000000000014E-2</v>
      </c>
      <c r="T52" s="18">
        <v>0.37080000000000002</v>
      </c>
      <c r="U52" s="18">
        <v>0.18540000000000001</v>
      </c>
      <c r="V52" s="18">
        <v>2.3731200000000001</v>
      </c>
      <c r="W52" s="18">
        <v>2.2248000000000001</v>
      </c>
      <c r="X52" s="18">
        <v>1.4832000000000001</v>
      </c>
      <c r="Y52" s="18">
        <v>6.5920000000000006E-2</v>
      </c>
      <c r="Z52" s="18">
        <v>0.29252</v>
      </c>
      <c r="AA52" s="18">
        <v>0.42848000000000003</v>
      </c>
      <c r="AB52" s="18">
        <v>0.7622000000000001</v>
      </c>
      <c r="AC52" s="18">
        <v>0.23484000000000002</v>
      </c>
      <c r="AD52" s="18">
        <v>1.2360000000000002</v>
      </c>
    </row>
    <row r="53" spans="2:30" x14ac:dyDescent="0.25">
      <c r="B53" t="s">
        <v>269</v>
      </c>
      <c r="C53" t="s">
        <v>105</v>
      </c>
      <c r="D53" t="s">
        <v>748</v>
      </c>
      <c r="E53" s="35">
        <v>0.9</v>
      </c>
      <c r="F53" s="35">
        <v>6.6</v>
      </c>
      <c r="G53" s="36">
        <v>4.1200000000000004E-3</v>
      </c>
      <c r="H53" s="18">
        <v>7.4152979999999999</v>
      </c>
      <c r="I53" s="16" t="s">
        <v>746</v>
      </c>
      <c r="J53" s="16"/>
      <c r="K53" s="16"/>
      <c r="L53" s="37"/>
      <c r="M53" s="37"/>
      <c r="N53" s="37"/>
      <c r="O53" s="37"/>
      <c r="P53" s="37"/>
      <c r="Q53" s="18">
        <v>4.5320000000000006E-2</v>
      </c>
      <c r="R53" s="18">
        <v>3.0900000000000003E-4</v>
      </c>
      <c r="S53" s="18">
        <v>8.6520000000000014E-2</v>
      </c>
      <c r="T53" s="18">
        <v>0.37080000000000002</v>
      </c>
      <c r="U53" s="18">
        <v>0.18540000000000001</v>
      </c>
      <c r="V53" s="18">
        <v>2.3731200000000001</v>
      </c>
      <c r="W53" s="18">
        <v>2.2248000000000001</v>
      </c>
      <c r="X53" s="18">
        <v>1.4832000000000001</v>
      </c>
      <c r="Y53" s="18">
        <v>6.5920000000000006E-2</v>
      </c>
      <c r="Z53" s="18">
        <v>0.29252</v>
      </c>
      <c r="AA53" s="18">
        <v>0.42848000000000003</v>
      </c>
      <c r="AB53" s="18">
        <v>0.7622000000000001</v>
      </c>
      <c r="AC53" s="18">
        <v>0.23484000000000002</v>
      </c>
      <c r="AD53" s="18">
        <v>1.2360000000000002</v>
      </c>
    </row>
    <row r="54" spans="2:30" x14ac:dyDescent="0.25">
      <c r="B54" t="s">
        <v>269</v>
      </c>
      <c r="C54" t="s">
        <v>326</v>
      </c>
      <c r="D54" t="s">
        <v>748</v>
      </c>
      <c r="E54" s="35">
        <v>0.9</v>
      </c>
      <c r="F54" s="35">
        <v>6.6</v>
      </c>
      <c r="G54" s="36">
        <v>4.1200000000000004E-3</v>
      </c>
      <c r="H54" s="18">
        <v>7.4152979999999999</v>
      </c>
      <c r="I54" s="16" t="s">
        <v>746</v>
      </c>
      <c r="J54" s="16"/>
      <c r="K54" s="16"/>
      <c r="L54" s="37"/>
      <c r="M54" s="37"/>
      <c r="N54" s="37"/>
      <c r="O54" s="37"/>
      <c r="P54" s="37"/>
      <c r="Q54" s="18">
        <v>4.5320000000000006E-2</v>
      </c>
      <c r="R54" s="18">
        <v>3.0900000000000003E-4</v>
      </c>
      <c r="S54" s="18">
        <v>8.6520000000000014E-2</v>
      </c>
      <c r="T54" s="18">
        <v>0.37080000000000002</v>
      </c>
      <c r="U54" s="18">
        <v>0.18540000000000001</v>
      </c>
      <c r="V54" s="18">
        <v>2.3731200000000001</v>
      </c>
      <c r="W54" s="18">
        <v>2.2248000000000001</v>
      </c>
      <c r="X54" s="18">
        <v>1.4832000000000001</v>
      </c>
      <c r="Y54" s="18">
        <v>6.5920000000000006E-2</v>
      </c>
      <c r="Z54" s="18">
        <v>0.29252</v>
      </c>
      <c r="AA54" s="18">
        <v>0.42848000000000003</v>
      </c>
      <c r="AB54" s="18">
        <v>0.7622000000000001</v>
      </c>
      <c r="AC54" s="18">
        <v>0.23484000000000002</v>
      </c>
      <c r="AD54" s="18">
        <v>1.2360000000000002</v>
      </c>
    </row>
    <row r="55" spans="2:30" x14ac:dyDescent="0.25">
      <c r="B55" t="s">
        <v>269</v>
      </c>
      <c r="C55" t="s">
        <v>326</v>
      </c>
      <c r="D55" t="s">
        <v>748</v>
      </c>
      <c r="E55" s="35">
        <v>0.9</v>
      </c>
      <c r="F55" s="35">
        <v>6.6</v>
      </c>
      <c r="G55" s="36">
        <v>4.1200000000000004E-3</v>
      </c>
      <c r="H55" s="18">
        <v>7.4152979999999999</v>
      </c>
      <c r="I55" s="16" t="s">
        <v>746</v>
      </c>
      <c r="J55" s="16"/>
      <c r="K55" s="16"/>
      <c r="L55" s="37"/>
      <c r="M55" s="37"/>
      <c r="N55" s="37"/>
      <c r="O55" s="37"/>
      <c r="P55" s="37"/>
      <c r="Q55" s="18">
        <v>4.5320000000000006E-2</v>
      </c>
      <c r="R55" s="18">
        <v>3.0900000000000003E-4</v>
      </c>
      <c r="S55" s="18">
        <v>8.6520000000000014E-2</v>
      </c>
      <c r="T55" s="18">
        <v>0.37080000000000002</v>
      </c>
      <c r="U55" s="18">
        <v>0.18540000000000001</v>
      </c>
      <c r="V55" s="18">
        <v>2.3731200000000001</v>
      </c>
      <c r="W55" s="18">
        <v>2.2248000000000001</v>
      </c>
      <c r="X55" s="18">
        <v>1.4832000000000001</v>
      </c>
      <c r="Y55" s="18">
        <v>6.5920000000000006E-2</v>
      </c>
      <c r="Z55" s="18">
        <v>0.29252</v>
      </c>
      <c r="AA55" s="18">
        <v>0.42848000000000003</v>
      </c>
      <c r="AB55" s="18">
        <v>0.7622000000000001</v>
      </c>
      <c r="AC55" s="18">
        <v>0.23484000000000002</v>
      </c>
      <c r="AD55" s="18">
        <v>1.2360000000000002</v>
      </c>
    </row>
    <row r="56" spans="2:30" x14ac:dyDescent="0.25">
      <c r="B56" t="s">
        <v>269</v>
      </c>
      <c r="C56" t="s">
        <v>326</v>
      </c>
      <c r="D56" t="s">
        <v>752</v>
      </c>
      <c r="E56" s="35">
        <v>0.9</v>
      </c>
      <c r="F56" s="35">
        <v>6.6</v>
      </c>
      <c r="G56" s="36">
        <v>2.47E-3</v>
      </c>
      <c r="H56" s="18">
        <v>4.4452980000000002</v>
      </c>
      <c r="I56" s="16" t="s">
        <v>746</v>
      </c>
      <c r="J56" s="16"/>
      <c r="K56" s="16"/>
      <c r="L56" s="37"/>
      <c r="M56" s="37"/>
      <c r="N56" s="37"/>
      <c r="O56" s="37"/>
      <c r="P56" s="37"/>
      <c r="Q56" s="18">
        <v>2.717E-2</v>
      </c>
      <c r="R56" s="18">
        <v>1.8525E-4</v>
      </c>
      <c r="S56" s="18">
        <v>5.1869999999999999E-2</v>
      </c>
      <c r="T56" s="18">
        <v>0.2223</v>
      </c>
      <c r="U56" s="18">
        <v>0.11115</v>
      </c>
      <c r="V56" s="18">
        <v>1.42272</v>
      </c>
      <c r="W56" s="18">
        <v>1.3338000000000001</v>
      </c>
      <c r="X56" s="18">
        <v>0.88919999999999999</v>
      </c>
      <c r="Y56" s="18">
        <v>3.952E-2</v>
      </c>
      <c r="Z56" s="18">
        <v>0.17537</v>
      </c>
      <c r="AA56" s="18">
        <v>0.25688</v>
      </c>
      <c r="AB56" s="18">
        <v>0.45694999999999997</v>
      </c>
      <c r="AC56" s="18">
        <v>0.14079</v>
      </c>
      <c r="AD56" s="18">
        <v>0.74099999999999999</v>
      </c>
    </row>
    <row r="57" spans="2:30" x14ac:dyDescent="0.25">
      <c r="B57" t="s">
        <v>269</v>
      </c>
      <c r="C57" t="s">
        <v>326</v>
      </c>
      <c r="D57" t="s">
        <v>750</v>
      </c>
      <c r="E57" s="35">
        <v>0.9</v>
      </c>
      <c r="F57" s="35">
        <v>6.6</v>
      </c>
      <c r="G57" s="36">
        <v>3.0200000000000001E-3</v>
      </c>
      <c r="H57" s="18">
        <v>5.4352980000000004</v>
      </c>
      <c r="I57" s="16" t="s">
        <v>746</v>
      </c>
      <c r="J57" s="16"/>
      <c r="K57" s="16"/>
      <c r="L57" s="37"/>
      <c r="M57" s="37"/>
      <c r="N57" s="37"/>
      <c r="O57" s="37"/>
      <c r="P57" s="37"/>
      <c r="Q57" s="18">
        <v>3.322E-2</v>
      </c>
      <c r="R57" s="18">
        <v>2.265E-4</v>
      </c>
      <c r="S57" s="18">
        <v>6.3420000000000004E-2</v>
      </c>
      <c r="T57" s="18">
        <v>0.27179999999999999</v>
      </c>
      <c r="U57" s="18">
        <v>0.13589999999999999</v>
      </c>
      <c r="V57" s="18">
        <v>1.7395200000000002</v>
      </c>
      <c r="W57" s="18">
        <v>1.6308</v>
      </c>
      <c r="X57" s="18">
        <v>1.0871999999999999</v>
      </c>
      <c r="Y57" s="18">
        <v>4.8320000000000002E-2</v>
      </c>
      <c r="Z57" s="18">
        <v>0.21442</v>
      </c>
      <c r="AA57" s="18">
        <v>0.31408000000000003</v>
      </c>
      <c r="AB57" s="18">
        <v>0.55869999999999997</v>
      </c>
      <c r="AC57" s="18">
        <v>0.17214000000000002</v>
      </c>
      <c r="AD57" s="18">
        <v>0.90600000000000003</v>
      </c>
    </row>
    <row r="58" spans="2:30" x14ac:dyDescent="0.25">
      <c r="B58" t="s">
        <v>269</v>
      </c>
      <c r="C58" t="s">
        <v>326</v>
      </c>
      <c r="D58" t="s">
        <v>751</v>
      </c>
      <c r="E58" s="35">
        <v>0.9</v>
      </c>
      <c r="F58" s="35">
        <v>6.6</v>
      </c>
      <c r="G58" s="36">
        <v>2.7910000000000001E-3</v>
      </c>
      <c r="H58" s="18">
        <v>5.0236749999999999</v>
      </c>
      <c r="I58" s="16" t="s">
        <v>746</v>
      </c>
      <c r="J58" s="16"/>
      <c r="K58" s="16"/>
      <c r="L58" s="37"/>
      <c r="M58" s="37"/>
      <c r="N58" s="37"/>
      <c r="O58" s="37"/>
      <c r="P58" s="37"/>
      <c r="Q58" s="18">
        <v>3.0700999999999999E-2</v>
      </c>
      <c r="R58" s="18">
        <v>2.0932500000000001E-4</v>
      </c>
      <c r="S58" s="18">
        <v>5.8611000000000003E-2</v>
      </c>
      <c r="T58" s="18">
        <v>0.25119000000000002</v>
      </c>
      <c r="U58" s="18">
        <v>0.12559500000000001</v>
      </c>
      <c r="V58" s="18">
        <v>1.6076160000000002</v>
      </c>
      <c r="W58" s="18">
        <v>1.5071400000000001</v>
      </c>
      <c r="X58" s="18">
        <v>1.0047600000000001</v>
      </c>
      <c r="Y58" s="18">
        <v>4.4656000000000001E-2</v>
      </c>
      <c r="Z58" s="18">
        <v>0.198161</v>
      </c>
      <c r="AA58" s="18">
        <v>0.29026400000000002</v>
      </c>
      <c r="AB58" s="18">
        <v>0.51633499999999999</v>
      </c>
      <c r="AC58" s="18">
        <v>0.15908700000000001</v>
      </c>
      <c r="AD58" s="18">
        <v>0.83730000000000004</v>
      </c>
    </row>
    <row r="59" spans="2:30" x14ac:dyDescent="0.25">
      <c r="B59" t="s">
        <v>269</v>
      </c>
      <c r="C59" t="s">
        <v>326</v>
      </c>
      <c r="D59" t="s">
        <v>747</v>
      </c>
      <c r="E59" s="35">
        <v>0.9</v>
      </c>
      <c r="F59" s="35">
        <v>6.6</v>
      </c>
      <c r="G59" s="36">
        <v>4.9449999999999997E-3</v>
      </c>
      <c r="H59" s="18">
        <v>8.9002979999999994</v>
      </c>
      <c r="I59" s="16" t="s">
        <v>746</v>
      </c>
      <c r="J59" s="16"/>
      <c r="K59" s="16"/>
      <c r="L59" s="37"/>
      <c r="M59" s="37"/>
      <c r="N59" s="37"/>
      <c r="O59" s="37"/>
      <c r="P59" s="37"/>
      <c r="Q59" s="18">
        <v>5.4394999999999999E-2</v>
      </c>
      <c r="R59" s="18">
        <v>3.7087499999999995E-4</v>
      </c>
      <c r="S59" s="18">
        <v>0.10384499999999999</v>
      </c>
      <c r="T59" s="18">
        <v>0.44505</v>
      </c>
      <c r="U59" s="18">
        <v>0.222525</v>
      </c>
      <c r="V59" s="18">
        <v>2.8483199999999997</v>
      </c>
      <c r="W59" s="18">
        <v>2.6702999999999997</v>
      </c>
      <c r="X59" s="18">
        <v>1.7802</v>
      </c>
      <c r="Y59" s="18">
        <v>7.9119999999999996E-2</v>
      </c>
      <c r="Z59" s="18">
        <v>0.35109499999999999</v>
      </c>
      <c r="AA59" s="18">
        <v>0.51427999999999996</v>
      </c>
      <c r="AB59" s="18">
        <v>0.914825</v>
      </c>
      <c r="AC59" s="18">
        <v>0.28186499999999998</v>
      </c>
      <c r="AD59" s="18">
        <v>1.4834999999999998</v>
      </c>
    </row>
    <row r="60" spans="2:30" x14ac:dyDescent="0.25">
      <c r="B60" t="s">
        <v>269</v>
      </c>
      <c r="C60" t="s">
        <v>326</v>
      </c>
      <c r="D60" t="s">
        <v>748</v>
      </c>
      <c r="E60" s="35">
        <v>0.9</v>
      </c>
      <c r="F60" s="35">
        <v>6.6</v>
      </c>
      <c r="G60" s="36">
        <v>4.1200000000000004E-3</v>
      </c>
      <c r="H60" s="18">
        <v>7.4152979999999999</v>
      </c>
      <c r="I60" s="16" t="s">
        <v>746</v>
      </c>
      <c r="J60" s="16"/>
      <c r="K60" s="16"/>
      <c r="L60" s="37"/>
      <c r="M60" s="37"/>
      <c r="N60" s="37"/>
      <c r="O60" s="37"/>
      <c r="P60" s="37"/>
      <c r="Q60" s="18">
        <v>4.5320000000000006E-2</v>
      </c>
      <c r="R60" s="18">
        <v>3.0900000000000003E-4</v>
      </c>
      <c r="S60" s="18">
        <v>8.6520000000000014E-2</v>
      </c>
      <c r="T60" s="18">
        <v>0.37080000000000002</v>
      </c>
      <c r="U60" s="18">
        <v>0.18540000000000001</v>
      </c>
      <c r="V60" s="18">
        <v>2.3731200000000001</v>
      </c>
      <c r="W60" s="18">
        <v>2.2248000000000001</v>
      </c>
      <c r="X60" s="18">
        <v>1.4832000000000001</v>
      </c>
      <c r="Y60" s="18">
        <v>6.5920000000000006E-2</v>
      </c>
      <c r="Z60" s="18">
        <v>0.29252</v>
      </c>
      <c r="AA60" s="18">
        <v>0.42848000000000003</v>
      </c>
      <c r="AB60" s="18">
        <v>0.7622000000000001</v>
      </c>
      <c r="AC60" s="18">
        <v>0.23484000000000002</v>
      </c>
      <c r="AD60" s="18">
        <v>1.2360000000000002</v>
      </c>
    </row>
    <row r="61" spans="2:30" x14ac:dyDescent="0.25">
      <c r="B61" t="s">
        <v>269</v>
      </c>
      <c r="C61" t="s">
        <v>326</v>
      </c>
      <c r="D61" t="s">
        <v>753</v>
      </c>
      <c r="E61" s="35">
        <v>0.9</v>
      </c>
      <c r="F61" s="35">
        <v>6.6</v>
      </c>
      <c r="G61" s="36">
        <v>5.77E-3</v>
      </c>
      <c r="H61" s="18">
        <v>10.385298000000001</v>
      </c>
      <c r="I61" s="16" t="s">
        <v>746</v>
      </c>
      <c r="J61" s="16"/>
      <c r="K61" s="16"/>
      <c r="L61" s="37"/>
      <c r="M61" s="37"/>
      <c r="N61" s="37"/>
      <c r="O61" s="37"/>
      <c r="P61" s="37"/>
      <c r="Q61" s="18">
        <v>6.3469999999999999E-2</v>
      </c>
      <c r="R61" s="18">
        <v>4.3274999999999997E-4</v>
      </c>
      <c r="S61" s="18">
        <v>0.12117</v>
      </c>
      <c r="T61" s="18">
        <v>0.51929999999999998</v>
      </c>
      <c r="U61" s="18">
        <v>0.25964999999999999</v>
      </c>
      <c r="V61" s="18">
        <v>3.3235199999999998</v>
      </c>
      <c r="W61" s="18">
        <v>3.1158000000000001</v>
      </c>
      <c r="X61" s="18">
        <v>2.0771999999999999</v>
      </c>
      <c r="Y61" s="18">
        <v>9.2319999999999999E-2</v>
      </c>
      <c r="Z61" s="18">
        <v>0.40966999999999998</v>
      </c>
      <c r="AA61" s="18">
        <v>0.60007999999999995</v>
      </c>
      <c r="AB61" s="18">
        <v>1.06745</v>
      </c>
      <c r="AC61" s="18">
        <v>0.32889000000000002</v>
      </c>
      <c r="AD61" s="18">
        <v>1.7310000000000001</v>
      </c>
    </row>
    <row r="62" spans="2:30" x14ac:dyDescent="0.25">
      <c r="B62" t="s">
        <v>269</v>
      </c>
      <c r="C62" t="s">
        <v>326</v>
      </c>
      <c r="D62" t="s">
        <v>748</v>
      </c>
      <c r="E62" s="35">
        <v>0.9</v>
      </c>
      <c r="F62" s="35">
        <v>6.6</v>
      </c>
      <c r="G62" s="36">
        <v>4.1200000000000004E-3</v>
      </c>
      <c r="H62" s="18">
        <v>7.4152979999999999</v>
      </c>
      <c r="I62" s="16" t="s">
        <v>746</v>
      </c>
      <c r="J62" s="16"/>
      <c r="K62" s="16"/>
      <c r="L62" s="37"/>
      <c r="M62" s="37"/>
      <c r="N62" s="37"/>
      <c r="O62" s="37"/>
      <c r="P62" s="37"/>
      <c r="Q62" s="18">
        <v>4.5320000000000006E-2</v>
      </c>
      <c r="R62" s="18">
        <v>3.0900000000000003E-4</v>
      </c>
      <c r="S62" s="18">
        <v>8.6520000000000014E-2</v>
      </c>
      <c r="T62" s="18">
        <v>0.37080000000000002</v>
      </c>
      <c r="U62" s="18">
        <v>0.18540000000000001</v>
      </c>
      <c r="V62" s="18">
        <v>2.3731200000000001</v>
      </c>
      <c r="W62" s="18">
        <v>2.2248000000000001</v>
      </c>
      <c r="X62" s="18">
        <v>1.4832000000000001</v>
      </c>
      <c r="Y62" s="18">
        <v>6.5920000000000006E-2</v>
      </c>
      <c r="Z62" s="18">
        <v>0.29252</v>
      </c>
      <c r="AA62" s="18">
        <v>0.42848000000000003</v>
      </c>
      <c r="AB62" s="18">
        <v>0.7622000000000001</v>
      </c>
      <c r="AC62" s="18">
        <v>0.23484000000000002</v>
      </c>
      <c r="AD62" s="18">
        <v>1.2360000000000002</v>
      </c>
    </row>
    <row r="63" spans="2:30" x14ac:dyDescent="0.25">
      <c r="B63" t="s">
        <v>269</v>
      </c>
      <c r="C63" t="s">
        <v>326</v>
      </c>
      <c r="D63" t="s">
        <v>747</v>
      </c>
      <c r="E63" s="35">
        <v>0.9</v>
      </c>
      <c r="F63" s="35">
        <v>6.6</v>
      </c>
      <c r="G63" s="36">
        <v>4.9449999999999997E-3</v>
      </c>
      <c r="H63" s="18">
        <v>8.9002979999999994</v>
      </c>
      <c r="I63" s="16" t="s">
        <v>746</v>
      </c>
      <c r="J63" s="16"/>
      <c r="K63" s="16"/>
      <c r="L63" s="37"/>
      <c r="M63" s="37"/>
      <c r="N63" s="37"/>
      <c r="O63" s="37"/>
      <c r="P63" s="37"/>
      <c r="Q63" s="18">
        <v>5.4394999999999999E-2</v>
      </c>
      <c r="R63" s="18">
        <v>3.7087499999999995E-4</v>
      </c>
      <c r="S63" s="18">
        <v>0.10384499999999999</v>
      </c>
      <c r="T63" s="18">
        <v>0.44505</v>
      </c>
      <c r="U63" s="18">
        <v>0.222525</v>
      </c>
      <c r="V63" s="18">
        <v>2.8483199999999997</v>
      </c>
      <c r="W63" s="18">
        <v>2.6702999999999997</v>
      </c>
      <c r="X63" s="18">
        <v>1.7802</v>
      </c>
      <c r="Y63" s="18">
        <v>7.9119999999999996E-2</v>
      </c>
      <c r="Z63" s="18">
        <v>0.35109499999999999</v>
      </c>
      <c r="AA63" s="18">
        <v>0.51427999999999996</v>
      </c>
      <c r="AB63" s="18">
        <v>0.914825</v>
      </c>
      <c r="AC63" s="18">
        <v>0.28186499999999998</v>
      </c>
      <c r="AD63" s="18">
        <v>1.4834999999999998</v>
      </c>
    </row>
    <row r="64" spans="2:30" x14ac:dyDescent="0.25">
      <c r="B64" t="s">
        <v>269</v>
      </c>
      <c r="C64" t="s">
        <v>326</v>
      </c>
      <c r="D64" t="s">
        <v>750</v>
      </c>
      <c r="E64" s="35">
        <v>0.9</v>
      </c>
      <c r="F64" s="35">
        <v>6.6</v>
      </c>
      <c r="G64" s="36">
        <v>3.0200000000000001E-3</v>
      </c>
      <c r="H64" s="18">
        <v>5.4352980000000004</v>
      </c>
      <c r="I64" s="16" t="s">
        <v>746</v>
      </c>
      <c r="J64" s="16"/>
      <c r="K64" s="16"/>
      <c r="L64" s="37"/>
      <c r="M64" s="37"/>
      <c r="N64" s="37"/>
      <c r="O64" s="37"/>
      <c r="P64" s="37"/>
      <c r="Q64" s="18">
        <v>3.322E-2</v>
      </c>
      <c r="R64" s="18">
        <v>2.265E-4</v>
      </c>
      <c r="S64" s="18">
        <v>6.3420000000000004E-2</v>
      </c>
      <c r="T64" s="18">
        <v>0.27179999999999999</v>
      </c>
      <c r="U64" s="18">
        <v>0.13589999999999999</v>
      </c>
      <c r="V64" s="18">
        <v>1.7395200000000002</v>
      </c>
      <c r="W64" s="18">
        <v>1.6308</v>
      </c>
      <c r="X64" s="18">
        <v>1.0871999999999999</v>
      </c>
      <c r="Y64" s="18">
        <v>4.8320000000000002E-2</v>
      </c>
      <c r="Z64" s="18">
        <v>0.21442</v>
      </c>
      <c r="AA64" s="18">
        <v>0.31408000000000003</v>
      </c>
      <c r="AB64" s="18">
        <v>0.55869999999999997</v>
      </c>
      <c r="AC64" s="18">
        <v>0.17214000000000002</v>
      </c>
      <c r="AD64" s="18">
        <v>0.90600000000000003</v>
      </c>
    </row>
    <row r="65" spans="2:30" x14ac:dyDescent="0.25">
      <c r="B65" t="s">
        <v>269</v>
      </c>
      <c r="C65" t="s">
        <v>326</v>
      </c>
      <c r="D65" t="s">
        <v>749</v>
      </c>
      <c r="E65" s="35">
        <v>0.9</v>
      </c>
      <c r="F65" s="35">
        <v>6.6</v>
      </c>
      <c r="G65" s="36">
        <v>3.5699999999999998E-3</v>
      </c>
      <c r="H65" s="18">
        <v>6.4252979999999997</v>
      </c>
      <c r="I65" s="16" t="s">
        <v>746</v>
      </c>
      <c r="J65" s="16"/>
      <c r="K65" s="16"/>
      <c r="L65" s="37"/>
      <c r="M65" s="37"/>
      <c r="N65" s="37"/>
      <c r="O65" s="37"/>
      <c r="P65" s="37"/>
      <c r="Q65" s="18">
        <v>3.9269999999999999E-2</v>
      </c>
      <c r="R65" s="18">
        <v>2.6774999999999998E-4</v>
      </c>
      <c r="S65" s="18">
        <v>7.4969999999999995E-2</v>
      </c>
      <c r="T65" s="18">
        <v>0.32129999999999997</v>
      </c>
      <c r="U65" s="18">
        <v>0.16064999999999999</v>
      </c>
      <c r="V65" s="18">
        <v>2.0563199999999999</v>
      </c>
      <c r="W65" s="18">
        <v>1.9278</v>
      </c>
      <c r="X65" s="18">
        <v>1.2851999999999999</v>
      </c>
      <c r="Y65" s="18">
        <v>5.7119999999999997E-2</v>
      </c>
      <c r="Z65" s="18">
        <v>0.25346999999999997</v>
      </c>
      <c r="AA65" s="18">
        <v>0.37128</v>
      </c>
      <c r="AB65" s="18">
        <v>0.66044999999999998</v>
      </c>
      <c r="AC65" s="18">
        <v>0.20348999999999998</v>
      </c>
      <c r="AD65" s="18">
        <v>1.071</v>
      </c>
    </row>
    <row r="66" spans="2:30" x14ac:dyDescent="0.25">
      <c r="B66" t="s">
        <v>269</v>
      </c>
      <c r="C66" t="s">
        <v>326</v>
      </c>
      <c r="D66" t="s">
        <v>751</v>
      </c>
      <c r="E66" s="35">
        <v>0.9</v>
      </c>
      <c r="F66" s="35">
        <v>6.6</v>
      </c>
      <c r="G66" s="36">
        <v>2.7910000000000001E-3</v>
      </c>
      <c r="H66" s="18">
        <v>5.0236749999999999</v>
      </c>
      <c r="I66" s="16" t="s">
        <v>746</v>
      </c>
      <c r="J66" s="16"/>
      <c r="K66" s="16"/>
      <c r="L66" s="37"/>
      <c r="M66" s="37"/>
      <c r="N66" s="37"/>
      <c r="O66" s="37"/>
      <c r="P66" s="37"/>
      <c r="Q66" s="18">
        <v>3.0700999999999999E-2</v>
      </c>
      <c r="R66" s="18">
        <v>2.0932500000000001E-4</v>
      </c>
      <c r="S66" s="18">
        <v>5.8611000000000003E-2</v>
      </c>
      <c r="T66" s="18">
        <v>0.25119000000000002</v>
      </c>
      <c r="U66" s="18">
        <v>0.12559500000000001</v>
      </c>
      <c r="V66" s="18">
        <v>1.6076160000000002</v>
      </c>
      <c r="W66" s="18">
        <v>1.5071400000000001</v>
      </c>
      <c r="X66" s="18">
        <v>1.0047600000000001</v>
      </c>
      <c r="Y66" s="18">
        <v>4.4656000000000001E-2</v>
      </c>
      <c r="Z66" s="18">
        <v>0.198161</v>
      </c>
      <c r="AA66" s="18">
        <v>0.29026400000000002</v>
      </c>
      <c r="AB66" s="18">
        <v>0.51633499999999999</v>
      </c>
      <c r="AC66" s="18">
        <v>0.15908700000000001</v>
      </c>
      <c r="AD66" s="18">
        <v>0.83730000000000004</v>
      </c>
    </row>
    <row r="67" spans="2:30" x14ac:dyDescent="0.25">
      <c r="B67" t="s">
        <v>269</v>
      </c>
      <c r="C67" t="s">
        <v>326</v>
      </c>
      <c r="D67" t="s">
        <v>748</v>
      </c>
      <c r="E67" s="35">
        <v>0.9</v>
      </c>
      <c r="F67" s="35">
        <v>6.6</v>
      </c>
      <c r="G67" s="36">
        <v>4.1200000000000004E-3</v>
      </c>
      <c r="H67" s="18">
        <v>7.4152979999999999</v>
      </c>
      <c r="I67" s="16" t="s">
        <v>746</v>
      </c>
      <c r="J67" s="16"/>
      <c r="K67" s="16"/>
      <c r="L67" s="37"/>
      <c r="M67" s="37"/>
      <c r="N67" s="37"/>
      <c r="O67" s="37"/>
      <c r="P67" s="37"/>
      <c r="Q67" s="18">
        <v>4.5320000000000006E-2</v>
      </c>
      <c r="R67" s="18">
        <v>3.0900000000000003E-4</v>
      </c>
      <c r="S67" s="18">
        <v>8.6520000000000014E-2</v>
      </c>
      <c r="T67" s="18">
        <v>0.37080000000000002</v>
      </c>
      <c r="U67" s="18">
        <v>0.18540000000000001</v>
      </c>
      <c r="V67" s="18">
        <v>2.3731200000000001</v>
      </c>
      <c r="W67" s="18">
        <v>2.2248000000000001</v>
      </c>
      <c r="X67" s="18">
        <v>1.4832000000000001</v>
      </c>
      <c r="Y67" s="18">
        <v>6.5920000000000006E-2</v>
      </c>
      <c r="Z67" s="18">
        <v>0.29252</v>
      </c>
      <c r="AA67" s="18">
        <v>0.42848000000000003</v>
      </c>
      <c r="AB67" s="18">
        <v>0.7622000000000001</v>
      </c>
      <c r="AC67" s="18">
        <v>0.23484000000000002</v>
      </c>
      <c r="AD67" s="18">
        <v>1.2360000000000002</v>
      </c>
    </row>
    <row r="68" spans="2:30" x14ac:dyDescent="0.25">
      <c r="B68" t="s">
        <v>269</v>
      </c>
      <c r="C68" t="s">
        <v>326</v>
      </c>
      <c r="D68" t="s">
        <v>749</v>
      </c>
      <c r="E68" s="35">
        <v>0.9</v>
      </c>
      <c r="F68" s="35">
        <v>6.6</v>
      </c>
      <c r="G68" s="36">
        <v>3.5699999999999998E-3</v>
      </c>
      <c r="H68" s="18">
        <v>6.4252979999999997</v>
      </c>
      <c r="I68" s="16" t="s">
        <v>746</v>
      </c>
      <c r="J68" s="16"/>
      <c r="K68" s="16"/>
      <c r="L68" s="37"/>
      <c r="M68" s="37"/>
      <c r="N68" s="37"/>
      <c r="O68" s="37"/>
      <c r="P68" s="37"/>
      <c r="Q68" s="18">
        <v>3.9269999999999999E-2</v>
      </c>
      <c r="R68" s="18">
        <v>2.6774999999999998E-4</v>
      </c>
      <c r="S68" s="18">
        <v>7.4969999999999995E-2</v>
      </c>
      <c r="T68" s="18">
        <v>0.32129999999999997</v>
      </c>
      <c r="U68" s="18">
        <v>0.16064999999999999</v>
      </c>
      <c r="V68" s="18">
        <v>2.0563199999999999</v>
      </c>
      <c r="W68" s="18">
        <v>1.9278</v>
      </c>
      <c r="X68" s="18">
        <v>1.2851999999999999</v>
      </c>
      <c r="Y68" s="18">
        <v>5.7119999999999997E-2</v>
      </c>
      <c r="Z68" s="18">
        <v>0.25346999999999997</v>
      </c>
      <c r="AA68" s="18">
        <v>0.37128</v>
      </c>
      <c r="AB68" s="18">
        <v>0.66044999999999998</v>
      </c>
      <c r="AC68" s="18">
        <v>0.20348999999999998</v>
      </c>
      <c r="AD68" s="18">
        <v>1.071</v>
      </c>
    </row>
    <row r="69" spans="2:30" x14ac:dyDescent="0.25">
      <c r="B69" t="s">
        <v>269</v>
      </c>
      <c r="C69" t="s">
        <v>326</v>
      </c>
      <c r="D69" t="s">
        <v>754</v>
      </c>
      <c r="E69" s="35">
        <v>0.9</v>
      </c>
      <c r="F69" s="35">
        <v>6.6</v>
      </c>
      <c r="G69" s="36">
        <v>6.5950000000000002E-3</v>
      </c>
      <c r="H69" s="18">
        <v>11.870298</v>
      </c>
      <c r="I69" s="16" t="s">
        <v>746</v>
      </c>
      <c r="J69" s="16"/>
      <c r="K69" s="16"/>
      <c r="L69" s="37"/>
      <c r="M69" s="37"/>
      <c r="N69" s="37"/>
      <c r="O69" s="37"/>
      <c r="P69" s="37"/>
      <c r="Q69" s="18">
        <v>7.2544999999999998E-2</v>
      </c>
      <c r="R69" s="18">
        <v>4.9462499999999995E-4</v>
      </c>
      <c r="S69" s="18">
        <v>0.13849500000000001</v>
      </c>
      <c r="T69" s="18">
        <v>0.59355000000000002</v>
      </c>
      <c r="U69" s="18">
        <v>0.29677500000000001</v>
      </c>
      <c r="V69" s="18">
        <v>3.7987200000000003</v>
      </c>
      <c r="W69" s="18">
        <v>3.5613000000000001</v>
      </c>
      <c r="X69" s="18">
        <v>2.3742000000000001</v>
      </c>
      <c r="Y69" s="18">
        <v>0.10552</v>
      </c>
      <c r="Z69" s="18">
        <v>0.46824500000000002</v>
      </c>
      <c r="AA69" s="18">
        <v>0.68588000000000005</v>
      </c>
      <c r="AB69" s="18">
        <v>1.220075</v>
      </c>
      <c r="AC69" s="18">
        <v>0.375915</v>
      </c>
      <c r="AD69" s="18">
        <v>1.9785000000000001</v>
      </c>
    </row>
    <row r="70" spans="2:30" x14ac:dyDescent="0.25">
      <c r="B70" t="s">
        <v>269</v>
      </c>
      <c r="C70" t="s">
        <v>326</v>
      </c>
      <c r="D70" t="s">
        <v>754</v>
      </c>
      <c r="E70" s="35">
        <v>0.9</v>
      </c>
      <c r="F70" s="35">
        <v>6.6</v>
      </c>
      <c r="G70" s="36">
        <v>6.5950000000000002E-3</v>
      </c>
      <c r="H70" s="18">
        <v>11.870298</v>
      </c>
      <c r="I70" s="16" t="s">
        <v>746</v>
      </c>
      <c r="J70" s="16"/>
      <c r="K70" s="16"/>
      <c r="L70" s="37"/>
      <c r="M70" s="37"/>
      <c r="N70" s="37"/>
      <c r="O70" s="37"/>
      <c r="P70" s="37"/>
      <c r="Q70" s="18">
        <v>7.2544999999999998E-2</v>
      </c>
      <c r="R70" s="18">
        <v>4.9462499999999995E-4</v>
      </c>
      <c r="S70" s="18">
        <v>0.13849500000000001</v>
      </c>
      <c r="T70" s="18">
        <v>0.59355000000000002</v>
      </c>
      <c r="U70" s="18">
        <v>0.29677500000000001</v>
      </c>
      <c r="V70" s="18">
        <v>3.7987200000000003</v>
      </c>
      <c r="W70" s="18">
        <v>3.5613000000000001</v>
      </c>
      <c r="X70" s="18">
        <v>2.3742000000000001</v>
      </c>
      <c r="Y70" s="18">
        <v>0.10552</v>
      </c>
      <c r="Z70" s="18">
        <v>0.46824500000000002</v>
      </c>
      <c r="AA70" s="18">
        <v>0.68588000000000005</v>
      </c>
      <c r="AB70" s="18">
        <v>1.220075</v>
      </c>
      <c r="AC70" s="18">
        <v>0.375915</v>
      </c>
      <c r="AD70" s="18">
        <v>1.9785000000000001</v>
      </c>
    </row>
    <row r="71" spans="2:30" x14ac:dyDescent="0.25">
      <c r="B71" t="s">
        <v>269</v>
      </c>
      <c r="C71" t="s">
        <v>326</v>
      </c>
      <c r="D71" t="s">
        <v>748</v>
      </c>
      <c r="E71" s="35">
        <v>0.9</v>
      </c>
      <c r="F71" s="35">
        <v>6.6</v>
      </c>
      <c r="G71" s="36">
        <v>4.1200000000000004E-3</v>
      </c>
      <c r="H71" s="18">
        <v>7.4152979999999999</v>
      </c>
      <c r="I71" s="16" t="s">
        <v>746</v>
      </c>
      <c r="J71" s="16"/>
      <c r="K71" s="16"/>
      <c r="L71" s="37"/>
      <c r="M71" s="37"/>
      <c r="N71" s="37"/>
      <c r="O71" s="37"/>
      <c r="P71" s="37"/>
      <c r="Q71" s="18">
        <v>4.5320000000000006E-2</v>
      </c>
      <c r="R71" s="18">
        <v>3.0900000000000003E-4</v>
      </c>
      <c r="S71" s="18">
        <v>8.6520000000000014E-2</v>
      </c>
      <c r="T71" s="18">
        <v>0.37080000000000002</v>
      </c>
      <c r="U71" s="18">
        <v>0.18540000000000001</v>
      </c>
      <c r="V71" s="18">
        <v>2.3731200000000001</v>
      </c>
      <c r="W71" s="18">
        <v>2.2248000000000001</v>
      </c>
      <c r="X71" s="18">
        <v>1.4832000000000001</v>
      </c>
      <c r="Y71" s="18">
        <v>6.5920000000000006E-2</v>
      </c>
      <c r="Z71" s="18">
        <v>0.29252</v>
      </c>
      <c r="AA71" s="18">
        <v>0.42848000000000003</v>
      </c>
      <c r="AB71" s="18">
        <v>0.7622000000000001</v>
      </c>
      <c r="AC71" s="18">
        <v>0.23484000000000002</v>
      </c>
      <c r="AD71" s="18">
        <v>1.2360000000000002</v>
      </c>
    </row>
    <row r="72" spans="2:30" x14ac:dyDescent="0.25">
      <c r="B72" t="s">
        <v>269</v>
      </c>
      <c r="C72" t="s">
        <v>326</v>
      </c>
      <c r="D72" t="s">
        <v>747</v>
      </c>
      <c r="E72" s="35">
        <v>0.9</v>
      </c>
      <c r="F72" s="35">
        <v>6.6</v>
      </c>
      <c r="G72" s="36">
        <v>4.9449999999999997E-3</v>
      </c>
      <c r="H72" s="18">
        <v>8.9002979999999994</v>
      </c>
      <c r="I72" s="16" t="s">
        <v>746</v>
      </c>
      <c r="J72" s="16"/>
      <c r="K72" s="16"/>
      <c r="L72" s="37"/>
      <c r="M72" s="37"/>
      <c r="N72" s="37"/>
      <c r="O72" s="37"/>
      <c r="P72" s="37"/>
      <c r="Q72" s="18">
        <v>5.4394999999999999E-2</v>
      </c>
      <c r="R72" s="18">
        <v>3.7087499999999995E-4</v>
      </c>
      <c r="S72" s="18">
        <v>0.10384499999999999</v>
      </c>
      <c r="T72" s="18">
        <v>0.44505</v>
      </c>
      <c r="U72" s="18">
        <v>0.222525</v>
      </c>
      <c r="V72" s="18">
        <v>2.8483199999999997</v>
      </c>
      <c r="W72" s="18">
        <v>2.6702999999999997</v>
      </c>
      <c r="X72" s="18">
        <v>1.7802</v>
      </c>
      <c r="Y72" s="18">
        <v>7.9119999999999996E-2</v>
      </c>
      <c r="Z72" s="18">
        <v>0.35109499999999999</v>
      </c>
      <c r="AA72" s="18">
        <v>0.51427999999999996</v>
      </c>
      <c r="AB72" s="18">
        <v>0.914825</v>
      </c>
      <c r="AC72" s="18">
        <v>0.28186499999999998</v>
      </c>
      <c r="AD72" s="18">
        <v>1.4834999999999998</v>
      </c>
    </row>
    <row r="73" spans="2:30" x14ac:dyDescent="0.25">
      <c r="B73" t="s">
        <v>269</v>
      </c>
      <c r="C73" t="s">
        <v>326</v>
      </c>
      <c r="D73" t="s">
        <v>748</v>
      </c>
      <c r="E73" s="35">
        <v>0.9</v>
      </c>
      <c r="F73" s="35">
        <v>6.6</v>
      </c>
      <c r="G73" s="36">
        <v>4.1200000000000004E-3</v>
      </c>
      <c r="H73" s="18">
        <v>7.4152979999999999</v>
      </c>
      <c r="I73" s="16" t="s">
        <v>746</v>
      </c>
      <c r="J73" s="16"/>
      <c r="K73" s="16"/>
      <c r="L73" s="37"/>
      <c r="M73" s="37"/>
      <c r="N73" s="37"/>
      <c r="O73" s="37"/>
      <c r="P73" s="37"/>
      <c r="Q73" s="18">
        <v>4.5320000000000006E-2</v>
      </c>
      <c r="R73" s="18">
        <v>3.0900000000000003E-4</v>
      </c>
      <c r="S73" s="18">
        <v>8.6520000000000014E-2</v>
      </c>
      <c r="T73" s="18">
        <v>0.37080000000000002</v>
      </c>
      <c r="U73" s="18">
        <v>0.18540000000000001</v>
      </c>
      <c r="V73" s="18">
        <v>2.3731200000000001</v>
      </c>
      <c r="W73" s="18">
        <v>2.2248000000000001</v>
      </c>
      <c r="X73" s="18">
        <v>1.4832000000000001</v>
      </c>
      <c r="Y73" s="18">
        <v>6.5920000000000006E-2</v>
      </c>
      <c r="Z73" s="18">
        <v>0.29252</v>
      </c>
      <c r="AA73" s="18">
        <v>0.42848000000000003</v>
      </c>
      <c r="AB73" s="18">
        <v>0.7622000000000001</v>
      </c>
      <c r="AC73" s="18">
        <v>0.23484000000000002</v>
      </c>
      <c r="AD73" s="18">
        <v>1.2360000000000002</v>
      </c>
    </row>
    <row r="74" spans="2:30" x14ac:dyDescent="0.25">
      <c r="B74" t="s">
        <v>269</v>
      </c>
      <c r="C74" t="s">
        <v>326</v>
      </c>
      <c r="D74" t="s">
        <v>748</v>
      </c>
      <c r="E74" s="35">
        <v>0.9</v>
      </c>
      <c r="F74" s="35">
        <v>6.6</v>
      </c>
      <c r="G74" s="36">
        <v>4.1200000000000004E-3</v>
      </c>
      <c r="H74" s="18">
        <v>7.4152979999999999</v>
      </c>
      <c r="I74" s="16" t="s">
        <v>746</v>
      </c>
      <c r="J74" s="16"/>
      <c r="K74" s="16"/>
      <c r="L74" s="37"/>
      <c r="M74" s="37"/>
      <c r="N74" s="37"/>
      <c r="O74" s="37"/>
      <c r="P74" s="37"/>
      <c r="Q74" s="18">
        <v>4.5320000000000006E-2</v>
      </c>
      <c r="R74" s="18">
        <v>3.0900000000000003E-4</v>
      </c>
      <c r="S74" s="18">
        <v>8.6520000000000014E-2</v>
      </c>
      <c r="T74" s="18">
        <v>0.37080000000000002</v>
      </c>
      <c r="U74" s="18">
        <v>0.18540000000000001</v>
      </c>
      <c r="V74" s="18">
        <v>2.3731200000000001</v>
      </c>
      <c r="W74" s="18">
        <v>2.2248000000000001</v>
      </c>
      <c r="X74" s="18">
        <v>1.4832000000000001</v>
      </c>
      <c r="Y74" s="18">
        <v>6.5920000000000006E-2</v>
      </c>
      <c r="Z74" s="18">
        <v>0.29252</v>
      </c>
      <c r="AA74" s="18">
        <v>0.42848000000000003</v>
      </c>
      <c r="AB74" s="18">
        <v>0.7622000000000001</v>
      </c>
      <c r="AC74" s="18">
        <v>0.23484000000000002</v>
      </c>
      <c r="AD74" s="18">
        <v>1.2360000000000002</v>
      </c>
    </row>
    <row r="75" spans="2:30" x14ac:dyDescent="0.25">
      <c r="B75" t="s">
        <v>269</v>
      </c>
      <c r="C75" t="s">
        <v>326</v>
      </c>
      <c r="D75" t="s">
        <v>747</v>
      </c>
      <c r="E75" s="35">
        <v>0.9</v>
      </c>
      <c r="F75" s="35">
        <v>6.6</v>
      </c>
      <c r="G75" s="36">
        <v>4.9449999999999997E-3</v>
      </c>
      <c r="H75" s="18">
        <v>8.9002979999999994</v>
      </c>
      <c r="I75" s="16" t="s">
        <v>746</v>
      </c>
      <c r="J75" s="16"/>
      <c r="K75" s="16"/>
      <c r="L75" s="37"/>
      <c r="M75" s="37"/>
      <c r="N75" s="37"/>
      <c r="O75" s="37"/>
      <c r="P75" s="37"/>
      <c r="Q75" s="18">
        <v>5.4394999999999999E-2</v>
      </c>
      <c r="R75" s="18">
        <v>3.7087499999999995E-4</v>
      </c>
      <c r="S75" s="18">
        <v>0.10384499999999999</v>
      </c>
      <c r="T75" s="18">
        <v>0.44505</v>
      </c>
      <c r="U75" s="18">
        <v>0.222525</v>
      </c>
      <c r="V75" s="18">
        <v>2.8483199999999997</v>
      </c>
      <c r="W75" s="18">
        <v>2.6702999999999997</v>
      </c>
      <c r="X75" s="18">
        <v>1.7802</v>
      </c>
      <c r="Y75" s="18">
        <v>7.9119999999999996E-2</v>
      </c>
      <c r="Z75" s="18">
        <v>0.35109499999999999</v>
      </c>
      <c r="AA75" s="18">
        <v>0.51427999999999996</v>
      </c>
      <c r="AB75" s="18">
        <v>0.914825</v>
      </c>
      <c r="AC75" s="18">
        <v>0.28186499999999998</v>
      </c>
      <c r="AD75" s="18">
        <v>1.4834999999999998</v>
      </c>
    </row>
    <row r="76" spans="2:30" x14ac:dyDescent="0.25">
      <c r="B76" t="s">
        <v>269</v>
      </c>
      <c r="C76" t="s">
        <v>326</v>
      </c>
      <c r="D76" t="s">
        <v>748</v>
      </c>
      <c r="E76" s="35">
        <v>0.9</v>
      </c>
      <c r="F76" s="35">
        <v>6.6</v>
      </c>
      <c r="G76" s="36">
        <v>4.1200000000000004E-3</v>
      </c>
      <c r="H76" s="18">
        <v>7.4152979999999999</v>
      </c>
      <c r="I76" s="16" t="s">
        <v>746</v>
      </c>
      <c r="J76" s="16"/>
      <c r="K76" s="16"/>
      <c r="L76" s="37"/>
      <c r="M76" s="37"/>
      <c r="N76" s="37"/>
      <c r="O76" s="37"/>
      <c r="P76" s="37"/>
      <c r="Q76" s="18">
        <v>4.5320000000000006E-2</v>
      </c>
      <c r="R76" s="18">
        <v>3.0900000000000003E-4</v>
      </c>
      <c r="S76" s="18">
        <v>8.6520000000000014E-2</v>
      </c>
      <c r="T76" s="18">
        <v>0.37080000000000002</v>
      </c>
      <c r="U76" s="18">
        <v>0.18540000000000001</v>
      </c>
      <c r="V76" s="18">
        <v>2.3731200000000001</v>
      </c>
      <c r="W76" s="18">
        <v>2.2248000000000001</v>
      </c>
      <c r="X76" s="18">
        <v>1.4832000000000001</v>
      </c>
      <c r="Y76" s="18">
        <v>6.5920000000000006E-2</v>
      </c>
      <c r="Z76" s="18">
        <v>0.29252</v>
      </c>
      <c r="AA76" s="18">
        <v>0.42848000000000003</v>
      </c>
      <c r="AB76" s="18">
        <v>0.7622000000000001</v>
      </c>
      <c r="AC76" s="18">
        <v>0.23484000000000002</v>
      </c>
      <c r="AD76" s="18">
        <v>1.2360000000000002</v>
      </c>
    </row>
    <row r="77" spans="2:30" x14ac:dyDescent="0.25">
      <c r="B77" t="s">
        <v>269</v>
      </c>
      <c r="C77" t="s">
        <v>326</v>
      </c>
      <c r="D77" t="s">
        <v>747</v>
      </c>
      <c r="E77" s="35">
        <v>0.9</v>
      </c>
      <c r="F77" s="35">
        <v>6.6</v>
      </c>
      <c r="G77" s="36">
        <v>4.9449999999999997E-3</v>
      </c>
      <c r="H77" s="18">
        <v>8.9002979999999994</v>
      </c>
      <c r="I77" s="16" t="s">
        <v>746</v>
      </c>
      <c r="J77" s="16"/>
      <c r="K77" s="16"/>
      <c r="L77" s="37"/>
      <c r="M77" s="37"/>
      <c r="N77" s="37"/>
      <c r="O77" s="37"/>
      <c r="P77" s="37"/>
      <c r="Q77" s="18">
        <v>5.4394999999999999E-2</v>
      </c>
      <c r="R77" s="18">
        <v>3.7087499999999995E-4</v>
      </c>
      <c r="S77" s="18">
        <v>0.10384499999999999</v>
      </c>
      <c r="T77" s="18">
        <v>0.44505</v>
      </c>
      <c r="U77" s="18">
        <v>0.222525</v>
      </c>
      <c r="V77" s="18">
        <v>2.8483199999999997</v>
      </c>
      <c r="W77" s="18">
        <v>2.6702999999999997</v>
      </c>
      <c r="X77" s="18">
        <v>1.7802</v>
      </c>
      <c r="Y77" s="18">
        <v>7.9119999999999996E-2</v>
      </c>
      <c r="Z77" s="18">
        <v>0.35109499999999999</v>
      </c>
      <c r="AA77" s="18">
        <v>0.51427999999999996</v>
      </c>
      <c r="AB77" s="18">
        <v>0.914825</v>
      </c>
      <c r="AC77" s="18">
        <v>0.28186499999999998</v>
      </c>
      <c r="AD77" s="18">
        <v>1.4834999999999998</v>
      </c>
    </row>
    <row r="78" spans="2:30" x14ac:dyDescent="0.25">
      <c r="B78" t="s">
        <v>269</v>
      </c>
      <c r="C78" t="s">
        <v>326</v>
      </c>
      <c r="D78" t="s">
        <v>748</v>
      </c>
      <c r="E78" s="35">
        <v>0.9</v>
      </c>
      <c r="F78" s="35">
        <v>6.6</v>
      </c>
      <c r="G78" s="36">
        <v>4.1200000000000004E-3</v>
      </c>
      <c r="H78" s="18">
        <v>7.4152979999999999</v>
      </c>
      <c r="I78" s="16" t="s">
        <v>746</v>
      </c>
      <c r="J78" s="16"/>
      <c r="K78" s="16"/>
      <c r="L78" s="37"/>
      <c r="M78" s="37"/>
      <c r="N78" s="37"/>
      <c r="O78" s="37"/>
      <c r="P78" s="37"/>
      <c r="Q78" s="18">
        <v>4.5320000000000006E-2</v>
      </c>
      <c r="R78" s="18">
        <v>3.0900000000000003E-4</v>
      </c>
      <c r="S78" s="18">
        <v>8.6520000000000014E-2</v>
      </c>
      <c r="T78" s="18">
        <v>0.37080000000000002</v>
      </c>
      <c r="U78" s="18">
        <v>0.18540000000000001</v>
      </c>
      <c r="V78" s="18">
        <v>2.3731200000000001</v>
      </c>
      <c r="W78" s="18">
        <v>2.2248000000000001</v>
      </c>
      <c r="X78" s="18">
        <v>1.4832000000000001</v>
      </c>
      <c r="Y78" s="18">
        <v>6.5920000000000006E-2</v>
      </c>
      <c r="Z78" s="18">
        <v>0.29252</v>
      </c>
      <c r="AA78" s="18">
        <v>0.42848000000000003</v>
      </c>
      <c r="AB78" s="18">
        <v>0.7622000000000001</v>
      </c>
      <c r="AC78" s="18">
        <v>0.23484000000000002</v>
      </c>
      <c r="AD78" s="18">
        <v>1.2360000000000002</v>
      </c>
    </row>
    <row r="79" spans="2:30" x14ac:dyDescent="0.25">
      <c r="B79" t="s">
        <v>269</v>
      </c>
      <c r="C79" t="s">
        <v>326</v>
      </c>
      <c r="D79" t="s">
        <v>747</v>
      </c>
      <c r="E79" s="35">
        <v>0.9</v>
      </c>
      <c r="F79" s="35">
        <v>6.6</v>
      </c>
      <c r="G79" s="36">
        <v>4.9449999999999997E-3</v>
      </c>
      <c r="H79" s="18">
        <v>8.9002979999999994</v>
      </c>
      <c r="I79" s="16" t="s">
        <v>746</v>
      </c>
      <c r="J79" s="16"/>
      <c r="K79" s="16"/>
      <c r="L79" s="37"/>
      <c r="M79" s="37"/>
      <c r="N79" s="37"/>
      <c r="O79" s="37"/>
      <c r="P79" s="37"/>
      <c r="Q79" s="18">
        <v>5.4394999999999999E-2</v>
      </c>
      <c r="R79" s="18">
        <v>3.7087499999999995E-4</v>
      </c>
      <c r="S79" s="18">
        <v>0.10384499999999999</v>
      </c>
      <c r="T79" s="18">
        <v>0.44505</v>
      </c>
      <c r="U79" s="18">
        <v>0.222525</v>
      </c>
      <c r="V79" s="18">
        <v>2.8483199999999997</v>
      </c>
      <c r="W79" s="18">
        <v>2.6702999999999997</v>
      </c>
      <c r="X79" s="18">
        <v>1.7802</v>
      </c>
      <c r="Y79" s="18">
        <v>7.9119999999999996E-2</v>
      </c>
      <c r="Z79" s="18">
        <v>0.35109499999999999</v>
      </c>
      <c r="AA79" s="18">
        <v>0.51427999999999996</v>
      </c>
      <c r="AB79" s="18">
        <v>0.914825</v>
      </c>
      <c r="AC79" s="18">
        <v>0.28186499999999998</v>
      </c>
      <c r="AD79" s="18">
        <v>1.4834999999999998</v>
      </c>
    </row>
    <row r="80" spans="2:30" x14ac:dyDescent="0.25">
      <c r="B80" t="s">
        <v>269</v>
      </c>
      <c r="C80" t="s">
        <v>326</v>
      </c>
      <c r="D80" t="s">
        <v>748</v>
      </c>
      <c r="E80" s="35">
        <v>0.9</v>
      </c>
      <c r="F80" s="35">
        <v>6.6</v>
      </c>
      <c r="G80" s="36">
        <v>4.1200000000000004E-3</v>
      </c>
      <c r="H80" s="18">
        <v>7.4152979999999999</v>
      </c>
      <c r="I80" s="16" t="s">
        <v>746</v>
      </c>
      <c r="J80" s="16"/>
      <c r="K80" s="16"/>
      <c r="L80" s="37"/>
      <c r="M80" s="37"/>
      <c r="N80" s="37"/>
      <c r="O80" s="37"/>
      <c r="P80" s="37"/>
      <c r="Q80" s="18">
        <v>4.5320000000000006E-2</v>
      </c>
      <c r="R80" s="18">
        <v>3.0900000000000003E-4</v>
      </c>
      <c r="S80" s="18">
        <v>8.6520000000000014E-2</v>
      </c>
      <c r="T80" s="18">
        <v>0.37080000000000002</v>
      </c>
      <c r="U80" s="18">
        <v>0.18540000000000001</v>
      </c>
      <c r="V80" s="18">
        <v>2.3731200000000001</v>
      </c>
      <c r="W80" s="18">
        <v>2.2248000000000001</v>
      </c>
      <c r="X80" s="18">
        <v>1.4832000000000001</v>
      </c>
      <c r="Y80" s="18">
        <v>6.5920000000000006E-2</v>
      </c>
      <c r="Z80" s="18">
        <v>0.29252</v>
      </c>
      <c r="AA80" s="18">
        <v>0.42848000000000003</v>
      </c>
      <c r="AB80" s="18">
        <v>0.7622000000000001</v>
      </c>
      <c r="AC80" s="18">
        <v>0.23484000000000002</v>
      </c>
      <c r="AD80" s="18">
        <v>1.2360000000000002</v>
      </c>
    </row>
    <row r="81" spans="2:30" x14ac:dyDescent="0.25">
      <c r="B81" t="s">
        <v>269</v>
      </c>
      <c r="C81" t="s">
        <v>326</v>
      </c>
      <c r="D81" t="s">
        <v>747</v>
      </c>
      <c r="E81" s="35">
        <v>0.9</v>
      </c>
      <c r="F81" s="35">
        <v>6.6</v>
      </c>
      <c r="G81" s="36">
        <v>4.9449999999999997E-3</v>
      </c>
      <c r="H81" s="18">
        <v>8.9002979999999994</v>
      </c>
      <c r="I81" s="16" t="s">
        <v>746</v>
      </c>
      <c r="J81" s="16"/>
      <c r="K81" s="16"/>
      <c r="L81" s="37"/>
      <c r="M81" s="37"/>
      <c r="N81" s="37"/>
      <c r="O81" s="37"/>
      <c r="P81" s="37"/>
      <c r="Q81" s="18">
        <v>5.4394999999999999E-2</v>
      </c>
      <c r="R81" s="18">
        <v>3.7087499999999995E-4</v>
      </c>
      <c r="S81" s="18">
        <v>0.10384499999999999</v>
      </c>
      <c r="T81" s="18">
        <v>0.44505</v>
      </c>
      <c r="U81" s="18">
        <v>0.222525</v>
      </c>
      <c r="V81" s="18">
        <v>2.8483199999999997</v>
      </c>
      <c r="W81" s="18">
        <v>2.6702999999999997</v>
      </c>
      <c r="X81" s="18">
        <v>1.7802</v>
      </c>
      <c r="Y81" s="18">
        <v>7.9119999999999996E-2</v>
      </c>
      <c r="Z81" s="18">
        <v>0.35109499999999999</v>
      </c>
      <c r="AA81" s="18">
        <v>0.51427999999999996</v>
      </c>
      <c r="AB81" s="18">
        <v>0.914825</v>
      </c>
      <c r="AC81" s="18">
        <v>0.28186499999999998</v>
      </c>
      <c r="AD81" s="18">
        <v>1.4834999999999998</v>
      </c>
    </row>
    <row r="82" spans="2:30" x14ac:dyDescent="0.25">
      <c r="B82" t="s">
        <v>269</v>
      </c>
      <c r="C82" t="s">
        <v>326</v>
      </c>
      <c r="D82" t="s">
        <v>752</v>
      </c>
      <c r="E82" s="35">
        <v>0.9</v>
      </c>
      <c r="F82" s="35">
        <v>6.6</v>
      </c>
      <c r="G82" s="36">
        <v>2.47E-3</v>
      </c>
      <c r="H82" s="18">
        <v>4.4452980000000002</v>
      </c>
      <c r="I82" s="16" t="s">
        <v>746</v>
      </c>
      <c r="J82" s="16"/>
      <c r="K82" s="16"/>
      <c r="L82" s="37"/>
      <c r="M82" s="37"/>
      <c r="N82" s="37"/>
      <c r="O82" s="37"/>
      <c r="P82" s="37"/>
      <c r="Q82" s="18">
        <v>2.717E-2</v>
      </c>
      <c r="R82" s="18">
        <v>1.8525E-4</v>
      </c>
      <c r="S82" s="18">
        <v>5.1869999999999999E-2</v>
      </c>
      <c r="T82" s="18">
        <v>0.2223</v>
      </c>
      <c r="U82" s="18">
        <v>0.11115</v>
      </c>
      <c r="V82" s="18">
        <v>1.42272</v>
      </c>
      <c r="W82" s="18">
        <v>1.3338000000000001</v>
      </c>
      <c r="X82" s="18">
        <v>0.88919999999999999</v>
      </c>
      <c r="Y82" s="18">
        <v>3.952E-2</v>
      </c>
      <c r="Z82" s="18">
        <v>0.17537</v>
      </c>
      <c r="AA82" s="18">
        <v>0.25688</v>
      </c>
      <c r="AB82" s="18">
        <v>0.45694999999999997</v>
      </c>
      <c r="AC82" s="18">
        <v>0.14079</v>
      </c>
      <c r="AD82" s="18">
        <v>0.74099999999999999</v>
      </c>
    </row>
    <row r="83" spans="2:30" x14ac:dyDescent="0.25">
      <c r="B83" t="s">
        <v>269</v>
      </c>
      <c r="C83" t="s">
        <v>105</v>
      </c>
      <c r="D83" t="s">
        <v>753</v>
      </c>
      <c r="E83" s="35">
        <v>0.9</v>
      </c>
      <c r="F83" s="35">
        <v>6.6</v>
      </c>
      <c r="G83" s="36">
        <v>5.77E-3</v>
      </c>
      <c r="H83" s="18">
        <v>10.385298000000001</v>
      </c>
      <c r="I83" s="16" t="s">
        <v>746</v>
      </c>
      <c r="J83" s="16"/>
      <c r="K83" s="16"/>
      <c r="L83" s="37"/>
      <c r="M83" s="37"/>
      <c r="N83" s="37"/>
      <c r="O83" s="37"/>
      <c r="P83" s="37"/>
      <c r="Q83" s="18">
        <v>6.3469999999999999E-2</v>
      </c>
      <c r="R83" s="18">
        <v>4.3274999999999997E-4</v>
      </c>
      <c r="S83" s="18">
        <v>0.12117</v>
      </c>
      <c r="T83" s="18">
        <v>0.51929999999999998</v>
      </c>
      <c r="U83" s="18">
        <v>0.25964999999999999</v>
      </c>
      <c r="V83" s="18">
        <v>3.3235199999999998</v>
      </c>
      <c r="W83" s="18">
        <v>3.1158000000000001</v>
      </c>
      <c r="X83" s="18">
        <v>2.0771999999999999</v>
      </c>
      <c r="Y83" s="18">
        <v>9.2319999999999999E-2</v>
      </c>
      <c r="Z83" s="18">
        <v>0.40966999999999998</v>
      </c>
      <c r="AA83" s="18">
        <v>0.60007999999999995</v>
      </c>
      <c r="AB83" s="18">
        <v>1.06745</v>
      </c>
      <c r="AC83" s="18">
        <v>0.32889000000000002</v>
      </c>
      <c r="AD83" s="18">
        <v>1.7310000000000001</v>
      </c>
    </row>
    <row r="84" spans="2:30" x14ac:dyDescent="0.25">
      <c r="B84" t="s">
        <v>269</v>
      </c>
      <c r="C84" t="s">
        <v>105</v>
      </c>
      <c r="D84" t="s">
        <v>750</v>
      </c>
      <c r="E84" s="35">
        <v>0.9</v>
      </c>
      <c r="F84" s="35">
        <v>6.6</v>
      </c>
      <c r="G84" s="36">
        <v>3.0200000000000001E-3</v>
      </c>
      <c r="H84" s="18">
        <v>5.4352980000000004</v>
      </c>
      <c r="I84" s="16" t="s">
        <v>746</v>
      </c>
      <c r="J84" s="16"/>
      <c r="K84" s="16"/>
      <c r="L84" s="37"/>
      <c r="M84" s="37"/>
      <c r="N84" s="37"/>
      <c r="O84" s="37"/>
      <c r="P84" s="37"/>
      <c r="Q84" s="18">
        <v>3.322E-2</v>
      </c>
      <c r="R84" s="18">
        <v>2.265E-4</v>
      </c>
      <c r="S84" s="18">
        <v>6.3420000000000004E-2</v>
      </c>
      <c r="T84" s="18">
        <v>0.27179999999999999</v>
      </c>
      <c r="U84" s="18">
        <v>0.13589999999999999</v>
      </c>
      <c r="V84" s="18">
        <v>1.7395200000000002</v>
      </c>
      <c r="W84" s="18">
        <v>1.6308</v>
      </c>
      <c r="X84" s="18">
        <v>1.0871999999999999</v>
      </c>
      <c r="Y84" s="18">
        <v>4.8320000000000002E-2</v>
      </c>
      <c r="Z84" s="18">
        <v>0.21442</v>
      </c>
      <c r="AA84" s="18">
        <v>0.31408000000000003</v>
      </c>
      <c r="AB84" s="18">
        <v>0.55869999999999997</v>
      </c>
      <c r="AC84" s="18">
        <v>0.17214000000000002</v>
      </c>
      <c r="AD84" s="18">
        <v>0.90600000000000003</v>
      </c>
    </row>
    <row r="85" spans="2:30" x14ac:dyDescent="0.25">
      <c r="B85" t="s">
        <v>269</v>
      </c>
      <c r="C85" t="s">
        <v>105</v>
      </c>
      <c r="D85" t="s">
        <v>748</v>
      </c>
      <c r="E85" s="35">
        <v>0.9</v>
      </c>
      <c r="F85" s="35">
        <v>6.6</v>
      </c>
      <c r="G85" s="36">
        <v>4.1200000000000004E-3</v>
      </c>
      <c r="H85" s="18">
        <v>7.4152979999999999</v>
      </c>
      <c r="I85" s="16" t="s">
        <v>746</v>
      </c>
      <c r="J85" s="16"/>
      <c r="K85" s="16"/>
      <c r="L85" s="37"/>
      <c r="M85" s="37"/>
      <c r="N85" s="37"/>
      <c r="O85" s="37"/>
      <c r="P85" s="37"/>
      <c r="Q85" s="18">
        <v>4.5320000000000006E-2</v>
      </c>
      <c r="R85" s="18">
        <v>3.0900000000000003E-4</v>
      </c>
      <c r="S85" s="18">
        <v>8.6520000000000014E-2</v>
      </c>
      <c r="T85" s="18">
        <v>0.37080000000000002</v>
      </c>
      <c r="U85" s="18">
        <v>0.18540000000000001</v>
      </c>
      <c r="V85" s="18">
        <v>2.3731200000000001</v>
      </c>
      <c r="W85" s="18">
        <v>2.2248000000000001</v>
      </c>
      <c r="X85" s="18">
        <v>1.4832000000000001</v>
      </c>
      <c r="Y85" s="18">
        <v>6.5920000000000006E-2</v>
      </c>
      <c r="Z85" s="18">
        <v>0.29252</v>
      </c>
      <c r="AA85" s="18">
        <v>0.42848000000000003</v>
      </c>
      <c r="AB85" s="18">
        <v>0.7622000000000001</v>
      </c>
      <c r="AC85" s="18">
        <v>0.23484000000000002</v>
      </c>
      <c r="AD85" s="18">
        <v>1.2360000000000002</v>
      </c>
    </row>
    <row r="86" spans="2:30" x14ac:dyDescent="0.25">
      <c r="B86" t="s">
        <v>269</v>
      </c>
      <c r="C86" t="s">
        <v>105</v>
      </c>
      <c r="D86" t="s">
        <v>752</v>
      </c>
      <c r="E86" s="35">
        <v>0.9</v>
      </c>
      <c r="F86" s="35">
        <v>6.6</v>
      </c>
      <c r="G86" s="36">
        <v>2.47E-3</v>
      </c>
      <c r="H86" s="18">
        <v>4.4452980000000002</v>
      </c>
      <c r="I86" s="16" t="s">
        <v>746</v>
      </c>
      <c r="J86" s="16"/>
      <c r="K86" s="16"/>
      <c r="L86" s="37"/>
      <c r="M86" s="37"/>
      <c r="N86" s="37"/>
      <c r="O86" s="37"/>
      <c r="P86" s="37"/>
      <c r="Q86" s="18">
        <v>2.717E-2</v>
      </c>
      <c r="R86" s="18">
        <v>1.8525E-4</v>
      </c>
      <c r="S86" s="18">
        <v>5.1869999999999999E-2</v>
      </c>
      <c r="T86" s="18">
        <v>0.2223</v>
      </c>
      <c r="U86" s="18">
        <v>0.11115</v>
      </c>
      <c r="V86" s="18">
        <v>1.42272</v>
      </c>
      <c r="W86" s="18">
        <v>1.3338000000000001</v>
      </c>
      <c r="X86" s="18">
        <v>0.88919999999999999</v>
      </c>
      <c r="Y86" s="18">
        <v>3.952E-2</v>
      </c>
      <c r="Z86" s="18">
        <v>0.17537</v>
      </c>
      <c r="AA86" s="18">
        <v>0.25688</v>
      </c>
      <c r="AB86" s="18">
        <v>0.45694999999999997</v>
      </c>
      <c r="AC86" s="18">
        <v>0.14079</v>
      </c>
      <c r="AD86" s="18">
        <v>0.74099999999999999</v>
      </c>
    </row>
    <row r="87" spans="2:30" x14ac:dyDescent="0.25">
      <c r="B87" t="s">
        <v>269</v>
      </c>
      <c r="C87" t="s">
        <v>105</v>
      </c>
      <c r="D87" t="s">
        <v>748</v>
      </c>
      <c r="E87" s="35">
        <v>0.9</v>
      </c>
      <c r="F87" s="35">
        <v>6.6</v>
      </c>
      <c r="G87" s="36">
        <v>4.1200000000000004E-3</v>
      </c>
      <c r="H87" s="18">
        <v>7.4152979999999999</v>
      </c>
      <c r="I87" s="16" t="s">
        <v>746</v>
      </c>
      <c r="J87" s="16"/>
      <c r="K87" s="16"/>
      <c r="L87" s="37"/>
      <c r="M87" s="37"/>
      <c r="N87" s="37"/>
      <c r="O87" s="37"/>
      <c r="P87" s="37"/>
      <c r="Q87" s="18">
        <v>4.5320000000000006E-2</v>
      </c>
      <c r="R87" s="18">
        <v>3.0900000000000003E-4</v>
      </c>
      <c r="S87" s="18">
        <v>8.6520000000000014E-2</v>
      </c>
      <c r="T87" s="18">
        <v>0.37080000000000002</v>
      </c>
      <c r="U87" s="18">
        <v>0.18540000000000001</v>
      </c>
      <c r="V87" s="18">
        <v>2.3731200000000001</v>
      </c>
      <c r="W87" s="18">
        <v>2.2248000000000001</v>
      </c>
      <c r="X87" s="18">
        <v>1.4832000000000001</v>
      </c>
      <c r="Y87" s="18">
        <v>6.5920000000000006E-2</v>
      </c>
      <c r="Z87" s="18">
        <v>0.29252</v>
      </c>
      <c r="AA87" s="18">
        <v>0.42848000000000003</v>
      </c>
      <c r="AB87" s="18">
        <v>0.7622000000000001</v>
      </c>
      <c r="AC87" s="18">
        <v>0.23484000000000002</v>
      </c>
      <c r="AD87" s="18">
        <v>1.2360000000000002</v>
      </c>
    </row>
    <row r="88" spans="2:30" x14ac:dyDescent="0.25">
      <c r="B88" t="s">
        <v>269</v>
      </c>
      <c r="C88" t="s">
        <v>105</v>
      </c>
      <c r="D88" t="s">
        <v>748</v>
      </c>
      <c r="E88" s="35">
        <v>0.9</v>
      </c>
      <c r="F88" s="35">
        <v>6.6</v>
      </c>
      <c r="G88" s="36">
        <v>4.1200000000000004E-3</v>
      </c>
      <c r="H88" s="18">
        <v>7.4152979999999999</v>
      </c>
      <c r="I88" s="16" t="s">
        <v>746</v>
      </c>
      <c r="J88" s="16"/>
      <c r="K88" s="16"/>
      <c r="L88" s="37"/>
      <c r="M88" s="37"/>
      <c r="N88" s="37"/>
      <c r="O88" s="37"/>
      <c r="P88" s="37"/>
      <c r="Q88" s="18">
        <v>4.5320000000000006E-2</v>
      </c>
      <c r="R88" s="18">
        <v>3.0900000000000003E-4</v>
      </c>
      <c r="S88" s="18">
        <v>8.6520000000000014E-2</v>
      </c>
      <c r="T88" s="18">
        <v>0.37080000000000002</v>
      </c>
      <c r="U88" s="18">
        <v>0.18540000000000001</v>
      </c>
      <c r="V88" s="18">
        <v>2.3731200000000001</v>
      </c>
      <c r="W88" s="18">
        <v>2.2248000000000001</v>
      </c>
      <c r="X88" s="18">
        <v>1.4832000000000001</v>
      </c>
      <c r="Y88" s="18">
        <v>6.5920000000000006E-2</v>
      </c>
      <c r="Z88" s="18">
        <v>0.29252</v>
      </c>
      <c r="AA88" s="18">
        <v>0.42848000000000003</v>
      </c>
      <c r="AB88" s="18">
        <v>0.7622000000000001</v>
      </c>
      <c r="AC88" s="18">
        <v>0.23484000000000002</v>
      </c>
      <c r="AD88" s="18">
        <v>1.2360000000000002</v>
      </c>
    </row>
    <row r="89" spans="2:30" x14ac:dyDescent="0.25">
      <c r="B89" t="s">
        <v>269</v>
      </c>
      <c r="C89" t="s">
        <v>105</v>
      </c>
      <c r="D89" t="s">
        <v>748</v>
      </c>
      <c r="E89" s="35">
        <v>0.9</v>
      </c>
      <c r="F89" s="35">
        <v>6.6</v>
      </c>
      <c r="G89" s="36">
        <v>4.1200000000000004E-3</v>
      </c>
      <c r="H89" s="18">
        <v>7.4152979999999999</v>
      </c>
      <c r="I89" s="16" t="s">
        <v>746</v>
      </c>
      <c r="J89" s="16"/>
      <c r="K89" s="16"/>
      <c r="L89" s="37"/>
      <c r="M89" s="37"/>
      <c r="N89" s="37"/>
      <c r="O89" s="37"/>
      <c r="P89" s="37"/>
      <c r="Q89" s="18">
        <v>4.5320000000000006E-2</v>
      </c>
      <c r="R89" s="18">
        <v>3.0900000000000003E-4</v>
      </c>
      <c r="S89" s="18">
        <v>8.6520000000000014E-2</v>
      </c>
      <c r="T89" s="18">
        <v>0.37080000000000002</v>
      </c>
      <c r="U89" s="18">
        <v>0.18540000000000001</v>
      </c>
      <c r="V89" s="18">
        <v>2.3731200000000001</v>
      </c>
      <c r="W89" s="18">
        <v>2.2248000000000001</v>
      </c>
      <c r="X89" s="18">
        <v>1.4832000000000001</v>
      </c>
      <c r="Y89" s="18">
        <v>6.5920000000000006E-2</v>
      </c>
      <c r="Z89" s="18">
        <v>0.29252</v>
      </c>
      <c r="AA89" s="18">
        <v>0.42848000000000003</v>
      </c>
      <c r="AB89" s="18">
        <v>0.7622000000000001</v>
      </c>
      <c r="AC89" s="18">
        <v>0.23484000000000002</v>
      </c>
      <c r="AD89" s="18">
        <v>1.2360000000000002</v>
      </c>
    </row>
    <row r="90" spans="2:30" x14ac:dyDescent="0.25">
      <c r="B90" t="s">
        <v>269</v>
      </c>
      <c r="C90" t="s">
        <v>105</v>
      </c>
      <c r="D90" t="s">
        <v>748</v>
      </c>
      <c r="E90" s="35">
        <v>0.9</v>
      </c>
      <c r="F90" s="35">
        <v>6.6</v>
      </c>
      <c r="G90" s="36">
        <v>4.1200000000000004E-3</v>
      </c>
      <c r="H90" s="18">
        <v>7.4152979999999999</v>
      </c>
      <c r="I90" s="16" t="s">
        <v>746</v>
      </c>
      <c r="J90" s="16"/>
      <c r="K90" s="16"/>
      <c r="L90" s="37"/>
      <c r="M90" s="37"/>
      <c r="N90" s="37"/>
      <c r="O90" s="37"/>
      <c r="P90" s="37"/>
      <c r="Q90" s="18">
        <v>4.5320000000000006E-2</v>
      </c>
      <c r="R90" s="18">
        <v>3.0900000000000003E-4</v>
      </c>
      <c r="S90" s="18">
        <v>8.6520000000000014E-2</v>
      </c>
      <c r="T90" s="18">
        <v>0.37080000000000002</v>
      </c>
      <c r="U90" s="18">
        <v>0.18540000000000001</v>
      </c>
      <c r="V90" s="18">
        <v>2.3731200000000001</v>
      </c>
      <c r="W90" s="18">
        <v>2.2248000000000001</v>
      </c>
      <c r="X90" s="18">
        <v>1.4832000000000001</v>
      </c>
      <c r="Y90" s="18">
        <v>6.5920000000000006E-2</v>
      </c>
      <c r="Z90" s="18">
        <v>0.29252</v>
      </c>
      <c r="AA90" s="18">
        <v>0.42848000000000003</v>
      </c>
      <c r="AB90" s="18">
        <v>0.7622000000000001</v>
      </c>
      <c r="AC90" s="18">
        <v>0.23484000000000002</v>
      </c>
      <c r="AD90" s="18">
        <v>1.2360000000000002</v>
      </c>
    </row>
    <row r="91" spans="2:30" x14ac:dyDescent="0.25">
      <c r="B91" t="s">
        <v>269</v>
      </c>
      <c r="C91" t="s">
        <v>105</v>
      </c>
      <c r="D91" t="s">
        <v>748</v>
      </c>
      <c r="E91" s="35">
        <v>0.9</v>
      </c>
      <c r="F91" s="35">
        <v>6.6</v>
      </c>
      <c r="G91" s="36">
        <v>4.1200000000000004E-3</v>
      </c>
      <c r="H91" s="18">
        <v>7.4152979999999999</v>
      </c>
      <c r="I91" s="16" t="s">
        <v>746</v>
      </c>
      <c r="J91" s="16"/>
      <c r="K91" s="16"/>
      <c r="L91" s="37"/>
      <c r="M91" s="37"/>
      <c r="N91" s="37"/>
      <c r="O91" s="37"/>
      <c r="P91" s="37"/>
      <c r="Q91" s="18">
        <v>4.5320000000000006E-2</v>
      </c>
      <c r="R91" s="18">
        <v>3.0900000000000003E-4</v>
      </c>
      <c r="S91" s="18">
        <v>8.6520000000000014E-2</v>
      </c>
      <c r="T91" s="18">
        <v>0.37080000000000002</v>
      </c>
      <c r="U91" s="18">
        <v>0.18540000000000001</v>
      </c>
      <c r="V91" s="18">
        <v>2.3731200000000001</v>
      </c>
      <c r="W91" s="18">
        <v>2.2248000000000001</v>
      </c>
      <c r="X91" s="18">
        <v>1.4832000000000001</v>
      </c>
      <c r="Y91" s="18">
        <v>6.5920000000000006E-2</v>
      </c>
      <c r="Z91" s="18">
        <v>0.29252</v>
      </c>
      <c r="AA91" s="18">
        <v>0.42848000000000003</v>
      </c>
      <c r="AB91" s="18">
        <v>0.7622000000000001</v>
      </c>
      <c r="AC91" s="18">
        <v>0.23484000000000002</v>
      </c>
      <c r="AD91" s="18">
        <v>1.2360000000000002</v>
      </c>
    </row>
    <row r="92" spans="2:30" x14ac:dyDescent="0.25">
      <c r="B92" t="s">
        <v>269</v>
      </c>
      <c r="C92" t="s">
        <v>105</v>
      </c>
      <c r="D92" t="s">
        <v>748</v>
      </c>
      <c r="E92" s="35">
        <v>0.9</v>
      </c>
      <c r="F92" s="35">
        <v>6.6</v>
      </c>
      <c r="G92" s="36">
        <v>4.1200000000000004E-3</v>
      </c>
      <c r="H92" s="18">
        <v>7.4152979999999999</v>
      </c>
      <c r="I92" s="16" t="s">
        <v>746</v>
      </c>
      <c r="J92" s="16"/>
      <c r="K92" s="16"/>
      <c r="L92" s="37"/>
      <c r="M92" s="37"/>
      <c r="N92" s="37"/>
      <c r="O92" s="37"/>
      <c r="P92" s="37"/>
      <c r="Q92" s="18">
        <v>4.5320000000000006E-2</v>
      </c>
      <c r="R92" s="18">
        <v>3.0900000000000003E-4</v>
      </c>
      <c r="S92" s="18">
        <v>8.6520000000000014E-2</v>
      </c>
      <c r="T92" s="18">
        <v>0.37080000000000002</v>
      </c>
      <c r="U92" s="18">
        <v>0.18540000000000001</v>
      </c>
      <c r="V92" s="18">
        <v>2.3731200000000001</v>
      </c>
      <c r="W92" s="18">
        <v>2.2248000000000001</v>
      </c>
      <c r="X92" s="18">
        <v>1.4832000000000001</v>
      </c>
      <c r="Y92" s="18">
        <v>6.5920000000000006E-2</v>
      </c>
      <c r="Z92" s="18">
        <v>0.29252</v>
      </c>
      <c r="AA92" s="18">
        <v>0.42848000000000003</v>
      </c>
      <c r="AB92" s="18">
        <v>0.7622000000000001</v>
      </c>
      <c r="AC92" s="18">
        <v>0.23484000000000002</v>
      </c>
      <c r="AD92" s="18">
        <v>1.2360000000000002</v>
      </c>
    </row>
    <row r="93" spans="2:30" x14ac:dyDescent="0.25">
      <c r="B93" t="s">
        <v>269</v>
      </c>
      <c r="C93" t="s">
        <v>105</v>
      </c>
      <c r="D93" t="s">
        <v>748</v>
      </c>
      <c r="E93" s="35">
        <v>0.9</v>
      </c>
      <c r="F93" s="35">
        <v>6.6</v>
      </c>
      <c r="G93" s="36">
        <v>4.1200000000000004E-3</v>
      </c>
      <c r="H93" s="18">
        <v>7.4152979999999999</v>
      </c>
      <c r="I93" s="16" t="s">
        <v>746</v>
      </c>
      <c r="J93" s="16"/>
      <c r="K93" s="16"/>
      <c r="L93" s="37"/>
      <c r="M93" s="37"/>
      <c r="N93" s="37"/>
      <c r="O93" s="37"/>
      <c r="P93" s="37"/>
      <c r="Q93" s="18">
        <v>4.5320000000000006E-2</v>
      </c>
      <c r="R93" s="18">
        <v>3.0900000000000003E-4</v>
      </c>
      <c r="S93" s="18">
        <v>8.6520000000000014E-2</v>
      </c>
      <c r="T93" s="18">
        <v>0.37080000000000002</v>
      </c>
      <c r="U93" s="18">
        <v>0.18540000000000001</v>
      </c>
      <c r="V93" s="18">
        <v>2.3731200000000001</v>
      </c>
      <c r="W93" s="18">
        <v>2.2248000000000001</v>
      </c>
      <c r="X93" s="18">
        <v>1.4832000000000001</v>
      </c>
      <c r="Y93" s="18">
        <v>6.5920000000000006E-2</v>
      </c>
      <c r="Z93" s="18">
        <v>0.29252</v>
      </c>
      <c r="AA93" s="18">
        <v>0.42848000000000003</v>
      </c>
      <c r="AB93" s="18">
        <v>0.7622000000000001</v>
      </c>
      <c r="AC93" s="18">
        <v>0.23484000000000002</v>
      </c>
      <c r="AD93" s="18">
        <v>1.2360000000000002</v>
      </c>
    </row>
    <row r="94" spans="2:30" x14ac:dyDescent="0.25">
      <c r="B94" t="s">
        <v>269</v>
      </c>
      <c r="C94" t="s">
        <v>105</v>
      </c>
      <c r="D94" t="s">
        <v>748</v>
      </c>
      <c r="E94" s="35">
        <v>0.9</v>
      </c>
      <c r="F94" s="35">
        <v>6.6</v>
      </c>
      <c r="G94" s="36">
        <v>4.1200000000000004E-3</v>
      </c>
      <c r="H94" s="18">
        <v>7.4152979999999999</v>
      </c>
      <c r="I94" s="16" t="s">
        <v>746</v>
      </c>
      <c r="J94" s="16"/>
      <c r="K94" s="16"/>
      <c r="L94" s="37"/>
      <c r="M94" s="37"/>
      <c r="N94" s="37"/>
      <c r="O94" s="37"/>
      <c r="P94" s="37"/>
      <c r="Q94" s="18">
        <v>4.5320000000000006E-2</v>
      </c>
      <c r="R94" s="18">
        <v>3.0900000000000003E-4</v>
      </c>
      <c r="S94" s="18">
        <v>8.6520000000000014E-2</v>
      </c>
      <c r="T94" s="18">
        <v>0.37080000000000002</v>
      </c>
      <c r="U94" s="18">
        <v>0.18540000000000001</v>
      </c>
      <c r="V94" s="18">
        <v>2.3731200000000001</v>
      </c>
      <c r="W94" s="18">
        <v>2.2248000000000001</v>
      </c>
      <c r="X94" s="18">
        <v>1.4832000000000001</v>
      </c>
      <c r="Y94" s="18">
        <v>6.5920000000000006E-2</v>
      </c>
      <c r="Z94" s="18">
        <v>0.29252</v>
      </c>
      <c r="AA94" s="18">
        <v>0.42848000000000003</v>
      </c>
      <c r="AB94" s="18">
        <v>0.7622000000000001</v>
      </c>
      <c r="AC94" s="18">
        <v>0.23484000000000002</v>
      </c>
      <c r="AD94" s="18">
        <v>1.2360000000000002</v>
      </c>
    </row>
    <row r="95" spans="2:30" x14ac:dyDescent="0.25">
      <c r="B95" t="s">
        <v>269</v>
      </c>
      <c r="C95" t="s">
        <v>105</v>
      </c>
      <c r="D95" t="s">
        <v>748</v>
      </c>
      <c r="E95" s="35">
        <v>0.9</v>
      </c>
      <c r="F95" s="35">
        <v>6.6</v>
      </c>
      <c r="G95" s="36">
        <v>4.1200000000000004E-3</v>
      </c>
      <c r="H95" s="18">
        <v>7.4152979999999999</v>
      </c>
      <c r="I95" s="16" t="s">
        <v>746</v>
      </c>
      <c r="J95" s="16"/>
      <c r="K95" s="16"/>
      <c r="L95" s="37"/>
      <c r="M95" s="37"/>
      <c r="N95" s="37"/>
      <c r="O95" s="37"/>
      <c r="P95" s="37"/>
      <c r="Q95" s="18">
        <v>4.5320000000000006E-2</v>
      </c>
      <c r="R95" s="18">
        <v>3.0900000000000003E-4</v>
      </c>
      <c r="S95" s="18">
        <v>8.6520000000000014E-2</v>
      </c>
      <c r="T95" s="18">
        <v>0.37080000000000002</v>
      </c>
      <c r="U95" s="18">
        <v>0.18540000000000001</v>
      </c>
      <c r="V95" s="18">
        <v>2.3731200000000001</v>
      </c>
      <c r="W95" s="18">
        <v>2.2248000000000001</v>
      </c>
      <c r="X95" s="18">
        <v>1.4832000000000001</v>
      </c>
      <c r="Y95" s="18">
        <v>6.5920000000000006E-2</v>
      </c>
      <c r="Z95" s="18">
        <v>0.29252</v>
      </c>
      <c r="AA95" s="18">
        <v>0.42848000000000003</v>
      </c>
      <c r="AB95" s="18">
        <v>0.7622000000000001</v>
      </c>
      <c r="AC95" s="18">
        <v>0.23484000000000002</v>
      </c>
      <c r="AD95" s="18">
        <v>1.2360000000000002</v>
      </c>
    </row>
    <row r="96" spans="2:30" x14ac:dyDescent="0.25">
      <c r="B96" t="s">
        <v>269</v>
      </c>
      <c r="C96" t="s">
        <v>105</v>
      </c>
      <c r="D96" t="s">
        <v>748</v>
      </c>
      <c r="E96" s="35">
        <v>0.9</v>
      </c>
      <c r="F96" s="35">
        <v>6.6</v>
      </c>
      <c r="G96" s="36">
        <v>4.1200000000000004E-3</v>
      </c>
      <c r="H96" s="18">
        <v>7.4152979999999999</v>
      </c>
      <c r="I96" s="16" t="s">
        <v>746</v>
      </c>
      <c r="J96" s="16"/>
      <c r="K96" s="16"/>
      <c r="L96" s="37"/>
      <c r="M96" s="37"/>
      <c r="N96" s="37"/>
      <c r="O96" s="37"/>
      <c r="P96" s="37"/>
      <c r="Q96" s="18">
        <v>4.5320000000000006E-2</v>
      </c>
      <c r="R96" s="18">
        <v>3.0900000000000003E-4</v>
      </c>
      <c r="S96" s="18">
        <v>8.6520000000000014E-2</v>
      </c>
      <c r="T96" s="18">
        <v>0.37080000000000002</v>
      </c>
      <c r="U96" s="18">
        <v>0.18540000000000001</v>
      </c>
      <c r="V96" s="18">
        <v>2.3731200000000001</v>
      </c>
      <c r="W96" s="18">
        <v>2.2248000000000001</v>
      </c>
      <c r="X96" s="18">
        <v>1.4832000000000001</v>
      </c>
      <c r="Y96" s="18">
        <v>6.5920000000000006E-2</v>
      </c>
      <c r="Z96" s="18">
        <v>0.29252</v>
      </c>
      <c r="AA96" s="18">
        <v>0.42848000000000003</v>
      </c>
      <c r="AB96" s="18">
        <v>0.7622000000000001</v>
      </c>
      <c r="AC96" s="18">
        <v>0.23484000000000002</v>
      </c>
      <c r="AD96" s="18">
        <v>1.2360000000000002</v>
      </c>
    </row>
    <row r="97" spans="2:30" x14ac:dyDescent="0.25">
      <c r="B97" t="s">
        <v>269</v>
      </c>
      <c r="C97" t="s">
        <v>105</v>
      </c>
      <c r="D97" t="s">
        <v>748</v>
      </c>
      <c r="E97" s="35">
        <v>0.9</v>
      </c>
      <c r="F97" s="35">
        <v>6.6</v>
      </c>
      <c r="G97" s="36">
        <v>4.1200000000000004E-3</v>
      </c>
      <c r="H97" s="18">
        <v>7.4152979999999999</v>
      </c>
      <c r="I97" s="16" t="s">
        <v>746</v>
      </c>
      <c r="J97" s="16"/>
      <c r="K97" s="16"/>
      <c r="L97" s="37"/>
      <c r="M97" s="37"/>
      <c r="N97" s="37"/>
      <c r="O97" s="37"/>
      <c r="P97" s="37"/>
      <c r="Q97" s="18">
        <v>4.5320000000000006E-2</v>
      </c>
      <c r="R97" s="18">
        <v>3.0900000000000003E-4</v>
      </c>
      <c r="S97" s="18">
        <v>8.6520000000000014E-2</v>
      </c>
      <c r="T97" s="18">
        <v>0.37080000000000002</v>
      </c>
      <c r="U97" s="18">
        <v>0.18540000000000001</v>
      </c>
      <c r="V97" s="18">
        <v>2.3731200000000001</v>
      </c>
      <c r="W97" s="18">
        <v>2.2248000000000001</v>
      </c>
      <c r="X97" s="18">
        <v>1.4832000000000001</v>
      </c>
      <c r="Y97" s="18">
        <v>6.5920000000000006E-2</v>
      </c>
      <c r="Z97" s="18">
        <v>0.29252</v>
      </c>
      <c r="AA97" s="18">
        <v>0.42848000000000003</v>
      </c>
      <c r="AB97" s="18">
        <v>0.7622000000000001</v>
      </c>
      <c r="AC97" s="18">
        <v>0.23484000000000002</v>
      </c>
      <c r="AD97" s="18">
        <v>1.2360000000000002</v>
      </c>
    </row>
    <row r="98" spans="2:30" x14ac:dyDescent="0.25">
      <c r="B98" t="s">
        <v>269</v>
      </c>
      <c r="C98" t="s">
        <v>105</v>
      </c>
      <c r="D98" t="s">
        <v>748</v>
      </c>
      <c r="E98" s="35">
        <v>0.9</v>
      </c>
      <c r="F98" s="35">
        <v>6.6</v>
      </c>
      <c r="G98" s="36">
        <v>4.1200000000000004E-3</v>
      </c>
      <c r="H98" s="18">
        <v>7.4152979999999999</v>
      </c>
      <c r="I98" s="16" t="s">
        <v>746</v>
      </c>
      <c r="J98" s="16"/>
      <c r="K98" s="16"/>
      <c r="L98" s="37"/>
      <c r="M98" s="37"/>
      <c r="N98" s="37"/>
      <c r="O98" s="37"/>
      <c r="P98" s="37"/>
      <c r="Q98" s="18">
        <v>4.5320000000000006E-2</v>
      </c>
      <c r="R98" s="18">
        <v>3.0900000000000003E-4</v>
      </c>
      <c r="S98" s="18">
        <v>8.6520000000000014E-2</v>
      </c>
      <c r="T98" s="18">
        <v>0.37080000000000002</v>
      </c>
      <c r="U98" s="18">
        <v>0.18540000000000001</v>
      </c>
      <c r="V98" s="18">
        <v>2.3731200000000001</v>
      </c>
      <c r="W98" s="18">
        <v>2.2248000000000001</v>
      </c>
      <c r="X98" s="18">
        <v>1.4832000000000001</v>
      </c>
      <c r="Y98" s="18">
        <v>6.5920000000000006E-2</v>
      </c>
      <c r="Z98" s="18">
        <v>0.29252</v>
      </c>
      <c r="AA98" s="18">
        <v>0.42848000000000003</v>
      </c>
      <c r="AB98" s="18">
        <v>0.7622000000000001</v>
      </c>
      <c r="AC98" s="18">
        <v>0.23484000000000002</v>
      </c>
      <c r="AD98" s="18">
        <v>1.2360000000000002</v>
      </c>
    </row>
    <row r="99" spans="2:30" x14ac:dyDescent="0.25">
      <c r="B99" t="s">
        <v>269</v>
      </c>
      <c r="C99" t="s">
        <v>105</v>
      </c>
      <c r="D99" t="s">
        <v>749</v>
      </c>
      <c r="E99" s="35">
        <v>0.9</v>
      </c>
      <c r="F99" s="35">
        <v>6.6</v>
      </c>
      <c r="G99" s="36">
        <v>3.5699999999999998E-3</v>
      </c>
      <c r="H99" s="18">
        <v>6.4252979999999997</v>
      </c>
      <c r="I99" s="16" t="s">
        <v>746</v>
      </c>
      <c r="J99" s="16"/>
      <c r="K99" s="16"/>
      <c r="L99" s="37"/>
      <c r="M99" s="37"/>
      <c r="N99" s="37"/>
      <c r="O99" s="37"/>
      <c r="P99" s="37"/>
      <c r="Q99" s="18">
        <v>3.9269999999999999E-2</v>
      </c>
      <c r="R99" s="18">
        <v>2.6774999999999998E-4</v>
      </c>
      <c r="S99" s="18">
        <v>7.4969999999999995E-2</v>
      </c>
      <c r="T99" s="18">
        <v>0.32129999999999997</v>
      </c>
      <c r="U99" s="18">
        <v>0.16064999999999999</v>
      </c>
      <c r="V99" s="18">
        <v>2.0563199999999999</v>
      </c>
      <c r="W99" s="18">
        <v>1.9278</v>
      </c>
      <c r="X99" s="18">
        <v>1.2851999999999999</v>
      </c>
      <c r="Y99" s="18">
        <v>5.7119999999999997E-2</v>
      </c>
      <c r="Z99" s="18">
        <v>0.25346999999999997</v>
      </c>
      <c r="AA99" s="18">
        <v>0.37128</v>
      </c>
      <c r="AB99" s="18">
        <v>0.66044999999999998</v>
      </c>
      <c r="AC99" s="18">
        <v>0.20348999999999998</v>
      </c>
      <c r="AD99" s="18">
        <v>1.071</v>
      </c>
    </row>
    <row r="100" spans="2:30" x14ac:dyDescent="0.25">
      <c r="B100" t="s">
        <v>269</v>
      </c>
      <c r="C100" t="s">
        <v>105</v>
      </c>
      <c r="D100" t="s">
        <v>748</v>
      </c>
      <c r="E100" s="35">
        <v>0.9</v>
      </c>
      <c r="F100" s="35">
        <v>6.6</v>
      </c>
      <c r="G100" s="36">
        <v>4.1200000000000004E-3</v>
      </c>
      <c r="H100" s="18">
        <v>7.4152979999999999</v>
      </c>
      <c r="I100" s="16" t="s">
        <v>746</v>
      </c>
      <c r="J100" s="16"/>
      <c r="K100" s="16"/>
      <c r="L100" s="37"/>
      <c r="M100" s="37"/>
      <c r="N100" s="37"/>
      <c r="O100" s="37"/>
      <c r="P100" s="37"/>
      <c r="Q100" s="18">
        <v>4.5320000000000006E-2</v>
      </c>
      <c r="R100" s="18">
        <v>3.0900000000000003E-4</v>
      </c>
      <c r="S100" s="18">
        <v>8.6520000000000014E-2</v>
      </c>
      <c r="T100" s="18">
        <v>0.37080000000000002</v>
      </c>
      <c r="U100" s="18">
        <v>0.18540000000000001</v>
      </c>
      <c r="V100" s="18">
        <v>2.3731200000000001</v>
      </c>
      <c r="W100" s="18">
        <v>2.2248000000000001</v>
      </c>
      <c r="X100" s="18">
        <v>1.4832000000000001</v>
      </c>
      <c r="Y100" s="18">
        <v>6.5920000000000006E-2</v>
      </c>
      <c r="Z100" s="18">
        <v>0.29252</v>
      </c>
      <c r="AA100" s="18">
        <v>0.42848000000000003</v>
      </c>
      <c r="AB100" s="18">
        <v>0.7622000000000001</v>
      </c>
      <c r="AC100" s="18">
        <v>0.23484000000000002</v>
      </c>
      <c r="AD100" s="18">
        <v>1.2360000000000002</v>
      </c>
    </row>
    <row r="101" spans="2:30" x14ac:dyDescent="0.25">
      <c r="B101" t="s">
        <v>269</v>
      </c>
      <c r="C101" t="s">
        <v>105</v>
      </c>
      <c r="D101" t="s">
        <v>749</v>
      </c>
      <c r="E101" s="35">
        <v>0.9</v>
      </c>
      <c r="F101" s="35">
        <v>6.6</v>
      </c>
      <c r="G101" s="36">
        <v>3.5699999999999998E-3</v>
      </c>
      <c r="H101" s="18">
        <v>6.4252979999999997</v>
      </c>
      <c r="I101" s="16" t="s">
        <v>746</v>
      </c>
      <c r="J101" s="16"/>
      <c r="K101" s="16"/>
      <c r="L101" s="37"/>
      <c r="M101" s="37"/>
      <c r="N101" s="37"/>
      <c r="O101" s="37"/>
      <c r="P101" s="37"/>
      <c r="Q101" s="18">
        <v>3.9269999999999999E-2</v>
      </c>
      <c r="R101" s="18">
        <v>2.6774999999999998E-4</v>
      </c>
      <c r="S101" s="18">
        <v>7.4969999999999995E-2</v>
      </c>
      <c r="T101" s="18">
        <v>0.32129999999999997</v>
      </c>
      <c r="U101" s="18">
        <v>0.16064999999999999</v>
      </c>
      <c r="V101" s="18">
        <v>2.0563199999999999</v>
      </c>
      <c r="W101" s="18">
        <v>1.9278</v>
      </c>
      <c r="X101" s="18">
        <v>1.2851999999999999</v>
      </c>
      <c r="Y101" s="18">
        <v>5.7119999999999997E-2</v>
      </c>
      <c r="Z101" s="18">
        <v>0.25346999999999997</v>
      </c>
      <c r="AA101" s="18">
        <v>0.37128</v>
      </c>
      <c r="AB101" s="18">
        <v>0.66044999999999998</v>
      </c>
      <c r="AC101" s="18">
        <v>0.20348999999999998</v>
      </c>
      <c r="AD101" s="18">
        <v>1.071</v>
      </c>
    </row>
    <row r="102" spans="2:30" x14ac:dyDescent="0.25">
      <c r="B102" t="s">
        <v>269</v>
      </c>
      <c r="C102" t="s">
        <v>105</v>
      </c>
      <c r="D102" t="s">
        <v>749</v>
      </c>
      <c r="E102" s="35">
        <v>0.9</v>
      </c>
      <c r="F102" s="35">
        <v>6.6</v>
      </c>
      <c r="G102" s="36">
        <v>3.5699999999999998E-3</v>
      </c>
      <c r="H102" s="18">
        <v>6.4252979999999997</v>
      </c>
      <c r="I102" s="16" t="s">
        <v>746</v>
      </c>
      <c r="J102" s="16"/>
      <c r="K102" s="16"/>
      <c r="L102" s="37"/>
      <c r="M102" s="37"/>
      <c r="N102" s="37"/>
      <c r="O102" s="37"/>
      <c r="P102" s="37"/>
      <c r="Q102" s="18">
        <v>3.9269999999999999E-2</v>
      </c>
      <c r="R102" s="18">
        <v>2.6774999999999998E-4</v>
      </c>
      <c r="S102" s="18">
        <v>7.4969999999999995E-2</v>
      </c>
      <c r="T102" s="18">
        <v>0.32129999999999997</v>
      </c>
      <c r="U102" s="18">
        <v>0.16064999999999999</v>
      </c>
      <c r="V102" s="18">
        <v>2.0563199999999999</v>
      </c>
      <c r="W102" s="18">
        <v>1.9278</v>
      </c>
      <c r="X102" s="18">
        <v>1.2851999999999999</v>
      </c>
      <c r="Y102" s="18">
        <v>5.7119999999999997E-2</v>
      </c>
      <c r="Z102" s="18">
        <v>0.25346999999999997</v>
      </c>
      <c r="AA102" s="18">
        <v>0.37128</v>
      </c>
      <c r="AB102" s="18">
        <v>0.66044999999999998</v>
      </c>
      <c r="AC102" s="18">
        <v>0.20348999999999998</v>
      </c>
      <c r="AD102" s="18">
        <v>1.071</v>
      </c>
    </row>
    <row r="103" spans="2:30" x14ac:dyDescent="0.25">
      <c r="B103" t="s">
        <v>269</v>
      </c>
      <c r="C103" t="s">
        <v>105</v>
      </c>
      <c r="D103" t="s">
        <v>749</v>
      </c>
      <c r="E103" s="35">
        <v>0.9</v>
      </c>
      <c r="F103" s="35">
        <v>6.6</v>
      </c>
      <c r="G103" s="36">
        <v>3.5699999999999998E-3</v>
      </c>
      <c r="H103" s="18">
        <v>6.4252979999999997</v>
      </c>
      <c r="I103" s="16" t="s">
        <v>746</v>
      </c>
      <c r="J103" s="16"/>
      <c r="K103" s="16"/>
      <c r="L103" s="37"/>
      <c r="M103" s="37"/>
      <c r="N103" s="37"/>
      <c r="O103" s="37"/>
      <c r="P103" s="37"/>
      <c r="Q103" s="18">
        <v>3.9269999999999999E-2</v>
      </c>
      <c r="R103" s="18">
        <v>2.6774999999999998E-4</v>
      </c>
      <c r="S103" s="18">
        <v>7.4969999999999995E-2</v>
      </c>
      <c r="T103" s="18">
        <v>0.32129999999999997</v>
      </c>
      <c r="U103" s="18">
        <v>0.16064999999999999</v>
      </c>
      <c r="V103" s="18">
        <v>2.0563199999999999</v>
      </c>
      <c r="W103" s="18">
        <v>1.9278</v>
      </c>
      <c r="X103" s="18">
        <v>1.2851999999999999</v>
      </c>
      <c r="Y103" s="18">
        <v>5.7119999999999997E-2</v>
      </c>
      <c r="Z103" s="18">
        <v>0.25346999999999997</v>
      </c>
      <c r="AA103" s="18">
        <v>0.37128</v>
      </c>
      <c r="AB103" s="18">
        <v>0.66044999999999998</v>
      </c>
      <c r="AC103" s="18">
        <v>0.20348999999999998</v>
      </c>
      <c r="AD103" s="18">
        <v>1.071</v>
      </c>
    </row>
    <row r="104" spans="2:30" x14ac:dyDescent="0.25">
      <c r="B104" t="s">
        <v>269</v>
      </c>
      <c r="C104" t="s">
        <v>105</v>
      </c>
      <c r="D104" t="s">
        <v>749</v>
      </c>
      <c r="E104" s="35">
        <v>0.9</v>
      </c>
      <c r="F104" s="35">
        <v>6.6</v>
      </c>
      <c r="G104" s="36">
        <v>3.5699999999999998E-3</v>
      </c>
      <c r="H104" s="18">
        <v>6.4252979999999997</v>
      </c>
      <c r="I104" s="16" t="s">
        <v>746</v>
      </c>
      <c r="J104" s="16"/>
      <c r="K104" s="16"/>
      <c r="L104" s="37"/>
      <c r="M104" s="37"/>
      <c r="N104" s="37"/>
      <c r="O104" s="37"/>
      <c r="P104" s="37"/>
      <c r="Q104" s="18">
        <v>3.9269999999999999E-2</v>
      </c>
      <c r="R104" s="18">
        <v>2.6774999999999998E-4</v>
      </c>
      <c r="S104" s="18">
        <v>7.4969999999999995E-2</v>
      </c>
      <c r="T104" s="18">
        <v>0.32129999999999997</v>
      </c>
      <c r="U104" s="18">
        <v>0.16064999999999999</v>
      </c>
      <c r="V104" s="18">
        <v>2.0563199999999999</v>
      </c>
      <c r="W104" s="18">
        <v>1.9278</v>
      </c>
      <c r="X104" s="18">
        <v>1.2851999999999999</v>
      </c>
      <c r="Y104" s="18">
        <v>5.7119999999999997E-2</v>
      </c>
      <c r="Z104" s="18">
        <v>0.25346999999999997</v>
      </c>
      <c r="AA104" s="18">
        <v>0.37128</v>
      </c>
      <c r="AB104" s="18">
        <v>0.66044999999999998</v>
      </c>
      <c r="AC104" s="18">
        <v>0.20348999999999998</v>
      </c>
      <c r="AD104" s="18">
        <v>1.071</v>
      </c>
    </row>
    <row r="105" spans="2:30" x14ac:dyDescent="0.25">
      <c r="B105" t="s">
        <v>269</v>
      </c>
      <c r="C105" t="s">
        <v>105</v>
      </c>
      <c r="D105" t="s">
        <v>748</v>
      </c>
      <c r="E105" s="35">
        <v>0.9</v>
      </c>
      <c r="F105" s="35">
        <v>6.6</v>
      </c>
      <c r="G105" s="36">
        <v>4.1200000000000004E-3</v>
      </c>
      <c r="H105" s="18">
        <v>7.4152979999999999</v>
      </c>
      <c r="I105" s="16" t="s">
        <v>746</v>
      </c>
      <c r="J105" s="16"/>
      <c r="K105" s="16"/>
      <c r="L105" s="37"/>
      <c r="M105" s="37"/>
      <c r="N105" s="37"/>
      <c r="O105" s="37"/>
      <c r="P105" s="37"/>
      <c r="Q105" s="18">
        <v>4.5320000000000006E-2</v>
      </c>
      <c r="R105" s="18">
        <v>3.0900000000000003E-4</v>
      </c>
      <c r="S105" s="18">
        <v>8.6520000000000014E-2</v>
      </c>
      <c r="T105" s="18">
        <v>0.37080000000000002</v>
      </c>
      <c r="U105" s="18">
        <v>0.18540000000000001</v>
      </c>
      <c r="V105" s="18">
        <v>2.3731200000000001</v>
      </c>
      <c r="W105" s="18">
        <v>2.2248000000000001</v>
      </c>
      <c r="X105" s="18">
        <v>1.4832000000000001</v>
      </c>
      <c r="Y105" s="18">
        <v>6.5920000000000006E-2</v>
      </c>
      <c r="Z105" s="18">
        <v>0.29252</v>
      </c>
      <c r="AA105" s="18">
        <v>0.42848000000000003</v>
      </c>
      <c r="AB105" s="18">
        <v>0.7622000000000001</v>
      </c>
      <c r="AC105" s="18">
        <v>0.23484000000000002</v>
      </c>
      <c r="AD105" s="18">
        <v>1.2360000000000002</v>
      </c>
    </row>
    <row r="106" spans="2:30" x14ac:dyDescent="0.25">
      <c r="B106" t="s">
        <v>269</v>
      </c>
      <c r="C106" t="s">
        <v>105</v>
      </c>
      <c r="D106" t="s">
        <v>750</v>
      </c>
      <c r="E106" s="35">
        <v>0.9</v>
      </c>
      <c r="F106" s="35">
        <v>6.6</v>
      </c>
      <c r="G106" s="36">
        <v>3.0200000000000001E-3</v>
      </c>
      <c r="H106" s="18">
        <v>5.4352980000000004</v>
      </c>
      <c r="I106" s="16" t="s">
        <v>746</v>
      </c>
      <c r="J106" s="16"/>
      <c r="K106" s="16"/>
      <c r="L106" s="37"/>
      <c r="M106" s="37"/>
      <c r="N106" s="37"/>
      <c r="O106" s="37"/>
      <c r="P106" s="37"/>
      <c r="Q106" s="18">
        <v>3.322E-2</v>
      </c>
      <c r="R106" s="18">
        <v>2.265E-4</v>
      </c>
      <c r="S106" s="18">
        <v>6.3420000000000004E-2</v>
      </c>
      <c r="T106" s="18">
        <v>0.27179999999999999</v>
      </c>
      <c r="U106" s="18">
        <v>0.13589999999999999</v>
      </c>
      <c r="V106" s="18">
        <v>1.7395200000000002</v>
      </c>
      <c r="W106" s="18">
        <v>1.6308</v>
      </c>
      <c r="X106" s="18">
        <v>1.0871999999999999</v>
      </c>
      <c r="Y106" s="18">
        <v>4.8320000000000002E-2</v>
      </c>
      <c r="Z106" s="18">
        <v>0.21442</v>
      </c>
      <c r="AA106" s="18">
        <v>0.31408000000000003</v>
      </c>
      <c r="AB106" s="18">
        <v>0.55869999999999997</v>
      </c>
      <c r="AC106" s="18">
        <v>0.17214000000000002</v>
      </c>
      <c r="AD106" s="18">
        <v>0.90600000000000003</v>
      </c>
    </row>
    <row r="107" spans="2:30" x14ac:dyDescent="0.25">
      <c r="B107" t="s">
        <v>269</v>
      </c>
      <c r="C107" t="s">
        <v>105</v>
      </c>
      <c r="D107" t="s">
        <v>749</v>
      </c>
      <c r="E107" s="35">
        <v>0.9</v>
      </c>
      <c r="F107" s="35">
        <v>6.6</v>
      </c>
      <c r="G107" s="36">
        <v>3.5699999999999998E-3</v>
      </c>
      <c r="H107" s="18">
        <v>6.4252979999999997</v>
      </c>
      <c r="I107" s="16" t="s">
        <v>746</v>
      </c>
      <c r="J107" s="16"/>
      <c r="K107" s="16"/>
      <c r="L107" s="37"/>
      <c r="M107" s="37"/>
      <c r="N107" s="37"/>
      <c r="O107" s="37"/>
      <c r="P107" s="37"/>
      <c r="Q107" s="18">
        <v>3.9269999999999999E-2</v>
      </c>
      <c r="R107" s="18">
        <v>2.6774999999999998E-4</v>
      </c>
      <c r="S107" s="18">
        <v>7.4969999999999995E-2</v>
      </c>
      <c r="T107" s="18">
        <v>0.32129999999999997</v>
      </c>
      <c r="U107" s="18">
        <v>0.16064999999999999</v>
      </c>
      <c r="V107" s="18">
        <v>2.0563199999999999</v>
      </c>
      <c r="W107" s="18">
        <v>1.9278</v>
      </c>
      <c r="X107" s="18">
        <v>1.2851999999999999</v>
      </c>
      <c r="Y107" s="18">
        <v>5.7119999999999997E-2</v>
      </c>
      <c r="Z107" s="18">
        <v>0.25346999999999997</v>
      </c>
      <c r="AA107" s="18">
        <v>0.37128</v>
      </c>
      <c r="AB107" s="18">
        <v>0.66044999999999998</v>
      </c>
      <c r="AC107" s="18">
        <v>0.20348999999999998</v>
      </c>
      <c r="AD107" s="18">
        <v>1.071</v>
      </c>
    </row>
    <row r="108" spans="2:30" x14ac:dyDescent="0.25">
      <c r="B108" t="s">
        <v>269</v>
      </c>
      <c r="C108" t="s">
        <v>105</v>
      </c>
      <c r="D108" t="s">
        <v>749</v>
      </c>
      <c r="E108" s="35">
        <v>0.9</v>
      </c>
      <c r="F108" s="35">
        <v>6.6</v>
      </c>
      <c r="G108" s="36">
        <v>3.5699999999999998E-3</v>
      </c>
      <c r="H108" s="18">
        <v>6.4252979999999997</v>
      </c>
      <c r="I108" s="16" t="s">
        <v>746</v>
      </c>
      <c r="J108" s="16"/>
      <c r="K108" s="16"/>
      <c r="L108" s="37"/>
      <c r="M108" s="37"/>
      <c r="N108" s="37"/>
      <c r="O108" s="37"/>
      <c r="P108" s="37"/>
      <c r="Q108" s="18">
        <v>3.9269999999999999E-2</v>
      </c>
      <c r="R108" s="18">
        <v>2.6774999999999998E-4</v>
      </c>
      <c r="S108" s="18">
        <v>7.4969999999999995E-2</v>
      </c>
      <c r="T108" s="18">
        <v>0.32129999999999997</v>
      </c>
      <c r="U108" s="18">
        <v>0.16064999999999999</v>
      </c>
      <c r="V108" s="18">
        <v>2.0563199999999999</v>
      </c>
      <c r="W108" s="18">
        <v>1.9278</v>
      </c>
      <c r="X108" s="18">
        <v>1.2851999999999999</v>
      </c>
      <c r="Y108" s="18">
        <v>5.7119999999999997E-2</v>
      </c>
      <c r="Z108" s="18">
        <v>0.25346999999999997</v>
      </c>
      <c r="AA108" s="18">
        <v>0.37128</v>
      </c>
      <c r="AB108" s="18">
        <v>0.66044999999999998</v>
      </c>
      <c r="AC108" s="18">
        <v>0.20348999999999998</v>
      </c>
      <c r="AD108" s="18">
        <v>1.071</v>
      </c>
    </row>
    <row r="109" spans="2:30" x14ac:dyDescent="0.25">
      <c r="B109" t="s">
        <v>269</v>
      </c>
      <c r="C109" t="s">
        <v>105</v>
      </c>
      <c r="D109" t="s">
        <v>750</v>
      </c>
      <c r="E109" s="35">
        <v>0.9</v>
      </c>
      <c r="F109" s="35">
        <v>6.6</v>
      </c>
      <c r="G109" s="36">
        <v>3.0200000000000001E-3</v>
      </c>
      <c r="H109" s="18">
        <v>5.4352980000000004</v>
      </c>
      <c r="I109" s="16" t="s">
        <v>746</v>
      </c>
      <c r="J109" s="16"/>
      <c r="K109" s="16"/>
      <c r="L109" s="37"/>
      <c r="M109" s="37"/>
      <c r="N109" s="37"/>
      <c r="O109" s="37"/>
      <c r="P109" s="37"/>
      <c r="Q109" s="18">
        <v>3.322E-2</v>
      </c>
      <c r="R109" s="18">
        <v>2.265E-4</v>
      </c>
      <c r="S109" s="18">
        <v>6.3420000000000004E-2</v>
      </c>
      <c r="T109" s="18">
        <v>0.27179999999999999</v>
      </c>
      <c r="U109" s="18">
        <v>0.13589999999999999</v>
      </c>
      <c r="V109" s="18">
        <v>1.7395200000000002</v>
      </c>
      <c r="W109" s="18">
        <v>1.6308</v>
      </c>
      <c r="X109" s="18">
        <v>1.0871999999999999</v>
      </c>
      <c r="Y109" s="18">
        <v>4.8320000000000002E-2</v>
      </c>
      <c r="Z109" s="18">
        <v>0.21442</v>
      </c>
      <c r="AA109" s="18">
        <v>0.31408000000000003</v>
      </c>
      <c r="AB109" s="18">
        <v>0.55869999999999997</v>
      </c>
      <c r="AC109" s="18">
        <v>0.17214000000000002</v>
      </c>
      <c r="AD109" s="18">
        <v>0.90600000000000003</v>
      </c>
    </row>
    <row r="110" spans="2:30" x14ac:dyDescent="0.25">
      <c r="B110" t="s">
        <v>269</v>
      </c>
      <c r="C110" t="s">
        <v>105</v>
      </c>
      <c r="D110" t="s">
        <v>749</v>
      </c>
      <c r="E110" s="35">
        <v>0.9</v>
      </c>
      <c r="F110" s="35">
        <v>6.6</v>
      </c>
      <c r="G110" s="36">
        <v>3.5699999999999998E-3</v>
      </c>
      <c r="H110" s="18">
        <v>6.4252979999999997</v>
      </c>
      <c r="I110" s="16" t="s">
        <v>746</v>
      </c>
      <c r="J110" s="16"/>
      <c r="K110" s="16"/>
      <c r="L110" s="37"/>
      <c r="M110" s="37"/>
      <c r="N110" s="37"/>
      <c r="O110" s="37"/>
      <c r="P110" s="37"/>
      <c r="Q110" s="18">
        <v>3.9269999999999999E-2</v>
      </c>
      <c r="R110" s="18">
        <v>2.6774999999999998E-4</v>
      </c>
      <c r="S110" s="18">
        <v>7.4969999999999995E-2</v>
      </c>
      <c r="T110" s="18">
        <v>0.32129999999999997</v>
      </c>
      <c r="U110" s="18">
        <v>0.16064999999999999</v>
      </c>
      <c r="V110" s="18">
        <v>2.0563199999999999</v>
      </c>
      <c r="W110" s="18">
        <v>1.9278</v>
      </c>
      <c r="X110" s="18">
        <v>1.2851999999999999</v>
      </c>
      <c r="Y110" s="18">
        <v>5.7119999999999997E-2</v>
      </c>
      <c r="Z110" s="18">
        <v>0.25346999999999997</v>
      </c>
      <c r="AA110" s="18">
        <v>0.37128</v>
      </c>
      <c r="AB110" s="18">
        <v>0.66044999999999998</v>
      </c>
      <c r="AC110" s="18">
        <v>0.20348999999999998</v>
      </c>
      <c r="AD110" s="18">
        <v>1.071</v>
      </c>
    </row>
    <row r="111" spans="2:30" x14ac:dyDescent="0.25">
      <c r="B111" t="s">
        <v>269</v>
      </c>
      <c r="C111" t="s">
        <v>105</v>
      </c>
      <c r="D111" t="s">
        <v>749</v>
      </c>
      <c r="E111" s="35">
        <v>0.9</v>
      </c>
      <c r="F111" s="35">
        <v>6.6</v>
      </c>
      <c r="G111" s="36">
        <v>3.5699999999999998E-3</v>
      </c>
      <c r="H111" s="18">
        <v>6.4252979999999997</v>
      </c>
      <c r="I111" s="16" t="s">
        <v>746</v>
      </c>
      <c r="J111" s="16"/>
      <c r="K111" s="16"/>
      <c r="L111" s="37"/>
      <c r="M111" s="37"/>
      <c r="N111" s="37"/>
      <c r="O111" s="37"/>
      <c r="P111" s="37"/>
      <c r="Q111" s="18">
        <v>3.9269999999999999E-2</v>
      </c>
      <c r="R111" s="18">
        <v>2.6774999999999998E-4</v>
      </c>
      <c r="S111" s="18">
        <v>7.4969999999999995E-2</v>
      </c>
      <c r="T111" s="18">
        <v>0.32129999999999997</v>
      </c>
      <c r="U111" s="18">
        <v>0.16064999999999999</v>
      </c>
      <c r="V111" s="18">
        <v>2.0563199999999999</v>
      </c>
      <c r="W111" s="18">
        <v>1.9278</v>
      </c>
      <c r="X111" s="18">
        <v>1.2851999999999999</v>
      </c>
      <c r="Y111" s="18">
        <v>5.7119999999999997E-2</v>
      </c>
      <c r="Z111" s="18">
        <v>0.25346999999999997</v>
      </c>
      <c r="AA111" s="18">
        <v>0.37128</v>
      </c>
      <c r="AB111" s="18">
        <v>0.66044999999999998</v>
      </c>
      <c r="AC111" s="18">
        <v>0.20348999999999998</v>
      </c>
      <c r="AD111" s="18">
        <v>1.071</v>
      </c>
    </row>
    <row r="112" spans="2:30" x14ac:dyDescent="0.25">
      <c r="B112" t="s">
        <v>269</v>
      </c>
      <c r="C112" t="s">
        <v>105</v>
      </c>
      <c r="D112" t="s">
        <v>749</v>
      </c>
      <c r="E112" s="35">
        <v>0.9</v>
      </c>
      <c r="F112" s="35">
        <v>6.6</v>
      </c>
      <c r="G112" s="36">
        <v>3.5699999999999998E-3</v>
      </c>
      <c r="H112" s="18">
        <v>6.4252979999999997</v>
      </c>
      <c r="I112" s="16" t="s">
        <v>746</v>
      </c>
      <c r="J112" s="16"/>
      <c r="K112" s="16"/>
      <c r="L112" s="37"/>
      <c r="M112" s="37"/>
      <c r="N112" s="37"/>
      <c r="O112" s="37"/>
      <c r="P112" s="37"/>
      <c r="Q112" s="18">
        <v>3.9269999999999999E-2</v>
      </c>
      <c r="R112" s="18">
        <v>2.6774999999999998E-4</v>
      </c>
      <c r="S112" s="18">
        <v>7.4969999999999995E-2</v>
      </c>
      <c r="T112" s="18">
        <v>0.32129999999999997</v>
      </c>
      <c r="U112" s="18">
        <v>0.16064999999999999</v>
      </c>
      <c r="V112" s="18">
        <v>2.0563199999999999</v>
      </c>
      <c r="W112" s="18">
        <v>1.9278</v>
      </c>
      <c r="X112" s="18">
        <v>1.2851999999999999</v>
      </c>
      <c r="Y112" s="18">
        <v>5.7119999999999997E-2</v>
      </c>
      <c r="Z112" s="18">
        <v>0.25346999999999997</v>
      </c>
      <c r="AA112" s="18">
        <v>0.37128</v>
      </c>
      <c r="AB112" s="18">
        <v>0.66044999999999998</v>
      </c>
      <c r="AC112" s="18">
        <v>0.20348999999999998</v>
      </c>
      <c r="AD112" s="18">
        <v>1.071</v>
      </c>
    </row>
    <row r="113" spans="2:30" x14ac:dyDescent="0.25">
      <c r="B113" t="s">
        <v>269</v>
      </c>
      <c r="C113" t="s">
        <v>105</v>
      </c>
      <c r="D113" t="s">
        <v>751</v>
      </c>
      <c r="E113" s="35">
        <v>0.9</v>
      </c>
      <c r="F113" s="35">
        <v>6.6</v>
      </c>
      <c r="G113" s="36">
        <v>2.7910000000000001E-3</v>
      </c>
      <c r="H113" s="18">
        <v>5.0236749999999999</v>
      </c>
      <c r="I113" s="16" t="s">
        <v>746</v>
      </c>
      <c r="J113" s="16"/>
      <c r="K113" s="16"/>
      <c r="L113" s="37"/>
      <c r="M113" s="37"/>
      <c r="N113" s="37"/>
      <c r="O113" s="37"/>
      <c r="P113" s="37"/>
      <c r="Q113" s="18">
        <v>3.0700999999999999E-2</v>
      </c>
      <c r="R113" s="18">
        <v>2.0932500000000001E-4</v>
      </c>
      <c r="S113" s="18">
        <v>5.8611000000000003E-2</v>
      </c>
      <c r="T113" s="18">
        <v>0.25119000000000002</v>
      </c>
      <c r="U113" s="18">
        <v>0.12559500000000001</v>
      </c>
      <c r="V113" s="18">
        <v>1.6076160000000002</v>
      </c>
      <c r="W113" s="18">
        <v>1.5071400000000001</v>
      </c>
      <c r="X113" s="18">
        <v>1.0047600000000001</v>
      </c>
      <c r="Y113" s="18">
        <v>4.4656000000000001E-2</v>
      </c>
      <c r="Z113" s="18">
        <v>0.198161</v>
      </c>
      <c r="AA113" s="18">
        <v>0.29026400000000002</v>
      </c>
      <c r="AB113" s="18">
        <v>0.51633499999999999</v>
      </c>
      <c r="AC113" s="18">
        <v>0.15908700000000001</v>
      </c>
      <c r="AD113" s="18">
        <v>0.83730000000000004</v>
      </c>
    </row>
    <row r="114" spans="2:30" x14ac:dyDescent="0.25">
      <c r="B114" t="s">
        <v>269</v>
      </c>
      <c r="C114" t="s">
        <v>105</v>
      </c>
      <c r="D114" t="s">
        <v>751</v>
      </c>
      <c r="E114" s="35">
        <v>0.9</v>
      </c>
      <c r="F114" s="35">
        <v>6.6</v>
      </c>
      <c r="G114" s="36">
        <v>2.7910000000000001E-3</v>
      </c>
      <c r="H114" s="18">
        <v>5.0236749999999999</v>
      </c>
      <c r="I114" s="16" t="s">
        <v>746</v>
      </c>
      <c r="J114" s="16"/>
      <c r="K114" s="16"/>
      <c r="L114" s="37"/>
      <c r="M114" s="37"/>
      <c r="N114" s="37"/>
      <c r="O114" s="37"/>
      <c r="P114" s="37"/>
      <c r="Q114" s="18">
        <v>3.0700999999999999E-2</v>
      </c>
      <c r="R114" s="18">
        <v>2.0932500000000001E-4</v>
      </c>
      <c r="S114" s="18">
        <v>5.8611000000000003E-2</v>
      </c>
      <c r="T114" s="18">
        <v>0.25119000000000002</v>
      </c>
      <c r="U114" s="18">
        <v>0.12559500000000001</v>
      </c>
      <c r="V114" s="18">
        <v>1.6076160000000002</v>
      </c>
      <c r="W114" s="18">
        <v>1.5071400000000001</v>
      </c>
      <c r="X114" s="18">
        <v>1.0047600000000001</v>
      </c>
      <c r="Y114" s="18">
        <v>4.4656000000000001E-2</v>
      </c>
      <c r="Z114" s="18">
        <v>0.198161</v>
      </c>
      <c r="AA114" s="18">
        <v>0.29026400000000002</v>
      </c>
      <c r="AB114" s="18">
        <v>0.51633499999999999</v>
      </c>
      <c r="AC114" s="18">
        <v>0.15908700000000001</v>
      </c>
      <c r="AD114" s="18">
        <v>0.83730000000000004</v>
      </c>
    </row>
    <row r="115" spans="2:30" x14ac:dyDescent="0.25">
      <c r="B115" t="s">
        <v>269</v>
      </c>
      <c r="C115" t="s">
        <v>105</v>
      </c>
      <c r="D115" t="s">
        <v>749</v>
      </c>
      <c r="E115" s="35">
        <v>0.9</v>
      </c>
      <c r="F115" s="35">
        <v>6.6</v>
      </c>
      <c r="G115" s="36">
        <v>3.5699999999999998E-3</v>
      </c>
      <c r="H115" s="18">
        <v>6.4252979999999997</v>
      </c>
      <c r="I115" s="16" t="s">
        <v>746</v>
      </c>
      <c r="J115" s="16"/>
      <c r="K115" s="16"/>
      <c r="L115" s="37"/>
      <c r="M115" s="37"/>
      <c r="N115" s="37"/>
      <c r="O115" s="37"/>
      <c r="P115" s="37"/>
      <c r="Q115" s="18">
        <v>3.9269999999999999E-2</v>
      </c>
      <c r="R115" s="18">
        <v>2.6774999999999998E-4</v>
      </c>
      <c r="S115" s="18">
        <v>7.4969999999999995E-2</v>
      </c>
      <c r="T115" s="18">
        <v>0.32129999999999997</v>
      </c>
      <c r="U115" s="18">
        <v>0.16064999999999999</v>
      </c>
      <c r="V115" s="18">
        <v>2.0563199999999999</v>
      </c>
      <c r="W115" s="18">
        <v>1.9278</v>
      </c>
      <c r="X115" s="18">
        <v>1.2851999999999999</v>
      </c>
      <c r="Y115" s="18">
        <v>5.7119999999999997E-2</v>
      </c>
      <c r="Z115" s="18">
        <v>0.25346999999999997</v>
      </c>
      <c r="AA115" s="18">
        <v>0.37128</v>
      </c>
      <c r="AB115" s="18">
        <v>0.66044999999999998</v>
      </c>
      <c r="AC115" s="18">
        <v>0.20348999999999998</v>
      </c>
      <c r="AD115" s="18">
        <v>1.071</v>
      </c>
    </row>
    <row r="116" spans="2:30" x14ac:dyDescent="0.25">
      <c r="B116" t="s">
        <v>269</v>
      </c>
      <c r="C116" t="s">
        <v>105</v>
      </c>
      <c r="D116" t="s">
        <v>748</v>
      </c>
      <c r="E116" s="35">
        <v>0.9</v>
      </c>
      <c r="F116" s="35">
        <v>6.6</v>
      </c>
      <c r="G116" s="36">
        <v>4.1200000000000004E-3</v>
      </c>
      <c r="H116" s="18">
        <v>7.4152979999999999</v>
      </c>
      <c r="I116" s="16" t="s">
        <v>746</v>
      </c>
      <c r="J116" s="16"/>
      <c r="K116" s="16"/>
      <c r="L116" s="37"/>
      <c r="M116" s="37"/>
      <c r="N116" s="37"/>
      <c r="O116" s="37"/>
      <c r="P116" s="37"/>
      <c r="Q116" s="18">
        <v>4.5320000000000006E-2</v>
      </c>
      <c r="R116" s="18">
        <v>3.0900000000000003E-4</v>
      </c>
      <c r="S116" s="18">
        <v>8.6520000000000014E-2</v>
      </c>
      <c r="T116" s="18">
        <v>0.37080000000000002</v>
      </c>
      <c r="U116" s="18">
        <v>0.18540000000000001</v>
      </c>
      <c r="V116" s="18">
        <v>2.3731200000000001</v>
      </c>
      <c r="W116" s="18">
        <v>2.2248000000000001</v>
      </c>
      <c r="X116" s="18">
        <v>1.4832000000000001</v>
      </c>
      <c r="Y116" s="18">
        <v>6.5920000000000006E-2</v>
      </c>
      <c r="Z116" s="18">
        <v>0.29252</v>
      </c>
      <c r="AA116" s="18">
        <v>0.42848000000000003</v>
      </c>
      <c r="AB116" s="18">
        <v>0.7622000000000001</v>
      </c>
      <c r="AC116" s="18">
        <v>0.23484000000000002</v>
      </c>
      <c r="AD116" s="18">
        <v>1.2360000000000002</v>
      </c>
    </row>
    <row r="117" spans="2:30" x14ac:dyDescent="0.25">
      <c r="B117" t="s">
        <v>269</v>
      </c>
      <c r="C117" t="s">
        <v>105</v>
      </c>
      <c r="D117" t="s">
        <v>752</v>
      </c>
      <c r="E117" s="35">
        <v>0.9</v>
      </c>
      <c r="F117" s="35">
        <v>6.6</v>
      </c>
      <c r="G117" s="36">
        <v>2.47E-3</v>
      </c>
      <c r="H117" s="18">
        <v>4.4452980000000002</v>
      </c>
      <c r="I117" s="16" t="s">
        <v>746</v>
      </c>
      <c r="J117" s="16"/>
      <c r="K117" s="16"/>
      <c r="L117" s="37"/>
      <c r="M117" s="37"/>
      <c r="N117" s="37"/>
      <c r="O117" s="37"/>
      <c r="P117" s="37"/>
      <c r="Q117" s="18">
        <v>2.717E-2</v>
      </c>
      <c r="R117" s="18">
        <v>1.8525E-4</v>
      </c>
      <c r="S117" s="18">
        <v>5.1869999999999999E-2</v>
      </c>
      <c r="T117" s="18">
        <v>0.2223</v>
      </c>
      <c r="U117" s="18">
        <v>0.11115</v>
      </c>
      <c r="V117" s="18">
        <v>1.42272</v>
      </c>
      <c r="W117" s="18">
        <v>1.3338000000000001</v>
      </c>
      <c r="X117" s="18">
        <v>0.88919999999999999</v>
      </c>
      <c r="Y117" s="18">
        <v>3.952E-2</v>
      </c>
      <c r="Z117" s="18">
        <v>0.17537</v>
      </c>
      <c r="AA117" s="18">
        <v>0.25688</v>
      </c>
      <c r="AB117" s="18">
        <v>0.45694999999999997</v>
      </c>
      <c r="AC117" s="18">
        <v>0.14079</v>
      </c>
      <c r="AD117" s="18">
        <v>0.74099999999999999</v>
      </c>
    </row>
    <row r="118" spans="2:30" x14ac:dyDescent="0.25">
      <c r="B118" t="s">
        <v>269</v>
      </c>
      <c r="C118" t="s">
        <v>105</v>
      </c>
      <c r="D118" t="s">
        <v>748</v>
      </c>
      <c r="E118" s="35">
        <v>0.9</v>
      </c>
      <c r="F118" s="35">
        <v>6.6</v>
      </c>
      <c r="G118" s="36">
        <v>4.1200000000000004E-3</v>
      </c>
      <c r="H118" s="18">
        <v>7.4152979999999999</v>
      </c>
      <c r="I118" s="16" t="s">
        <v>746</v>
      </c>
      <c r="J118" s="16"/>
      <c r="K118" s="16"/>
      <c r="L118" s="37"/>
      <c r="M118" s="37"/>
      <c r="N118" s="37"/>
      <c r="O118" s="37"/>
      <c r="P118" s="37"/>
      <c r="Q118" s="18">
        <v>4.5320000000000006E-2</v>
      </c>
      <c r="R118" s="18">
        <v>3.0900000000000003E-4</v>
      </c>
      <c r="S118" s="18">
        <v>8.6520000000000014E-2</v>
      </c>
      <c r="T118" s="18">
        <v>0.37080000000000002</v>
      </c>
      <c r="U118" s="18">
        <v>0.18540000000000001</v>
      </c>
      <c r="V118" s="18">
        <v>2.3731200000000001</v>
      </c>
      <c r="W118" s="18">
        <v>2.2248000000000001</v>
      </c>
      <c r="X118" s="18">
        <v>1.4832000000000001</v>
      </c>
      <c r="Y118" s="18">
        <v>6.5920000000000006E-2</v>
      </c>
      <c r="Z118" s="18">
        <v>0.29252</v>
      </c>
      <c r="AA118" s="18">
        <v>0.42848000000000003</v>
      </c>
      <c r="AB118" s="18">
        <v>0.7622000000000001</v>
      </c>
      <c r="AC118" s="18">
        <v>0.23484000000000002</v>
      </c>
      <c r="AD118" s="18">
        <v>1.2360000000000002</v>
      </c>
    </row>
    <row r="119" spans="2:30" x14ac:dyDescent="0.25">
      <c r="B119" t="s">
        <v>269</v>
      </c>
      <c r="C119" t="s">
        <v>105</v>
      </c>
      <c r="D119" t="s">
        <v>749</v>
      </c>
      <c r="E119" s="35">
        <v>0.9</v>
      </c>
      <c r="F119" s="35">
        <v>6.6</v>
      </c>
      <c r="G119" s="36">
        <v>3.5699999999999998E-3</v>
      </c>
      <c r="H119" s="18">
        <v>6.4252979999999997</v>
      </c>
      <c r="I119" s="16" t="s">
        <v>746</v>
      </c>
      <c r="J119" s="16"/>
      <c r="K119" s="16"/>
      <c r="L119" s="37"/>
      <c r="M119" s="37"/>
      <c r="N119" s="37"/>
      <c r="O119" s="37"/>
      <c r="P119" s="37"/>
      <c r="Q119" s="18">
        <v>3.9269999999999999E-2</v>
      </c>
      <c r="R119" s="18">
        <v>2.6774999999999998E-4</v>
      </c>
      <c r="S119" s="18">
        <v>7.4969999999999995E-2</v>
      </c>
      <c r="T119" s="18">
        <v>0.32129999999999997</v>
      </c>
      <c r="U119" s="18">
        <v>0.16064999999999999</v>
      </c>
      <c r="V119" s="18">
        <v>2.0563199999999999</v>
      </c>
      <c r="W119" s="18">
        <v>1.9278</v>
      </c>
      <c r="X119" s="18">
        <v>1.2851999999999999</v>
      </c>
      <c r="Y119" s="18">
        <v>5.7119999999999997E-2</v>
      </c>
      <c r="Z119" s="18">
        <v>0.25346999999999997</v>
      </c>
      <c r="AA119" s="18">
        <v>0.37128</v>
      </c>
      <c r="AB119" s="18">
        <v>0.66044999999999998</v>
      </c>
      <c r="AC119" s="18">
        <v>0.20348999999999998</v>
      </c>
      <c r="AD119" s="18">
        <v>1.071</v>
      </c>
    </row>
    <row r="120" spans="2:30" x14ac:dyDescent="0.25">
      <c r="B120" t="s">
        <v>269</v>
      </c>
      <c r="C120" t="s">
        <v>105</v>
      </c>
      <c r="D120" t="s">
        <v>748</v>
      </c>
      <c r="E120" s="35">
        <v>0.9</v>
      </c>
      <c r="F120" s="35">
        <v>6.6</v>
      </c>
      <c r="G120" s="36">
        <v>4.1200000000000004E-3</v>
      </c>
      <c r="H120" s="18">
        <v>7.4152979999999999</v>
      </c>
      <c r="I120" s="16" t="s">
        <v>746</v>
      </c>
      <c r="J120" s="16"/>
      <c r="K120" s="16"/>
      <c r="L120" s="37"/>
      <c r="M120" s="37"/>
      <c r="N120" s="37"/>
      <c r="O120" s="37"/>
      <c r="P120" s="37"/>
      <c r="Q120" s="18">
        <v>4.5320000000000006E-2</v>
      </c>
      <c r="R120" s="18">
        <v>3.0900000000000003E-4</v>
      </c>
      <c r="S120" s="18">
        <v>8.6520000000000014E-2</v>
      </c>
      <c r="T120" s="18">
        <v>0.37080000000000002</v>
      </c>
      <c r="U120" s="18">
        <v>0.18540000000000001</v>
      </c>
      <c r="V120" s="18">
        <v>2.3731200000000001</v>
      </c>
      <c r="W120" s="18">
        <v>2.2248000000000001</v>
      </c>
      <c r="X120" s="18">
        <v>1.4832000000000001</v>
      </c>
      <c r="Y120" s="18">
        <v>6.5920000000000006E-2</v>
      </c>
      <c r="Z120" s="18">
        <v>0.29252</v>
      </c>
      <c r="AA120" s="18">
        <v>0.42848000000000003</v>
      </c>
      <c r="AB120" s="18">
        <v>0.7622000000000001</v>
      </c>
      <c r="AC120" s="18">
        <v>0.23484000000000002</v>
      </c>
      <c r="AD120" s="18">
        <v>1.2360000000000002</v>
      </c>
    </row>
    <row r="121" spans="2:30" x14ac:dyDescent="0.25">
      <c r="B121" t="s">
        <v>269</v>
      </c>
      <c r="C121" t="s">
        <v>105</v>
      </c>
      <c r="D121" t="s">
        <v>749</v>
      </c>
      <c r="E121" s="35">
        <v>0.9</v>
      </c>
      <c r="F121" s="35">
        <v>6.6</v>
      </c>
      <c r="G121" s="36">
        <v>3.5699999999999998E-3</v>
      </c>
      <c r="H121" s="18">
        <v>6.4252979999999997</v>
      </c>
      <c r="I121" s="16" t="s">
        <v>746</v>
      </c>
      <c r="J121" s="16"/>
      <c r="K121" s="16"/>
      <c r="L121" s="37"/>
      <c r="M121" s="37"/>
      <c r="N121" s="37"/>
      <c r="O121" s="37"/>
      <c r="P121" s="37"/>
      <c r="Q121" s="18">
        <v>3.9269999999999999E-2</v>
      </c>
      <c r="R121" s="18">
        <v>2.6774999999999998E-4</v>
      </c>
      <c r="S121" s="18">
        <v>7.4969999999999995E-2</v>
      </c>
      <c r="T121" s="18">
        <v>0.32129999999999997</v>
      </c>
      <c r="U121" s="18">
        <v>0.16064999999999999</v>
      </c>
      <c r="V121" s="18">
        <v>2.0563199999999999</v>
      </c>
      <c r="W121" s="18">
        <v>1.9278</v>
      </c>
      <c r="X121" s="18">
        <v>1.2851999999999999</v>
      </c>
      <c r="Y121" s="18">
        <v>5.7119999999999997E-2</v>
      </c>
      <c r="Z121" s="18">
        <v>0.25346999999999997</v>
      </c>
      <c r="AA121" s="18">
        <v>0.37128</v>
      </c>
      <c r="AB121" s="18">
        <v>0.66044999999999998</v>
      </c>
      <c r="AC121" s="18">
        <v>0.20348999999999998</v>
      </c>
      <c r="AD121" s="18">
        <v>1.071</v>
      </c>
    </row>
    <row r="122" spans="2:30" x14ac:dyDescent="0.25">
      <c r="B122" t="s">
        <v>269</v>
      </c>
      <c r="C122" t="s">
        <v>105</v>
      </c>
      <c r="D122" t="s">
        <v>750</v>
      </c>
      <c r="E122" s="35">
        <v>0.9</v>
      </c>
      <c r="F122" s="35">
        <v>6.6</v>
      </c>
      <c r="G122" s="36">
        <v>3.0200000000000001E-3</v>
      </c>
      <c r="H122" s="18">
        <v>5.4352980000000004</v>
      </c>
      <c r="I122" s="16" t="s">
        <v>746</v>
      </c>
      <c r="J122" s="16"/>
      <c r="K122" s="16"/>
      <c r="L122" s="37"/>
      <c r="M122" s="37"/>
      <c r="N122" s="37"/>
      <c r="O122" s="37"/>
      <c r="P122" s="37"/>
      <c r="Q122" s="18">
        <v>3.322E-2</v>
      </c>
      <c r="R122" s="18">
        <v>2.265E-4</v>
      </c>
      <c r="S122" s="18">
        <v>6.3420000000000004E-2</v>
      </c>
      <c r="T122" s="18">
        <v>0.27179999999999999</v>
      </c>
      <c r="U122" s="18">
        <v>0.13589999999999999</v>
      </c>
      <c r="V122" s="18">
        <v>1.7395200000000002</v>
      </c>
      <c r="W122" s="18">
        <v>1.6308</v>
      </c>
      <c r="X122" s="18">
        <v>1.0871999999999999</v>
      </c>
      <c r="Y122" s="18">
        <v>4.8320000000000002E-2</v>
      </c>
      <c r="Z122" s="18">
        <v>0.21442</v>
      </c>
      <c r="AA122" s="18">
        <v>0.31408000000000003</v>
      </c>
      <c r="AB122" s="18">
        <v>0.55869999999999997</v>
      </c>
      <c r="AC122" s="18">
        <v>0.17214000000000002</v>
      </c>
      <c r="AD122" s="18">
        <v>0.90600000000000003</v>
      </c>
    </row>
    <row r="123" spans="2:30" x14ac:dyDescent="0.25">
      <c r="B123" t="s">
        <v>269</v>
      </c>
      <c r="C123" t="s">
        <v>105</v>
      </c>
      <c r="D123" t="s">
        <v>748</v>
      </c>
      <c r="E123" s="35">
        <v>0.9</v>
      </c>
      <c r="F123" s="35">
        <v>6.6</v>
      </c>
      <c r="G123" s="36">
        <v>4.1200000000000004E-3</v>
      </c>
      <c r="H123" s="18">
        <v>7.4152979999999999</v>
      </c>
      <c r="I123" s="16" t="s">
        <v>746</v>
      </c>
      <c r="J123" s="16"/>
      <c r="K123" s="16"/>
      <c r="L123" s="37"/>
      <c r="M123" s="37"/>
      <c r="N123" s="37"/>
      <c r="O123" s="37"/>
      <c r="P123" s="37"/>
      <c r="Q123" s="18">
        <v>4.5320000000000006E-2</v>
      </c>
      <c r="R123" s="18">
        <v>3.0900000000000003E-4</v>
      </c>
      <c r="S123" s="18">
        <v>8.6520000000000014E-2</v>
      </c>
      <c r="T123" s="18">
        <v>0.37080000000000002</v>
      </c>
      <c r="U123" s="18">
        <v>0.18540000000000001</v>
      </c>
      <c r="V123" s="18">
        <v>2.3731200000000001</v>
      </c>
      <c r="W123" s="18">
        <v>2.2248000000000001</v>
      </c>
      <c r="X123" s="18">
        <v>1.4832000000000001</v>
      </c>
      <c r="Y123" s="18">
        <v>6.5920000000000006E-2</v>
      </c>
      <c r="Z123" s="18">
        <v>0.29252</v>
      </c>
      <c r="AA123" s="18">
        <v>0.42848000000000003</v>
      </c>
      <c r="AB123" s="18">
        <v>0.7622000000000001</v>
      </c>
      <c r="AC123" s="18">
        <v>0.23484000000000002</v>
      </c>
      <c r="AD123" s="18">
        <v>1.2360000000000002</v>
      </c>
    </row>
    <row r="124" spans="2:30" x14ac:dyDescent="0.25">
      <c r="B124" t="s">
        <v>269</v>
      </c>
      <c r="C124" t="s">
        <v>105</v>
      </c>
      <c r="D124" t="s">
        <v>749</v>
      </c>
      <c r="E124" s="35">
        <v>0.9</v>
      </c>
      <c r="F124" s="35">
        <v>6.6</v>
      </c>
      <c r="G124" s="36">
        <v>3.5699999999999998E-3</v>
      </c>
      <c r="H124" s="18">
        <v>6.4252979999999997</v>
      </c>
      <c r="I124" s="16" t="s">
        <v>746</v>
      </c>
      <c r="J124" s="16"/>
      <c r="K124" s="16"/>
      <c r="L124" s="37"/>
      <c r="M124" s="37"/>
      <c r="N124" s="37"/>
      <c r="O124" s="37"/>
      <c r="P124" s="37"/>
      <c r="Q124" s="18">
        <v>3.9269999999999999E-2</v>
      </c>
      <c r="R124" s="18">
        <v>2.6774999999999998E-4</v>
      </c>
      <c r="S124" s="18">
        <v>7.4969999999999995E-2</v>
      </c>
      <c r="T124" s="18">
        <v>0.32129999999999997</v>
      </c>
      <c r="U124" s="18">
        <v>0.16064999999999999</v>
      </c>
      <c r="V124" s="18">
        <v>2.0563199999999999</v>
      </c>
      <c r="W124" s="18">
        <v>1.9278</v>
      </c>
      <c r="X124" s="18">
        <v>1.2851999999999999</v>
      </c>
      <c r="Y124" s="18">
        <v>5.7119999999999997E-2</v>
      </c>
      <c r="Z124" s="18">
        <v>0.25346999999999997</v>
      </c>
      <c r="AA124" s="18">
        <v>0.37128</v>
      </c>
      <c r="AB124" s="18">
        <v>0.66044999999999998</v>
      </c>
      <c r="AC124" s="18">
        <v>0.20348999999999998</v>
      </c>
      <c r="AD124" s="18">
        <v>1.071</v>
      </c>
    </row>
    <row r="125" spans="2:30" x14ac:dyDescent="0.25">
      <c r="B125" t="s">
        <v>269</v>
      </c>
      <c r="C125" t="s">
        <v>105</v>
      </c>
      <c r="D125" t="s">
        <v>749</v>
      </c>
      <c r="E125" s="35">
        <v>0.9</v>
      </c>
      <c r="F125" s="35">
        <v>6.6</v>
      </c>
      <c r="G125" s="36">
        <v>3.5699999999999998E-3</v>
      </c>
      <c r="H125" s="18">
        <v>6.4252979999999997</v>
      </c>
      <c r="I125" s="16" t="s">
        <v>746</v>
      </c>
      <c r="J125" s="16"/>
      <c r="K125" s="16"/>
      <c r="L125" s="37"/>
      <c r="M125" s="37"/>
      <c r="N125" s="37"/>
      <c r="O125" s="37"/>
      <c r="P125" s="37"/>
      <c r="Q125" s="18">
        <v>3.9269999999999999E-2</v>
      </c>
      <c r="R125" s="18">
        <v>2.6774999999999998E-4</v>
      </c>
      <c r="S125" s="18">
        <v>7.4969999999999995E-2</v>
      </c>
      <c r="T125" s="18">
        <v>0.32129999999999997</v>
      </c>
      <c r="U125" s="18">
        <v>0.16064999999999999</v>
      </c>
      <c r="V125" s="18">
        <v>2.0563199999999999</v>
      </c>
      <c r="W125" s="18">
        <v>1.9278</v>
      </c>
      <c r="X125" s="18">
        <v>1.2851999999999999</v>
      </c>
      <c r="Y125" s="18">
        <v>5.7119999999999997E-2</v>
      </c>
      <c r="Z125" s="18">
        <v>0.25346999999999997</v>
      </c>
      <c r="AA125" s="18">
        <v>0.37128</v>
      </c>
      <c r="AB125" s="18">
        <v>0.66044999999999998</v>
      </c>
      <c r="AC125" s="18">
        <v>0.20348999999999998</v>
      </c>
      <c r="AD125" s="18">
        <v>1.071</v>
      </c>
    </row>
    <row r="126" spans="2:30" x14ac:dyDescent="0.25">
      <c r="B126" t="s">
        <v>269</v>
      </c>
      <c r="C126" t="s">
        <v>105</v>
      </c>
      <c r="D126" t="s">
        <v>750</v>
      </c>
      <c r="E126" s="35">
        <v>0.9</v>
      </c>
      <c r="F126" s="35">
        <v>6.6</v>
      </c>
      <c r="G126" s="36">
        <v>3.0200000000000001E-3</v>
      </c>
      <c r="H126" s="18">
        <v>5.4352980000000004</v>
      </c>
      <c r="I126" s="16" t="s">
        <v>746</v>
      </c>
      <c r="J126" s="16"/>
      <c r="K126" s="16"/>
      <c r="L126" s="37"/>
      <c r="M126" s="37"/>
      <c r="N126" s="37"/>
      <c r="O126" s="37"/>
      <c r="P126" s="37"/>
      <c r="Q126" s="18">
        <v>3.322E-2</v>
      </c>
      <c r="R126" s="18">
        <v>2.265E-4</v>
      </c>
      <c r="S126" s="18">
        <v>6.3420000000000004E-2</v>
      </c>
      <c r="T126" s="18">
        <v>0.27179999999999999</v>
      </c>
      <c r="U126" s="18">
        <v>0.13589999999999999</v>
      </c>
      <c r="V126" s="18">
        <v>1.7395200000000002</v>
      </c>
      <c r="W126" s="18">
        <v>1.6308</v>
      </c>
      <c r="X126" s="18">
        <v>1.0871999999999999</v>
      </c>
      <c r="Y126" s="18">
        <v>4.8320000000000002E-2</v>
      </c>
      <c r="Z126" s="18">
        <v>0.21442</v>
      </c>
      <c r="AA126" s="18">
        <v>0.31408000000000003</v>
      </c>
      <c r="AB126" s="18">
        <v>0.55869999999999997</v>
      </c>
      <c r="AC126" s="18">
        <v>0.17214000000000002</v>
      </c>
      <c r="AD126" s="18">
        <v>0.90600000000000003</v>
      </c>
    </row>
    <row r="127" spans="2:30" x14ac:dyDescent="0.25">
      <c r="B127" t="s">
        <v>269</v>
      </c>
      <c r="C127" t="s">
        <v>105</v>
      </c>
      <c r="D127" t="s">
        <v>748</v>
      </c>
      <c r="E127" s="35">
        <v>0.9</v>
      </c>
      <c r="F127" s="35">
        <v>6.6</v>
      </c>
      <c r="G127" s="36">
        <v>4.1200000000000004E-3</v>
      </c>
      <c r="H127" s="18">
        <v>7.4152979999999999</v>
      </c>
      <c r="I127" s="16" t="s">
        <v>746</v>
      </c>
      <c r="J127" s="16"/>
      <c r="K127" s="16"/>
      <c r="L127" s="37"/>
      <c r="M127" s="37"/>
      <c r="N127" s="37"/>
      <c r="O127" s="37"/>
      <c r="P127" s="37"/>
      <c r="Q127" s="18">
        <v>4.5320000000000006E-2</v>
      </c>
      <c r="R127" s="18">
        <v>3.0900000000000003E-4</v>
      </c>
      <c r="S127" s="18">
        <v>8.6520000000000014E-2</v>
      </c>
      <c r="T127" s="18">
        <v>0.37080000000000002</v>
      </c>
      <c r="U127" s="18">
        <v>0.18540000000000001</v>
      </c>
      <c r="V127" s="18">
        <v>2.3731200000000001</v>
      </c>
      <c r="W127" s="18">
        <v>2.2248000000000001</v>
      </c>
      <c r="X127" s="18">
        <v>1.4832000000000001</v>
      </c>
      <c r="Y127" s="18">
        <v>6.5920000000000006E-2</v>
      </c>
      <c r="Z127" s="18">
        <v>0.29252</v>
      </c>
      <c r="AA127" s="18">
        <v>0.42848000000000003</v>
      </c>
      <c r="AB127" s="18">
        <v>0.7622000000000001</v>
      </c>
      <c r="AC127" s="18">
        <v>0.23484000000000002</v>
      </c>
      <c r="AD127" s="18">
        <v>1.2360000000000002</v>
      </c>
    </row>
    <row r="128" spans="2:30" x14ac:dyDescent="0.25">
      <c r="B128" t="s">
        <v>269</v>
      </c>
      <c r="C128" t="s">
        <v>105</v>
      </c>
      <c r="D128" t="s">
        <v>749</v>
      </c>
      <c r="E128" s="35">
        <v>0.9</v>
      </c>
      <c r="F128" s="35">
        <v>6.6</v>
      </c>
      <c r="G128" s="36">
        <v>3.5699999999999998E-3</v>
      </c>
      <c r="H128" s="18">
        <v>6.4252979999999997</v>
      </c>
      <c r="I128" s="16" t="s">
        <v>746</v>
      </c>
      <c r="J128" s="16"/>
      <c r="K128" s="16"/>
      <c r="L128" s="37"/>
      <c r="M128" s="37"/>
      <c r="N128" s="37"/>
      <c r="O128" s="37"/>
      <c r="P128" s="37"/>
      <c r="Q128" s="18">
        <v>3.9269999999999999E-2</v>
      </c>
      <c r="R128" s="18">
        <v>2.6774999999999998E-4</v>
      </c>
      <c r="S128" s="18">
        <v>7.4969999999999995E-2</v>
      </c>
      <c r="T128" s="18">
        <v>0.32129999999999997</v>
      </c>
      <c r="U128" s="18">
        <v>0.16064999999999999</v>
      </c>
      <c r="V128" s="18">
        <v>2.0563199999999999</v>
      </c>
      <c r="W128" s="18">
        <v>1.9278</v>
      </c>
      <c r="X128" s="18">
        <v>1.2851999999999999</v>
      </c>
      <c r="Y128" s="18">
        <v>5.7119999999999997E-2</v>
      </c>
      <c r="Z128" s="18">
        <v>0.25346999999999997</v>
      </c>
      <c r="AA128" s="18">
        <v>0.37128</v>
      </c>
      <c r="AB128" s="18">
        <v>0.66044999999999998</v>
      </c>
      <c r="AC128" s="18">
        <v>0.20348999999999998</v>
      </c>
      <c r="AD128" s="18">
        <v>1.071</v>
      </c>
    </row>
    <row r="129" spans="2:30" x14ac:dyDescent="0.25">
      <c r="B129" t="s">
        <v>269</v>
      </c>
      <c r="C129" t="s">
        <v>105</v>
      </c>
      <c r="D129" t="s">
        <v>749</v>
      </c>
      <c r="E129" s="35">
        <v>0.9</v>
      </c>
      <c r="F129" s="35">
        <v>6.6</v>
      </c>
      <c r="G129" s="36">
        <v>3.5699999999999998E-3</v>
      </c>
      <c r="H129" s="18">
        <v>6.4252979999999997</v>
      </c>
      <c r="I129" s="16" t="s">
        <v>746</v>
      </c>
      <c r="J129" s="16"/>
      <c r="K129" s="16"/>
      <c r="L129" s="37"/>
      <c r="M129" s="37"/>
      <c r="N129" s="37"/>
      <c r="O129" s="37"/>
      <c r="P129" s="37"/>
      <c r="Q129" s="18">
        <v>3.9269999999999999E-2</v>
      </c>
      <c r="R129" s="18">
        <v>2.6774999999999998E-4</v>
      </c>
      <c r="S129" s="18">
        <v>7.4969999999999995E-2</v>
      </c>
      <c r="T129" s="18">
        <v>0.32129999999999997</v>
      </c>
      <c r="U129" s="18">
        <v>0.16064999999999999</v>
      </c>
      <c r="V129" s="18">
        <v>2.0563199999999999</v>
      </c>
      <c r="W129" s="18">
        <v>1.9278</v>
      </c>
      <c r="X129" s="18">
        <v>1.2851999999999999</v>
      </c>
      <c r="Y129" s="18">
        <v>5.7119999999999997E-2</v>
      </c>
      <c r="Z129" s="18">
        <v>0.25346999999999997</v>
      </c>
      <c r="AA129" s="18">
        <v>0.37128</v>
      </c>
      <c r="AB129" s="18">
        <v>0.66044999999999998</v>
      </c>
      <c r="AC129" s="18">
        <v>0.20348999999999998</v>
      </c>
      <c r="AD129" s="18">
        <v>1.071</v>
      </c>
    </row>
    <row r="130" spans="2:30" x14ac:dyDescent="0.25">
      <c r="B130" t="s">
        <v>269</v>
      </c>
      <c r="C130" t="s">
        <v>105</v>
      </c>
      <c r="D130" t="s">
        <v>750</v>
      </c>
      <c r="E130" s="35">
        <v>0.9</v>
      </c>
      <c r="F130" s="35">
        <v>6.6</v>
      </c>
      <c r="G130" s="36">
        <v>3.0200000000000001E-3</v>
      </c>
      <c r="H130" s="18">
        <v>5.4352980000000004</v>
      </c>
      <c r="I130" s="16" t="s">
        <v>746</v>
      </c>
      <c r="J130" s="16"/>
      <c r="K130" s="16"/>
      <c r="L130" s="37"/>
      <c r="M130" s="37"/>
      <c r="N130" s="37"/>
      <c r="O130" s="37"/>
      <c r="P130" s="37"/>
      <c r="Q130" s="18">
        <v>3.322E-2</v>
      </c>
      <c r="R130" s="18">
        <v>2.265E-4</v>
      </c>
      <c r="S130" s="18">
        <v>6.3420000000000004E-2</v>
      </c>
      <c r="T130" s="18">
        <v>0.27179999999999999</v>
      </c>
      <c r="U130" s="18">
        <v>0.13589999999999999</v>
      </c>
      <c r="V130" s="18">
        <v>1.7395200000000002</v>
      </c>
      <c r="W130" s="18">
        <v>1.6308</v>
      </c>
      <c r="X130" s="18">
        <v>1.0871999999999999</v>
      </c>
      <c r="Y130" s="18">
        <v>4.8320000000000002E-2</v>
      </c>
      <c r="Z130" s="18">
        <v>0.21442</v>
      </c>
      <c r="AA130" s="18">
        <v>0.31408000000000003</v>
      </c>
      <c r="AB130" s="18">
        <v>0.55869999999999997</v>
      </c>
      <c r="AC130" s="18">
        <v>0.17214000000000002</v>
      </c>
      <c r="AD130" s="18">
        <v>0.90600000000000003</v>
      </c>
    </row>
    <row r="131" spans="2:30" x14ac:dyDescent="0.25">
      <c r="B131" t="s">
        <v>269</v>
      </c>
      <c r="C131" t="s">
        <v>105</v>
      </c>
      <c r="D131" t="s">
        <v>749</v>
      </c>
      <c r="E131" s="35">
        <v>0.9</v>
      </c>
      <c r="F131" s="35">
        <v>6.6</v>
      </c>
      <c r="G131" s="36">
        <v>3.5699999999999998E-3</v>
      </c>
      <c r="H131" s="18">
        <v>6.4252979999999997</v>
      </c>
      <c r="I131" s="16" t="s">
        <v>746</v>
      </c>
      <c r="J131" s="16"/>
      <c r="K131" s="16"/>
      <c r="L131" s="37"/>
      <c r="M131" s="37"/>
      <c r="N131" s="37"/>
      <c r="O131" s="37"/>
      <c r="P131" s="37"/>
      <c r="Q131" s="18">
        <v>3.9269999999999999E-2</v>
      </c>
      <c r="R131" s="18">
        <v>2.6774999999999998E-4</v>
      </c>
      <c r="S131" s="18">
        <v>7.4969999999999995E-2</v>
      </c>
      <c r="T131" s="18">
        <v>0.32129999999999997</v>
      </c>
      <c r="U131" s="18">
        <v>0.16064999999999999</v>
      </c>
      <c r="V131" s="18">
        <v>2.0563199999999999</v>
      </c>
      <c r="W131" s="18">
        <v>1.9278</v>
      </c>
      <c r="X131" s="18">
        <v>1.2851999999999999</v>
      </c>
      <c r="Y131" s="18">
        <v>5.7119999999999997E-2</v>
      </c>
      <c r="Z131" s="18">
        <v>0.25346999999999997</v>
      </c>
      <c r="AA131" s="18">
        <v>0.37128</v>
      </c>
      <c r="AB131" s="18">
        <v>0.66044999999999998</v>
      </c>
      <c r="AC131" s="18">
        <v>0.20348999999999998</v>
      </c>
      <c r="AD131" s="18">
        <v>1.071</v>
      </c>
    </row>
    <row r="132" spans="2:30" x14ac:dyDescent="0.25">
      <c r="B132" t="s">
        <v>269</v>
      </c>
      <c r="C132" t="s">
        <v>105</v>
      </c>
      <c r="D132" t="s">
        <v>748</v>
      </c>
      <c r="E132" s="35">
        <v>0.9</v>
      </c>
      <c r="F132" s="35">
        <v>6.6</v>
      </c>
      <c r="G132" s="36">
        <v>4.1200000000000004E-3</v>
      </c>
      <c r="H132" s="18">
        <v>7.4152979999999999</v>
      </c>
      <c r="I132" s="16" t="s">
        <v>746</v>
      </c>
      <c r="J132" s="16"/>
      <c r="K132" s="16"/>
      <c r="L132" s="37"/>
      <c r="M132" s="37"/>
      <c r="N132" s="37"/>
      <c r="O132" s="37"/>
      <c r="P132" s="37"/>
      <c r="Q132" s="18">
        <v>4.5320000000000006E-2</v>
      </c>
      <c r="R132" s="18">
        <v>3.0900000000000003E-4</v>
      </c>
      <c r="S132" s="18">
        <v>8.6520000000000014E-2</v>
      </c>
      <c r="T132" s="18">
        <v>0.37080000000000002</v>
      </c>
      <c r="U132" s="18">
        <v>0.18540000000000001</v>
      </c>
      <c r="V132" s="18">
        <v>2.3731200000000001</v>
      </c>
      <c r="W132" s="18">
        <v>2.2248000000000001</v>
      </c>
      <c r="X132" s="18">
        <v>1.4832000000000001</v>
      </c>
      <c r="Y132" s="18">
        <v>6.5920000000000006E-2</v>
      </c>
      <c r="Z132" s="18">
        <v>0.29252</v>
      </c>
      <c r="AA132" s="18">
        <v>0.42848000000000003</v>
      </c>
      <c r="AB132" s="18">
        <v>0.7622000000000001</v>
      </c>
      <c r="AC132" s="18">
        <v>0.23484000000000002</v>
      </c>
      <c r="AD132" s="18">
        <v>1.2360000000000002</v>
      </c>
    </row>
    <row r="133" spans="2:30" x14ac:dyDescent="0.25">
      <c r="B133" t="s">
        <v>269</v>
      </c>
      <c r="C133" t="s">
        <v>105</v>
      </c>
      <c r="D133" t="s">
        <v>750</v>
      </c>
      <c r="E133" s="35">
        <v>0.9</v>
      </c>
      <c r="F133" s="35">
        <v>6.6</v>
      </c>
      <c r="G133" s="36">
        <v>3.0200000000000001E-3</v>
      </c>
      <c r="H133" s="18">
        <v>5.4352980000000004</v>
      </c>
      <c r="I133" s="16" t="s">
        <v>746</v>
      </c>
      <c r="J133" s="16"/>
      <c r="K133" s="16"/>
      <c r="L133" s="37"/>
      <c r="M133" s="37"/>
      <c r="N133" s="37"/>
      <c r="O133" s="37"/>
      <c r="P133" s="37"/>
      <c r="Q133" s="18">
        <v>3.322E-2</v>
      </c>
      <c r="R133" s="18">
        <v>2.265E-4</v>
      </c>
      <c r="S133" s="18">
        <v>6.3420000000000004E-2</v>
      </c>
      <c r="T133" s="18">
        <v>0.27179999999999999</v>
      </c>
      <c r="U133" s="18">
        <v>0.13589999999999999</v>
      </c>
      <c r="V133" s="18">
        <v>1.7395200000000002</v>
      </c>
      <c r="W133" s="18">
        <v>1.6308</v>
      </c>
      <c r="X133" s="18">
        <v>1.0871999999999999</v>
      </c>
      <c r="Y133" s="18">
        <v>4.8320000000000002E-2</v>
      </c>
      <c r="Z133" s="18">
        <v>0.21442</v>
      </c>
      <c r="AA133" s="18">
        <v>0.31408000000000003</v>
      </c>
      <c r="AB133" s="18">
        <v>0.55869999999999997</v>
      </c>
      <c r="AC133" s="18">
        <v>0.17214000000000002</v>
      </c>
      <c r="AD133" s="18">
        <v>0.90600000000000003</v>
      </c>
    </row>
    <row r="134" spans="2:30" x14ac:dyDescent="0.25">
      <c r="B134" t="s">
        <v>269</v>
      </c>
      <c r="C134" t="s">
        <v>105</v>
      </c>
      <c r="D134" t="s">
        <v>749</v>
      </c>
      <c r="E134" s="35">
        <v>0.9</v>
      </c>
      <c r="F134" s="35">
        <v>6.6</v>
      </c>
      <c r="G134" s="36">
        <v>3.5699999999999998E-3</v>
      </c>
      <c r="H134" s="18">
        <v>6.4252979999999997</v>
      </c>
      <c r="I134" s="16" t="s">
        <v>746</v>
      </c>
      <c r="J134" s="16"/>
      <c r="K134" s="16"/>
      <c r="L134" s="37"/>
      <c r="M134" s="37"/>
      <c r="N134" s="37"/>
      <c r="O134" s="37"/>
      <c r="P134" s="37"/>
      <c r="Q134" s="18">
        <v>3.9269999999999999E-2</v>
      </c>
      <c r="R134" s="18">
        <v>2.6774999999999998E-4</v>
      </c>
      <c r="S134" s="18">
        <v>7.4969999999999995E-2</v>
      </c>
      <c r="T134" s="18">
        <v>0.32129999999999997</v>
      </c>
      <c r="U134" s="18">
        <v>0.16064999999999999</v>
      </c>
      <c r="V134" s="18">
        <v>2.0563199999999999</v>
      </c>
      <c r="W134" s="18">
        <v>1.9278</v>
      </c>
      <c r="X134" s="18">
        <v>1.2851999999999999</v>
      </c>
      <c r="Y134" s="18">
        <v>5.7119999999999997E-2</v>
      </c>
      <c r="Z134" s="18">
        <v>0.25346999999999997</v>
      </c>
      <c r="AA134" s="18">
        <v>0.37128</v>
      </c>
      <c r="AB134" s="18">
        <v>0.66044999999999998</v>
      </c>
      <c r="AC134" s="18">
        <v>0.20348999999999998</v>
      </c>
      <c r="AD134" s="18">
        <v>1.071</v>
      </c>
    </row>
    <row r="135" spans="2:30" x14ac:dyDescent="0.25">
      <c r="B135" t="s">
        <v>269</v>
      </c>
      <c r="C135" t="s">
        <v>105</v>
      </c>
      <c r="D135" t="s">
        <v>748</v>
      </c>
      <c r="E135" s="35">
        <v>0.9</v>
      </c>
      <c r="F135" s="35">
        <v>6.6</v>
      </c>
      <c r="G135" s="36">
        <v>4.1200000000000004E-3</v>
      </c>
      <c r="H135" s="18">
        <v>7.4152979999999999</v>
      </c>
      <c r="I135" s="16" t="s">
        <v>746</v>
      </c>
      <c r="J135" s="16"/>
      <c r="K135" s="16"/>
      <c r="L135" s="37"/>
      <c r="M135" s="37"/>
      <c r="N135" s="37"/>
      <c r="O135" s="37"/>
      <c r="P135" s="37"/>
      <c r="Q135" s="18">
        <v>4.5320000000000006E-2</v>
      </c>
      <c r="R135" s="18">
        <v>3.0900000000000003E-4</v>
      </c>
      <c r="S135" s="18">
        <v>8.6520000000000014E-2</v>
      </c>
      <c r="T135" s="18">
        <v>0.37080000000000002</v>
      </c>
      <c r="U135" s="18">
        <v>0.18540000000000001</v>
      </c>
      <c r="V135" s="18">
        <v>2.3731200000000001</v>
      </c>
      <c r="W135" s="18">
        <v>2.2248000000000001</v>
      </c>
      <c r="X135" s="18">
        <v>1.4832000000000001</v>
      </c>
      <c r="Y135" s="18">
        <v>6.5920000000000006E-2</v>
      </c>
      <c r="Z135" s="18">
        <v>0.29252</v>
      </c>
      <c r="AA135" s="18">
        <v>0.42848000000000003</v>
      </c>
      <c r="AB135" s="18">
        <v>0.7622000000000001</v>
      </c>
      <c r="AC135" s="18">
        <v>0.23484000000000002</v>
      </c>
      <c r="AD135" s="18">
        <v>1.2360000000000002</v>
      </c>
    </row>
    <row r="136" spans="2:30" x14ac:dyDescent="0.25">
      <c r="B136" t="s">
        <v>269</v>
      </c>
      <c r="C136" t="s">
        <v>105</v>
      </c>
      <c r="D136" t="s">
        <v>749</v>
      </c>
      <c r="E136" s="35">
        <v>0.9</v>
      </c>
      <c r="F136" s="35">
        <v>6.6</v>
      </c>
      <c r="G136" s="36">
        <v>3.5699999999999998E-3</v>
      </c>
      <c r="H136" s="18">
        <v>6.4252979999999997</v>
      </c>
      <c r="I136" s="16" t="s">
        <v>746</v>
      </c>
      <c r="J136" s="16"/>
      <c r="K136" s="16"/>
      <c r="L136" s="37"/>
      <c r="M136" s="37"/>
      <c r="N136" s="37"/>
      <c r="O136" s="37"/>
      <c r="P136" s="37"/>
      <c r="Q136" s="18">
        <v>3.9269999999999999E-2</v>
      </c>
      <c r="R136" s="18">
        <v>2.6774999999999998E-4</v>
      </c>
      <c r="S136" s="18">
        <v>7.4969999999999995E-2</v>
      </c>
      <c r="T136" s="18">
        <v>0.32129999999999997</v>
      </c>
      <c r="U136" s="18">
        <v>0.16064999999999999</v>
      </c>
      <c r="V136" s="18">
        <v>2.0563199999999999</v>
      </c>
      <c r="W136" s="18">
        <v>1.9278</v>
      </c>
      <c r="X136" s="18">
        <v>1.2851999999999999</v>
      </c>
      <c r="Y136" s="18">
        <v>5.7119999999999997E-2</v>
      </c>
      <c r="Z136" s="18">
        <v>0.25346999999999997</v>
      </c>
      <c r="AA136" s="18">
        <v>0.37128</v>
      </c>
      <c r="AB136" s="18">
        <v>0.66044999999999998</v>
      </c>
      <c r="AC136" s="18">
        <v>0.20348999999999998</v>
      </c>
      <c r="AD136" s="18">
        <v>1.071</v>
      </c>
    </row>
    <row r="137" spans="2:30" x14ac:dyDescent="0.25">
      <c r="B137" t="s">
        <v>269</v>
      </c>
      <c r="C137" t="s">
        <v>105</v>
      </c>
      <c r="D137" t="s">
        <v>750</v>
      </c>
      <c r="E137" s="35">
        <v>0.9</v>
      </c>
      <c r="F137" s="35">
        <v>6.6</v>
      </c>
      <c r="G137" s="36">
        <v>3.0200000000000001E-3</v>
      </c>
      <c r="H137" s="18">
        <v>5.4352980000000004</v>
      </c>
      <c r="I137" s="16" t="s">
        <v>746</v>
      </c>
      <c r="J137" s="16"/>
      <c r="K137" s="16"/>
      <c r="L137" s="37"/>
      <c r="M137" s="37"/>
      <c r="N137" s="37"/>
      <c r="O137" s="37"/>
      <c r="P137" s="37"/>
      <c r="Q137" s="18">
        <v>3.322E-2</v>
      </c>
      <c r="R137" s="18">
        <v>2.265E-4</v>
      </c>
      <c r="S137" s="18">
        <v>6.3420000000000004E-2</v>
      </c>
      <c r="T137" s="18">
        <v>0.27179999999999999</v>
      </c>
      <c r="U137" s="18">
        <v>0.13589999999999999</v>
      </c>
      <c r="V137" s="18">
        <v>1.7395200000000002</v>
      </c>
      <c r="W137" s="18">
        <v>1.6308</v>
      </c>
      <c r="X137" s="18">
        <v>1.0871999999999999</v>
      </c>
      <c r="Y137" s="18">
        <v>4.8320000000000002E-2</v>
      </c>
      <c r="Z137" s="18">
        <v>0.21442</v>
      </c>
      <c r="AA137" s="18">
        <v>0.31408000000000003</v>
      </c>
      <c r="AB137" s="18">
        <v>0.55869999999999997</v>
      </c>
      <c r="AC137" s="18">
        <v>0.17214000000000002</v>
      </c>
      <c r="AD137" s="18">
        <v>0.90600000000000003</v>
      </c>
    </row>
    <row r="138" spans="2:30" x14ac:dyDescent="0.25">
      <c r="B138" t="s">
        <v>269</v>
      </c>
      <c r="C138" t="s">
        <v>105</v>
      </c>
      <c r="D138" t="s">
        <v>749</v>
      </c>
      <c r="E138" s="35">
        <v>0.9</v>
      </c>
      <c r="F138" s="35">
        <v>6.6</v>
      </c>
      <c r="G138" s="36">
        <v>3.5699999999999998E-3</v>
      </c>
      <c r="H138" s="18">
        <v>6.4252979999999997</v>
      </c>
      <c r="I138" s="16" t="s">
        <v>746</v>
      </c>
      <c r="J138" s="16"/>
      <c r="K138" s="16"/>
      <c r="L138" s="37"/>
      <c r="M138" s="37"/>
      <c r="N138" s="37"/>
      <c r="O138" s="37"/>
      <c r="P138" s="37"/>
      <c r="Q138" s="18">
        <v>3.9269999999999999E-2</v>
      </c>
      <c r="R138" s="18">
        <v>2.6774999999999998E-4</v>
      </c>
      <c r="S138" s="18">
        <v>7.4969999999999995E-2</v>
      </c>
      <c r="T138" s="18">
        <v>0.32129999999999997</v>
      </c>
      <c r="U138" s="18">
        <v>0.16064999999999999</v>
      </c>
      <c r="V138" s="18">
        <v>2.0563199999999999</v>
      </c>
      <c r="W138" s="18">
        <v>1.9278</v>
      </c>
      <c r="X138" s="18">
        <v>1.2851999999999999</v>
      </c>
      <c r="Y138" s="18">
        <v>5.7119999999999997E-2</v>
      </c>
      <c r="Z138" s="18">
        <v>0.25346999999999997</v>
      </c>
      <c r="AA138" s="18">
        <v>0.37128</v>
      </c>
      <c r="AB138" s="18">
        <v>0.66044999999999998</v>
      </c>
      <c r="AC138" s="18">
        <v>0.20348999999999998</v>
      </c>
      <c r="AD138" s="18">
        <v>1.071</v>
      </c>
    </row>
    <row r="139" spans="2:30" x14ac:dyDescent="0.25">
      <c r="B139" t="s">
        <v>269</v>
      </c>
      <c r="C139" t="s">
        <v>105</v>
      </c>
      <c r="D139" t="s">
        <v>748</v>
      </c>
      <c r="E139" s="35">
        <v>0.9</v>
      </c>
      <c r="F139" s="35">
        <v>6.6</v>
      </c>
      <c r="G139" s="36">
        <v>4.1200000000000004E-3</v>
      </c>
      <c r="H139" s="18">
        <v>7.4152979999999999</v>
      </c>
      <c r="I139" s="16" t="s">
        <v>746</v>
      </c>
      <c r="J139" s="16"/>
      <c r="K139" s="16"/>
      <c r="L139" s="37"/>
      <c r="M139" s="37"/>
      <c r="N139" s="37"/>
      <c r="O139" s="37"/>
      <c r="P139" s="37"/>
      <c r="Q139" s="18">
        <v>4.5320000000000006E-2</v>
      </c>
      <c r="R139" s="18">
        <v>3.0900000000000003E-4</v>
      </c>
      <c r="S139" s="18">
        <v>8.6520000000000014E-2</v>
      </c>
      <c r="T139" s="18">
        <v>0.37080000000000002</v>
      </c>
      <c r="U139" s="18">
        <v>0.18540000000000001</v>
      </c>
      <c r="V139" s="18">
        <v>2.3731200000000001</v>
      </c>
      <c r="W139" s="18">
        <v>2.2248000000000001</v>
      </c>
      <c r="X139" s="18">
        <v>1.4832000000000001</v>
      </c>
      <c r="Y139" s="18">
        <v>6.5920000000000006E-2</v>
      </c>
      <c r="Z139" s="18">
        <v>0.29252</v>
      </c>
      <c r="AA139" s="18">
        <v>0.42848000000000003</v>
      </c>
      <c r="AB139" s="18">
        <v>0.7622000000000001</v>
      </c>
      <c r="AC139" s="18">
        <v>0.23484000000000002</v>
      </c>
      <c r="AD139" s="18">
        <v>1.2360000000000002</v>
      </c>
    </row>
    <row r="140" spans="2:30" x14ac:dyDescent="0.25">
      <c r="B140" t="s">
        <v>269</v>
      </c>
      <c r="C140" t="s">
        <v>105</v>
      </c>
      <c r="D140" t="s">
        <v>749</v>
      </c>
      <c r="E140" s="35">
        <v>0.9</v>
      </c>
      <c r="F140" s="35">
        <v>6.6</v>
      </c>
      <c r="G140" s="36">
        <v>3.5699999999999998E-3</v>
      </c>
      <c r="H140" s="18">
        <v>6.4252979999999997</v>
      </c>
      <c r="I140" s="16" t="s">
        <v>746</v>
      </c>
      <c r="J140" s="16"/>
      <c r="K140" s="16"/>
      <c r="L140" s="37"/>
      <c r="M140" s="37"/>
      <c r="N140" s="37"/>
      <c r="O140" s="37"/>
      <c r="P140" s="37"/>
      <c r="Q140" s="18">
        <v>3.9269999999999999E-2</v>
      </c>
      <c r="R140" s="18">
        <v>2.6774999999999998E-4</v>
      </c>
      <c r="S140" s="18">
        <v>7.4969999999999995E-2</v>
      </c>
      <c r="T140" s="18">
        <v>0.32129999999999997</v>
      </c>
      <c r="U140" s="18">
        <v>0.16064999999999999</v>
      </c>
      <c r="V140" s="18">
        <v>2.0563199999999999</v>
      </c>
      <c r="W140" s="18">
        <v>1.9278</v>
      </c>
      <c r="X140" s="18">
        <v>1.2851999999999999</v>
      </c>
      <c r="Y140" s="18">
        <v>5.7119999999999997E-2</v>
      </c>
      <c r="Z140" s="18">
        <v>0.25346999999999997</v>
      </c>
      <c r="AA140" s="18">
        <v>0.37128</v>
      </c>
      <c r="AB140" s="18">
        <v>0.66044999999999998</v>
      </c>
      <c r="AC140" s="18">
        <v>0.20348999999999998</v>
      </c>
      <c r="AD140" s="18">
        <v>1.071</v>
      </c>
    </row>
    <row r="141" spans="2:30" x14ac:dyDescent="0.25">
      <c r="B141" t="s">
        <v>269</v>
      </c>
      <c r="C141" t="s">
        <v>105</v>
      </c>
      <c r="D141" t="s">
        <v>750</v>
      </c>
      <c r="E141" s="35">
        <v>0.9</v>
      </c>
      <c r="F141" s="35">
        <v>6.6</v>
      </c>
      <c r="G141" s="36">
        <v>3.0200000000000001E-3</v>
      </c>
      <c r="H141" s="18">
        <v>5.4352980000000004</v>
      </c>
      <c r="I141" s="16" t="s">
        <v>746</v>
      </c>
      <c r="J141" s="16"/>
      <c r="K141" s="16"/>
      <c r="L141" s="37"/>
      <c r="M141" s="37"/>
      <c r="N141" s="37"/>
      <c r="O141" s="37"/>
      <c r="P141" s="37"/>
      <c r="Q141" s="18">
        <v>3.322E-2</v>
      </c>
      <c r="R141" s="18">
        <v>2.265E-4</v>
      </c>
      <c r="S141" s="18">
        <v>6.3420000000000004E-2</v>
      </c>
      <c r="T141" s="18">
        <v>0.27179999999999999</v>
      </c>
      <c r="U141" s="18">
        <v>0.13589999999999999</v>
      </c>
      <c r="V141" s="18">
        <v>1.7395200000000002</v>
      </c>
      <c r="W141" s="18">
        <v>1.6308</v>
      </c>
      <c r="X141" s="18">
        <v>1.0871999999999999</v>
      </c>
      <c r="Y141" s="18">
        <v>4.8320000000000002E-2</v>
      </c>
      <c r="Z141" s="18">
        <v>0.21442</v>
      </c>
      <c r="AA141" s="18">
        <v>0.31408000000000003</v>
      </c>
      <c r="AB141" s="18">
        <v>0.55869999999999997</v>
      </c>
      <c r="AC141" s="18">
        <v>0.17214000000000002</v>
      </c>
      <c r="AD141" s="18">
        <v>0.90600000000000003</v>
      </c>
    </row>
    <row r="142" spans="2:30" x14ac:dyDescent="0.25">
      <c r="B142" t="s">
        <v>269</v>
      </c>
      <c r="C142" t="s">
        <v>105</v>
      </c>
      <c r="D142" t="s">
        <v>749</v>
      </c>
      <c r="E142" s="35">
        <v>0.9</v>
      </c>
      <c r="F142" s="35">
        <v>6.6</v>
      </c>
      <c r="G142" s="36">
        <v>3.5699999999999998E-3</v>
      </c>
      <c r="H142" s="18">
        <v>6.4252979999999997</v>
      </c>
      <c r="I142" s="16" t="s">
        <v>746</v>
      </c>
      <c r="J142" s="16"/>
      <c r="K142" s="16"/>
      <c r="L142" s="37"/>
      <c r="M142" s="37"/>
      <c r="N142" s="37"/>
      <c r="O142" s="37"/>
      <c r="P142" s="37"/>
      <c r="Q142" s="18">
        <v>3.9269999999999999E-2</v>
      </c>
      <c r="R142" s="18">
        <v>2.6774999999999998E-4</v>
      </c>
      <c r="S142" s="18">
        <v>7.4969999999999995E-2</v>
      </c>
      <c r="T142" s="18">
        <v>0.32129999999999997</v>
      </c>
      <c r="U142" s="18">
        <v>0.16064999999999999</v>
      </c>
      <c r="V142" s="18">
        <v>2.0563199999999999</v>
      </c>
      <c r="W142" s="18">
        <v>1.9278</v>
      </c>
      <c r="X142" s="18">
        <v>1.2851999999999999</v>
      </c>
      <c r="Y142" s="18">
        <v>5.7119999999999997E-2</v>
      </c>
      <c r="Z142" s="18">
        <v>0.25346999999999997</v>
      </c>
      <c r="AA142" s="18">
        <v>0.37128</v>
      </c>
      <c r="AB142" s="18">
        <v>0.66044999999999998</v>
      </c>
      <c r="AC142" s="18">
        <v>0.20348999999999998</v>
      </c>
      <c r="AD142" s="18">
        <v>1.071</v>
      </c>
    </row>
    <row r="143" spans="2:30" x14ac:dyDescent="0.25">
      <c r="B143" t="s">
        <v>269</v>
      </c>
      <c r="C143" t="s">
        <v>105</v>
      </c>
      <c r="D143" t="s">
        <v>748</v>
      </c>
      <c r="E143" s="35">
        <v>0.9</v>
      </c>
      <c r="F143" s="35">
        <v>6.6</v>
      </c>
      <c r="G143" s="36">
        <v>4.1200000000000004E-3</v>
      </c>
      <c r="H143" s="18">
        <v>7.4152979999999999</v>
      </c>
      <c r="I143" s="16" t="s">
        <v>746</v>
      </c>
      <c r="J143" s="16"/>
      <c r="K143" s="16"/>
      <c r="L143" s="37"/>
      <c r="M143" s="37"/>
      <c r="N143" s="37"/>
      <c r="O143" s="37"/>
      <c r="P143" s="37"/>
      <c r="Q143" s="18">
        <v>4.5320000000000006E-2</v>
      </c>
      <c r="R143" s="18">
        <v>3.0900000000000003E-4</v>
      </c>
      <c r="S143" s="18">
        <v>8.6520000000000014E-2</v>
      </c>
      <c r="T143" s="18">
        <v>0.37080000000000002</v>
      </c>
      <c r="U143" s="18">
        <v>0.18540000000000001</v>
      </c>
      <c r="V143" s="18">
        <v>2.3731200000000001</v>
      </c>
      <c r="W143" s="18">
        <v>2.2248000000000001</v>
      </c>
      <c r="X143" s="18">
        <v>1.4832000000000001</v>
      </c>
      <c r="Y143" s="18">
        <v>6.5920000000000006E-2</v>
      </c>
      <c r="Z143" s="18">
        <v>0.29252</v>
      </c>
      <c r="AA143" s="18">
        <v>0.42848000000000003</v>
      </c>
      <c r="AB143" s="18">
        <v>0.7622000000000001</v>
      </c>
      <c r="AC143" s="18">
        <v>0.23484000000000002</v>
      </c>
      <c r="AD143" s="18">
        <v>1.2360000000000002</v>
      </c>
    </row>
    <row r="144" spans="2:30" x14ac:dyDescent="0.25">
      <c r="B144" t="s">
        <v>269</v>
      </c>
      <c r="C144" t="s">
        <v>105</v>
      </c>
      <c r="D144" t="s">
        <v>749</v>
      </c>
      <c r="E144" s="35">
        <v>0.9</v>
      </c>
      <c r="F144" s="35">
        <v>6.6</v>
      </c>
      <c r="G144" s="36">
        <v>3.5699999999999998E-3</v>
      </c>
      <c r="H144" s="18">
        <v>6.4252979999999997</v>
      </c>
      <c r="I144" s="16" t="s">
        <v>746</v>
      </c>
      <c r="J144" s="16"/>
      <c r="K144" s="16"/>
      <c r="L144" s="37"/>
      <c r="M144" s="37"/>
      <c r="N144" s="37"/>
      <c r="O144" s="37"/>
      <c r="P144" s="37"/>
      <c r="Q144" s="18">
        <v>3.9269999999999999E-2</v>
      </c>
      <c r="R144" s="18">
        <v>2.6774999999999998E-4</v>
      </c>
      <c r="S144" s="18">
        <v>7.4969999999999995E-2</v>
      </c>
      <c r="T144" s="18">
        <v>0.32129999999999997</v>
      </c>
      <c r="U144" s="18">
        <v>0.16064999999999999</v>
      </c>
      <c r="V144" s="18">
        <v>2.0563199999999999</v>
      </c>
      <c r="W144" s="18">
        <v>1.9278</v>
      </c>
      <c r="X144" s="18">
        <v>1.2851999999999999</v>
      </c>
      <c r="Y144" s="18">
        <v>5.7119999999999997E-2</v>
      </c>
      <c r="Z144" s="18">
        <v>0.25346999999999997</v>
      </c>
      <c r="AA144" s="18">
        <v>0.37128</v>
      </c>
      <c r="AB144" s="18">
        <v>0.66044999999999998</v>
      </c>
      <c r="AC144" s="18">
        <v>0.20348999999999998</v>
      </c>
      <c r="AD144" s="18">
        <v>1.071</v>
      </c>
    </row>
    <row r="145" spans="2:30" x14ac:dyDescent="0.25">
      <c r="B145" t="s">
        <v>269</v>
      </c>
      <c r="C145" t="s">
        <v>105</v>
      </c>
      <c r="D145" t="s">
        <v>749</v>
      </c>
      <c r="E145" s="35">
        <v>0.9</v>
      </c>
      <c r="F145" s="35">
        <v>6.6</v>
      </c>
      <c r="G145" s="36">
        <v>3.5699999999999998E-3</v>
      </c>
      <c r="H145" s="18">
        <v>6.4252979999999997</v>
      </c>
      <c r="I145" s="16" t="s">
        <v>746</v>
      </c>
      <c r="J145" s="16"/>
      <c r="K145" s="16"/>
      <c r="L145" s="37"/>
      <c r="M145" s="37"/>
      <c r="N145" s="37"/>
      <c r="O145" s="37"/>
      <c r="P145" s="37"/>
      <c r="Q145" s="18">
        <v>3.9269999999999999E-2</v>
      </c>
      <c r="R145" s="18">
        <v>2.6774999999999998E-4</v>
      </c>
      <c r="S145" s="18">
        <v>7.4969999999999995E-2</v>
      </c>
      <c r="T145" s="18">
        <v>0.32129999999999997</v>
      </c>
      <c r="U145" s="18">
        <v>0.16064999999999999</v>
      </c>
      <c r="V145" s="18">
        <v>2.0563199999999999</v>
      </c>
      <c r="W145" s="18">
        <v>1.9278</v>
      </c>
      <c r="X145" s="18">
        <v>1.2851999999999999</v>
      </c>
      <c r="Y145" s="18">
        <v>5.7119999999999997E-2</v>
      </c>
      <c r="Z145" s="18">
        <v>0.25346999999999997</v>
      </c>
      <c r="AA145" s="18">
        <v>0.37128</v>
      </c>
      <c r="AB145" s="18">
        <v>0.66044999999999998</v>
      </c>
      <c r="AC145" s="18">
        <v>0.20348999999999998</v>
      </c>
      <c r="AD145" s="18">
        <v>1.071</v>
      </c>
    </row>
    <row r="146" spans="2:30" x14ac:dyDescent="0.25">
      <c r="B146" t="s">
        <v>269</v>
      </c>
      <c r="C146" t="s">
        <v>105</v>
      </c>
      <c r="D146" t="s">
        <v>750</v>
      </c>
      <c r="E146" s="35">
        <v>0.9</v>
      </c>
      <c r="F146" s="35">
        <v>6.6</v>
      </c>
      <c r="G146" s="36">
        <v>3.0200000000000001E-3</v>
      </c>
      <c r="H146" s="18">
        <v>5.4352980000000004</v>
      </c>
      <c r="I146" s="16" t="s">
        <v>746</v>
      </c>
      <c r="J146" s="16"/>
      <c r="K146" s="16"/>
      <c r="L146" s="37"/>
      <c r="M146" s="37"/>
      <c r="N146" s="37"/>
      <c r="O146" s="37"/>
      <c r="P146" s="37"/>
      <c r="Q146" s="18">
        <v>3.322E-2</v>
      </c>
      <c r="R146" s="18">
        <v>2.265E-4</v>
      </c>
      <c r="S146" s="18">
        <v>6.3420000000000004E-2</v>
      </c>
      <c r="T146" s="18">
        <v>0.27179999999999999</v>
      </c>
      <c r="U146" s="18">
        <v>0.13589999999999999</v>
      </c>
      <c r="V146" s="18">
        <v>1.7395200000000002</v>
      </c>
      <c r="W146" s="18">
        <v>1.6308</v>
      </c>
      <c r="X146" s="18">
        <v>1.0871999999999999</v>
      </c>
      <c r="Y146" s="18">
        <v>4.8320000000000002E-2</v>
      </c>
      <c r="Z146" s="18">
        <v>0.21442</v>
      </c>
      <c r="AA146" s="18">
        <v>0.31408000000000003</v>
      </c>
      <c r="AB146" s="18">
        <v>0.55869999999999997</v>
      </c>
      <c r="AC146" s="18">
        <v>0.17214000000000002</v>
      </c>
      <c r="AD146" s="18">
        <v>0.90600000000000003</v>
      </c>
    </row>
    <row r="147" spans="2:30" x14ac:dyDescent="0.25">
      <c r="B147" t="s">
        <v>269</v>
      </c>
      <c r="C147" t="s">
        <v>105</v>
      </c>
      <c r="D147" t="s">
        <v>748</v>
      </c>
      <c r="E147" s="35">
        <v>0.9</v>
      </c>
      <c r="F147" s="35">
        <v>6.6</v>
      </c>
      <c r="G147" s="36">
        <v>4.1200000000000004E-3</v>
      </c>
      <c r="H147" s="18">
        <v>7.4152979999999999</v>
      </c>
      <c r="I147" s="16" t="s">
        <v>746</v>
      </c>
      <c r="J147" s="16"/>
      <c r="K147" s="16"/>
      <c r="L147" s="37"/>
      <c r="M147" s="37"/>
      <c r="N147" s="37"/>
      <c r="O147" s="37"/>
      <c r="P147" s="37"/>
      <c r="Q147" s="18">
        <v>4.5320000000000006E-2</v>
      </c>
      <c r="R147" s="18">
        <v>3.0900000000000003E-4</v>
      </c>
      <c r="S147" s="18">
        <v>8.6520000000000014E-2</v>
      </c>
      <c r="T147" s="18">
        <v>0.37080000000000002</v>
      </c>
      <c r="U147" s="18">
        <v>0.18540000000000001</v>
      </c>
      <c r="V147" s="18">
        <v>2.3731200000000001</v>
      </c>
      <c r="W147" s="18">
        <v>2.2248000000000001</v>
      </c>
      <c r="X147" s="18">
        <v>1.4832000000000001</v>
      </c>
      <c r="Y147" s="18">
        <v>6.5920000000000006E-2</v>
      </c>
      <c r="Z147" s="18">
        <v>0.29252</v>
      </c>
      <c r="AA147" s="18">
        <v>0.42848000000000003</v>
      </c>
      <c r="AB147" s="18">
        <v>0.7622000000000001</v>
      </c>
      <c r="AC147" s="18">
        <v>0.23484000000000002</v>
      </c>
      <c r="AD147" s="18">
        <v>1.2360000000000002</v>
      </c>
    </row>
    <row r="148" spans="2:30" x14ac:dyDescent="0.25">
      <c r="B148" t="s">
        <v>269</v>
      </c>
      <c r="C148" t="s">
        <v>105</v>
      </c>
      <c r="D148" t="s">
        <v>749</v>
      </c>
      <c r="E148" s="35">
        <v>0.9</v>
      </c>
      <c r="F148" s="35">
        <v>6.6</v>
      </c>
      <c r="G148" s="36">
        <v>3.5699999999999998E-3</v>
      </c>
      <c r="H148" s="18">
        <v>6.4252979999999997</v>
      </c>
      <c r="I148" s="16" t="s">
        <v>746</v>
      </c>
      <c r="J148" s="16"/>
      <c r="K148" s="16"/>
      <c r="L148" s="37"/>
      <c r="M148" s="37"/>
      <c r="N148" s="37"/>
      <c r="O148" s="37"/>
      <c r="P148" s="37"/>
      <c r="Q148" s="18">
        <v>3.9269999999999999E-2</v>
      </c>
      <c r="R148" s="18">
        <v>2.6774999999999998E-4</v>
      </c>
      <c r="S148" s="18">
        <v>7.4969999999999995E-2</v>
      </c>
      <c r="T148" s="18">
        <v>0.32129999999999997</v>
      </c>
      <c r="U148" s="18">
        <v>0.16064999999999999</v>
      </c>
      <c r="V148" s="18">
        <v>2.0563199999999999</v>
      </c>
      <c r="W148" s="18">
        <v>1.9278</v>
      </c>
      <c r="X148" s="18">
        <v>1.2851999999999999</v>
      </c>
      <c r="Y148" s="18">
        <v>5.7119999999999997E-2</v>
      </c>
      <c r="Z148" s="18">
        <v>0.25346999999999997</v>
      </c>
      <c r="AA148" s="18">
        <v>0.37128</v>
      </c>
      <c r="AB148" s="18">
        <v>0.66044999999999998</v>
      </c>
      <c r="AC148" s="18">
        <v>0.20348999999999998</v>
      </c>
      <c r="AD148" s="18">
        <v>1.071</v>
      </c>
    </row>
    <row r="149" spans="2:30" x14ac:dyDescent="0.25">
      <c r="B149" t="s">
        <v>269</v>
      </c>
      <c r="C149" t="s">
        <v>105</v>
      </c>
      <c r="D149" t="s">
        <v>749</v>
      </c>
      <c r="E149" s="35">
        <v>0.9</v>
      </c>
      <c r="F149" s="35">
        <v>6.6</v>
      </c>
      <c r="G149" s="36">
        <v>3.5699999999999998E-3</v>
      </c>
      <c r="H149" s="18">
        <v>6.4252979999999997</v>
      </c>
      <c r="I149" s="16" t="s">
        <v>746</v>
      </c>
      <c r="J149" s="16"/>
      <c r="K149" s="16"/>
      <c r="L149" s="37"/>
      <c r="M149" s="37"/>
      <c r="N149" s="37"/>
      <c r="O149" s="37"/>
      <c r="P149" s="37"/>
      <c r="Q149" s="18">
        <v>3.9269999999999999E-2</v>
      </c>
      <c r="R149" s="18">
        <v>2.6774999999999998E-4</v>
      </c>
      <c r="S149" s="18">
        <v>7.4969999999999995E-2</v>
      </c>
      <c r="T149" s="18">
        <v>0.32129999999999997</v>
      </c>
      <c r="U149" s="18">
        <v>0.16064999999999999</v>
      </c>
      <c r="V149" s="18">
        <v>2.0563199999999999</v>
      </c>
      <c r="W149" s="18">
        <v>1.9278</v>
      </c>
      <c r="X149" s="18">
        <v>1.2851999999999999</v>
      </c>
      <c r="Y149" s="18">
        <v>5.7119999999999997E-2</v>
      </c>
      <c r="Z149" s="18">
        <v>0.25346999999999997</v>
      </c>
      <c r="AA149" s="18">
        <v>0.37128</v>
      </c>
      <c r="AB149" s="18">
        <v>0.66044999999999998</v>
      </c>
      <c r="AC149" s="18">
        <v>0.20348999999999998</v>
      </c>
      <c r="AD149" s="18">
        <v>1.071</v>
      </c>
    </row>
    <row r="150" spans="2:30" x14ac:dyDescent="0.25">
      <c r="B150" t="s">
        <v>269</v>
      </c>
      <c r="C150" t="s">
        <v>105</v>
      </c>
      <c r="D150" t="s">
        <v>748</v>
      </c>
      <c r="E150" s="35">
        <v>0.9</v>
      </c>
      <c r="F150" s="35">
        <v>6.6</v>
      </c>
      <c r="G150" s="36">
        <v>4.1200000000000004E-3</v>
      </c>
      <c r="H150" s="18">
        <v>7.4152979999999999</v>
      </c>
      <c r="I150" s="16" t="s">
        <v>746</v>
      </c>
      <c r="J150" s="16"/>
      <c r="K150" s="16"/>
      <c r="L150" s="37"/>
      <c r="M150" s="37"/>
      <c r="N150" s="37"/>
      <c r="O150" s="37"/>
      <c r="P150" s="37"/>
      <c r="Q150" s="18">
        <v>4.5320000000000006E-2</v>
      </c>
      <c r="R150" s="18">
        <v>3.0900000000000003E-4</v>
      </c>
      <c r="S150" s="18">
        <v>8.6520000000000014E-2</v>
      </c>
      <c r="T150" s="18">
        <v>0.37080000000000002</v>
      </c>
      <c r="U150" s="18">
        <v>0.18540000000000001</v>
      </c>
      <c r="V150" s="18">
        <v>2.3731200000000001</v>
      </c>
      <c r="W150" s="18">
        <v>2.2248000000000001</v>
      </c>
      <c r="X150" s="18">
        <v>1.4832000000000001</v>
      </c>
      <c r="Y150" s="18">
        <v>6.5920000000000006E-2</v>
      </c>
      <c r="Z150" s="18">
        <v>0.29252</v>
      </c>
      <c r="AA150" s="18">
        <v>0.42848000000000003</v>
      </c>
      <c r="AB150" s="18">
        <v>0.7622000000000001</v>
      </c>
      <c r="AC150" s="18">
        <v>0.23484000000000002</v>
      </c>
      <c r="AD150" s="18">
        <v>1.2360000000000002</v>
      </c>
    </row>
    <row r="151" spans="2:30" x14ac:dyDescent="0.25">
      <c r="B151" t="s">
        <v>269</v>
      </c>
      <c r="C151" t="s">
        <v>105</v>
      </c>
      <c r="D151" t="s">
        <v>750</v>
      </c>
      <c r="E151" s="35">
        <v>0.9</v>
      </c>
      <c r="F151" s="35">
        <v>6.6</v>
      </c>
      <c r="G151" s="36">
        <v>3.0200000000000001E-3</v>
      </c>
      <c r="H151" s="18">
        <v>5.4352980000000004</v>
      </c>
      <c r="I151" s="16" t="s">
        <v>746</v>
      </c>
      <c r="J151" s="16"/>
      <c r="K151" s="16"/>
      <c r="L151" s="37"/>
      <c r="M151" s="37"/>
      <c r="N151" s="37"/>
      <c r="O151" s="37"/>
      <c r="P151" s="37"/>
      <c r="Q151" s="18">
        <v>3.322E-2</v>
      </c>
      <c r="R151" s="18">
        <v>2.265E-4</v>
      </c>
      <c r="S151" s="18">
        <v>6.3420000000000004E-2</v>
      </c>
      <c r="T151" s="18">
        <v>0.27179999999999999</v>
      </c>
      <c r="U151" s="18">
        <v>0.13589999999999999</v>
      </c>
      <c r="V151" s="18">
        <v>1.7395200000000002</v>
      </c>
      <c r="W151" s="18">
        <v>1.6308</v>
      </c>
      <c r="X151" s="18">
        <v>1.0871999999999999</v>
      </c>
      <c r="Y151" s="18">
        <v>4.8320000000000002E-2</v>
      </c>
      <c r="Z151" s="18">
        <v>0.21442</v>
      </c>
      <c r="AA151" s="18">
        <v>0.31408000000000003</v>
      </c>
      <c r="AB151" s="18">
        <v>0.55869999999999997</v>
      </c>
      <c r="AC151" s="18">
        <v>0.17214000000000002</v>
      </c>
      <c r="AD151" s="18">
        <v>0.90600000000000003</v>
      </c>
    </row>
    <row r="152" spans="2:30" x14ac:dyDescent="0.25">
      <c r="B152" t="s">
        <v>269</v>
      </c>
      <c r="C152" t="s">
        <v>105</v>
      </c>
      <c r="D152" t="s">
        <v>749</v>
      </c>
      <c r="E152" s="35">
        <v>0.9</v>
      </c>
      <c r="F152" s="35">
        <v>6.6</v>
      </c>
      <c r="G152" s="36">
        <v>3.5699999999999998E-3</v>
      </c>
      <c r="H152" s="18">
        <v>6.4252979999999997</v>
      </c>
      <c r="I152" s="16" t="s">
        <v>746</v>
      </c>
      <c r="J152" s="16"/>
      <c r="K152" s="16"/>
      <c r="L152" s="37"/>
      <c r="M152" s="37"/>
      <c r="N152" s="37"/>
      <c r="O152" s="37"/>
      <c r="P152" s="37"/>
      <c r="Q152" s="18">
        <v>3.9269999999999999E-2</v>
      </c>
      <c r="R152" s="18">
        <v>2.6774999999999998E-4</v>
      </c>
      <c r="S152" s="18">
        <v>7.4969999999999995E-2</v>
      </c>
      <c r="T152" s="18">
        <v>0.32129999999999997</v>
      </c>
      <c r="U152" s="18">
        <v>0.16064999999999999</v>
      </c>
      <c r="V152" s="18">
        <v>2.0563199999999999</v>
      </c>
      <c r="W152" s="18">
        <v>1.9278</v>
      </c>
      <c r="X152" s="18">
        <v>1.2851999999999999</v>
      </c>
      <c r="Y152" s="18">
        <v>5.7119999999999997E-2</v>
      </c>
      <c r="Z152" s="18">
        <v>0.25346999999999997</v>
      </c>
      <c r="AA152" s="18">
        <v>0.37128</v>
      </c>
      <c r="AB152" s="18">
        <v>0.66044999999999998</v>
      </c>
      <c r="AC152" s="18">
        <v>0.20348999999999998</v>
      </c>
      <c r="AD152" s="18">
        <v>1.071</v>
      </c>
    </row>
    <row r="153" spans="2:30" x14ac:dyDescent="0.25">
      <c r="B153" t="s">
        <v>269</v>
      </c>
      <c r="C153" t="s">
        <v>105</v>
      </c>
      <c r="D153" t="s">
        <v>749</v>
      </c>
      <c r="E153" s="35">
        <v>0.9</v>
      </c>
      <c r="F153" s="35">
        <v>6.6</v>
      </c>
      <c r="G153" s="36">
        <v>3.5699999999999998E-3</v>
      </c>
      <c r="H153" s="18">
        <v>6.4252979999999997</v>
      </c>
      <c r="I153" s="16" t="s">
        <v>746</v>
      </c>
      <c r="J153" s="16"/>
      <c r="K153" s="16"/>
      <c r="L153" s="37"/>
      <c r="M153" s="37"/>
      <c r="N153" s="37"/>
      <c r="O153" s="37"/>
      <c r="P153" s="37"/>
      <c r="Q153" s="18">
        <v>3.9269999999999999E-2</v>
      </c>
      <c r="R153" s="18">
        <v>2.6774999999999998E-4</v>
      </c>
      <c r="S153" s="18">
        <v>7.4969999999999995E-2</v>
      </c>
      <c r="T153" s="18">
        <v>0.32129999999999997</v>
      </c>
      <c r="U153" s="18">
        <v>0.16064999999999999</v>
      </c>
      <c r="V153" s="18">
        <v>2.0563199999999999</v>
      </c>
      <c r="W153" s="18">
        <v>1.9278</v>
      </c>
      <c r="X153" s="18">
        <v>1.2851999999999999</v>
      </c>
      <c r="Y153" s="18">
        <v>5.7119999999999997E-2</v>
      </c>
      <c r="Z153" s="18">
        <v>0.25346999999999997</v>
      </c>
      <c r="AA153" s="18">
        <v>0.37128</v>
      </c>
      <c r="AB153" s="18">
        <v>0.66044999999999998</v>
      </c>
      <c r="AC153" s="18">
        <v>0.20348999999999998</v>
      </c>
      <c r="AD153" s="18">
        <v>1.071</v>
      </c>
    </row>
    <row r="154" spans="2:30" x14ac:dyDescent="0.25">
      <c r="B154" t="s">
        <v>269</v>
      </c>
      <c r="C154" t="s">
        <v>105</v>
      </c>
      <c r="D154" t="s">
        <v>748</v>
      </c>
      <c r="E154" s="35">
        <v>0.9</v>
      </c>
      <c r="F154" s="35">
        <v>6.6</v>
      </c>
      <c r="G154" s="36">
        <v>4.1200000000000004E-3</v>
      </c>
      <c r="H154" s="18">
        <v>7.4152979999999999</v>
      </c>
      <c r="I154" s="16" t="s">
        <v>746</v>
      </c>
      <c r="J154" s="16"/>
      <c r="K154" s="16"/>
      <c r="L154" s="37"/>
      <c r="M154" s="37"/>
      <c r="N154" s="37"/>
      <c r="O154" s="37"/>
      <c r="P154" s="37"/>
      <c r="Q154" s="18">
        <v>4.5320000000000006E-2</v>
      </c>
      <c r="R154" s="18">
        <v>3.0900000000000003E-4</v>
      </c>
      <c r="S154" s="18">
        <v>8.6520000000000014E-2</v>
      </c>
      <c r="T154" s="18">
        <v>0.37080000000000002</v>
      </c>
      <c r="U154" s="18">
        <v>0.18540000000000001</v>
      </c>
      <c r="V154" s="18">
        <v>2.3731200000000001</v>
      </c>
      <c r="W154" s="18">
        <v>2.2248000000000001</v>
      </c>
      <c r="X154" s="18">
        <v>1.4832000000000001</v>
      </c>
      <c r="Y154" s="18">
        <v>6.5920000000000006E-2</v>
      </c>
      <c r="Z154" s="18">
        <v>0.29252</v>
      </c>
      <c r="AA154" s="18">
        <v>0.42848000000000003</v>
      </c>
      <c r="AB154" s="18">
        <v>0.7622000000000001</v>
      </c>
      <c r="AC154" s="18">
        <v>0.23484000000000002</v>
      </c>
      <c r="AD154" s="18">
        <v>1.2360000000000002</v>
      </c>
    </row>
    <row r="155" spans="2:30" x14ac:dyDescent="0.25">
      <c r="B155" t="s">
        <v>269</v>
      </c>
      <c r="C155" t="s">
        <v>105</v>
      </c>
      <c r="D155" t="s">
        <v>749</v>
      </c>
      <c r="E155" s="35">
        <v>0.9</v>
      </c>
      <c r="F155" s="35">
        <v>6.6</v>
      </c>
      <c r="G155" s="36">
        <v>3.5699999999999998E-3</v>
      </c>
      <c r="H155" s="18">
        <v>6.4252979999999997</v>
      </c>
      <c r="I155" s="16" t="s">
        <v>746</v>
      </c>
      <c r="J155" s="16"/>
      <c r="K155" s="16"/>
      <c r="L155" s="37"/>
      <c r="M155" s="37"/>
      <c r="N155" s="37"/>
      <c r="O155" s="37"/>
      <c r="P155" s="37"/>
      <c r="Q155" s="18">
        <v>3.9269999999999999E-2</v>
      </c>
      <c r="R155" s="18">
        <v>2.6774999999999998E-4</v>
      </c>
      <c r="S155" s="18">
        <v>7.4969999999999995E-2</v>
      </c>
      <c r="T155" s="18">
        <v>0.32129999999999997</v>
      </c>
      <c r="U155" s="18">
        <v>0.16064999999999999</v>
      </c>
      <c r="V155" s="18">
        <v>2.0563199999999999</v>
      </c>
      <c r="W155" s="18">
        <v>1.9278</v>
      </c>
      <c r="X155" s="18">
        <v>1.2851999999999999</v>
      </c>
      <c r="Y155" s="18">
        <v>5.7119999999999997E-2</v>
      </c>
      <c r="Z155" s="18">
        <v>0.25346999999999997</v>
      </c>
      <c r="AA155" s="18">
        <v>0.37128</v>
      </c>
      <c r="AB155" s="18">
        <v>0.66044999999999998</v>
      </c>
      <c r="AC155" s="18">
        <v>0.20348999999999998</v>
      </c>
      <c r="AD155" s="18">
        <v>1.071</v>
      </c>
    </row>
    <row r="156" spans="2:30" x14ac:dyDescent="0.25">
      <c r="B156" t="s">
        <v>269</v>
      </c>
      <c r="C156" t="s">
        <v>105</v>
      </c>
      <c r="D156" t="s">
        <v>748</v>
      </c>
      <c r="E156" s="35">
        <v>0.9</v>
      </c>
      <c r="F156" s="35">
        <v>6.6</v>
      </c>
      <c r="G156" s="36">
        <v>4.1200000000000004E-3</v>
      </c>
      <c r="H156" s="18">
        <v>7.4152979999999999</v>
      </c>
      <c r="I156" s="16" t="s">
        <v>746</v>
      </c>
      <c r="J156" s="16"/>
      <c r="K156" s="16"/>
      <c r="L156" s="37"/>
      <c r="M156" s="37"/>
      <c r="N156" s="37"/>
      <c r="O156" s="37"/>
      <c r="P156" s="37"/>
      <c r="Q156" s="18">
        <v>4.5320000000000006E-2</v>
      </c>
      <c r="R156" s="18">
        <v>3.0900000000000003E-4</v>
      </c>
      <c r="S156" s="18">
        <v>8.6520000000000014E-2</v>
      </c>
      <c r="T156" s="18">
        <v>0.37080000000000002</v>
      </c>
      <c r="U156" s="18">
        <v>0.18540000000000001</v>
      </c>
      <c r="V156" s="18">
        <v>2.3731200000000001</v>
      </c>
      <c r="W156" s="18">
        <v>2.2248000000000001</v>
      </c>
      <c r="X156" s="18">
        <v>1.4832000000000001</v>
      </c>
      <c r="Y156" s="18">
        <v>6.5920000000000006E-2</v>
      </c>
      <c r="Z156" s="18">
        <v>0.29252</v>
      </c>
      <c r="AA156" s="18">
        <v>0.42848000000000003</v>
      </c>
      <c r="AB156" s="18">
        <v>0.7622000000000001</v>
      </c>
      <c r="AC156" s="18">
        <v>0.23484000000000002</v>
      </c>
      <c r="AD156" s="18">
        <v>1.2360000000000002</v>
      </c>
    </row>
    <row r="157" spans="2:30" x14ac:dyDescent="0.25">
      <c r="B157" t="s">
        <v>269</v>
      </c>
      <c r="C157" t="s">
        <v>105</v>
      </c>
      <c r="D157" t="s">
        <v>749</v>
      </c>
      <c r="E157" s="35">
        <v>0.9</v>
      </c>
      <c r="F157" s="35">
        <v>6.6</v>
      </c>
      <c r="G157" s="36">
        <v>3.5699999999999998E-3</v>
      </c>
      <c r="H157" s="18">
        <v>6.4252979999999997</v>
      </c>
      <c r="I157" s="16" t="s">
        <v>746</v>
      </c>
      <c r="J157" s="16"/>
      <c r="K157" s="16"/>
      <c r="L157" s="37"/>
      <c r="M157" s="37"/>
      <c r="N157" s="37"/>
      <c r="O157" s="37"/>
      <c r="P157" s="37"/>
      <c r="Q157" s="18">
        <v>3.9269999999999999E-2</v>
      </c>
      <c r="R157" s="18">
        <v>2.6774999999999998E-4</v>
      </c>
      <c r="S157" s="18">
        <v>7.4969999999999995E-2</v>
      </c>
      <c r="T157" s="18">
        <v>0.32129999999999997</v>
      </c>
      <c r="U157" s="18">
        <v>0.16064999999999999</v>
      </c>
      <c r="V157" s="18">
        <v>2.0563199999999999</v>
      </c>
      <c r="W157" s="18">
        <v>1.9278</v>
      </c>
      <c r="X157" s="18">
        <v>1.2851999999999999</v>
      </c>
      <c r="Y157" s="18">
        <v>5.7119999999999997E-2</v>
      </c>
      <c r="Z157" s="18">
        <v>0.25346999999999997</v>
      </c>
      <c r="AA157" s="18">
        <v>0.37128</v>
      </c>
      <c r="AB157" s="18">
        <v>0.66044999999999998</v>
      </c>
      <c r="AC157" s="18">
        <v>0.20348999999999998</v>
      </c>
      <c r="AD157" s="18">
        <v>1.071</v>
      </c>
    </row>
    <row r="158" spans="2:30" x14ac:dyDescent="0.25">
      <c r="B158" t="s">
        <v>269</v>
      </c>
      <c r="C158" t="s">
        <v>105</v>
      </c>
      <c r="D158" t="s">
        <v>750</v>
      </c>
      <c r="E158" s="35">
        <v>0.9</v>
      </c>
      <c r="F158" s="35">
        <v>6.6</v>
      </c>
      <c r="G158" s="36">
        <v>3.0200000000000001E-3</v>
      </c>
      <c r="H158" s="18">
        <v>5.4352980000000004</v>
      </c>
      <c r="I158" s="16" t="s">
        <v>746</v>
      </c>
      <c r="J158" s="16"/>
      <c r="K158" s="16"/>
      <c r="L158" s="37"/>
      <c r="M158" s="37"/>
      <c r="N158" s="37"/>
      <c r="O158" s="37"/>
      <c r="P158" s="37"/>
      <c r="Q158" s="18">
        <v>3.322E-2</v>
      </c>
      <c r="R158" s="18">
        <v>2.265E-4</v>
      </c>
      <c r="S158" s="18">
        <v>6.3420000000000004E-2</v>
      </c>
      <c r="T158" s="18">
        <v>0.27179999999999999</v>
      </c>
      <c r="U158" s="18">
        <v>0.13589999999999999</v>
      </c>
      <c r="V158" s="18">
        <v>1.7395200000000002</v>
      </c>
      <c r="W158" s="18">
        <v>1.6308</v>
      </c>
      <c r="X158" s="18">
        <v>1.0871999999999999</v>
      </c>
      <c r="Y158" s="18">
        <v>4.8320000000000002E-2</v>
      </c>
      <c r="Z158" s="18">
        <v>0.21442</v>
      </c>
      <c r="AA158" s="18">
        <v>0.31408000000000003</v>
      </c>
      <c r="AB158" s="18">
        <v>0.55869999999999997</v>
      </c>
      <c r="AC158" s="18">
        <v>0.17214000000000002</v>
      </c>
      <c r="AD158" s="18">
        <v>0.90600000000000003</v>
      </c>
    </row>
    <row r="159" spans="2:30" x14ac:dyDescent="0.25">
      <c r="B159" t="s">
        <v>269</v>
      </c>
      <c r="C159" t="s">
        <v>105</v>
      </c>
      <c r="D159" t="s">
        <v>748</v>
      </c>
      <c r="E159" s="35">
        <v>0.9</v>
      </c>
      <c r="F159" s="35">
        <v>6.6</v>
      </c>
      <c r="G159" s="36">
        <v>4.1200000000000004E-3</v>
      </c>
      <c r="H159" s="18">
        <v>7.4152979999999999</v>
      </c>
      <c r="I159" s="16" t="s">
        <v>746</v>
      </c>
      <c r="J159" s="16"/>
      <c r="K159" s="16"/>
      <c r="L159" s="37"/>
      <c r="M159" s="37"/>
      <c r="N159" s="37"/>
      <c r="O159" s="37"/>
      <c r="P159" s="37"/>
      <c r="Q159" s="18">
        <v>4.5320000000000006E-2</v>
      </c>
      <c r="R159" s="18">
        <v>3.0900000000000003E-4</v>
      </c>
      <c r="S159" s="18">
        <v>8.6520000000000014E-2</v>
      </c>
      <c r="T159" s="18">
        <v>0.37080000000000002</v>
      </c>
      <c r="U159" s="18">
        <v>0.18540000000000001</v>
      </c>
      <c r="V159" s="18">
        <v>2.3731200000000001</v>
      </c>
      <c r="W159" s="18">
        <v>2.2248000000000001</v>
      </c>
      <c r="X159" s="18">
        <v>1.4832000000000001</v>
      </c>
      <c r="Y159" s="18">
        <v>6.5920000000000006E-2</v>
      </c>
      <c r="Z159" s="18">
        <v>0.29252</v>
      </c>
      <c r="AA159" s="18">
        <v>0.42848000000000003</v>
      </c>
      <c r="AB159" s="18">
        <v>0.7622000000000001</v>
      </c>
      <c r="AC159" s="18">
        <v>0.23484000000000002</v>
      </c>
      <c r="AD159" s="18">
        <v>1.2360000000000002</v>
      </c>
    </row>
    <row r="160" spans="2:30" x14ac:dyDescent="0.25">
      <c r="B160" t="s">
        <v>269</v>
      </c>
      <c r="C160" t="s">
        <v>105</v>
      </c>
      <c r="D160" t="s">
        <v>749</v>
      </c>
      <c r="E160" s="35">
        <v>0.9</v>
      </c>
      <c r="F160" s="35">
        <v>6.6</v>
      </c>
      <c r="G160" s="36">
        <v>3.5699999999999998E-3</v>
      </c>
      <c r="H160" s="18">
        <v>6.4252979999999997</v>
      </c>
      <c r="I160" s="16" t="s">
        <v>746</v>
      </c>
      <c r="J160" s="16"/>
      <c r="K160" s="16"/>
      <c r="L160" s="37"/>
      <c r="M160" s="37"/>
      <c r="N160" s="37"/>
      <c r="O160" s="37"/>
      <c r="P160" s="37"/>
      <c r="Q160" s="18">
        <v>3.9269999999999999E-2</v>
      </c>
      <c r="R160" s="18">
        <v>2.6774999999999998E-4</v>
      </c>
      <c r="S160" s="18">
        <v>7.4969999999999995E-2</v>
      </c>
      <c r="T160" s="18">
        <v>0.32129999999999997</v>
      </c>
      <c r="U160" s="18">
        <v>0.16064999999999999</v>
      </c>
      <c r="V160" s="18">
        <v>2.0563199999999999</v>
      </c>
      <c r="W160" s="18">
        <v>1.9278</v>
      </c>
      <c r="X160" s="18">
        <v>1.2851999999999999</v>
      </c>
      <c r="Y160" s="18">
        <v>5.7119999999999997E-2</v>
      </c>
      <c r="Z160" s="18">
        <v>0.25346999999999997</v>
      </c>
      <c r="AA160" s="18">
        <v>0.37128</v>
      </c>
      <c r="AB160" s="18">
        <v>0.66044999999999998</v>
      </c>
      <c r="AC160" s="18">
        <v>0.20348999999999998</v>
      </c>
      <c r="AD160" s="18">
        <v>1.071</v>
      </c>
    </row>
    <row r="161" spans="2:30" x14ac:dyDescent="0.25">
      <c r="B161" t="s">
        <v>269</v>
      </c>
      <c r="C161" t="s">
        <v>105</v>
      </c>
      <c r="D161" t="s">
        <v>749</v>
      </c>
      <c r="E161" s="35">
        <v>0.9</v>
      </c>
      <c r="F161" s="35">
        <v>6.6</v>
      </c>
      <c r="G161" s="36">
        <v>3.5699999999999998E-3</v>
      </c>
      <c r="H161" s="18">
        <v>6.4252979999999997</v>
      </c>
      <c r="I161" s="16" t="s">
        <v>746</v>
      </c>
      <c r="J161" s="16"/>
      <c r="K161" s="16"/>
      <c r="L161" s="37"/>
      <c r="M161" s="37"/>
      <c r="N161" s="37"/>
      <c r="O161" s="37"/>
      <c r="P161" s="37"/>
      <c r="Q161" s="18">
        <v>3.9269999999999999E-2</v>
      </c>
      <c r="R161" s="18">
        <v>2.6774999999999998E-4</v>
      </c>
      <c r="S161" s="18">
        <v>7.4969999999999995E-2</v>
      </c>
      <c r="T161" s="18">
        <v>0.32129999999999997</v>
      </c>
      <c r="U161" s="18">
        <v>0.16064999999999999</v>
      </c>
      <c r="V161" s="18">
        <v>2.0563199999999999</v>
      </c>
      <c r="W161" s="18">
        <v>1.9278</v>
      </c>
      <c r="X161" s="18">
        <v>1.2851999999999999</v>
      </c>
      <c r="Y161" s="18">
        <v>5.7119999999999997E-2</v>
      </c>
      <c r="Z161" s="18">
        <v>0.25346999999999997</v>
      </c>
      <c r="AA161" s="18">
        <v>0.37128</v>
      </c>
      <c r="AB161" s="18">
        <v>0.66044999999999998</v>
      </c>
      <c r="AC161" s="18">
        <v>0.20348999999999998</v>
      </c>
      <c r="AD161" s="18">
        <v>1.071</v>
      </c>
    </row>
    <row r="162" spans="2:30" x14ac:dyDescent="0.25">
      <c r="B162" t="s">
        <v>269</v>
      </c>
      <c r="C162" t="s">
        <v>105</v>
      </c>
      <c r="D162" t="s">
        <v>748</v>
      </c>
      <c r="E162" s="35">
        <v>0.9</v>
      </c>
      <c r="F162" s="35">
        <v>6.6</v>
      </c>
      <c r="G162" s="36">
        <v>4.1200000000000004E-3</v>
      </c>
      <c r="H162" s="18">
        <v>7.4152979999999999</v>
      </c>
      <c r="I162" s="16" t="s">
        <v>746</v>
      </c>
      <c r="J162" s="16"/>
      <c r="K162" s="16"/>
      <c r="L162" s="37"/>
      <c r="M162" s="37"/>
      <c r="N162" s="37"/>
      <c r="O162" s="37"/>
      <c r="P162" s="37"/>
      <c r="Q162" s="18">
        <v>4.5320000000000006E-2</v>
      </c>
      <c r="R162" s="18">
        <v>3.0900000000000003E-4</v>
      </c>
      <c r="S162" s="18">
        <v>8.6520000000000014E-2</v>
      </c>
      <c r="T162" s="18">
        <v>0.37080000000000002</v>
      </c>
      <c r="U162" s="18">
        <v>0.18540000000000001</v>
      </c>
      <c r="V162" s="18">
        <v>2.3731200000000001</v>
      </c>
      <c r="W162" s="18">
        <v>2.2248000000000001</v>
      </c>
      <c r="X162" s="18">
        <v>1.4832000000000001</v>
      </c>
      <c r="Y162" s="18">
        <v>6.5920000000000006E-2</v>
      </c>
      <c r="Z162" s="18">
        <v>0.29252</v>
      </c>
      <c r="AA162" s="18">
        <v>0.42848000000000003</v>
      </c>
      <c r="AB162" s="18">
        <v>0.7622000000000001</v>
      </c>
      <c r="AC162" s="18">
        <v>0.23484000000000002</v>
      </c>
      <c r="AD162" s="18">
        <v>1.2360000000000002</v>
      </c>
    </row>
    <row r="163" spans="2:30" x14ac:dyDescent="0.25">
      <c r="B163" t="s">
        <v>269</v>
      </c>
      <c r="C163" t="s">
        <v>105</v>
      </c>
      <c r="D163" t="s">
        <v>749</v>
      </c>
      <c r="E163" s="35">
        <v>0.9</v>
      </c>
      <c r="F163" s="35">
        <v>6.6</v>
      </c>
      <c r="G163" s="36">
        <v>3.5699999999999998E-3</v>
      </c>
      <c r="H163" s="18">
        <v>6.4252979999999997</v>
      </c>
      <c r="I163" s="16" t="s">
        <v>746</v>
      </c>
      <c r="J163" s="16"/>
      <c r="K163" s="16"/>
      <c r="L163" s="37"/>
      <c r="M163" s="37"/>
      <c r="N163" s="37"/>
      <c r="O163" s="37"/>
      <c r="P163" s="37"/>
      <c r="Q163" s="18">
        <v>3.9269999999999999E-2</v>
      </c>
      <c r="R163" s="18">
        <v>2.6774999999999998E-4</v>
      </c>
      <c r="S163" s="18">
        <v>7.4969999999999995E-2</v>
      </c>
      <c r="T163" s="18">
        <v>0.32129999999999997</v>
      </c>
      <c r="U163" s="18">
        <v>0.16064999999999999</v>
      </c>
      <c r="V163" s="18">
        <v>2.0563199999999999</v>
      </c>
      <c r="W163" s="18">
        <v>1.9278</v>
      </c>
      <c r="X163" s="18">
        <v>1.2851999999999999</v>
      </c>
      <c r="Y163" s="18">
        <v>5.7119999999999997E-2</v>
      </c>
      <c r="Z163" s="18">
        <v>0.25346999999999997</v>
      </c>
      <c r="AA163" s="18">
        <v>0.37128</v>
      </c>
      <c r="AB163" s="18">
        <v>0.66044999999999998</v>
      </c>
      <c r="AC163" s="18">
        <v>0.20348999999999998</v>
      </c>
      <c r="AD163" s="18">
        <v>1.071</v>
      </c>
    </row>
    <row r="164" spans="2:30" x14ac:dyDescent="0.25">
      <c r="B164" t="s">
        <v>269</v>
      </c>
      <c r="C164" t="s">
        <v>105</v>
      </c>
      <c r="D164" t="s">
        <v>748</v>
      </c>
      <c r="E164" s="35">
        <v>0.9</v>
      </c>
      <c r="F164" s="35">
        <v>6.6</v>
      </c>
      <c r="G164" s="36">
        <v>4.1200000000000004E-3</v>
      </c>
      <c r="H164" s="18">
        <v>7.4152979999999999</v>
      </c>
      <c r="I164" s="16" t="s">
        <v>746</v>
      </c>
      <c r="J164" s="16"/>
      <c r="K164" s="16"/>
      <c r="L164" s="37"/>
      <c r="M164" s="37"/>
      <c r="N164" s="37"/>
      <c r="O164" s="37"/>
      <c r="P164" s="37"/>
      <c r="Q164" s="18">
        <v>4.5320000000000006E-2</v>
      </c>
      <c r="R164" s="18">
        <v>3.0900000000000003E-4</v>
      </c>
      <c r="S164" s="18">
        <v>8.6520000000000014E-2</v>
      </c>
      <c r="T164" s="18">
        <v>0.37080000000000002</v>
      </c>
      <c r="U164" s="18">
        <v>0.18540000000000001</v>
      </c>
      <c r="V164" s="18">
        <v>2.3731200000000001</v>
      </c>
      <c r="W164" s="18">
        <v>2.2248000000000001</v>
      </c>
      <c r="X164" s="18">
        <v>1.4832000000000001</v>
      </c>
      <c r="Y164" s="18">
        <v>6.5920000000000006E-2</v>
      </c>
      <c r="Z164" s="18">
        <v>0.29252</v>
      </c>
      <c r="AA164" s="18">
        <v>0.42848000000000003</v>
      </c>
      <c r="AB164" s="18">
        <v>0.7622000000000001</v>
      </c>
      <c r="AC164" s="18">
        <v>0.23484000000000002</v>
      </c>
      <c r="AD164" s="18">
        <v>1.2360000000000002</v>
      </c>
    </row>
    <row r="165" spans="2:30" x14ac:dyDescent="0.25">
      <c r="B165" t="s">
        <v>269</v>
      </c>
      <c r="C165" t="s">
        <v>105</v>
      </c>
      <c r="D165" t="s">
        <v>749</v>
      </c>
      <c r="E165" s="35">
        <v>0.9</v>
      </c>
      <c r="F165" s="35">
        <v>6.6</v>
      </c>
      <c r="G165" s="36">
        <v>3.5699999999999998E-3</v>
      </c>
      <c r="H165" s="18">
        <v>6.4252979999999997</v>
      </c>
      <c r="I165" s="16" t="s">
        <v>746</v>
      </c>
      <c r="J165" s="16"/>
      <c r="K165" s="16"/>
      <c r="L165" s="37"/>
      <c r="M165" s="37"/>
      <c r="N165" s="37"/>
      <c r="O165" s="37"/>
      <c r="P165" s="37"/>
      <c r="Q165" s="18">
        <v>3.9269999999999999E-2</v>
      </c>
      <c r="R165" s="18">
        <v>2.6774999999999998E-4</v>
      </c>
      <c r="S165" s="18">
        <v>7.4969999999999995E-2</v>
      </c>
      <c r="T165" s="18">
        <v>0.32129999999999997</v>
      </c>
      <c r="U165" s="18">
        <v>0.16064999999999999</v>
      </c>
      <c r="V165" s="18">
        <v>2.0563199999999999</v>
      </c>
      <c r="W165" s="18">
        <v>1.9278</v>
      </c>
      <c r="X165" s="18">
        <v>1.2851999999999999</v>
      </c>
      <c r="Y165" s="18">
        <v>5.7119999999999997E-2</v>
      </c>
      <c r="Z165" s="18">
        <v>0.25346999999999997</v>
      </c>
      <c r="AA165" s="18">
        <v>0.37128</v>
      </c>
      <c r="AB165" s="18">
        <v>0.66044999999999998</v>
      </c>
      <c r="AC165" s="18">
        <v>0.20348999999999998</v>
      </c>
      <c r="AD165" s="18">
        <v>1.071</v>
      </c>
    </row>
    <row r="166" spans="2:30" x14ac:dyDescent="0.25">
      <c r="B166" t="s">
        <v>269</v>
      </c>
      <c r="C166" t="s">
        <v>105</v>
      </c>
      <c r="D166" t="s">
        <v>747</v>
      </c>
      <c r="E166" s="35">
        <v>0.9</v>
      </c>
      <c r="F166" s="35">
        <v>6.6</v>
      </c>
      <c r="G166" s="36">
        <v>4.9449999999999997E-3</v>
      </c>
      <c r="H166" s="18">
        <v>8.9002979999999994</v>
      </c>
      <c r="I166" s="16" t="s">
        <v>746</v>
      </c>
      <c r="J166" s="16"/>
      <c r="K166" s="16"/>
      <c r="L166" s="37"/>
      <c r="M166" s="37"/>
      <c r="N166" s="37"/>
      <c r="O166" s="37"/>
      <c r="P166" s="37"/>
      <c r="Q166" s="18">
        <v>5.4394999999999999E-2</v>
      </c>
      <c r="R166" s="18">
        <v>3.7087499999999995E-4</v>
      </c>
      <c r="S166" s="18">
        <v>0.10384499999999999</v>
      </c>
      <c r="T166" s="18">
        <v>0.44505</v>
      </c>
      <c r="U166" s="18">
        <v>0.222525</v>
      </c>
      <c r="V166" s="18">
        <v>2.8483199999999997</v>
      </c>
      <c r="W166" s="18">
        <v>2.6702999999999997</v>
      </c>
      <c r="X166" s="18">
        <v>1.7802</v>
      </c>
      <c r="Y166" s="18">
        <v>7.9119999999999996E-2</v>
      </c>
      <c r="Z166" s="18">
        <v>0.35109499999999999</v>
      </c>
      <c r="AA166" s="18">
        <v>0.51427999999999996</v>
      </c>
      <c r="AB166" s="18">
        <v>0.914825</v>
      </c>
      <c r="AC166" s="18">
        <v>0.28186499999999998</v>
      </c>
      <c r="AD166" s="18">
        <v>1.4834999999999998</v>
      </c>
    </row>
    <row r="167" spans="2:30" x14ac:dyDescent="0.25">
      <c r="B167" t="s">
        <v>269</v>
      </c>
      <c r="C167" t="s">
        <v>105</v>
      </c>
      <c r="D167" t="s">
        <v>749</v>
      </c>
      <c r="E167" s="35">
        <v>0.9</v>
      </c>
      <c r="F167" s="35">
        <v>6.6</v>
      </c>
      <c r="G167" s="36">
        <v>3.5699999999999998E-3</v>
      </c>
      <c r="H167" s="18">
        <v>6.4252979999999997</v>
      </c>
      <c r="I167" s="16" t="s">
        <v>746</v>
      </c>
      <c r="J167" s="16"/>
      <c r="K167" s="16"/>
      <c r="L167" s="37"/>
      <c r="M167" s="37"/>
      <c r="N167" s="37"/>
      <c r="O167" s="37"/>
      <c r="P167" s="37"/>
      <c r="Q167" s="18">
        <v>3.9269999999999999E-2</v>
      </c>
      <c r="R167" s="18">
        <v>2.6774999999999998E-4</v>
      </c>
      <c r="S167" s="18">
        <v>7.4969999999999995E-2</v>
      </c>
      <c r="T167" s="18">
        <v>0.32129999999999997</v>
      </c>
      <c r="U167" s="18">
        <v>0.16064999999999999</v>
      </c>
      <c r="V167" s="18">
        <v>2.0563199999999999</v>
      </c>
      <c r="W167" s="18">
        <v>1.9278</v>
      </c>
      <c r="X167" s="18">
        <v>1.2851999999999999</v>
      </c>
      <c r="Y167" s="18">
        <v>5.7119999999999997E-2</v>
      </c>
      <c r="Z167" s="18">
        <v>0.25346999999999997</v>
      </c>
      <c r="AA167" s="18">
        <v>0.37128</v>
      </c>
      <c r="AB167" s="18">
        <v>0.66044999999999998</v>
      </c>
      <c r="AC167" s="18">
        <v>0.20348999999999998</v>
      </c>
      <c r="AD167" s="18">
        <v>1.071</v>
      </c>
    </row>
    <row r="168" spans="2:30" x14ac:dyDescent="0.25">
      <c r="B168" t="s">
        <v>269</v>
      </c>
      <c r="C168" t="s">
        <v>105</v>
      </c>
      <c r="D168" t="s">
        <v>748</v>
      </c>
      <c r="E168" s="35">
        <v>0.9</v>
      </c>
      <c r="F168" s="35">
        <v>6.6</v>
      </c>
      <c r="G168" s="36">
        <v>4.1200000000000004E-3</v>
      </c>
      <c r="H168" s="18">
        <v>7.4152979999999999</v>
      </c>
      <c r="I168" s="16" t="s">
        <v>746</v>
      </c>
      <c r="J168" s="16"/>
      <c r="K168" s="16"/>
      <c r="L168" s="37"/>
      <c r="M168" s="37"/>
      <c r="N168" s="37"/>
      <c r="O168" s="37"/>
      <c r="P168" s="37"/>
      <c r="Q168" s="18">
        <v>4.5320000000000006E-2</v>
      </c>
      <c r="R168" s="18">
        <v>3.0900000000000003E-4</v>
      </c>
      <c r="S168" s="18">
        <v>8.6520000000000014E-2</v>
      </c>
      <c r="T168" s="18">
        <v>0.37080000000000002</v>
      </c>
      <c r="U168" s="18">
        <v>0.18540000000000001</v>
      </c>
      <c r="V168" s="18">
        <v>2.3731200000000001</v>
      </c>
      <c r="W168" s="18">
        <v>2.2248000000000001</v>
      </c>
      <c r="X168" s="18">
        <v>1.4832000000000001</v>
      </c>
      <c r="Y168" s="18">
        <v>6.5920000000000006E-2</v>
      </c>
      <c r="Z168" s="18">
        <v>0.29252</v>
      </c>
      <c r="AA168" s="18">
        <v>0.42848000000000003</v>
      </c>
      <c r="AB168" s="18">
        <v>0.7622000000000001</v>
      </c>
      <c r="AC168" s="18">
        <v>0.23484000000000002</v>
      </c>
      <c r="AD168" s="18">
        <v>1.2360000000000002</v>
      </c>
    </row>
    <row r="169" spans="2:30" x14ac:dyDescent="0.25">
      <c r="B169" t="s">
        <v>269</v>
      </c>
      <c r="C169" t="s">
        <v>105</v>
      </c>
      <c r="D169" t="s">
        <v>749</v>
      </c>
      <c r="E169" s="35">
        <v>0.9</v>
      </c>
      <c r="F169" s="35">
        <v>6.6</v>
      </c>
      <c r="G169" s="36">
        <v>3.5699999999999998E-3</v>
      </c>
      <c r="H169" s="18">
        <v>6.4252979999999997</v>
      </c>
      <c r="I169" s="16" t="s">
        <v>746</v>
      </c>
      <c r="J169" s="16"/>
      <c r="K169" s="16"/>
      <c r="L169" s="37"/>
      <c r="M169" s="37"/>
      <c r="N169" s="37"/>
      <c r="O169" s="37"/>
      <c r="P169" s="37"/>
      <c r="Q169" s="18">
        <v>3.9269999999999999E-2</v>
      </c>
      <c r="R169" s="18">
        <v>2.6774999999999998E-4</v>
      </c>
      <c r="S169" s="18">
        <v>7.4969999999999995E-2</v>
      </c>
      <c r="T169" s="18">
        <v>0.32129999999999997</v>
      </c>
      <c r="U169" s="18">
        <v>0.16064999999999999</v>
      </c>
      <c r="V169" s="18">
        <v>2.0563199999999999</v>
      </c>
      <c r="W169" s="18">
        <v>1.9278</v>
      </c>
      <c r="X169" s="18">
        <v>1.2851999999999999</v>
      </c>
      <c r="Y169" s="18">
        <v>5.7119999999999997E-2</v>
      </c>
      <c r="Z169" s="18">
        <v>0.25346999999999997</v>
      </c>
      <c r="AA169" s="18">
        <v>0.37128</v>
      </c>
      <c r="AB169" s="18">
        <v>0.66044999999999998</v>
      </c>
      <c r="AC169" s="18">
        <v>0.20348999999999998</v>
      </c>
      <c r="AD169" s="18">
        <v>1.071</v>
      </c>
    </row>
    <row r="170" spans="2:30" x14ac:dyDescent="0.25">
      <c r="B170" t="s">
        <v>269</v>
      </c>
      <c r="C170" t="s">
        <v>105</v>
      </c>
      <c r="D170" t="s">
        <v>748</v>
      </c>
      <c r="E170" s="35">
        <v>0.9</v>
      </c>
      <c r="F170" s="35">
        <v>6.6</v>
      </c>
      <c r="G170" s="36">
        <v>4.1200000000000004E-3</v>
      </c>
      <c r="H170" s="18">
        <v>7.4152979999999999</v>
      </c>
      <c r="I170" s="16" t="s">
        <v>746</v>
      </c>
      <c r="J170" s="16"/>
      <c r="K170" s="16"/>
      <c r="L170" s="37"/>
      <c r="M170" s="37"/>
      <c r="N170" s="37"/>
      <c r="O170" s="37"/>
      <c r="P170" s="37"/>
      <c r="Q170" s="18">
        <v>4.5320000000000006E-2</v>
      </c>
      <c r="R170" s="18">
        <v>3.0900000000000003E-4</v>
      </c>
      <c r="S170" s="18">
        <v>8.6520000000000014E-2</v>
      </c>
      <c r="T170" s="18">
        <v>0.37080000000000002</v>
      </c>
      <c r="U170" s="18">
        <v>0.18540000000000001</v>
      </c>
      <c r="V170" s="18">
        <v>2.3731200000000001</v>
      </c>
      <c r="W170" s="18">
        <v>2.2248000000000001</v>
      </c>
      <c r="X170" s="18">
        <v>1.4832000000000001</v>
      </c>
      <c r="Y170" s="18">
        <v>6.5920000000000006E-2</v>
      </c>
      <c r="Z170" s="18">
        <v>0.29252</v>
      </c>
      <c r="AA170" s="18">
        <v>0.42848000000000003</v>
      </c>
      <c r="AB170" s="18">
        <v>0.7622000000000001</v>
      </c>
      <c r="AC170" s="18">
        <v>0.23484000000000002</v>
      </c>
      <c r="AD170" s="18">
        <v>1.2360000000000002</v>
      </c>
    </row>
    <row r="171" spans="2:30" x14ac:dyDescent="0.25">
      <c r="B171" t="s">
        <v>269</v>
      </c>
      <c r="C171" t="s">
        <v>105</v>
      </c>
      <c r="D171" t="s">
        <v>749</v>
      </c>
      <c r="E171" s="35">
        <v>0.9</v>
      </c>
      <c r="F171" s="35">
        <v>6.6</v>
      </c>
      <c r="G171" s="36">
        <v>3.5699999999999998E-3</v>
      </c>
      <c r="H171" s="18">
        <v>6.4252979999999997</v>
      </c>
      <c r="I171" s="16" t="s">
        <v>746</v>
      </c>
      <c r="J171" s="16"/>
      <c r="K171" s="16"/>
      <c r="L171" s="37"/>
      <c r="M171" s="37"/>
      <c r="N171" s="37"/>
      <c r="O171" s="37"/>
      <c r="P171" s="37"/>
      <c r="Q171" s="18">
        <v>3.9269999999999999E-2</v>
      </c>
      <c r="R171" s="18">
        <v>2.6774999999999998E-4</v>
      </c>
      <c r="S171" s="18">
        <v>7.4969999999999995E-2</v>
      </c>
      <c r="T171" s="18">
        <v>0.32129999999999997</v>
      </c>
      <c r="U171" s="18">
        <v>0.16064999999999999</v>
      </c>
      <c r="V171" s="18">
        <v>2.0563199999999999</v>
      </c>
      <c r="W171" s="18">
        <v>1.9278</v>
      </c>
      <c r="X171" s="18">
        <v>1.2851999999999999</v>
      </c>
      <c r="Y171" s="18">
        <v>5.7119999999999997E-2</v>
      </c>
      <c r="Z171" s="18">
        <v>0.25346999999999997</v>
      </c>
      <c r="AA171" s="18">
        <v>0.37128</v>
      </c>
      <c r="AB171" s="18">
        <v>0.66044999999999998</v>
      </c>
      <c r="AC171" s="18">
        <v>0.20348999999999998</v>
      </c>
      <c r="AD171" s="18">
        <v>1.071</v>
      </c>
    </row>
    <row r="172" spans="2:30" x14ac:dyDescent="0.25">
      <c r="B172" t="s">
        <v>269</v>
      </c>
      <c r="C172" t="s">
        <v>105</v>
      </c>
      <c r="D172" t="s">
        <v>748</v>
      </c>
      <c r="E172" s="35">
        <v>0.9</v>
      </c>
      <c r="F172" s="35">
        <v>6.6</v>
      </c>
      <c r="G172" s="36">
        <v>4.1200000000000004E-3</v>
      </c>
      <c r="H172" s="18">
        <v>7.4152979999999999</v>
      </c>
      <c r="I172" s="16" t="s">
        <v>746</v>
      </c>
      <c r="J172" s="16"/>
      <c r="K172" s="16"/>
      <c r="L172" s="37"/>
      <c r="M172" s="37"/>
      <c r="N172" s="37"/>
      <c r="O172" s="37"/>
      <c r="P172" s="37"/>
      <c r="Q172" s="18">
        <v>4.5320000000000006E-2</v>
      </c>
      <c r="R172" s="18">
        <v>3.0900000000000003E-4</v>
      </c>
      <c r="S172" s="18">
        <v>8.6520000000000014E-2</v>
      </c>
      <c r="T172" s="18">
        <v>0.37080000000000002</v>
      </c>
      <c r="U172" s="18">
        <v>0.18540000000000001</v>
      </c>
      <c r="V172" s="18">
        <v>2.3731200000000001</v>
      </c>
      <c r="W172" s="18">
        <v>2.2248000000000001</v>
      </c>
      <c r="X172" s="18">
        <v>1.4832000000000001</v>
      </c>
      <c r="Y172" s="18">
        <v>6.5920000000000006E-2</v>
      </c>
      <c r="Z172" s="18">
        <v>0.29252</v>
      </c>
      <c r="AA172" s="18">
        <v>0.42848000000000003</v>
      </c>
      <c r="AB172" s="18">
        <v>0.7622000000000001</v>
      </c>
      <c r="AC172" s="18">
        <v>0.23484000000000002</v>
      </c>
      <c r="AD172" s="18">
        <v>1.2360000000000002</v>
      </c>
    </row>
    <row r="173" spans="2:30" x14ac:dyDescent="0.25">
      <c r="B173" t="s">
        <v>269</v>
      </c>
      <c r="C173" t="s">
        <v>105</v>
      </c>
      <c r="D173" t="s">
        <v>748</v>
      </c>
      <c r="E173" s="35">
        <v>0.9</v>
      </c>
      <c r="F173" s="35">
        <v>6.6</v>
      </c>
      <c r="G173" s="36">
        <v>4.1200000000000004E-3</v>
      </c>
      <c r="H173" s="18">
        <v>7.4152979999999999</v>
      </c>
      <c r="I173" s="16" t="s">
        <v>746</v>
      </c>
      <c r="J173" s="16"/>
      <c r="K173" s="16"/>
      <c r="L173" s="37"/>
      <c r="M173" s="37"/>
      <c r="N173" s="37"/>
      <c r="O173" s="37"/>
      <c r="P173" s="37"/>
      <c r="Q173" s="18">
        <v>4.5320000000000006E-2</v>
      </c>
      <c r="R173" s="18">
        <v>3.0900000000000003E-4</v>
      </c>
      <c r="S173" s="18">
        <v>8.6520000000000014E-2</v>
      </c>
      <c r="T173" s="18">
        <v>0.37080000000000002</v>
      </c>
      <c r="U173" s="18">
        <v>0.18540000000000001</v>
      </c>
      <c r="V173" s="18">
        <v>2.3731200000000001</v>
      </c>
      <c r="W173" s="18">
        <v>2.2248000000000001</v>
      </c>
      <c r="X173" s="18">
        <v>1.4832000000000001</v>
      </c>
      <c r="Y173" s="18">
        <v>6.5920000000000006E-2</v>
      </c>
      <c r="Z173" s="18">
        <v>0.29252</v>
      </c>
      <c r="AA173" s="18">
        <v>0.42848000000000003</v>
      </c>
      <c r="AB173" s="18">
        <v>0.7622000000000001</v>
      </c>
      <c r="AC173" s="18">
        <v>0.23484000000000002</v>
      </c>
      <c r="AD173" s="18">
        <v>1.2360000000000002</v>
      </c>
    </row>
    <row r="174" spans="2:30" x14ac:dyDescent="0.25">
      <c r="B174" t="s">
        <v>269</v>
      </c>
      <c r="C174" t="s">
        <v>105</v>
      </c>
      <c r="D174" t="s">
        <v>749</v>
      </c>
      <c r="E174" s="35">
        <v>0.9</v>
      </c>
      <c r="F174" s="35">
        <v>6.6</v>
      </c>
      <c r="G174" s="36">
        <v>3.5699999999999998E-3</v>
      </c>
      <c r="H174" s="18">
        <v>6.4252979999999997</v>
      </c>
      <c r="I174" s="16" t="s">
        <v>746</v>
      </c>
      <c r="J174" s="16"/>
      <c r="K174" s="16"/>
      <c r="L174" s="37"/>
      <c r="M174" s="37"/>
      <c r="N174" s="37"/>
      <c r="O174" s="37"/>
      <c r="P174" s="37"/>
      <c r="Q174" s="18">
        <v>3.9269999999999999E-2</v>
      </c>
      <c r="R174" s="18">
        <v>2.6774999999999998E-4</v>
      </c>
      <c r="S174" s="18">
        <v>7.4969999999999995E-2</v>
      </c>
      <c r="T174" s="18">
        <v>0.32129999999999997</v>
      </c>
      <c r="U174" s="18">
        <v>0.16064999999999999</v>
      </c>
      <c r="V174" s="18">
        <v>2.0563199999999999</v>
      </c>
      <c r="W174" s="18">
        <v>1.9278</v>
      </c>
      <c r="X174" s="18">
        <v>1.2851999999999999</v>
      </c>
      <c r="Y174" s="18">
        <v>5.7119999999999997E-2</v>
      </c>
      <c r="Z174" s="18">
        <v>0.25346999999999997</v>
      </c>
      <c r="AA174" s="18">
        <v>0.37128</v>
      </c>
      <c r="AB174" s="18">
        <v>0.66044999999999998</v>
      </c>
      <c r="AC174" s="18">
        <v>0.20348999999999998</v>
      </c>
      <c r="AD174" s="18">
        <v>1.071</v>
      </c>
    </row>
    <row r="175" spans="2:30" x14ac:dyDescent="0.25">
      <c r="B175" t="s">
        <v>269</v>
      </c>
      <c r="C175" t="s">
        <v>105</v>
      </c>
      <c r="D175" t="s">
        <v>750</v>
      </c>
      <c r="E175" s="35">
        <v>0.9</v>
      </c>
      <c r="F175" s="35">
        <v>6.6</v>
      </c>
      <c r="G175" s="36">
        <v>3.0200000000000001E-3</v>
      </c>
      <c r="H175" s="18">
        <v>5.4352980000000004</v>
      </c>
      <c r="I175" s="16" t="s">
        <v>746</v>
      </c>
      <c r="J175" s="16"/>
      <c r="K175" s="16"/>
      <c r="L175" s="37"/>
      <c r="M175" s="37"/>
      <c r="N175" s="37"/>
      <c r="O175" s="37"/>
      <c r="P175" s="37"/>
      <c r="Q175" s="18">
        <v>3.322E-2</v>
      </c>
      <c r="R175" s="18">
        <v>2.265E-4</v>
      </c>
      <c r="S175" s="18">
        <v>6.3420000000000004E-2</v>
      </c>
      <c r="T175" s="18">
        <v>0.27179999999999999</v>
      </c>
      <c r="U175" s="18">
        <v>0.13589999999999999</v>
      </c>
      <c r="V175" s="18">
        <v>1.7395200000000002</v>
      </c>
      <c r="W175" s="18">
        <v>1.6308</v>
      </c>
      <c r="X175" s="18">
        <v>1.0871999999999999</v>
      </c>
      <c r="Y175" s="18">
        <v>4.8320000000000002E-2</v>
      </c>
      <c r="Z175" s="18">
        <v>0.21442</v>
      </c>
      <c r="AA175" s="18">
        <v>0.31408000000000003</v>
      </c>
      <c r="AB175" s="18">
        <v>0.55869999999999997</v>
      </c>
      <c r="AC175" s="18">
        <v>0.17214000000000002</v>
      </c>
      <c r="AD175" s="18">
        <v>0.90600000000000003</v>
      </c>
    </row>
    <row r="176" spans="2:30" x14ac:dyDescent="0.25">
      <c r="B176" t="s">
        <v>269</v>
      </c>
      <c r="C176" t="s">
        <v>105</v>
      </c>
      <c r="D176" t="s">
        <v>749</v>
      </c>
      <c r="E176" s="35">
        <v>0.9</v>
      </c>
      <c r="F176" s="35">
        <v>6.6</v>
      </c>
      <c r="G176" s="36">
        <v>3.5699999999999998E-3</v>
      </c>
      <c r="H176" s="18">
        <v>6.4252979999999997</v>
      </c>
      <c r="I176" s="16" t="s">
        <v>746</v>
      </c>
      <c r="J176" s="16"/>
      <c r="K176" s="16"/>
      <c r="L176" s="37"/>
      <c r="M176" s="37"/>
      <c r="N176" s="37"/>
      <c r="O176" s="37"/>
      <c r="P176" s="37"/>
      <c r="Q176" s="18">
        <v>3.9269999999999999E-2</v>
      </c>
      <c r="R176" s="18">
        <v>2.6774999999999998E-4</v>
      </c>
      <c r="S176" s="18">
        <v>7.4969999999999995E-2</v>
      </c>
      <c r="T176" s="18">
        <v>0.32129999999999997</v>
      </c>
      <c r="U176" s="18">
        <v>0.16064999999999999</v>
      </c>
      <c r="V176" s="18">
        <v>2.0563199999999999</v>
      </c>
      <c r="W176" s="18">
        <v>1.9278</v>
      </c>
      <c r="X176" s="18">
        <v>1.2851999999999999</v>
      </c>
      <c r="Y176" s="18">
        <v>5.7119999999999997E-2</v>
      </c>
      <c r="Z176" s="18">
        <v>0.25346999999999997</v>
      </c>
      <c r="AA176" s="18">
        <v>0.37128</v>
      </c>
      <c r="AB176" s="18">
        <v>0.66044999999999998</v>
      </c>
      <c r="AC176" s="18">
        <v>0.20348999999999998</v>
      </c>
      <c r="AD176" s="18">
        <v>1.071</v>
      </c>
    </row>
    <row r="177" spans="2:30" x14ac:dyDescent="0.25">
      <c r="B177" t="s">
        <v>269</v>
      </c>
      <c r="C177" t="s">
        <v>105</v>
      </c>
      <c r="D177" t="s">
        <v>749</v>
      </c>
      <c r="E177" s="35">
        <v>0.9</v>
      </c>
      <c r="F177" s="35">
        <v>6.6</v>
      </c>
      <c r="G177" s="36">
        <v>3.5699999999999998E-3</v>
      </c>
      <c r="H177" s="18">
        <v>6.4252979999999997</v>
      </c>
      <c r="I177" s="16" t="s">
        <v>746</v>
      </c>
      <c r="J177" s="16"/>
      <c r="K177" s="16"/>
      <c r="L177" s="37"/>
      <c r="M177" s="37"/>
      <c r="N177" s="37"/>
      <c r="O177" s="37"/>
      <c r="P177" s="37"/>
      <c r="Q177" s="18">
        <v>3.9269999999999999E-2</v>
      </c>
      <c r="R177" s="18">
        <v>2.6774999999999998E-4</v>
      </c>
      <c r="S177" s="18">
        <v>7.4969999999999995E-2</v>
      </c>
      <c r="T177" s="18">
        <v>0.32129999999999997</v>
      </c>
      <c r="U177" s="18">
        <v>0.16064999999999999</v>
      </c>
      <c r="V177" s="18">
        <v>2.0563199999999999</v>
      </c>
      <c r="W177" s="18">
        <v>1.9278</v>
      </c>
      <c r="X177" s="18">
        <v>1.2851999999999999</v>
      </c>
      <c r="Y177" s="18">
        <v>5.7119999999999997E-2</v>
      </c>
      <c r="Z177" s="18">
        <v>0.25346999999999997</v>
      </c>
      <c r="AA177" s="18">
        <v>0.37128</v>
      </c>
      <c r="AB177" s="18">
        <v>0.66044999999999998</v>
      </c>
      <c r="AC177" s="18">
        <v>0.20348999999999998</v>
      </c>
      <c r="AD177" s="18">
        <v>1.071</v>
      </c>
    </row>
    <row r="178" spans="2:30" x14ac:dyDescent="0.25">
      <c r="B178" t="s">
        <v>269</v>
      </c>
      <c r="C178" t="s">
        <v>105</v>
      </c>
      <c r="D178" t="s">
        <v>748</v>
      </c>
      <c r="E178" s="35">
        <v>0.9</v>
      </c>
      <c r="F178" s="35">
        <v>6.6</v>
      </c>
      <c r="G178" s="36">
        <v>4.1200000000000004E-3</v>
      </c>
      <c r="H178" s="18">
        <v>7.4152979999999999</v>
      </c>
      <c r="I178" s="16" t="s">
        <v>746</v>
      </c>
      <c r="J178" s="16"/>
      <c r="K178" s="16"/>
      <c r="L178" s="37"/>
      <c r="M178" s="37"/>
      <c r="N178" s="37"/>
      <c r="O178" s="37"/>
      <c r="P178" s="37"/>
      <c r="Q178" s="18">
        <v>4.5320000000000006E-2</v>
      </c>
      <c r="R178" s="18">
        <v>3.0900000000000003E-4</v>
      </c>
      <c r="S178" s="18">
        <v>8.6520000000000014E-2</v>
      </c>
      <c r="T178" s="18">
        <v>0.37080000000000002</v>
      </c>
      <c r="U178" s="18">
        <v>0.18540000000000001</v>
      </c>
      <c r="V178" s="18">
        <v>2.3731200000000001</v>
      </c>
      <c r="W178" s="18">
        <v>2.2248000000000001</v>
      </c>
      <c r="X178" s="18">
        <v>1.4832000000000001</v>
      </c>
      <c r="Y178" s="18">
        <v>6.5920000000000006E-2</v>
      </c>
      <c r="Z178" s="18">
        <v>0.29252</v>
      </c>
      <c r="AA178" s="18">
        <v>0.42848000000000003</v>
      </c>
      <c r="AB178" s="18">
        <v>0.7622000000000001</v>
      </c>
      <c r="AC178" s="18">
        <v>0.23484000000000002</v>
      </c>
      <c r="AD178" s="18">
        <v>1.2360000000000002</v>
      </c>
    </row>
    <row r="179" spans="2:30" x14ac:dyDescent="0.25">
      <c r="B179" t="s">
        <v>269</v>
      </c>
      <c r="C179" t="s">
        <v>326</v>
      </c>
      <c r="D179" t="s">
        <v>748</v>
      </c>
      <c r="E179" s="35">
        <v>0.9</v>
      </c>
      <c r="F179" s="35">
        <v>6.6</v>
      </c>
      <c r="G179" s="36">
        <v>4.1200000000000004E-3</v>
      </c>
      <c r="H179" s="18">
        <v>7.4152979999999999</v>
      </c>
      <c r="I179" s="16" t="s">
        <v>746</v>
      </c>
      <c r="J179" s="16"/>
      <c r="K179" s="16"/>
      <c r="L179" s="37"/>
      <c r="M179" s="37"/>
      <c r="N179" s="37"/>
      <c r="O179" s="37"/>
      <c r="P179" s="37"/>
      <c r="Q179" s="18">
        <v>4.5320000000000006E-2</v>
      </c>
      <c r="R179" s="18">
        <v>3.0900000000000003E-4</v>
      </c>
      <c r="S179" s="18">
        <v>8.6520000000000014E-2</v>
      </c>
      <c r="T179" s="18">
        <v>0.37080000000000002</v>
      </c>
      <c r="U179" s="18">
        <v>0.18540000000000001</v>
      </c>
      <c r="V179" s="18">
        <v>2.3731200000000001</v>
      </c>
      <c r="W179" s="18">
        <v>2.2248000000000001</v>
      </c>
      <c r="X179" s="18">
        <v>1.4832000000000001</v>
      </c>
      <c r="Y179" s="18">
        <v>6.5920000000000006E-2</v>
      </c>
      <c r="Z179" s="18">
        <v>0.29252</v>
      </c>
      <c r="AA179" s="18">
        <v>0.42848000000000003</v>
      </c>
      <c r="AB179" s="18">
        <v>0.7622000000000001</v>
      </c>
      <c r="AC179" s="18">
        <v>0.23484000000000002</v>
      </c>
      <c r="AD179" s="18">
        <v>1.2360000000000002</v>
      </c>
    </row>
    <row r="180" spans="2:30" x14ac:dyDescent="0.25">
      <c r="B180" t="s">
        <v>269</v>
      </c>
      <c r="C180" t="s">
        <v>326</v>
      </c>
      <c r="D180" t="s">
        <v>748</v>
      </c>
      <c r="E180" s="35">
        <v>0.9</v>
      </c>
      <c r="F180" s="35">
        <v>6.6</v>
      </c>
      <c r="G180" s="36">
        <v>4.1200000000000004E-3</v>
      </c>
      <c r="H180" s="18">
        <v>7.4152979999999999</v>
      </c>
      <c r="I180" s="16" t="s">
        <v>746</v>
      </c>
      <c r="J180" s="16"/>
      <c r="K180" s="16"/>
      <c r="L180" s="37"/>
      <c r="M180" s="37"/>
      <c r="N180" s="37"/>
      <c r="O180" s="37"/>
      <c r="P180" s="37"/>
      <c r="Q180" s="18">
        <v>4.5320000000000006E-2</v>
      </c>
      <c r="R180" s="18">
        <v>3.0900000000000003E-4</v>
      </c>
      <c r="S180" s="18">
        <v>8.6520000000000014E-2</v>
      </c>
      <c r="T180" s="18">
        <v>0.37080000000000002</v>
      </c>
      <c r="U180" s="18">
        <v>0.18540000000000001</v>
      </c>
      <c r="V180" s="18">
        <v>2.3731200000000001</v>
      </c>
      <c r="W180" s="18">
        <v>2.2248000000000001</v>
      </c>
      <c r="X180" s="18">
        <v>1.4832000000000001</v>
      </c>
      <c r="Y180" s="18">
        <v>6.5920000000000006E-2</v>
      </c>
      <c r="Z180" s="18">
        <v>0.29252</v>
      </c>
      <c r="AA180" s="18">
        <v>0.42848000000000003</v>
      </c>
      <c r="AB180" s="18">
        <v>0.7622000000000001</v>
      </c>
      <c r="AC180" s="18">
        <v>0.23484000000000002</v>
      </c>
      <c r="AD180" s="18">
        <v>1.2360000000000002</v>
      </c>
    </row>
    <row r="181" spans="2:30" x14ac:dyDescent="0.25">
      <c r="B181" t="s">
        <v>269</v>
      </c>
      <c r="C181" t="s">
        <v>326</v>
      </c>
      <c r="D181" t="s">
        <v>752</v>
      </c>
      <c r="E181" s="35">
        <v>0.9</v>
      </c>
      <c r="F181" s="35">
        <v>6.6</v>
      </c>
      <c r="G181" s="36">
        <v>2.47E-3</v>
      </c>
      <c r="H181" s="18">
        <v>4.4452980000000002</v>
      </c>
      <c r="I181" s="16" t="s">
        <v>746</v>
      </c>
      <c r="J181" s="16"/>
      <c r="K181" s="16"/>
      <c r="L181" s="37"/>
      <c r="M181" s="37"/>
      <c r="N181" s="37"/>
      <c r="O181" s="37"/>
      <c r="P181" s="37"/>
      <c r="Q181" s="18">
        <v>2.717E-2</v>
      </c>
      <c r="R181" s="18">
        <v>1.8525E-4</v>
      </c>
      <c r="S181" s="18">
        <v>5.1869999999999999E-2</v>
      </c>
      <c r="T181" s="18">
        <v>0.2223</v>
      </c>
      <c r="U181" s="18">
        <v>0.11115</v>
      </c>
      <c r="V181" s="18">
        <v>1.42272</v>
      </c>
      <c r="W181" s="18">
        <v>1.3338000000000001</v>
      </c>
      <c r="X181" s="18">
        <v>0.88919999999999999</v>
      </c>
      <c r="Y181" s="18">
        <v>3.952E-2</v>
      </c>
      <c r="Z181" s="18">
        <v>0.17537</v>
      </c>
      <c r="AA181" s="18">
        <v>0.25688</v>
      </c>
      <c r="AB181" s="18">
        <v>0.45694999999999997</v>
      </c>
      <c r="AC181" s="18">
        <v>0.14079</v>
      </c>
      <c r="AD181" s="18">
        <v>0.74099999999999999</v>
      </c>
    </row>
    <row r="182" spans="2:30" x14ac:dyDescent="0.25">
      <c r="B182" t="s">
        <v>269</v>
      </c>
      <c r="C182" t="s">
        <v>326</v>
      </c>
      <c r="D182" t="s">
        <v>748</v>
      </c>
      <c r="E182" s="35">
        <v>0.9</v>
      </c>
      <c r="F182" s="35">
        <v>6.6</v>
      </c>
      <c r="G182" s="36">
        <v>4.1200000000000004E-3</v>
      </c>
      <c r="H182" s="18">
        <v>7.4152979999999999</v>
      </c>
      <c r="I182" s="16" t="s">
        <v>746</v>
      </c>
      <c r="J182" s="16"/>
      <c r="K182" s="16"/>
      <c r="L182" s="37"/>
      <c r="M182" s="37"/>
      <c r="N182" s="37"/>
      <c r="O182" s="37"/>
      <c r="P182" s="37"/>
      <c r="Q182" s="18">
        <v>4.5320000000000006E-2</v>
      </c>
      <c r="R182" s="18">
        <v>3.0900000000000003E-4</v>
      </c>
      <c r="S182" s="18">
        <v>8.6520000000000014E-2</v>
      </c>
      <c r="T182" s="18">
        <v>0.37080000000000002</v>
      </c>
      <c r="U182" s="18">
        <v>0.18540000000000001</v>
      </c>
      <c r="V182" s="18">
        <v>2.3731200000000001</v>
      </c>
      <c r="W182" s="18">
        <v>2.2248000000000001</v>
      </c>
      <c r="X182" s="18">
        <v>1.4832000000000001</v>
      </c>
      <c r="Y182" s="18">
        <v>6.5920000000000006E-2</v>
      </c>
      <c r="Z182" s="18">
        <v>0.29252</v>
      </c>
      <c r="AA182" s="18">
        <v>0.42848000000000003</v>
      </c>
      <c r="AB182" s="18">
        <v>0.7622000000000001</v>
      </c>
      <c r="AC182" s="18">
        <v>0.23484000000000002</v>
      </c>
      <c r="AD182" s="18">
        <v>1.2360000000000002</v>
      </c>
    </row>
    <row r="183" spans="2:30" x14ac:dyDescent="0.25">
      <c r="B183" t="s">
        <v>269</v>
      </c>
      <c r="C183" t="s">
        <v>326</v>
      </c>
      <c r="D183" t="s">
        <v>750</v>
      </c>
      <c r="E183" s="35">
        <v>0.9</v>
      </c>
      <c r="F183" s="35">
        <v>6.6</v>
      </c>
      <c r="G183" s="36">
        <v>3.0200000000000001E-3</v>
      </c>
      <c r="H183" s="18">
        <v>5.4352980000000004</v>
      </c>
      <c r="I183" s="16" t="s">
        <v>746</v>
      </c>
      <c r="J183" s="16"/>
      <c r="K183" s="16"/>
      <c r="L183" s="37"/>
      <c r="M183" s="37"/>
      <c r="N183" s="37"/>
      <c r="O183" s="37"/>
      <c r="P183" s="37"/>
      <c r="Q183" s="18">
        <v>3.322E-2</v>
      </c>
      <c r="R183" s="18">
        <v>2.265E-4</v>
      </c>
      <c r="S183" s="18">
        <v>6.3420000000000004E-2</v>
      </c>
      <c r="T183" s="18">
        <v>0.27179999999999999</v>
      </c>
      <c r="U183" s="18">
        <v>0.13589999999999999</v>
      </c>
      <c r="V183" s="18">
        <v>1.7395200000000002</v>
      </c>
      <c r="W183" s="18">
        <v>1.6308</v>
      </c>
      <c r="X183" s="18">
        <v>1.0871999999999999</v>
      </c>
      <c r="Y183" s="18">
        <v>4.8320000000000002E-2</v>
      </c>
      <c r="Z183" s="18">
        <v>0.21442</v>
      </c>
      <c r="AA183" s="18">
        <v>0.31408000000000003</v>
      </c>
      <c r="AB183" s="18">
        <v>0.55869999999999997</v>
      </c>
      <c r="AC183" s="18">
        <v>0.17214000000000002</v>
      </c>
      <c r="AD183" s="18">
        <v>0.90600000000000003</v>
      </c>
    </row>
    <row r="184" spans="2:30" x14ac:dyDescent="0.25">
      <c r="B184" t="s">
        <v>269</v>
      </c>
      <c r="C184" t="s">
        <v>326</v>
      </c>
      <c r="D184" t="s">
        <v>748</v>
      </c>
      <c r="E184" s="35">
        <v>0.9</v>
      </c>
      <c r="F184" s="35">
        <v>6.6</v>
      </c>
      <c r="G184" s="36">
        <v>4.1200000000000004E-3</v>
      </c>
      <c r="H184" s="18">
        <v>7.4152979999999999</v>
      </c>
      <c r="I184" s="16" t="s">
        <v>746</v>
      </c>
      <c r="J184" s="16"/>
      <c r="K184" s="16"/>
      <c r="L184" s="37"/>
      <c r="M184" s="37"/>
      <c r="N184" s="37"/>
      <c r="O184" s="37"/>
      <c r="P184" s="37"/>
      <c r="Q184" s="18">
        <v>4.5320000000000006E-2</v>
      </c>
      <c r="R184" s="18">
        <v>3.0900000000000003E-4</v>
      </c>
      <c r="S184" s="18">
        <v>8.6520000000000014E-2</v>
      </c>
      <c r="T184" s="18">
        <v>0.37080000000000002</v>
      </c>
      <c r="U184" s="18">
        <v>0.18540000000000001</v>
      </c>
      <c r="V184" s="18">
        <v>2.3731200000000001</v>
      </c>
      <c r="W184" s="18">
        <v>2.2248000000000001</v>
      </c>
      <c r="X184" s="18">
        <v>1.4832000000000001</v>
      </c>
      <c r="Y184" s="18">
        <v>6.5920000000000006E-2</v>
      </c>
      <c r="Z184" s="18">
        <v>0.29252</v>
      </c>
      <c r="AA184" s="18">
        <v>0.42848000000000003</v>
      </c>
      <c r="AB184" s="18">
        <v>0.7622000000000001</v>
      </c>
      <c r="AC184" s="18">
        <v>0.23484000000000002</v>
      </c>
      <c r="AD184" s="18">
        <v>1.2360000000000002</v>
      </c>
    </row>
    <row r="185" spans="2:30" x14ac:dyDescent="0.25">
      <c r="B185" t="s">
        <v>269</v>
      </c>
      <c r="C185" t="s">
        <v>326</v>
      </c>
      <c r="D185" t="s">
        <v>748</v>
      </c>
      <c r="E185" s="35">
        <v>0.9</v>
      </c>
      <c r="F185" s="35">
        <v>6.6</v>
      </c>
      <c r="G185" s="36">
        <v>4.1200000000000004E-3</v>
      </c>
      <c r="H185" s="18">
        <v>7.4152979999999999</v>
      </c>
      <c r="I185" s="16" t="s">
        <v>746</v>
      </c>
      <c r="J185" s="16"/>
      <c r="K185" s="16"/>
      <c r="L185" s="37"/>
      <c r="M185" s="37"/>
      <c r="N185" s="37"/>
      <c r="O185" s="37"/>
      <c r="P185" s="37"/>
      <c r="Q185" s="18">
        <v>4.5320000000000006E-2</v>
      </c>
      <c r="R185" s="18">
        <v>3.0900000000000003E-4</v>
      </c>
      <c r="S185" s="18">
        <v>8.6520000000000014E-2</v>
      </c>
      <c r="T185" s="18">
        <v>0.37080000000000002</v>
      </c>
      <c r="U185" s="18">
        <v>0.18540000000000001</v>
      </c>
      <c r="V185" s="18">
        <v>2.3731200000000001</v>
      </c>
      <c r="W185" s="18">
        <v>2.2248000000000001</v>
      </c>
      <c r="X185" s="18">
        <v>1.4832000000000001</v>
      </c>
      <c r="Y185" s="18">
        <v>6.5920000000000006E-2</v>
      </c>
      <c r="Z185" s="18">
        <v>0.29252</v>
      </c>
      <c r="AA185" s="18">
        <v>0.42848000000000003</v>
      </c>
      <c r="AB185" s="18">
        <v>0.7622000000000001</v>
      </c>
      <c r="AC185" s="18">
        <v>0.23484000000000002</v>
      </c>
      <c r="AD185" s="18">
        <v>1.2360000000000002</v>
      </c>
    </row>
    <row r="186" spans="2:30" x14ac:dyDescent="0.25">
      <c r="B186" t="s">
        <v>269</v>
      </c>
      <c r="C186" t="s">
        <v>326</v>
      </c>
      <c r="D186" t="s">
        <v>753</v>
      </c>
      <c r="E186" s="35">
        <v>0.9</v>
      </c>
      <c r="F186" s="35">
        <v>6.6</v>
      </c>
      <c r="G186" s="36">
        <v>5.77E-3</v>
      </c>
      <c r="H186" s="18">
        <v>10.385298000000001</v>
      </c>
      <c r="I186" s="16" t="s">
        <v>746</v>
      </c>
      <c r="J186" s="16"/>
      <c r="K186" s="16"/>
      <c r="L186" s="37"/>
      <c r="M186" s="37"/>
      <c r="N186" s="37"/>
      <c r="O186" s="37"/>
      <c r="P186" s="37"/>
      <c r="Q186" s="18">
        <v>6.3469999999999999E-2</v>
      </c>
      <c r="R186" s="18">
        <v>4.3274999999999997E-4</v>
      </c>
      <c r="S186" s="18">
        <v>0.12117</v>
      </c>
      <c r="T186" s="18">
        <v>0.51929999999999998</v>
      </c>
      <c r="U186" s="18">
        <v>0.25964999999999999</v>
      </c>
      <c r="V186" s="18">
        <v>3.3235199999999998</v>
      </c>
      <c r="W186" s="18">
        <v>3.1158000000000001</v>
      </c>
      <c r="X186" s="18">
        <v>2.0771999999999999</v>
      </c>
      <c r="Y186" s="18">
        <v>9.2319999999999999E-2</v>
      </c>
      <c r="Z186" s="18">
        <v>0.40966999999999998</v>
      </c>
      <c r="AA186" s="18">
        <v>0.60007999999999995</v>
      </c>
      <c r="AB186" s="18">
        <v>1.06745</v>
      </c>
      <c r="AC186" s="18">
        <v>0.32889000000000002</v>
      </c>
      <c r="AD186" s="18">
        <v>1.7310000000000001</v>
      </c>
    </row>
    <row r="187" spans="2:30" x14ac:dyDescent="0.25">
      <c r="B187" t="s">
        <v>269</v>
      </c>
      <c r="C187" t="s">
        <v>326</v>
      </c>
      <c r="D187" t="s">
        <v>748</v>
      </c>
      <c r="E187" s="35">
        <v>0.9</v>
      </c>
      <c r="F187" s="35">
        <v>6.6</v>
      </c>
      <c r="G187" s="36">
        <v>4.1200000000000004E-3</v>
      </c>
      <c r="H187" s="18">
        <v>7.4152979999999999</v>
      </c>
      <c r="I187" s="16" t="s">
        <v>746</v>
      </c>
      <c r="J187" s="16"/>
      <c r="K187" s="16"/>
      <c r="L187" s="37"/>
      <c r="M187" s="37"/>
      <c r="N187" s="37"/>
      <c r="O187" s="37"/>
      <c r="P187" s="37"/>
      <c r="Q187" s="18">
        <v>4.5320000000000006E-2</v>
      </c>
      <c r="R187" s="18">
        <v>3.0900000000000003E-4</v>
      </c>
      <c r="S187" s="18">
        <v>8.6520000000000014E-2</v>
      </c>
      <c r="T187" s="18">
        <v>0.37080000000000002</v>
      </c>
      <c r="U187" s="18">
        <v>0.18540000000000001</v>
      </c>
      <c r="V187" s="18">
        <v>2.3731200000000001</v>
      </c>
      <c r="W187" s="18">
        <v>2.2248000000000001</v>
      </c>
      <c r="X187" s="18">
        <v>1.4832000000000001</v>
      </c>
      <c r="Y187" s="18">
        <v>6.5920000000000006E-2</v>
      </c>
      <c r="Z187" s="18">
        <v>0.29252</v>
      </c>
      <c r="AA187" s="18">
        <v>0.42848000000000003</v>
      </c>
      <c r="AB187" s="18">
        <v>0.7622000000000001</v>
      </c>
      <c r="AC187" s="18">
        <v>0.23484000000000002</v>
      </c>
      <c r="AD187" s="18">
        <v>1.2360000000000002</v>
      </c>
    </row>
    <row r="188" spans="2:30" x14ac:dyDescent="0.25">
      <c r="B188" t="s">
        <v>269</v>
      </c>
      <c r="C188" t="s">
        <v>326</v>
      </c>
      <c r="D188" t="s">
        <v>748</v>
      </c>
      <c r="E188" s="35">
        <v>0.9</v>
      </c>
      <c r="F188" s="35">
        <v>6.6</v>
      </c>
      <c r="G188" s="36">
        <v>4.1200000000000004E-3</v>
      </c>
      <c r="H188" s="18">
        <v>7.4152979999999999</v>
      </c>
      <c r="I188" s="16" t="s">
        <v>746</v>
      </c>
      <c r="J188" s="16"/>
      <c r="K188" s="16"/>
      <c r="L188" s="37"/>
      <c r="M188" s="37"/>
      <c r="N188" s="37"/>
      <c r="O188" s="37"/>
      <c r="P188" s="37"/>
      <c r="Q188" s="18">
        <v>4.5320000000000006E-2</v>
      </c>
      <c r="R188" s="18">
        <v>3.0900000000000003E-4</v>
      </c>
      <c r="S188" s="18">
        <v>8.6520000000000014E-2</v>
      </c>
      <c r="T188" s="18">
        <v>0.37080000000000002</v>
      </c>
      <c r="U188" s="18">
        <v>0.18540000000000001</v>
      </c>
      <c r="V188" s="18">
        <v>2.3731200000000001</v>
      </c>
      <c r="W188" s="18">
        <v>2.2248000000000001</v>
      </c>
      <c r="X188" s="18">
        <v>1.4832000000000001</v>
      </c>
      <c r="Y188" s="18">
        <v>6.5920000000000006E-2</v>
      </c>
      <c r="Z188" s="18">
        <v>0.29252</v>
      </c>
      <c r="AA188" s="18">
        <v>0.42848000000000003</v>
      </c>
      <c r="AB188" s="18">
        <v>0.7622000000000001</v>
      </c>
      <c r="AC188" s="18">
        <v>0.23484000000000002</v>
      </c>
      <c r="AD188" s="18">
        <v>1.2360000000000002</v>
      </c>
    </row>
    <row r="189" spans="2:30" x14ac:dyDescent="0.25">
      <c r="B189" t="s">
        <v>269</v>
      </c>
      <c r="C189" t="s">
        <v>326</v>
      </c>
      <c r="D189" t="s">
        <v>749</v>
      </c>
      <c r="E189" s="35">
        <v>0.9</v>
      </c>
      <c r="F189" s="35">
        <v>6.6</v>
      </c>
      <c r="G189" s="36">
        <v>3.5699999999999998E-3</v>
      </c>
      <c r="H189" s="18">
        <v>6.4252979999999997</v>
      </c>
      <c r="I189" s="16" t="s">
        <v>746</v>
      </c>
      <c r="J189" s="16"/>
      <c r="K189" s="16"/>
      <c r="L189" s="37"/>
      <c r="M189" s="37"/>
      <c r="N189" s="37"/>
      <c r="O189" s="37"/>
      <c r="P189" s="37"/>
      <c r="Q189" s="18">
        <v>3.9269999999999999E-2</v>
      </c>
      <c r="R189" s="18">
        <v>2.6774999999999998E-4</v>
      </c>
      <c r="S189" s="18">
        <v>7.4969999999999995E-2</v>
      </c>
      <c r="T189" s="18">
        <v>0.32129999999999997</v>
      </c>
      <c r="U189" s="18">
        <v>0.16064999999999999</v>
      </c>
      <c r="V189" s="18">
        <v>2.0563199999999999</v>
      </c>
      <c r="W189" s="18">
        <v>1.9278</v>
      </c>
      <c r="X189" s="18">
        <v>1.2851999999999999</v>
      </c>
      <c r="Y189" s="18">
        <v>5.7119999999999997E-2</v>
      </c>
      <c r="Z189" s="18">
        <v>0.25346999999999997</v>
      </c>
      <c r="AA189" s="18">
        <v>0.37128</v>
      </c>
      <c r="AB189" s="18">
        <v>0.66044999999999998</v>
      </c>
      <c r="AC189" s="18">
        <v>0.20348999999999998</v>
      </c>
      <c r="AD189" s="18">
        <v>1.071</v>
      </c>
    </row>
    <row r="190" spans="2:30" x14ac:dyDescent="0.25">
      <c r="B190" t="s">
        <v>269</v>
      </c>
      <c r="C190" t="s">
        <v>326</v>
      </c>
      <c r="D190" t="s">
        <v>752</v>
      </c>
      <c r="E190" s="35">
        <v>0.9</v>
      </c>
      <c r="F190" s="35">
        <v>6.6</v>
      </c>
      <c r="G190" s="36">
        <v>2.47E-3</v>
      </c>
      <c r="H190" s="18">
        <v>4.4452980000000002</v>
      </c>
      <c r="I190" s="16" t="s">
        <v>746</v>
      </c>
      <c r="J190" s="16"/>
      <c r="K190" s="16"/>
      <c r="L190" s="37"/>
      <c r="M190" s="37"/>
      <c r="N190" s="37"/>
      <c r="O190" s="37"/>
      <c r="P190" s="37"/>
      <c r="Q190" s="18">
        <v>2.717E-2</v>
      </c>
      <c r="R190" s="18">
        <v>1.8525E-4</v>
      </c>
      <c r="S190" s="18">
        <v>5.1869999999999999E-2</v>
      </c>
      <c r="T190" s="18">
        <v>0.2223</v>
      </c>
      <c r="U190" s="18">
        <v>0.11115</v>
      </c>
      <c r="V190" s="18">
        <v>1.42272</v>
      </c>
      <c r="W190" s="18">
        <v>1.3338000000000001</v>
      </c>
      <c r="X190" s="18">
        <v>0.88919999999999999</v>
      </c>
      <c r="Y190" s="18">
        <v>3.952E-2</v>
      </c>
      <c r="Z190" s="18">
        <v>0.17537</v>
      </c>
      <c r="AA190" s="18">
        <v>0.25688</v>
      </c>
      <c r="AB190" s="18">
        <v>0.45694999999999997</v>
      </c>
      <c r="AC190" s="18">
        <v>0.14079</v>
      </c>
      <c r="AD190" s="18">
        <v>0.74099999999999999</v>
      </c>
    </row>
    <row r="191" spans="2:30" x14ac:dyDescent="0.25">
      <c r="B191" t="s">
        <v>269</v>
      </c>
      <c r="C191" t="s">
        <v>326</v>
      </c>
      <c r="D191" t="s">
        <v>748</v>
      </c>
      <c r="E191" s="35">
        <v>0.9</v>
      </c>
      <c r="F191" s="35">
        <v>6.6</v>
      </c>
      <c r="G191" s="36">
        <v>4.1200000000000004E-3</v>
      </c>
      <c r="H191" s="18">
        <v>7.4152979999999999</v>
      </c>
      <c r="I191" s="16" t="s">
        <v>746</v>
      </c>
      <c r="J191" s="16"/>
      <c r="K191" s="16"/>
      <c r="L191" s="37"/>
      <c r="M191" s="37"/>
      <c r="N191" s="37"/>
      <c r="O191" s="37"/>
      <c r="P191" s="37"/>
      <c r="Q191" s="18">
        <v>4.5320000000000006E-2</v>
      </c>
      <c r="R191" s="18">
        <v>3.0900000000000003E-4</v>
      </c>
      <c r="S191" s="18">
        <v>8.6520000000000014E-2</v>
      </c>
      <c r="T191" s="18">
        <v>0.37080000000000002</v>
      </c>
      <c r="U191" s="18">
        <v>0.18540000000000001</v>
      </c>
      <c r="V191" s="18">
        <v>2.3731200000000001</v>
      </c>
      <c r="W191" s="18">
        <v>2.2248000000000001</v>
      </c>
      <c r="X191" s="18">
        <v>1.4832000000000001</v>
      </c>
      <c r="Y191" s="18">
        <v>6.5920000000000006E-2</v>
      </c>
      <c r="Z191" s="18">
        <v>0.29252</v>
      </c>
      <c r="AA191" s="18">
        <v>0.42848000000000003</v>
      </c>
      <c r="AB191" s="18">
        <v>0.7622000000000001</v>
      </c>
      <c r="AC191" s="18">
        <v>0.23484000000000002</v>
      </c>
      <c r="AD191" s="18">
        <v>1.2360000000000002</v>
      </c>
    </row>
    <row r="192" spans="2:30" x14ac:dyDescent="0.25">
      <c r="B192" t="s">
        <v>269</v>
      </c>
      <c r="C192" t="s">
        <v>326</v>
      </c>
      <c r="D192" t="s">
        <v>753</v>
      </c>
      <c r="E192" s="35">
        <v>0.9</v>
      </c>
      <c r="F192" s="35">
        <v>6.6</v>
      </c>
      <c r="G192" s="36">
        <v>5.77E-3</v>
      </c>
      <c r="H192" s="18">
        <v>10.385298000000001</v>
      </c>
      <c r="I192" s="16" t="s">
        <v>746</v>
      </c>
      <c r="J192" s="16"/>
      <c r="K192" s="16"/>
      <c r="L192" s="37"/>
      <c r="M192" s="37"/>
      <c r="N192" s="37"/>
      <c r="O192" s="37"/>
      <c r="P192" s="37"/>
      <c r="Q192" s="18">
        <v>6.3469999999999999E-2</v>
      </c>
      <c r="R192" s="18">
        <v>4.3274999999999997E-4</v>
      </c>
      <c r="S192" s="18">
        <v>0.12117</v>
      </c>
      <c r="T192" s="18">
        <v>0.51929999999999998</v>
      </c>
      <c r="U192" s="18">
        <v>0.25964999999999999</v>
      </c>
      <c r="V192" s="18">
        <v>3.3235199999999998</v>
      </c>
      <c r="W192" s="18">
        <v>3.1158000000000001</v>
      </c>
      <c r="X192" s="18">
        <v>2.0771999999999999</v>
      </c>
      <c r="Y192" s="18">
        <v>9.2319999999999999E-2</v>
      </c>
      <c r="Z192" s="18">
        <v>0.40966999999999998</v>
      </c>
      <c r="AA192" s="18">
        <v>0.60007999999999995</v>
      </c>
      <c r="AB192" s="18">
        <v>1.06745</v>
      </c>
      <c r="AC192" s="18">
        <v>0.32889000000000002</v>
      </c>
      <c r="AD192" s="18">
        <v>1.7310000000000001</v>
      </c>
    </row>
    <row r="193" spans="2:30" x14ac:dyDescent="0.25">
      <c r="B193" t="s">
        <v>269</v>
      </c>
      <c r="C193" t="s">
        <v>326</v>
      </c>
      <c r="D193" t="s">
        <v>749</v>
      </c>
      <c r="E193" s="35">
        <v>0.9</v>
      </c>
      <c r="F193" s="35">
        <v>6.6</v>
      </c>
      <c r="G193" s="36">
        <v>3.5699999999999998E-3</v>
      </c>
      <c r="H193" s="18">
        <v>6.4252979999999997</v>
      </c>
      <c r="I193" s="16" t="s">
        <v>746</v>
      </c>
      <c r="J193" s="16"/>
      <c r="K193" s="16"/>
      <c r="L193" s="37"/>
      <c r="M193" s="37"/>
      <c r="N193" s="37"/>
      <c r="O193" s="37"/>
      <c r="P193" s="37"/>
      <c r="Q193" s="18">
        <v>3.9269999999999999E-2</v>
      </c>
      <c r="R193" s="18">
        <v>2.6774999999999998E-4</v>
      </c>
      <c r="S193" s="18">
        <v>7.4969999999999995E-2</v>
      </c>
      <c r="T193" s="18">
        <v>0.32129999999999997</v>
      </c>
      <c r="U193" s="18">
        <v>0.16064999999999999</v>
      </c>
      <c r="V193" s="18">
        <v>2.0563199999999999</v>
      </c>
      <c r="W193" s="18">
        <v>1.9278</v>
      </c>
      <c r="X193" s="18">
        <v>1.2851999999999999</v>
      </c>
      <c r="Y193" s="18">
        <v>5.7119999999999997E-2</v>
      </c>
      <c r="Z193" s="18">
        <v>0.25346999999999997</v>
      </c>
      <c r="AA193" s="18">
        <v>0.37128</v>
      </c>
      <c r="AB193" s="18">
        <v>0.66044999999999998</v>
      </c>
      <c r="AC193" s="18">
        <v>0.20348999999999998</v>
      </c>
      <c r="AD193" s="18">
        <v>1.071</v>
      </c>
    </row>
    <row r="194" spans="2:30" x14ac:dyDescent="0.25">
      <c r="B194" t="s">
        <v>269</v>
      </c>
      <c r="C194" t="s">
        <v>326</v>
      </c>
      <c r="D194" t="s">
        <v>748</v>
      </c>
      <c r="E194" s="35">
        <v>0.9</v>
      </c>
      <c r="F194" s="35">
        <v>6.6</v>
      </c>
      <c r="G194" s="36">
        <v>4.1200000000000004E-3</v>
      </c>
      <c r="H194" s="18">
        <v>7.4152979999999999</v>
      </c>
      <c r="I194" s="16" t="s">
        <v>746</v>
      </c>
      <c r="J194" s="16"/>
      <c r="K194" s="16"/>
      <c r="L194" s="37"/>
      <c r="M194" s="37"/>
      <c r="N194" s="37"/>
      <c r="O194" s="37"/>
      <c r="P194" s="37"/>
      <c r="Q194" s="18">
        <v>4.5320000000000006E-2</v>
      </c>
      <c r="R194" s="18">
        <v>3.0900000000000003E-4</v>
      </c>
      <c r="S194" s="18">
        <v>8.6520000000000014E-2</v>
      </c>
      <c r="T194" s="18">
        <v>0.37080000000000002</v>
      </c>
      <c r="U194" s="18">
        <v>0.18540000000000001</v>
      </c>
      <c r="V194" s="18">
        <v>2.3731200000000001</v>
      </c>
      <c r="W194" s="18">
        <v>2.2248000000000001</v>
      </c>
      <c r="X194" s="18">
        <v>1.4832000000000001</v>
      </c>
      <c r="Y194" s="18">
        <v>6.5920000000000006E-2</v>
      </c>
      <c r="Z194" s="18">
        <v>0.29252</v>
      </c>
      <c r="AA194" s="18">
        <v>0.42848000000000003</v>
      </c>
      <c r="AB194" s="18">
        <v>0.7622000000000001</v>
      </c>
      <c r="AC194" s="18">
        <v>0.23484000000000002</v>
      </c>
      <c r="AD194" s="18">
        <v>1.2360000000000002</v>
      </c>
    </row>
    <row r="195" spans="2:30" x14ac:dyDescent="0.25">
      <c r="B195" t="s">
        <v>269</v>
      </c>
      <c r="C195" t="s">
        <v>326</v>
      </c>
      <c r="D195" t="s">
        <v>752</v>
      </c>
      <c r="E195" s="35">
        <v>0.9</v>
      </c>
      <c r="F195" s="35">
        <v>6.6</v>
      </c>
      <c r="G195" s="36">
        <v>2.47E-3</v>
      </c>
      <c r="H195" s="18">
        <v>4.4452980000000002</v>
      </c>
      <c r="I195" s="16" t="s">
        <v>746</v>
      </c>
      <c r="J195" s="16"/>
      <c r="K195" s="16"/>
      <c r="L195" s="37"/>
      <c r="M195" s="37"/>
      <c r="N195" s="37"/>
      <c r="O195" s="37"/>
      <c r="P195" s="37"/>
      <c r="Q195" s="18">
        <v>2.717E-2</v>
      </c>
      <c r="R195" s="18">
        <v>1.8525E-4</v>
      </c>
      <c r="S195" s="18">
        <v>5.1869999999999999E-2</v>
      </c>
      <c r="T195" s="18">
        <v>0.2223</v>
      </c>
      <c r="U195" s="18">
        <v>0.11115</v>
      </c>
      <c r="V195" s="18">
        <v>1.42272</v>
      </c>
      <c r="W195" s="18">
        <v>1.3338000000000001</v>
      </c>
      <c r="X195" s="18">
        <v>0.88919999999999999</v>
      </c>
      <c r="Y195" s="18">
        <v>3.952E-2</v>
      </c>
      <c r="Z195" s="18">
        <v>0.17537</v>
      </c>
      <c r="AA195" s="18">
        <v>0.25688</v>
      </c>
      <c r="AB195" s="18">
        <v>0.45694999999999997</v>
      </c>
      <c r="AC195" s="18">
        <v>0.14079</v>
      </c>
      <c r="AD195" s="18">
        <v>0.74099999999999999</v>
      </c>
    </row>
    <row r="196" spans="2:30" x14ac:dyDescent="0.25">
      <c r="B196" t="s">
        <v>269</v>
      </c>
      <c r="C196" t="s">
        <v>326</v>
      </c>
      <c r="D196" t="s">
        <v>748</v>
      </c>
      <c r="E196" s="35">
        <v>0.9</v>
      </c>
      <c r="F196" s="35">
        <v>6.6</v>
      </c>
      <c r="G196" s="36">
        <v>4.1200000000000004E-3</v>
      </c>
      <c r="H196" s="18">
        <v>7.4152979999999999</v>
      </c>
      <c r="I196" s="16" t="s">
        <v>746</v>
      </c>
      <c r="J196" s="16"/>
      <c r="K196" s="16"/>
      <c r="L196" s="37"/>
      <c r="M196" s="37"/>
      <c r="N196" s="37"/>
      <c r="O196" s="37"/>
      <c r="P196" s="37"/>
      <c r="Q196" s="18">
        <v>4.5320000000000006E-2</v>
      </c>
      <c r="R196" s="18">
        <v>3.0900000000000003E-4</v>
      </c>
      <c r="S196" s="18">
        <v>8.6520000000000014E-2</v>
      </c>
      <c r="T196" s="18">
        <v>0.37080000000000002</v>
      </c>
      <c r="U196" s="18">
        <v>0.18540000000000001</v>
      </c>
      <c r="V196" s="18">
        <v>2.3731200000000001</v>
      </c>
      <c r="W196" s="18">
        <v>2.2248000000000001</v>
      </c>
      <c r="X196" s="18">
        <v>1.4832000000000001</v>
      </c>
      <c r="Y196" s="18">
        <v>6.5920000000000006E-2</v>
      </c>
      <c r="Z196" s="18">
        <v>0.29252</v>
      </c>
      <c r="AA196" s="18">
        <v>0.42848000000000003</v>
      </c>
      <c r="AB196" s="18">
        <v>0.7622000000000001</v>
      </c>
      <c r="AC196" s="18">
        <v>0.23484000000000002</v>
      </c>
      <c r="AD196" s="18">
        <v>1.2360000000000002</v>
      </c>
    </row>
    <row r="197" spans="2:30" x14ac:dyDescent="0.25">
      <c r="B197" t="s">
        <v>269</v>
      </c>
      <c r="C197" t="s">
        <v>326</v>
      </c>
      <c r="D197" t="s">
        <v>751</v>
      </c>
      <c r="E197" s="35">
        <v>0.9</v>
      </c>
      <c r="F197" s="35">
        <v>6.6</v>
      </c>
      <c r="G197" s="36">
        <v>2.7910000000000001E-3</v>
      </c>
      <c r="H197" s="18">
        <v>5.0236749999999999</v>
      </c>
      <c r="I197" s="16" t="s">
        <v>746</v>
      </c>
      <c r="J197" s="16"/>
      <c r="K197" s="16"/>
      <c r="L197" s="37"/>
      <c r="M197" s="37"/>
      <c r="N197" s="37"/>
      <c r="O197" s="37"/>
      <c r="P197" s="37"/>
      <c r="Q197" s="18">
        <v>3.0700999999999999E-2</v>
      </c>
      <c r="R197" s="18">
        <v>2.0932500000000001E-4</v>
      </c>
      <c r="S197" s="18">
        <v>5.8611000000000003E-2</v>
      </c>
      <c r="T197" s="18">
        <v>0.25119000000000002</v>
      </c>
      <c r="U197" s="18">
        <v>0.12559500000000001</v>
      </c>
      <c r="V197" s="18">
        <v>1.6076160000000002</v>
      </c>
      <c r="W197" s="18">
        <v>1.5071400000000001</v>
      </c>
      <c r="X197" s="18">
        <v>1.0047600000000001</v>
      </c>
      <c r="Y197" s="18">
        <v>4.4656000000000001E-2</v>
      </c>
      <c r="Z197" s="18">
        <v>0.198161</v>
      </c>
      <c r="AA197" s="18">
        <v>0.29026400000000002</v>
      </c>
      <c r="AB197" s="18">
        <v>0.51633499999999999</v>
      </c>
      <c r="AC197" s="18">
        <v>0.15908700000000001</v>
      </c>
      <c r="AD197" s="18">
        <v>0.83730000000000004</v>
      </c>
    </row>
    <row r="198" spans="2:30" x14ac:dyDescent="0.25">
      <c r="B198" t="s">
        <v>269</v>
      </c>
      <c r="C198" t="s">
        <v>326</v>
      </c>
      <c r="D198" t="s">
        <v>749</v>
      </c>
      <c r="E198" s="35">
        <v>0.9</v>
      </c>
      <c r="F198" s="35">
        <v>6.6</v>
      </c>
      <c r="G198" s="36">
        <v>3.5699999999999998E-3</v>
      </c>
      <c r="H198" s="18">
        <v>6.4252979999999997</v>
      </c>
      <c r="I198" s="16" t="s">
        <v>746</v>
      </c>
      <c r="J198" s="16"/>
      <c r="K198" s="16"/>
      <c r="L198" s="37"/>
      <c r="M198" s="37"/>
      <c r="N198" s="37"/>
      <c r="O198" s="37"/>
      <c r="P198" s="37"/>
      <c r="Q198" s="18">
        <v>3.9269999999999999E-2</v>
      </c>
      <c r="R198" s="18">
        <v>2.6774999999999998E-4</v>
      </c>
      <c r="S198" s="18">
        <v>7.4969999999999995E-2</v>
      </c>
      <c r="T198" s="18">
        <v>0.32129999999999997</v>
      </c>
      <c r="U198" s="18">
        <v>0.16064999999999999</v>
      </c>
      <c r="V198" s="18">
        <v>2.0563199999999999</v>
      </c>
      <c r="W198" s="18">
        <v>1.9278</v>
      </c>
      <c r="X198" s="18">
        <v>1.2851999999999999</v>
      </c>
      <c r="Y198" s="18">
        <v>5.7119999999999997E-2</v>
      </c>
      <c r="Z198" s="18">
        <v>0.25346999999999997</v>
      </c>
      <c r="AA198" s="18">
        <v>0.37128</v>
      </c>
      <c r="AB198" s="18">
        <v>0.66044999999999998</v>
      </c>
      <c r="AC198" s="18">
        <v>0.20348999999999998</v>
      </c>
      <c r="AD198" s="18">
        <v>1.071</v>
      </c>
    </row>
    <row r="199" spans="2:30" x14ac:dyDescent="0.25">
      <c r="B199" t="s">
        <v>269</v>
      </c>
      <c r="C199" t="s">
        <v>326</v>
      </c>
      <c r="D199" t="s">
        <v>750</v>
      </c>
      <c r="E199" s="35">
        <v>0.9</v>
      </c>
      <c r="F199" s="35">
        <v>6.6</v>
      </c>
      <c r="G199" s="36">
        <v>3.0200000000000001E-3</v>
      </c>
      <c r="H199" s="18">
        <v>5.4352980000000004</v>
      </c>
      <c r="I199" s="16" t="s">
        <v>746</v>
      </c>
      <c r="J199" s="16"/>
      <c r="K199" s="16"/>
      <c r="L199" s="37"/>
      <c r="M199" s="37"/>
      <c r="N199" s="37"/>
      <c r="O199" s="37"/>
      <c r="P199" s="37"/>
      <c r="Q199" s="18">
        <v>3.322E-2</v>
      </c>
      <c r="R199" s="18">
        <v>2.265E-4</v>
      </c>
      <c r="S199" s="18">
        <v>6.3420000000000004E-2</v>
      </c>
      <c r="T199" s="18">
        <v>0.27179999999999999</v>
      </c>
      <c r="U199" s="18">
        <v>0.13589999999999999</v>
      </c>
      <c r="V199" s="18">
        <v>1.7395200000000002</v>
      </c>
      <c r="W199" s="18">
        <v>1.6308</v>
      </c>
      <c r="X199" s="18">
        <v>1.0871999999999999</v>
      </c>
      <c r="Y199" s="18">
        <v>4.8320000000000002E-2</v>
      </c>
      <c r="Z199" s="18">
        <v>0.21442</v>
      </c>
      <c r="AA199" s="18">
        <v>0.31408000000000003</v>
      </c>
      <c r="AB199" s="18">
        <v>0.55869999999999997</v>
      </c>
      <c r="AC199" s="18">
        <v>0.17214000000000002</v>
      </c>
      <c r="AD199" s="18">
        <v>0.90600000000000003</v>
      </c>
    </row>
    <row r="200" spans="2:30" x14ac:dyDescent="0.25">
      <c r="B200" t="s">
        <v>269</v>
      </c>
      <c r="C200" t="s">
        <v>326</v>
      </c>
      <c r="D200" t="s">
        <v>748</v>
      </c>
      <c r="E200" s="35">
        <v>0.9</v>
      </c>
      <c r="F200" s="35">
        <v>6.6</v>
      </c>
      <c r="G200" s="36">
        <v>4.1200000000000004E-3</v>
      </c>
      <c r="H200" s="18">
        <v>7.4152979999999999</v>
      </c>
      <c r="I200" s="16" t="s">
        <v>746</v>
      </c>
      <c r="J200" s="16"/>
      <c r="K200" s="16"/>
      <c r="L200" s="37"/>
      <c r="M200" s="37"/>
      <c r="N200" s="37"/>
      <c r="O200" s="37"/>
      <c r="P200" s="37"/>
      <c r="Q200" s="18">
        <v>4.5320000000000006E-2</v>
      </c>
      <c r="R200" s="18">
        <v>3.0900000000000003E-4</v>
      </c>
      <c r="S200" s="18">
        <v>8.6520000000000014E-2</v>
      </c>
      <c r="T200" s="18">
        <v>0.37080000000000002</v>
      </c>
      <c r="U200" s="18">
        <v>0.18540000000000001</v>
      </c>
      <c r="V200" s="18">
        <v>2.3731200000000001</v>
      </c>
      <c r="W200" s="18">
        <v>2.2248000000000001</v>
      </c>
      <c r="X200" s="18">
        <v>1.4832000000000001</v>
      </c>
      <c r="Y200" s="18">
        <v>6.5920000000000006E-2</v>
      </c>
      <c r="Z200" s="18">
        <v>0.29252</v>
      </c>
      <c r="AA200" s="18">
        <v>0.42848000000000003</v>
      </c>
      <c r="AB200" s="18">
        <v>0.7622000000000001</v>
      </c>
      <c r="AC200" s="18">
        <v>0.23484000000000002</v>
      </c>
      <c r="AD200" s="18">
        <v>1.2360000000000002</v>
      </c>
    </row>
    <row r="201" spans="2:30" x14ac:dyDescent="0.25">
      <c r="B201" t="s">
        <v>269</v>
      </c>
      <c r="C201" t="s">
        <v>326</v>
      </c>
      <c r="D201" t="s">
        <v>748</v>
      </c>
      <c r="E201" s="35">
        <v>0.9</v>
      </c>
      <c r="F201" s="35">
        <v>6.6</v>
      </c>
      <c r="G201" s="36">
        <v>4.1200000000000004E-3</v>
      </c>
      <c r="H201" s="18">
        <v>7.4152979999999999</v>
      </c>
      <c r="I201" s="16" t="s">
        <v>746</v>
      </c>
      <c r="J201" s="16"/>
      <c r="K201" s="16"/>
      <c r="L201" s="37"/>
      <c r="M201" s="37"/>
      <c r="N201" s="37"/>
      <c r="O201" s="37"/>
      <c r="P201" s="37"/>
      <c r="Q201" s="18">
        <v>4.5320000000000006E-2</v>
      </c>
      <c r="R201" s="18">
        <v>3.0900000000000003E-4</v>
      </c>
      <c r="S201" s="18">
        <v>8.6520000000000014E-2</v>
      </c>
      <c r="T201" s="18">
        <v>0.37080000000000002</v>
      </c>
      <c r="U201" s="18">
        <v>0.18540000000000001</v>
      </c>
      <c r="V201" s="18">
        <v>2.3731200000000001</v>
      </c>
      <c r="W201" s="18">
        <v>2.2248000000000001</v>
      </c>
      <c r="X201" s="18">
        <v>1.4832000000000001</v>
      </c>
      <c r="Y201" s="18">
        <v>6.5920000000000006E-2</v>
      </c>
      <c r="Z201" s="18">
        <v>0.29252</v>
      </c>
      <c r="AA201" s="18">
        <v>0.42848000000000003</v>
      </c>
      <c r="AB201" s="18">
        <v>0.7622000000000001</v>
      </c>
      <c r="AC201" s="18">
        <v>0.23484000000000002</v>
      </c>
      <c r="AD201" s="18">
        <v>1.2360000000000002</v>
      </c>
    </row>
    <row r="202" spans="2:30" x14ac:dyDescent="0.25">
      <c r="B202" t="s">
        <v>269</v>
      </c>
      <c r="C202" t="s">
        <v>326</v>
      </c>
      <c r="D202" t="s">
        <v>749</v>
      </c>
      <c r="E202" s="35">
        <v>0.9</v>
      </c>
      <c r="F202" s="35">
        <v>6.6</v>
      </c>
      <c r="G202" s="36">
        <v>3.5699999999999998E-3</v>
      </c>
      <c r="H202" s="18">
        <v>6.4252979999999997</v>
      </c>
      <c r="I202" s="16" t="s">
        <v>746</v>
      </c>
      <c r="J202" s="16"/>
      <c r="K202" s="16"/>
      <c r="L202" s="37"/>
      <c r="M202" s="37"/>
      <c r="N202" s="37"/>
      <c r="O202" s="37"/>
      <c r="P202" s="37"/>
      <c r="Q202" s="18">
        <v>3.9269999999999999E-2</v>
      </c>
      <c r="R202" s="18">
        <v>2.6774999999999998E-4</v>
      </c>
      <c r="S202" s="18">
        <v>7.4969999999999995E-2</v>
      </c>
      <c r="T202" s="18">
        <v>0.32129999999999997</v>
      </c>
      <c r="U202" s="18">
        <v>0.16064999999999999</v>
      </c>
      <c r="V202" s="18">
        <v>2.0563199999999999</v>
      </c>
      <c r="W202" s="18">
        <v>1.9278</v>
      </c>
      <c r="X202" s="18">
        <v>1.2851999999999999</v>
      </c>
      <c r="Y202" s="18">
        <v>5.7119999999999997E-2</v>
      </c>
      <c r="Z202" s="18">
        <v>0.25346999999999997</v>
      </c>
      <c r="AA202" s="18">
        <v>0.37128</v>
      </c>
      <c r="AB202" s="18">
        <v>0.66044999999999998</v>
      </c>
      <c r="AC202" s="18">
        <v>0.20348999999999998</v>
      </c>
      <c r="AD202" s="18">
        <v>1.071</v>
      </c>
    </row>
    <row r="203" spans="2:30" x14ac:dyDescent="0.25">
      <c r="B203" t="s">
        <v>269</v>
      </c>
      <c r="C203" t="s">
        <v>326</v>
      </c>
      <c r="D203" t="s">
        <v>749</v>
      </c>
      <c r="E203" s="35">
        <v>0.9</v>
      </c>
      <c r="F203" s="35">
        <v>6.6</v>
      </c>
      <c r="G203" s="36">
        <v>3.5699999999999998E-3</v>
      </c>
      <c r="H203" s="18">
        <v>6.4252979999999997</v>
      </c>
      <c r="I203" s="16" t="s">
        <v>746</v>
      </c>
      <c r="J203" s="16"/>
      <c r="K203" s="16"/>
      <c r="L203" s="37"/>
      <c r="M203" s="37"/>
      <c r="N203" s="37"/>
      <c r="O203" s="37"/>
      <c r="P203" s="37"/>
      <c r="Q203" s="18">
        <v>3.9269999999999999E-2</v>
      </c>
      <c r="R203" s="18">
        <v>2.6774999999999998E-4</v>
      </c>
      <c r="S203" s="18">
        <v>7.4969999999999995E-2</v>
      </c>
      <c r="T203" s="18">
        <v>0.32129999999999997</v>
      </c>
      <c r="U203" s="18">
        <v>0.16064999999999999</v>
      </c>
      <c r="V203" s="18">
        <v>2.0563199999999999</v>
      </c>
      <c r="W203" s="18">
        <v>1.9278</v>
      </c>
      <c r="X203" s="18">
        <v>1.2851999999999999</v>
      </c>
      <c r="Y203" s="18">
        <v>5.7119999999999997E-2</v>
      </c>
      <c r="Z203" s="18">
        <v>0.25346999999999997</v>
      </c>
      <c r="AA203" s="18">
        <v>0.37128</v>
      </c>
      <c r="AB203" s="18">
        <v>0.66044999999999998</v>
      </c>
      <c r="AC203" s="18">
        <v>0.20348999999999998</v>
      </c>
      <c r="AD203" s="18">
        <v>1.071</v>
      </c>
    </row>
    <row r="204" spans="2:30" x14ac:dyDescent="0.25">
      <c r="B204" t="s">
        <v>269</v>
      </c>
      <c r="C204" t="s">
        <v>326</v>
      </c>
      <c r="D204" t="s">
        <v>748</v>
      </c>
      <c r="E204" s="35">
        <v>0.9</v>
      </c>
      <c r="F204" s="35">
        <v>6.6</v>
      </c>
      <c r="G204" s="36">
        <v>4.1200000000000004E-3</v>
      </c>
      <c r="H204" s="18">
        <v>7.4152979999999999</v>
      </c>
      <c r="I204" s="16" t="s">
        <v>746</v>
      </c>
      <c r="J204" s="16"/>
      <c r="K204" s="16"/>
      <c r="L204" s="37"/>
      <c r="M204" s="37"/>
      <c r="N204" s="37"/>
      <c r="O204" s="37"/>
      <c r="P204" s="37"/>
      <c r="Q204" s="18">
        <v>4.5320000000000006E-2</v>
      </c>
      <c r="R204" s="18">
        <v>3.0900000000000003E-4</v>
      </c>
      <c r="S204" s="18">
        <v>8.6520000000000014E-2</v>
      </c>
      <c r="T204" s="18">
        <v>0.37080000000000002</v>
      </c>
      <c r="U204" s="18">
        <v>0.18540000000000001</v>
      </c>
      <c r="V204" s="18">
        <v>2.3731200000000001</v>
      </c>
      <c r="W204" s="18">
        <v>2.2248000000000001</v>
      </c>
      <c r="X204" s="18">
        <v>1.4832000000000001</v>
      </c>
      <c r="Y204" s="18">
        <v>6.5920000000000006E-2</v>
      </c>
      <c r="Z204" s="18">
        <v>0.29252</v>
      </c>
      <c r="AA204" s="18">
        <v>0.42848000000000003</v>
      </c>
      <c r="AB204" s="18">
        <v>0.7622000000000001</v>
      </c>
      <c r="AC204" s="18">
        <v>0.23484000000000002</v>
      </c>
      <c r="AD204" s="18">
        <v>1.2360000000000002</v>
      </c>
    </row>
    <row r="205" spans="2:30" x14ac:dyDescent="0.25">
      <c r="B205" t="s">
        <v>269</v>
      </c>
      <c r="C205" t="s">
        <v>326</v>
      </c>
      <c r="D205" t="s">
        <v>747</v>
      </c>
      <c r="E205" s="35">
        <v>0.9</v>
      </c>
      <c r="F205" s="35">
        <v>6.6</v>
      </c>
      <c r="G205" s="36">
        <v>4.9449999999999997E-3</v>
      </c>
      <c r="H205" s="18">
        <v>8.9002979999999994</v>
      </c>
      <c r="I205" s="16" t="s">
        <v>746</v>
      </c>
      <c r="J205" s="16"/>
      <c r="K205" s="16"/>
      <c r="L205" s="37"/>
      <c r="M205" s="37"/>
      <c r="N205" s="37"/>
      <c r="O205" s="37"/>
      <c r="P205" s="37"/>
      <c r="Q205" s="18">
        <v>5.4394999999999999E-2</v>
      </c>
      <c r="R205" s="18">
        <v>3.7087499999999995E-4</v>
      </c>
      <c r="S205" s="18">
        <v>0.10384499999999999</v>
      </c>
      <c r="T205" s="18">
        <v>0.44505</v>
      </c>
      <c r="U205" s="18">
        <v>0.222525</v>
      </c>
      <c r="V205" s="18">
        <v>2.8483199999999997</v>
      </c>
      <c r="W205" s="18">
        <v>2.6702999999999997</v>
      </c>
      <c r="X205" s="18">
        <v>1.7802</v>
      </c>
      <c r="Y205" s="18">
        <v>7.9119999999999996E-2</v>
      </c>
      <c r="Z205" s="18">
        <v>0.35109499999999999</v>
      </c>
      <c r="AA205" s="18">
        <v>0.51427999999999996</v>
      </c>
      <c r="AB205" s="18">
        <v>0.914825</v>
      </c>
      <c r="AC205" s="18">
        <v>0.28186499999999998</v>
      </c>
      <c r="AD205" s="18">
        <v>1.4834999999999998</v>
      </c>
    </row>
    <row r="206" spans="2:30" x14ac:dyDescent="0.25">
      <c r="B206" t="s">
        <v>269</v>
      </c>
      <c r="C206" t="s">
        <v>326</v>
      </c>
      <c r="D206" t="s">
        <v>749</v>
      </c>
      <c r="E206" s="35">
        <v>0.9</v>
      </c>
      <c r="F206" s="35">
        <v>6.6</v>
      </c>
      <c r="G206" s="36">
        <v>3.5699999999999998E-3</v>
      </c>
      <c r="H206" s="18">
        <v>6.4252979999999997</v>
      </c>
      <c r="I206" s="16" t="s">
        <v>746</v>
      </c>
      <c r="J206" s="16"/>
      <c r="K206" s="16"/>
      <c r="L206" s="37"/>
      <c r="M206" s="37"/>
      <c r="N206" s="37"/>
      <c r="O206" s="37"/>
      <c r="P206" s="37"/>
      <c r="Q206" s="18">
        <v>3.9269999999999999E-2</v>
      </c>
      <c r="R206" s="18">
        <v>2.6774999999999998E-4</v>
      </c>
      <c r="S206" s="18">
        <v>7.4969999999999995E-2</v>
      </c>
      <c r="T206" s="18">
        <v>0.32129999999999997</v>
      </c>
      <c r="U206" s="18">
        <v>0.16064999999999999</v>
      </c>
      <c r="V206" s="18">
        <v>2.0563199999999999</v>
      </c>
      <c r="W206" s="18">
        <v>1.9278</v>
      </c>
      <c r="X206" s="18">
        <v>1.2851999999999999</v>
      </c>
      <c r="Y206" s="18">
        <v>5.7119999999999997E-2</v>
      </c>
      <c r="Z206" s="18">
        <v>0.25346999999999997</v>
      </c>
      <c r="AA206" s="18">
        <v>0.37128</v>
      </c>
      <c r="AB206" s="18">
        <v>0.66044999999999998</v>
      </c>
      <c r="AC206" s="18">
        <v>0.20348999999999998</v>
      </c>
      <c r="AD206" s="18">
        <v>1.071</v>
      </c>
    </row>
    <row r="207" spans="2:30" x14ac:dyDescent="0.25">
      <c r="B207" t="s">
        <v>269</v>
      </c>
      <c r="C207" t="s">
        <v>326</v>
      </c>
      <c r="D207" t="s">
        <v>750</v>
      </c>
      <c r="E207" s="35">
        <v>0.9</v>
      </c>
      <c r="F207" s="35">
        <v>6.6</v>
      </c>
      <c r="G207" s="36">
        <v>3.0200000000000001E-3</v>
      </c>
      <c r="H207" s="18">
        <v>5.4352980000000004</v>
      </c>
      <c r="I207" s="16" t="s">
        <v>746</v>
      </c>
      <c r="J207" s="16"/>
      <c r="K207" s="16"/>
      <c r="L207" s="37"/>
      <c r="M207" s="37"/>
      <c r="N207" s="37"/>
      <c r="O207" s="37"/>
      <c r="P207" s="37"/>
      <c r="Q207" s="18">
        <v>3.322E-2</v>
      </c>
      <c r="R207" s="18">
        <v>2.265E-4</v>
      </c>
      <c r="S207" s="18">
        <v>6.3420000000000004E-2</v>
      </c>
      <c r="T207" s="18">
        <v>0.27179999999999999</v>
      </c>
      <c r="U207" s="18">
        <v>0.13589999999999999</v>
      </c>
      <c r="V207" s="18">
        <v>1.7395200000000002</v>
      </c>
      <c r="W207" s="18">
        <v>1.6308</v>
      </c>
      <c r="X207" s="18">
        <v>1.0871999999999999</v>
      </c>
      <c r="Y207" s="18">
        <v>4.8320000000000002E-2</v>
      </c>
      <c r="Z207" s="18">
        <v>0.21442</v>
      </c>
      <c r="AA207" s="18">
        <v>0.31408000000000003</v>
      </c>
      <c r="AB207" s="18">
        <v>0.55869999999999997</v>
      </c>
      <c r="AC207" s="18">
        <v>0.17214000000000002</v>
      </c>
      <c r="AD207" s="18">
        <v>0.90600000000000003</v>
      </c>
    </row>
    <row r="208" spans="2:30" x14ac:dyDescent="0.25">
      <c r="B208" t="s">
        <v>269</v>
      </c>
      <c r="C208" t="s">
        <v>326</v>
      </c>
      <c r="D208" t="s">
        <v>750</v>
      </c>
      <c r="E208" s="35">
        <v>0.9</v>
      </c>
      <c r="F208" s="35">
        <v>6.6</v>
      </c>
      <c r="G208" s="36">
        <v>3.0200000000000001E-3</v>
      </c>
      <c r="H208" s="18">
        <v>5.4352980000000004</v>
      </c>
      <c r="I208" s="16" t="s">
        <v>746</v>
      </c>
      <c r="J208" s="16"/>
      <c r="K208" s="16"/>
      <c r="L208" s="37"/>
      <c r="M208" s="37"/>
      <c r="N208" s="37"/>
      <c r="O208" s="37"/>
      <c r="P208" s="37"/>
      <c r="Q208" s="18">
        <v>3.322E-2</v>
      </c>
      <c r="R208" s="18">
        <v>2.265E-4</v>
      </c>
      <c r="S208" s="18">
        <v>6.3420000000000004E-2</v>
      </c>
      <c r="T208" s="18">
        <v>0.27179999999999999</v>
      </c>
      <c r="U208" s="18">
        <v>0.13589999999999999</v>
      </c>
      <c r="V208" s="18">
        <v>1.7395200000000002</v>
      </c>
      <c r="W208" s="18">
        <v>1.6308</v>
      </c>
      <c r="X208" s="18">
        <v>1.0871999999999999</v>
      </c>
      <c r="Y208" s="18">
        <v>4.8320000000000002E-2</v>
      </c>
      <c r="Z208" s="18">
        <v>0.21442</v>
      </c>
      <c r="AA208" s="18">
        <v>0.31408000000000003</v>
      </c>
      <c r="AB208" s="18">
        <v>0.55869999999999997</v>
      </c>
      <c r="AC208" s="18">
        <v>0.17214000000000002</v>
      </c>
      <c r="AD208" s="18">
        <v>0.90600000000000003</v>
      </c>
    </row>
    <row r="209" spans="2:30" x14ac:dyDescent="0.25">
      <c r="B209" t="s">
        <v>269</v>
      </c>
      <c r="C209" t="s">
        <v>326</v>
      </c>
      <c r="D209" t="s">
        <v>748</v>
      </c>
      <c r="E209" s="35">
        <v>0.9</v>
      </c>
      <c r="F209" s="35">
        <v>6.6</v>
      </c>
      <c r="G209" s="36">
        <v>4.1200000000000004E-3</v>
      </c>
      <c r="H209" s="18">
        <v>7.4152979999999999</v>
      </c>
      <c r="I209" s="16" t="s">
        <v>746</v>
      </c>
      <c r="J209" s="16"/>
      <c r="K209" s="16"/>
      <c r="L209" s="37"/>
      <c r="M209" s="37"/>
      <c r="N209" s="37"/>
      <c r="O209" s="37"/>
      <c r="P209" s="37"/>
      <c r="Q209" s="18">
        <v>4.5320000000000006E-2</v>
      </c>
      <c r="R209" s="18">
        <v>3.0900000000000003E-4</v>
      </c>
      <c r="S209" s="18">
        <v>8.6520000000000014E-2</v>
      </c>
      <c r="T209" s="18">
        <v>0.37080000000000002</v>
      </c>
      <c r="U209" s="18">
        <v>0.18540000000000001</v>
      </c>
      <c r="V209" s="18">
        <v>2.3731200000000001</v>
      </c>
      <c r="W209" s="18">
        <v>2.2248000000000001</v>
      </c>
      <c r="X209" s="18">
        <v>1.4832000000000001</v>
      </c>
      <c r="Y209" s="18">
        <v>6.5920000000000006E-2</v>
      </c>
      <c r="Z209" s="18">
        <v>0.29252</v>
      </c>
      <c r="AA209" s="18">
        <v>0.42848000000000003</v>
      </c>
      <c r="AB209" s="18">
        <v>0.7622000000000001</v>
      </c>
      <c r="AC209" s="18">
        <v>0.23484000000000002</v>
      </c>
      <c r="AD209" s="18">
        <v>1.2360000000000002</v>
      </c>
    </row>
    <row r="210" spans="2:30" x14ac:dyDescent="0.25">
      <c r="B210" t="s">
        <v>269</v>
      </c>
      <c r="C210" t="s">
        <v>326</v>
      </c>
      <c r="D210" t="s">
        <v>748</v>
      </c>
      <c r="E210" s="35">
        <v>0.9</v>
      </c>
      <c r="F210" s="35">
        <v>6.6</v>
      </c>
      <c r="G210" s="36">
        <v>4.1200000000000004E-3</v>
      </c>
      <c r="H210" s="18">
        <v>7.4152979999999999</v>
      </c>
      <c r="I210" s="16" t="s">
        <v>746</v>
      </c>
      <c r="J210" s="16"/>
      <c r="K210" s="16"/>
      <c r="L210" s="37"/>
      <c r="M210" s="37"/>
      <c r="N210" s="37"/>
      <c r="O210" s="37"/>
      <c r="P210" s="37"/>
      <c r="Q210" s="18">
        <v>4.5320000000000006E-2</v>
      </c>
      <c r="R210" s="18">
        <v>3.0900000000000003E-4</v>
      </c>
      <c r="S210" s="18">
        <v>8.6520000000000014E-2</v>
      </c>
      <c r="T210" s="18">
        <v>0.37080000000000002</v>
      </c>
      <c r="U210" s="18">
        <v>0.18540000000000001</v>
      </c>
      <c r="V210" s="18">
        <v>2.3731200000000001</v>
      </c>
      <c r="W210" s="18">
        <v>2.2248000000000001</v>
      </c>
      <c r="X210" s="18">
        <v>1.4832000000000001</v>
      </c>
      <c r="Y210" s="18">
        <v>6.5920000000000006E-2</v>
      </c>
      <c r="Z210" s="18">
        <v>0.29252</v>
      </c>
      <c r="AA210" s="18">
        <v>0.42848000000000003</v>
      </c>
      <c r="AB210" s="18">
        <v>0.7622000000000001</v>
      </c>
      <c r="AC210" s="18">
        <v>0.23484000000000002</v>
      </c>
      <c r="AD210" s="18">
        <v>1.2360000000000002</v>
      </c>
    </row>
    <row r="211" spans="2:30" x14ac:dyDescent="0.25">
      <c r="B211" t="s">
        <v>269</v>
      </c>
      <c r="C211" t="s">
        <v>326</v>
      </c>
      <c r="D211" t="s">
        <v>748</v>
      </c>
      <c r="E211" s="35">
        <v>0.9</v>
      </c>
      <c r="F211" s="35">
        <v>6.6</v>
      </c>
      <c r="G211" s="36">
        <v>4.1200000000000004E-3</v>
      </c>
      <c r="H211" s="18">
        <v>7.4152979999999999</v>
      </c>
      <c r="I211" s="16" t="s">
        <v>746</v>
      </c>
      <c r="J211" s="16"/>
      <c r="K211" s="16"/>
      <c r="L211" s="37"/>
      <c r="M211" s="37"/>
      <c r="N211" s="37"/>
      <c r="O211" s="37"/>
      <c r="P211" s="37"/>
      <c r="Q211" s="18">
        <v>4.5320000000000006E-2</v>
      </c>
      <c r="R211" s="18">
        <v>3.0900000000000003E-4</v>
      </c>
      <c r="S211" s="18">
        <v>8.6520000000000014E-2</v>
      </c>
      <c r="T211" s="18">
        <v>0.37080000000000002</v>
      </c>
      <c r="U211" s="18">
        <v>0.18540000000000001</v>
      </c>
      <c r="V211" s="18">
        <v>2.3731200000000001</v>
      </c>
      <c r="W211" s="18">
        <v>2.2248000000000001</v>
      </c>
      <c r="X211" s="18">
        <v>1.4832000000000001</v>
      </c>
      <c r="Y211" s="18">
        <v>6.5920000000000006E-2</v>
      </c>
      <c r="Z211" s="18">
        <v>0.29252</v>
      </c>
      <c r="AA211" s="18">
        <v>0.42848000000000003</v>
      </c>
      <c r="AB211" s="18">
        <v>0.7622000000000001</v>
      </c>
      <c r="AC211" s="18">
        <v>0.23484000000000002</v>
      </c>
      <c r="AD211" s="18">
        <v>1.2360000000000002</v>
      </c>
    </row>
    <row r="212" spans="2:30" x14ac:dyDescent="0.25">
      <c r="B212" t="s">
        <v>269</v>
      </c>
      <c r="C212" t="s">
        <v>326</v>
      </c>
      <c r="D212" t="s">
        <v>748</v>
      </c>
      <c r="E212" s="35">
        <v>0.9</v>
      </c>
      <c r="F212" s="35">
        <v>6.6</v>
      </c>
      <c r="G212" s="36">
        <v>4.1200000000000004E-3</v>
      </c>
      <c r="H212" s="18">
        <v>7.4152979999999999</v>
      </c>
      <c r="I212" s="16" t="s">
        <v>746</v>
      </c>
      <c r="J212" s="16"/>
      <c r="K212" s="16"/>
      <c r="L212" s="37"/>
      <c r="M212" s="37"/>
      <c r="N212" s="37"/>
      <c r="O212" s="37"/>
      <c r="P212" s="37"/>
      <c r="Q212" s="18">
        <v>4.5320000000000006E-2</v>
      </c>
      <c r="R212" s="18">
        <v>3.0900000000000003E-4</v>
      </c>
      <c r="S212" s="18">
        <v>8.6520000000000014E-2</v>
      </c>
      <c r="T212" s="18">
        <v>0.37080000000000002</v>
      </c>
      <c r="U212" s="18">
        <v>0.18540000000000001</v>
      </c>
      <c r="V212" s="18">
        <v>2.3731200000000001</v>
      </c>
      <c r="W212" s="18">
        <v>2.2248000000000001</v>
      </c>
      <c r="X212" s="18">
        <v>1.4832000000000001</v>
      </c>
      <c r="Y212" s="18">
        <v>6.5920000000000006E-2</v>
      </c>
      <c r="Z212" s="18">
        <v>0.29252</v>
      </c>
      <c r="AA212" s="18">
        <v>0.42848000000000003</v>
      </c>
      <c r="AB212" s="18">
        <v>0.7622000000000001</v>
      </c>
      <c r="AC212" s="18">
        <v>0.23484000000000002</v>
      </c>
      <c r="AD212" s="18">
        <v>1.2360000000000002</v>
      </c>
    </row>
    <row r="213" spans="2:30" x14ac:dyDescent="0.25">
      <c r="B213" t="s">
        <v>269</v>
      </c>
      <c r="C213" t="s">
        <v>326</v>
      </c>
      <c r="D213" t="s">
        <v>747</v>
      </c>
      <c r="E213" s="35">
        <v>0.9</v>
      </c>
      <c r="F213" s="35">
        <v>6.6</v>
      </c>
      <c r="G213" s="36">
        <v>4.9449999999999997E-3</v>
      </c>
      <c r="H213" s="18">
        <v>8.9002979999999994</v>
      </c>
      <c r="I213" s="16" t="s">
        <v>746</v>
      </c>
      <c r="J213" s="16"/>
      <c r="K213" s="16"/>
      <c r="L213" s="37"/>
      <c r="M213" s="37"/>
      <c r="N213" s="37"/>
      <c r="O213" s="37"/>
      <c r="P213" s="37"/>
      <c r="Q213" s="18">
        <v>5.4394999999999999E-2</v>
      </c>
      <c r="R213" s="18">
        <v>3.7087499999999995E-4</v>
      </c>
      <c r="S213" s="18">
        <v>0.10384499999999999</v>
      </c>
      <c r="T213" s="18">
        <v>0.44505</v>
      </c>
      <c r="U213" s="18">
        <v>0.222525</v>
      </c>
      <c r="V213" s="18">
        <v>2.8483199999999997</v>
      </c>
      <c r="W213" s="18">
        <v>2.6702999999999997</v>
      </c>
      <c r="X213" s="18">
        <v>1.7802</v>
      </c>
      <c r="Y213" s="18">
        <v>7.9119999999999996E-2</v>
      </c>
      <c r="Z213" s="18">
        <v>0.35109499999999999</v>
      </c>
      <c r="AA213" s="18">
        <v>0.51427999999999996</v>
      </c>
      <c r="AB213" s="18">
        <v>0.914825</v>
      </c>
      <c r="AC213" s="18">
        <v>0.28186499999999998</v>
      </c>
      <c r="AD213" s="18">
        <v>1.4834999999999998</v>
      </c>
    </row>
    <row r="214" spans="2:30" x14ac:dyDescent="0.25">
      <c r="B214" t="s">
        <v>269</v>
      </c>
      <c r="C214" t="s">
        <v>326</v>
      </c>
      <c r="D214" t="s">
        <v>747</v>
      </c>
      <c r="E214" s="35">
        <v>0.9</v>
      </c>
      <c r="F214" s="35">
        <v>6.6</v>
      </c>
      <c r="G214" s="36">
        <v>4.9449999999999997E-3</v>
      </c>
      <c r="H214" s="18">
        <v>8.9002979999999994</v>
      </c>
      <c r="I214" s="16" t="s">
        <v>746</v>
      </c>
      <c r="J214" s="16"/>
      <c r="K214" s="16"/>
      <c r="L214" s="37"/>
      <c r="M214" s="37"/>
      <c r="N214" s="37"/>
      <c r="O214" s="37"/>
      <c r="P214" s="37"/>
      <c r="Q214" s="18">
        <v>5.4394999999999999E-2</v>
      </c>
      <c r="R214" s="18">
        <v>3.7087499999999995E-4</v>
      </c>
      <c r="S214" s="18">
        <v>0.10384499999999999</v>
      </c>
      <c r="T214" s="18">
        <v>0.44505</v>
      </c>
      <c r="U214" s="18">
        <v>0.222525</v>
      </c>
      <c r="V214" s="18">
        <v>2.8483199999999997</v>
      </c>
      <c r="W214" s="18">
        <v>2.6702999999999997</v>
      </c>
      <c r="X214" s="18">
        <v>1.7802</v>
      </c>
      <c r="Y214" s="18">
        <v>7.9119999999999996E-2</v>
      </c>
      <c r="Z214" s="18">
        <v>0.35109499999999999</v>
      </c>
      <c r="AA214" s="18">
        <v>0.51427999999999996</v>
      </c>
      <c r="AB214" s="18">
        <v>0.914825</v>
      </c>
      <c r="AC214" s="18">
        <v>0.28186499999999998</v>
      </c>
      <c r="AD214" s="18">
        <v>1.4834999999999998</v>
      </c>
    </row>
    <row r="215" spans="2:30" x14ac:dyDescent="0.25">
      <c r="B215" t="s">
        <v>269</v>
      </c>
      <c r="C215" t="s">
        <v>326</v>
      </c>
      <c r="D215" t="s">
        <v>748</v>
      </c>
      <c r="E215" s="35">
        <v>0.9</v>
      </c>
      <c r="F215" s="35">
        <v>6.6</v>
      </c>
      <c r="G215" s="36">
        <v>4.1200000000000004E-3</v>
      </c>
      <c r="H215" s="18">
        <v>7.4152979999999999</v>
      </c>
      <c r="I215" s="16" t="s">
        <v>746</v>
      </c>
      <c r="J215" s="16"/>
      <c r="K215" s="16"/>
      <c r="L215" s="37"/>
      <c r="M215" s="37"/>
      <c r="N215" s="37"/>
      <c r="O215" s="37"/>
      <c r="P215" s="37"/>
      <c r="Q215" s="18">
        <v>4.5320000000000006E-2</v>
      </c>
      <c r="R215" s="18">
        <v>3.0900000000000003E-4</v>
      </c>
      <c r="S215" s="18">
        <v>8.6520000000000014E-2</v>
      </c>
      <c r="T215" s="18">
        <v>0.37080000000000002</v>
      </c>
      <c r="U215" s="18">
        <v>0.18540000000000001</v>
      </c>
      <c r="V215" s="18">
        <v>2.3731200000000001</v>
      </c>
      <c r="W215" s="18">
        <v>2.2248000000000001</v>
      </c>
      <c r="X215" s="18">
        <v>1.4832000000000001</v>
      </c>
      <c r="Y215" s="18">
        <v>6.5920000000000006E-2</v>
      </c>
      <c r="Z215" s="18">
        <v>0.29252</v>
      </c>
      <c r="AA215" s="18">
        <v>0.42848000000000003</v>
      </c>
      <c r="AB215" s="18">
        <v>0.7622000000000001</v>
      </c>
      <c r="AC215" s="18">
        <v>0.23484000000000002</v>
      </c>
      <c r="AD215" s="18">
        <v>1.2360000000000002</v>
      </c>
    </row>
    <row r="216" spans="2:30" x14ac:dyDescent="0.25">
      <c r="B216" t="s">
        <v>269</v>
      </c>
      <c r="C216" t="s">
        <v>326</v>
      </c>
      <c r="D216" t="s">
        <v>748</v>
      </c>
      <c r="E216" s="35">
        <v>0.9</v>
      </c>
      <c r="F216" s="35">
        <v>6.6</v>
      </c>
      <c r="G216" s="36">
        <v>4.1200000000000004E-3</v>
      </c>
      <c r="H216" s="18">
        <v>7.4152979999999999</v>
      </c>
      <c r="I216" s="16" t="s">
        <v>746</v>
      </c>
      <c r="J216" s="16"/>
      <c r="K216" s="16"/>
      <c r="L216" s="37"/>
      <c r="M216" s="37"/>
      <c r="N216" s="37"/>
      <c r="O216" s="37"/>
      <c r="P216" s="37"/>
      <c r="Q216" s="18">
        <v>4.5320000000000006E-2</v>
      </c>
      <c r="R216" s="18">
        <v>3.0900000000000003E-4</v>
      </c>
      <c r="S216" s="18">
        <v>8.6520000000000014E-2</v>
      </c>
      <c r="T216" s="18">
        <v>0.37080000000000002</v>
      </c>
      <c r="U216" s="18">
        <v>0.18540000000000001</v>
      </c>
      <c r="V216" s="18">
        <v>2.3731200000000001</v>
      </c>
      <c r="W216" s="18">
        <v>2.2248000000000001</v>
      </c>
      <c r="X216" s="18">
        <v>1.4832000000000001</v>
      </c>
      <c r="Y216" s="18">
        <v>6.5920000000000006E-2</v>
      </c>
      <c r="Z216" s="18">
        <v>0.29252</v>
      </c>
      <c r="AA216" s="18">
        <v>0.42848000000000003</v>
      </c>
      <c r="AB216" s="18">
        <v>0.7622000000000001</v>
      </c>
      <c r="AC216" s="18">
        <v>0.23484000000000002</v>
      </c>
      <c r="AD216" s="18">
        <v>1.2360000000000002</v>
      </c>
    </row>
    <row r="217" spans="2:30" x14ac:dyDescent="0.25">
      <c r="B217" t="s">
        <v>269</v>
      </c>
      <c r="C217" t="s">
        <v>326</v>
      </c>
      <c r="D217" t="s">
        <v>748</v>
      </c>
      <c r="E217" s="35">
        <v>0.9</v>
      </c>
      <c r="F217" s="35">
        <v>6.6</v>
      </c>
      <c r="G217" s="36">
        <v>4.1200000000000004E-3</v>
      </c>
      <c r="H217" s="18">
        <v>7.4152979999999999</v>
      </c>
      <c r="I217" s="16" t="s">
        <v>746</v>
      </c>
      <c r="J217" s="16"/>
      <c r="K217" s="16"/>
      <c r="L217" s="37"/>
      <c r="M217" s="37"/>
      <c r="N217" s="37"/>
      <c r="O217" s="37"/>
      <c r="P217" s="37"/>
      <c r="Q217" s="18">
        <v>4.5320000000000006E-2</v>
      </c>
      <c r="R217" s="18">
        <v>3.0900000000000003E-4</v>
      </c>
      <c r="S217" s="18">
        <v>8.6520000000000014E-2</v>
      </c>
      <c r="T217" s="18">
        <v>0.37080000000000002</v>
      </c>
      <c r="U217" s="18">
        <v>0.18540000000000001</v>
      </c>
      <c r="V217" s="18">
        <v>2.3731200000000001</v>
      </c>
      <c r="W217" s="18">
        <v>2.2248000000000001</v>
      </c>
      <c r="X217" s="18">
        <v>1.4832000000000001</v>
      </c>
      <c r="Y217" s="18">
        <v>6.5920000000000006E-2</v>
      </c>
      <c r="Z217" s="18">
        <v>0.29252</v>
      </c>
      <c r="AA217" s="18">
        <v>0.42848000000000003</v>
      </c>
      <c r="AB217" s="18">
        <v>0.7622000000000001</v>
      </c>
      <c r="AC217" s="18">
        <v>0.23484000000000002</v>
      </c>
      <c r="AD217" s="18">
        <v>1.2360000000000002</v>
      </c>
    </row>
    <row r="218" spans="2:30" x14ac:dyDescent="0.25">
      <c r="B218" t="s">
        <v>269</v>
      </c>
      <c r="C218" t="s">
        <v>326</v>
      </c>
      <c r="D218" t="s">
        <v>748</v>
      </c>
      <c r="E218" s="35">
        <v>0.9</v>
      </c>
      <c r="F218" s="35">
        <v>6.6</v>
      </c>
      <c r="G218" s="36">
        <v>4.1200000000000004E-3</v>
      </c>
      <c r="H218" s="18">
        <v>7.4152979999999999</v>
      </c>
      <c r="I218" s="16" t="s">
        <v>746</v>
      </c>
      <c r="J218" s="16"/>
      <c r="K218" s="16"/>
      <c r="L218" s="37"/>
      <c r="M218" s="37"/>
      <c r="N218" s="37"/>
      <c r="O218" s="37"/>
      <c r="P218" s="37"/>
      <c r="Q218" s="18">
        <v>4.5320000000000006E-2</v>
      </c>
      <c r="R218" s="18">
        <v>3.0900000000000003E-4</v>
      </c>
      <c r="S218" s="18">
        <v>8.6520000000000014E-2</v>
      </c>
      <c r="T218" s="18">
        <v>0.37080000000000002</v>
      </c>
      <c r="U218" s="18">
        <v>0.18540000000000001</v>
      </c>
      <c r="V218" s="18">
        <v>2.3731200000000001</v>
      </c>
      <c r="W218" s="18">
        <v>2.2248000000000001</v>
      </c>
      <c r="X218" s="18">
        <v>1.4832000000000001</v>
      </c>
      <c r="Y218" s="18">
        <v>6.5920000000000006E-2</v>
      </c>
      <c r="Z218" s="18">
        <v>0.29252</v>
      </c>
      <c r="AA218" s="18">
        <v>0.42848000000000003</v>
      </c>
      <c r="AB218" s="18">
        <v>0.7622000000000001</v>
      </c>
      <c r="AC218" s="18">
        <v>0.23484000000000002</v>
      </c>
      <c r="AD218" s="18">
        <v>1.2360000000000002</v>
      </c>
    </row>
    <row r="219" spans="2:30" x14ac:dyDescent="0.25">
      <c r="B219" t="s">
        <v>269</v>
      </c>
      <c r="C219" t="s">
        <v>326</v>
      </c>
      <c r="D219" t="s">
        <v>752</v>
      </c>
      <c r="E219" s="35">
        <v>0.9</v>
      </c>
      <c r="F219" s="35">
        <v>6.6</v>
      </c>
      <c r="G219" s="36">
        <v>2.47E-3</v>
      </c>
      <c r="H219" s="18">
        <v>4.4452980000000002</v>
      </c>
      <c r="I219" s="16" t="s">
        <v>746</v>
      </c>
      <c r="J219" s="16"/>
      <c r="K219" s="16"/>
      <c r="L219" s="37"/>
      <c r="M219" s="37"/>
      <c r="N219" s="37"/>
      <c r="O219" s="37"/>
      <c r="P219" s="37"/>
      <c r="Q219" s="18">
        <v>2.717E-2</v>
      </c>
      <c r="R219" s="18">
        <v>1.8525E-4</v>
      </c>
      <c r="S219" s="18">
        <v>5.1869999999999999E-2</v>
      </c>
      <c r="T219" s="18">
        <v>0.2223</v>
      </c>
      <c r="U219" s="18">
        <v>0.11115</v>
      </c>
      <c r="V219" s="18">
        <v>1.42272</v>
      </c>
      <c r="W219" s="18">
        <v>1.3338000000000001</v>
      </c>
      <c r="X219" s="18">
        <v>0.88919999999999999</v>
      </c>
      <c r="Y219" s="18">
        <v>3.952E-2</v>
      </c>
      <c r="Z219" s="18">
        <v>0.17537</v>
      </c>
      <c r="AA219" s="18">
        <v>0.25688</v>
      </c>
      <c r="AB219" s="18">
        <v>0.45694999999999997</v>
      </c>
      <c r="AC219" s="18">
        <v>0.14079</v>
      </c>
      <c r="AD219" s="18">
        <v>0.74099999999999999</v>
      </c>
    </row>
    <row r="220" spans="2:30" x14ac:dyDescent="0.25">
      <c r="B220" t="s">
        <v>269</v>
      </c>
      <c r="C220" t="s">
        <v>326</v>
      </c>
      <c r="D220" t="s">
        <v>750</v>
      </c>
      <c r="E220" s="35">
        <v>0.9</v>
      </c>
      <c r="F220" s="35">
        <v>6.6</v>
      </c>
      <c r="G220" s="36">
        <v>3.0200000000000001E-3</v>
      </c>
      <c r="H220" s="18">
        <v>5.4352980000000004</v>
      </c>
      <c r="I220" s="16" t="s">
        <v>746</v>
      </c>
      <c r="J220" s="16"/>
      <c r="K220" s="16"/>
      <c r="L220" s="37"/>
      <c r="M220" s="37"/>
      <c r="N220" s="37"/>
      <c r="O220" s="37"/>
      <c r="P220" s="37"/>
      <c r="Q220" s="18">
        <v>3.322E-2</v>
      </c>
      <c r="R220" s="18">
        <v>2.265E-4</v>
      </c>
      <c r="S220" s="18">
        <v>6.3420000000000004E-2</v>
      </c>
      <c r="T220" s="18">
        <v>0.27179999999999999</v>
      </c>
      <c r="U220" s="18">
        <v>0.13589999999999999</v>
      </c>
      <c r="V220" s="18">
        <v>1.7395200000000002</v>
      </c>
      <c r="W220" s="18">
        <v>1.6308</v>
      </c>
      <c r="X220" s="18">
        <v>1.0871999999999999</v>
      </c>
      <c r="Y220" s="18">
        <v>4.8320000000000002E-2</v>
      </c>
      <c r="Z220" s="18">
        <v>0.21442</v>
      </c>
      <c r="AA220" s="18">
        <v>0.31408000000000003</v>
      </c>
      <c r="AB220" s="18">
        <v>0.55869999999999997</v>
      </c>
      <c r="AC220" s="18">
        <v>0.17214000000000002</v>
      </c>
      <c r="AD220" s="18">
        <v>0.90600000000000003</v>
      </c>
    </row>
    <row r="221" spans="2:30" x14ac:dyDescent="0.25">
      <c r="B221" t="s">
        <v>269</v>
      </c>
      <c r="C221" t="s">
        <v>326</v>
      </c>
      <c r="D221" t="s">
        <v>748</v>
      </c>
      <c r="E221" s="35">
        <v>0.9</v>
      </c>
      <c r="F221" s="35">
        <v>6.6</v>
      </c>
      <c r="G221" s="36">
        <v>4.1200000000000004E-3</v>
      </c>
      <c r="H221" s="18">
        <v>7.4152979999999999</v>
      </c>
      <c r="I221" s="16" t="s">
        <v>746</v>
      </c>
      <c r="J221" s="16"/>
      <c r="K221" s="16"/>
      <c r="L221" s="37"/>
      <c r="M221" s="37"/>
      <c r="N221" s="37"/>
      <c r="O221" s="37"/>
      <c r="P221" s="37"/>
      <c r="Q221" s="18">
        <v>4.5320000000000006E-2</v>
      </c>
      <c r="R221" s="18">
        <v>3.0900000000000003E-4</v>
      </c>
      <c r="S221" s="18">
        <v>8.6520000000000014E-2</v>
      </c>
      <c r="T221" s="18">
        <v>0.37080000000000002</v>
      </c>
      <c r="U221" s="18">
        <v>0.18540000000000001</v>
      </c>
      <c r="V221" s="18">
        <v>2.3731200000000001</v>
      </c>
      <c r="W221" s="18">
        <v>2.2248000000000001</v>
      </c>
      <c r="X221" s="18">
        <v>1.4832000000000001</v>
      </c>
      <c r="Y221" s="18">
        <v>6.5920000000000006E-2</v>
      </c>
      <c r="Z221" s="18">
        <v>0.29252</v>
      </c>
      <c r="AA221" s="18">
        <v>0.42848000000000003</v>
      </c>
      <c r="AB221" s="18">
        <v>0.7622000000000001</v>
      </c>
      <c r="AC221" s="18">
        <v>0.23484000000000002</v>
      </c>
      <c r="AD221" s="18">
        <v>1.2360000000000002</v>
      </c>
    </row>
    <row r="222" spans="2:30" x14ac:dyDescent="0.25">
      <c r="B222" t="s">
        <v>269</v>
      </c>
      <c r="C222" t="s">
        <v>326</v>
      </c>
      <c r="D222" t="s">
        <v>750</v>
      </c>
      <c r="E222" s="35">
        <v>0.9</v>
      </c>
      <c r="F222" s="35">
        <v>6.6</v>
      </c>
      <c r="G222" s="36">
        <v>3.0200000000000001E-3</v>
      </c>
      <c r="H222" s="18">
        <v>5.4352980000000004</v>
      </c>
      <c r="I222" s="16" t="s">
        <v>746</v>
      </c>
      <c r="J222" s="16"/>
      <c r="K222" s="16"/>
      <c r="L222" s="37"/>
      <c r="M222" s="37"/>
      <c r="N222" s="37"/>
      <c r="O222" s="37"/>
      <c r="P222" s="37"/>
      <c r="Q222" s="18">
        <v>3.322E-2</v>
      </c>
      <c r="R222" s="18">
        <v>2.265E-4</v>
      </c>
      <c r="S222" s="18">
        <v>6.3420000000000004E-2</v>
      </c>
      <c r="T222" s="18">
        <v>0.27179999999999999</v>
      </c>
      <c r="U222" s="18">
        <v>0.13589999999999999</v>
      </c>
      <c r="V222" s="18">
        <v>1.7395200000000002</v>
      </c>
      <c r="W222" s="18">
        <v>1.6308</v>
      </c>
      <c r="X222" s="18">
        <v>1.0871999999999999</v>
      </c>
      <c r="Y222" s="18">
        <v>4.8320000000000002E-2</v>
      </c>
      <c r="Z222" s="18">
        <v>0.21442</v>
      </c>
      <c r="AA222" s="18">
        <v>0.31408000000000003</v>
      </c>
      <c r="AB222" s="18">
        <v>0.55869999999999997</v>
      </c>
      <c r="AC222" s="18">
        <v>0.17214000000000002</v>
      </c>
      <c r="AD222" s="18">
        <v>0.90600000000000003</v>
      </c>
    </row>
    <row r="223" spans="2:30" x14ac:dyDescent="0.25">
      <c r="B223" t="s">
        <v>269</v>
      </c>
      <c r="C223" t="s">
        <v>326</v>
      </c>
      <c r="D223" t="s">
        <v>748</v>
      </c>
      <c r="E223" s="35">
        <v>0.9</v>
      </c>
      <c r="F223" s="35">
        <v>6.6</v>
      </c>
      <c r="G223" s="36">
        <v>4.1200000000000004E-3</v>
      </c>
      <c r="H223" s="18">
        <v>7.4152979999999999</v>
      </c>
      <c r="I223" s="16" t="s">
        <v>746</v>
      </c>
      <c r="J223" s="16"/>
      <c r="K223" s="16"/>
      <c r="L223" s="37"/>
      <c r="M223" s="37"/>
      <c r="N223" s="37"/>
      <c r="O223" s="37"/>
      <c r="P223" s="37"/>
      <c r="Q223" s="18">
        <v>4.5320000000000006E-2</v>
      </c>
      <c r="R223" s="18">
        <v>3.0900000000000003E-4</v>
      </c>
      <c r="S223" s="18">
        <v>8.6520000000000014E-2</v>
      </c>
      <c r="T223" s="18">
        <v>0.37080000000000002</v>
      </c>
      <c r="U223" s="18">
        <v>0.18540000000000001</v>
      </c>
      <c r="V223" s="18">
        <v>2.3731200000000001</v>
      </c>
      <c r="W223" s="18">
        <v>2.2248000000000001</v>
      </c>
      <c r="X223" s="18">
        <v>1.4832000000000001</v>
      </c>
      <c r="Y223" s="18">
        <v>6.5920000000000006E-2</v>
      </c>
      <c r="Z223" s="18">
        <v>0.29252</v>
      </c>
      <c r="AA223" s="18">
        <v>0.42848000000000003</v>
      </c>
      <c r="AB223" s="18">
        <v>0.7622000000000001</v>
      </c>
      <c r="AC223" s="18">
        <v>0.23484000000000002</v>
      </c>
      <c r="AD223" s="18">
        <v>1.2360000000000002</v>
      </c>
    </row>
    <row r="224" spans="2:30" x14ac:dyDescent="0.25">
      <c r="B224" t="s">
        <v>269</v>
      </c>
      <c r="C224" t="s">
        <v>326</v>
      </c>
      <c r="D224" t="s">
        <v>750</v>
      </c>
      <c r="E224" s="35">
        <v>0.9</v>
      </c>
      <c r="F224" s="35">
        <v>6.6</v>
      </c>
      <c r="G224" s="36">
        <v>3.0200000000000001E-3</v>
      </c>
      <c r="H224" s="18">
        <v>5.4352980000000004</v>
      </c>
      <c r="I224" s="16" t="s">
        <v>746</v>
      </c>
      <c r="J224" s="16"/>
      <c r="K224" s="16"/>
      <c r="L224" s="37"/>
      <c r="M224" s="37"/>
      <c r="N224" s="37"/>
      <c r="O224" s="37"/>
      <c r="P224" s="37"/>
      <c r="Q224" s="18">
        <v>3.322E-2</v>
      </c>
      <c r="R224" s="18">
        <v>2.265E-4</v>
      </c>
      <c r="S224" s="18">
        <v>6.3420000000000004E-2</v>
      </c>
      <c r="T224" s="18">
        <v>0.27179999999999999</v>
      </c>
      <c r="U224" s="18">
        <v>0.13589999999999999</v>
      </c>
      <c r="V224" s="18">
        <v>1.7395200000000002</v>
      </c>
      <c r="W224" s="18">
        <v>1.6308</v>
      </c>
      <c r="X224" s="18">
        <v>1.0871999999999999</v>
      </c>
      <c r="Y224" s="18">
        <v>4.8320000000000002E-2</v>
      </c>
      <c r="Z224" s="18">
        <v>0.21442</v>
      </c>
      <c r="AA224" s="18">
        <v>0.31408000000000003</v>
      </c>
      <c r="AB224" s="18">
        <v>0.55869999999999997</v>
      </c>
      <c r="AC224" s="18">
        <v>0.17214000000000002</v>
      </c>
      <c r="AD224" s="18">
        <v>0.90600000000000003</v>
      </c>
    </row>
    <row r="225" spans="2:30" x14ac:dyDescent="0.25">
      <c r="B225" t="s">
        <v>269</v>
      </c>
      <c r="C225" t="s">
        <v>326</v>
      </c>
      <c r="D225" t="s">
        <v>748</v>
      </c>
      <c r="E225" s="35">
        <v>0.9</v>
      </c>
      <c r="F225" s="35">
        <v>6.6</v>
      </c>
      <c r="G225" s="36">
        <v>4.1200000000000004E-3</v>
      </c>
      <c r="H225" s="18">
        <v>7.4152979999999999</v>
      </c>
      <c r="I225" s="16" t="s">
        <v>746</v>
      </c>
      <c r="J225" s="16"/>
      <c r="K225" s="16"/>
      <c r="L225" s="37"/>
      <c r="M225" s="37"/>
      <c r="N225" s="37"/>
      <c r="O225" s="37"/>
      <c r="P225" s="37"/>
      <c r="Q225" s="18">
        <v>4.5320000000000006E-2</v>
      </c>
      <c r="R225" s="18">
        <v>3.0900000000000003E-4</v>
      </c>
      <c r="S225" s="18">
        <v>8.6520000000000014E-2</v>
      </c>
      <c r="T225" s="18">
        <v>0.37080000000000002</v>
      </c>
      <c r="U225" s="18">
        <v>0.18540000000000001</v>
      </c>
      <c r="V225" s="18">
        <v>2.3731200000000001</v>
      </c>
      <c r="W225" s="18">
        <v>2.2248000000000001</v>
      </c>
      <c r="X225" s="18">
        <v>1.4832000000000001</v>
      </c>
      <c r="Y225" s="18">
        <v>6.5920000000000006E-2</v>
      </c>
      <c r="Z225" s="18">
        <v>0.29252</v>
      </c>
      <c r="AA225" s="18">
        <v>0.42848000000000003</v>
      </c>
      <c r="AB225" s="18">
        <v>0.7622000000000001</v>
      </c>
      <c r="AC225" s="18">
        <v>0.23484000000000002</v>
      </c>
      <c r="AD225" s="18">
        <v>1.2360000000000002</v>
      </c>
    </row>
    <row r="226" spans="2:30" x14ac:dyDescent="0.25">
      <c r="B226" t="s">
        <v>269</v>
      </c>
      <c r="C226" t="s">
        <v>326</v>
      </c>
      <c r="D226" t="s">
        <v>750</v>
      </c>
      <c r="E226" s="35">
        <v>0.9</v>
      </c>
      <c r="F226" s="35">
        <v>6.6</v>
      </c>
      <c r="G226" s="36">
        <v>3.0200000000000001E-3</v>
      </c>
      <c r="H226" s="18">
        <v>5.4352980000000004</v>
      </c>
      <c r="I226" s="16" t="s">
        <v>746</v>
      </c>
      <c r="J226" s="16"/>
      <c r="K226" s="16"/>
      <c r="L226" s="37"/>
      <c r="M226" s="37"/>
      <c r="N226" s="37"/>
      <c r="O226" s="37"/>
      <c r="P226" s="37"/>
      <c r="Q226" s="18">
        <v>3.322E-2</v>
      </c>
      <c r="R226" s="18">
        <v>2.265E-4</v>
      </c>
      <c r="S226" s="18">
        <v>6.3420000000000004E-2</v>
      </c>
      <c r="T226" s="18">
        <v>0.27179999999999999</v>
      </c>
      <c r="U226" s="18">
        <v>0.13589999999999999</v>
      </c>
      <c r="V226" s="18">
        <v>1.7395200000000002</v>
      </c>
      <c r="W226" s="18">
        <v>1.6308</v>
      </c>
      <c r="X226" s="18">
        <v>1.0871999999999999</v>
      </c>
      <c r="Y226" s="18">
        <v>4.8320000000000002E-2</v>
      </c>
      <c r="Z226" s="18">
        <v>0.21442</v>
      </c>
      <c r="AA226" s="18">
        <v>0.31408000000000003</v>
      </c>
      <c r="AB226" s="18">
        <v>0.55869999999999997</v>
      </c>
      <c r="AC226" s="18">
        <v>0.17214000000000002</v>
      </c>
      <c r="AD226" s="18">
        <v>0.90600000000000003</v>
      </c>
    </row>
    <row r="227" spans="2:30" x14ac:dyDescent="0.25">
      <c r="B227" t="s">
        <v>269</v>
      </c>
      <c r="C227" t="s">
        <v>326</v>
      </c>
      <c r="D227" t="s">
        <v>748</v>
      </c>
      <c r="E227" s="35">
        <v>0.9</v>
      </c>
      <c r="F227" s="35">
        <v>6.6</v>
      </c>
      <c r="G227" s="36">
        <v>4.1200000000000004E-3</v>
      </c>
      <c r="H227" s="18">
        <v>7.4152979999999999</v>
      </c>
      <c r="I227" s="16" t="s">
        <v>746</v>
      </c>
      <c r="J227" s="16"/>
      <c r="K227" s="16"/>
      <c r="L227" s="37"/>
      <c r="M227" s="37"/>
      <c r="N227" s="37"/>
      <c r="O227" s="37"/>
      <c r="P227" s="37"/>
      <c r="Q227" s="18">
        <v>4.5320000000000006E-2</v>
      </c>
      <c r="R227" s="18">
        <v>3.0900000000000003E-4</v>
      </c>
      <c r="S227" s="18">
        <v>8.6520000000000014E-2</v>
      </c>
      <c r="T227" s="18">
        <v>0.37080000000000002</v>
      </c>
      <c r="U227" s="18">
        <v>0.18540000000000001</v>
      </c>
      <c r="V227" s="18">
        <v>2.3731200000000001</v>
      </c>
      <c r="W227" s="18">
        <v>2.2248000000000001</v>
      </c>
      <c r="X227" s="18">
        <v>1.4832000000000001</v>
      </c>
      <c r="Y227" s="18">
        <v>6.5920000000000006E-2</v>
      </c>
      <c r="Z227" s="18">
        <v>0.29252</v>
      </c>
      <c r="AA227" s="18">
        <v>0.42848000000000003</v>
      </c>
      <c r="AB227" s="18">
        <v>0.7622000000000001</v>
      </c>
      <c r="AC227" s="18">
        <v>0.23484000000000002</v>
      </c>
      <c r="AD227" s="18">
        <v>1.2360000000000002</v>
      </c>
    </row>
    <row r="228" spans="2:30" x14ac:dyDescent="0.25">
      <c r="B228" t="s">
        <v>269</v>
      </c>
      <c r="C228" t="s">
        <v>326</v>
      </c>
      <c r="D228" t="s">
        <v>750</v>
      </c>
      <c r="E228" s="35">
        <v>0.9</v>
      </c>
      <c r="F228" s="35">
        <v>6.6</v>
      </c>
      <c r="G228" s="36">
        <v>3.0200000000000001E-3</v>
      </c>
      <c r="H228" s="18">
        <v>5.4352980000000004</v>
      </c>
      <c r="I228" s="16" t="s">
        <v>746</v>
      </c>
      <c r="J228" s="16"/>
      <c r="K228" s="16"/>
      <c r="L228" s="37"/>
      <c r="M228" s="37"/>
      <c r="N228" s="37"/>
      <c r="O228" s="37"/>
      <c r="P228" s="37"/>
      <c r="Q228" s="18">
        <v>3.322E-2</v>
      </c>
      <c r="R228" s="18">
        <v>2.265E-4</v>
      </c>
      <c r="S228" s="18">
        <v>6.3420000000000004E-2</v>
      </c>
      <c r="T228" s="18">
        <v>0.27179999999999999</v>
      </c>
      <c r="U228" s="18">
        <v>0.13589999999999999</v>
      </c>
      <c r="V228" s="18">
        <v>1.7395200000000002</v>
      </c>
      <c r="W228" s="18">
        <v>1.6308</v>
      </c>
      <c r="X228" s="18">
        <v>1.0871999999999999</v>
      </c>
      <c r="Y228" s="18">
        <v>4.8320000000000002E-2</v>
      </c>
      <c r="Z228" s="18">
        <v>0.21442</v>
      </c>
      <c r="AA228" s="18">
        <v>0.31408000000000003</v>
      </c>
      <c r="AB228" s="18">
        <v>0.55869999999999997</v>
      </c>
      <c r="AC228" s="18">
        <v>0.17214000000000002</v>
      </c>
      <c r="AD228" s="18">
        <v>0.90600000000000003</v>
      </c>
    </row>
    <row r="229" spans="2:30" x14ac:dyDescent="0.25">
      <c r="B229" t="s">
        <v>269</v>
      </c>
      <c r="C229" t="s">
        <v>326</v>
      </c>
      <c r="D229" t="s">
        <v>748</v>
      </c>
      <c r="E229" s="35">
        <v>0.9</v>
      </c>
      <c r="F229" s="35">
        <v>6.6</v>
      </c>
      <c r="G229" s="36">
        <v>4.1200000000000004E-3</v>
      </c>
      <c r="H229" s="18">
        <v>7.4152979999999999</v>
      </c>
      <c r="I229" s="16" t="s">
        <v>746</v>
      </c>
      <c r="J229" s="16"/>
      <c r="K229" s="16"/>
      <c r="L229" s="37"/>
      <c r="M229" s="37"/>
      <c r="N229" s="37"/>
      <c r="O229" s="37"/>
      <c r="P229" s="37"/>
      <c r="Q229" s="18">
        <v>4.5320000000000006E-2</v>
      </c>
      <c r="R229" s="18">
        <v>3.0900000000000003E-4</v>
      </c>
      <c r="S229" s="18">
        <v>8.6520000000000014E-2</v>
      </c>
      <c r="T229" s="18">
        <v>0.37080000000000002</v>
      </c>
      <c r="U229" s="18">
        <v>0.18540000000000001</v>
      </c>
      <c r="V229" s="18">
        <v>2.3731200000000001</v>
      </c>
      <c r="W229" s="18">
        <v>2.2248000000000001</v>
      </c>
      <c r="X229" s="18">
        <v>1.4832000000000001</v>
      </c>
      <c r="Y229" s="18">
        <v>6.5920000000000006E-2</v>
      </c>
      <c r="Z229" s="18">
        <v>0.29252</v>
      </c>
      <c r="AA229" s="18">
        <v>0.42848000000000003</v>
      </c>
      <c r="AB229" s="18">
        <v>0.7622000000000001</v>
      </c>
      <c r="AC229" s="18">
        <v>0.23484000000000002</v>
      </c>
      <c r="AD229" s="18">
        <v>1.2360000000000002</v>
      </c>
    </row>
    <row r="230" spans="2:30" x14ac:dyDescent="0.25">
      <c r="B230" t="s">
        <v>269</v>
      </c>
      <c r="C230" t="s">
        <v>326</v>
      </c>
      <c r="D230" t="s">
        <v>750</v>
      </c>
      <c r="E230" s="35">
        <v>0.9</v>
      </c>
      <c r="F230" s="35">
        <v>6.6</v>
      </c>
      <c r="G230" s="36">
        <v>3.0200000000000001E-3</v>
      </c>
      <c r="H230" s="18">
        <v>5.4352980000000004</v>
      </c>
      <c r="I230" s="16" t="s">
        <v>746</v>
      </c>
      <c r="J230" s="16"/>
      <c r="K230" s="16"/>
      <c r="L230" s="37"/>
      <c r="M230" s="37"/>
      <c r="N230" s="37"/>
      <c r="O230" s="37"/>
      <c r="P230" s="37"/>
      <c r="Q230" s="18">
        <v>3.322E-2</v>
      </c>
      <c r="R230" s="18">
        <v>2.265E-4</v>
      </c>
      <c r="S230" s="18">
        <v>6.3420000000000004E-2</v>
      </c>
      <c r="T230" s="18">
        <v>0.27179999999999999</v>
      </c>
      <c r="U230" s="18">
        <v>0.13589999999999999</v>
      </c>
      <c r="V230" s="18">
        <v>1.7395200000000002</v>
      </c>
      <c r="W230" s="18">
        <v>1.6308</v>
      </c>
      <c r="X230" s="18">
        <v>1.0871999999999999</v>
      </c>
      <c r="Y230" s="18">
        <v>4.8320000000000002E-2</v>
      </c>
      <c r="Z230" s="18">
        <v>0.21442</v>
      </c>
      <c r="AA230" s="18">
        <v>0.31408000000000003</v>
      </c>
      <c r="AB230" s="18">
        <v>0.55869999999999997</v>
      </c>
      <c r="AC230" s="18">
        <v>0.17214000000000002</v>
      </c>
      <c r="AD230" s="18">
        <v>0.90600000000000003</v>
      </c>
    </row>
    <row r="231" spans="2:30" x14ac:dyDescent="0.25">
      <c r="B231" t="s">
        <v>269</v>
      </c>
      <c r="C231" t="s">
        <v>326</v>
      </c>
      <c r="D231" t="s">
        <v>753</v>
      </c>
      <c r="E231" s="35">
        <v>0.9</v>
      </c>
      <c r="F231" s="35">
        <v>6.6</v>
      </c>
      <c r="G231" s="36">
        <v>5.77E-3</v>
      </c>
      <c r="H231" s="18">
        <v>10.385298000000001</v>
      </c>
      <c r="I231" s="16" t="s">
        <v>746</v>
      </c>
      <c r="J231" s="16"/>
      <c r="K231" s="16"/>
      <c r="L231" s="37"/>
      <c r="M231" s="37"/>
      <c r="N231" s="37"/>
      <c r="O231" s="37"/>
      <c r="P231" s="37"/>
      <c r="Q231" s="18">
        <v>6.3469999999999999E-2</v>
      </c>
      <c r="R231" s="18">
        <v>4.3274999999999997E-4</v>
      </c>
      <c r="S231" s="18">
        <v>0.12117</v>
      </c>
      <c r="T231" s="18">
        <v>0.51929999999999998</v>
      </c>
      <c r="U231" s="18">
        <v>0.25964999999999999</v>
      </c>
      <c r="V231" s="18">
        <v>3.3235199999999998</v>
      </c>
      <c r="W231" s="18">
        <v>3.1158000000000001</v>
      </c>
      <c r="X231" s="18">
        <v>2.0771999999999999</v>
      </c>
      <c r="Y231" s="18">
        <v>9.2319999999999999E-2</v>
      </c>
      <c r="Z231" s="18">
        <v>0.40966999999999998</v>
      </c>
      <c r="AA231" s="18">
        <v>0.60007999999999995</v>
      </c>
      <c r="AB231" s="18">
        <v>1.06745</v>
      </c>
      <c r="AC231" s="18">
        <v>0.32889000000000002</v>
      </c>
      <c r="AD231" s="18">
        <v>1.7310000000000001</v>
      </c>
    </row>
    <row r="232" spans="2:30" x14ac:dyDescent="0.25">
      <c r="B232" t="s">
        <v>269</v>
      </c>
      <c r="C232" t="s">
        <v>326</v>
      </c>
      <c r="D232" t="s">
        <v>755</v>
      </c>
      <c r="E232" s="35">
        <v>0.9</v>
      </c>
      <c r="F232" s="35">
        <v>6.6</v>
      </c>
      <c r="G232" s="36">
        <v>3.3409999999999998E-3</v>
      </c>
      <c r="H232" s="18">
        <v>6.0136750000000001</v>
      </c>
      <c r="I232" s="16" t="s">
        <v>746</v>
      </c>
      <c r="J232" s="16"/>
      <c r="K232" s="16"/>
      <c r="L232" s="37"/>
      <c r="M232" s="37"/>
      <c r="N232" s="37"/>
      <c r="O232" s="37"/>
      <c r="P232" s="37"/>
      <c r="Q232" s="18">
        <v>3.6750999999999999E-2</v>
      </c>
      <c r="R232" s="18">
        <v>2.5057499999999995E-4</v>
      </c>
      <c r="S232" s="18">
        <v>7.0161000000000001E-2</v>
      </c>
      <c r="T232" s="18">
        <v>0.30068999999999996</v>
      </c>
      <c r="U232" s="18">
        <v>0.15034499999999998</v>
      </c>
      <c r="V232" s="18">
        <v>1.9244159999999999</v>
      </c>
      <c r="W232" s="18">
        <v>1.8041399999999999</v>
      </c>
      <c r="X232" s="18">
        <v>1.2027599999999998</v>
      </c>
      <c r="Y232" s="18">
        <v>5.3455999999999997E-2</v>
      </c>
      <c r="Z232" s="18">
        <v>0.23721099999999998</v>
      </c>
      <c r="AA232" s="18">
        <v>0.347464</v>
      </c>
      <c r="AB232" s="18">
        <v>0.618085</v>
      </c>
      <c r="AC232" s="18">
        <v>0.190437</v>
      </c>
      <c r="AD232" s="18">
        <v>1.0023</v>
      </c>
    </row>
    <row r="233" spans="2:30" x14ac:dyDescent="0.25">
      <c r="B233" t="s">
        <v>269</v>
      </c>
      <c r="C233" t="s">
        <v>326</v>
      </c>
      <c r="D233" t="s">
        <v>756</v>
      </c>
      <c r="E233" s="35">
        <v>0.9</v>
      </c>
      <c r="F233" s="35">
        <v>6.6</v>
      </c>
      <c r="G233" s="36">
        <v>3.2720000000000002E-3</v>
      </c>
      <c r="H233" s="18">
        <v>5.8899249999999999</v>
      </c>
      <c r="I233" s="16" t="s">
        <v>746</v>
      </c>
      <c r="J233" s="16"/>
      <c r="K233" s="16"/>
      <c r="L233" s="37"/>
      <c r="M233" s="37"/>
      <c r="N233" s="37"/>
      <c r="O233" s="37"/>
      <c r="P233" s="37"/>
      <c r="Q233" s="18">
        <v>3.5992000000000003E-2</v>
      </c>
      <c r="R233" s="18">
        <v>2.454E-4</v>
      </c>
      <c r="S233" s="18">
        <v>6.8712000000000009E-2</v>
      </c>
      <c r="T233" s="18">
        <v>0.29448000000000002</v>
      </c>
      <c r="U233" s="18">
        <v>0.14724000000000001</v>
      </c>
      <c r="V233" s="18">
        <v>1.8846720000000001</v>
      </c>
      <c r="W233" s="18">
        <v>1.76688</v>
      </c>
      <c r="X233" s="18">
        <v>1.1779200000000001</v>
      </c>
      <c r="Y233" s="18">
        <v>5.2352000000000003E-2</v>
      </c>
      <c r="Z233" s="18">
        <v>0.23231200000000002</v>
      </c>
      <c r="AA233" s="18">
        <v>0.34028800000000003</v>
      </c>
      <c r="AB233" s="18">
        <v>0.60532000000000008</v>
      </c>
      <c r="AC233" s="18">
        <v>0.186504</v>
      </c>
      <c r="AD233" s="18">
        <v>0.98160000000000003</v>
      </c>
    </row>
    <row r="234" spans="2:30" x14ac:dyDescent="0.25">
      <c r="B234" t="s">
        <v>269</v>
      </c>
      <c r="C234" t="s">
        <v>326</v>
      </c>
      <c r="D234" t="s">
        <v>756</v>
      </c>
      <c r="E234" s="35">
        <v>0.9</v>
      </c>
      <c r="F234" s="35">
        <v>6.6</v>
      </c>
      <c r="G234" s="36">
        <v>3.2720000000000002E-3</v>
      </c>
      <c r="H234" s="18">
        <v>5.8899249999999999</v>
      </c>
      <c r="I234" s="16" t="s">
        <v>746</v>
      </c>
      <c r="J234" s="16"/>
      <c r="K234" s="16"/>
      <c r="L234" s="37"/>
      <c r="M234" s="37"/>
      <c r="N234" s="37"/>
      <c r="O234" s="37"/>
      <c r="P234" s="37"/>
      <c r="Q234" s="18">
        <v>3.5992000000000003E-2</v>
      </c>
      <c r="R234" s="18">
        <v>2.454E-4</v>
      </c>
      <c r="S234" s="18">
        <v>6.8712000000000009E-2</v>
      </c>
      <c r="T234" s="18">
        <v>0.29448000000000002</v>
      </c>
      <c r="U234" s="18">
        <v>0.14724000000000001</v>
      </c>
      <c r="V234" s="18">
        <v>1.8846720000000001</v>
      </c>
      <c r="W234" s="18">
        <v>1.76688</v>
      </c>
      <c r="X234" s="18">
        <v>1.1779200000000001</v>
      </c>
      <c r="Y234" s="18">
        <v>5.2352000000000003E-2</v>
      </c>
      <c r="Z234" s="18">
        <v>0.23231200000000002</v>
      </c>
      <c r="AA234" s="18">
        <v>0.34028800000000003</v>
      </c>
      <c r="AB234" s="18">
        <v>0.60532000000000008</v>
      </c>
      <c r="AC234" s="18">
        <v>0.186504</v>
      </c>
      <c r="AD234" s="18">
        <v>0.98160000000000003</v>
      </c>
    </row>
    <row r="235" spans="2:30" x14ac:dyDescent="0.25">
      <c r="B235" t="s">
        <v>269</v>
      </c>
      <c r="C235" t="s">
        <v>105</v>
      </c>
      <c r="D235" t="s">
        <v>752</v>
      </c>
      <c r="E235" s="35">
        <v>0.9</v>
      </c>
      <c r="F235" s="35">
        <v>6.6</v>
      </c>
      <c r="G235" s="36">
        <v>2.47E-3</v>
      </c>
      <c r="H235" s="18">
        <v>4.4452980000000002</v>
      </c>
      <c r="I235" s="16" t="s">
        <v>746</v>
      </c>
      <c r="J235" s="16"/>
      <c r="K235" s="16"/>
      <c r="L235" s="37"/>
      <c r="M235" s="37"/>
      <c r="N235" s="37"/>
      <c r="O235" s="37"/>
      <c r="P235" s="37"/>
      <c r="Q235" s="18">
        <v>2.717E-2</v>
      </c>
      <c r="R235" s="18">
        <v>1.8525E-4</v>
      </c>
      <c r="S235" s="18">
        <v>5.1869999999999999E-2</v>
      </c>
      <c r="T235" s="18">
        <v>0.2223</v>
      </c>
      <c r="U235" s="18">
        <v>0.11115</v>
      </c>
      <c r="V235" s="18">
        <v>1.42272</v>
      </c>
      <c r="W235" s="18">
        <v>1.3338000000000001</v>
      </c>
      <c r="X235" s="18">
        <v>0.88919999999999999</v>
      </c>
      <c r="Y235" s="18">
        <v>3.952E-2</v>
      </c>
      <c r="Z235" s="18">
        <v>0.17537</v>
      </c>
      <c r="AA235" s="18">
        <v>0.25688</v>
      </c>
      <c r="AB235" s="18">
        <v>0.45694999999999997</v>
      </c>
      <c r="AC235" s="18">
        <v>0.14079</v>
      </c>
      <c r="AD235" s="18">
        <v>0.74099999999999999</v>
      </c>
    </row>
    <row r="236" spans="2:30" x14ac:dyDescent="0.25">
      <c r="B236" t="s">
        <v>269</v>
      </c>
      <c r="C236" t="s">
        <v>105</v>
      </c>
      <c r="D236" t="s">
        <v>748</v>
      </c>
      <c r="E236" s="35">
        <v>0.9</v>
      </c>
      <c r="F236" s="35">
        <v>6.6</v>
      </c>
      <c r="G236" s="36">
        <v>4.1200000000000004E-3</v>
      </c>
      <c r="H236" s="18">
        <v>7.4152979999999999</v>
      </c>
      <c r="I236" s="16" t="s">
        <v>746</v>
      </c>
      <c r="J236" s="16"/>
      <c r="K236" s="16"/>
      <c r="L236" s="37"/>
      <c r="M236" s="37"/>
      <c r="N236" s="37"/>
      <c r="O236" s="37"/>
      <c r="P236" s="37"/>
      <c r="Q236" s="18">
        <v>4.5320000000000006E-2</v>
      </c>
      <c r="R236" s="18">
        <v>3.0900000000000003E-4</v>
      </c>
      <c r="S236" s="18">
        <v>8.6520000000000014E-2</v>
      </c>
      <c r="T236" s="18">
        <v>0.37080000000000002</v>
      </c>
      <c r="U236" s="18">
        <v>0.18540000000000001</v>
      </c>
      <c r="V236" s="18">
        <v>2.3731200000000001</v>
      </c>
      <c r="W236" s="18">
        <v>2.2248000000000001</v>
      </c>
      <c r="X236" s="18">
        <v>1.4832000000000001</v>
      </c>
      <c r="Y236" s="18">
        <v>6.5920000000000006E-2</v>
      </c>
      <c r="Z236" s="18">
        <v>0.29252</v>
      </c>
      <c r="AA236" s="18">
        <v>0.42848000000000003</v>
      </c>
      <c r="AB236" s="18">
        <v>0.7622000000000001</v>
      </c>
      <c r="AC236" s="18">
        <v>0.23484000000000002</v>
      </c>
      <c r="AD236" s="18">
        <v>1.2360000000000002</v>
      </c>
    </row>
    <row r="237" spans="2:30" x14ac:dyDescent="0.25">
      <c r="B237" t="s">
        <v>269</v>
      </c>
      <c r="C237" t="s">
        <v>105</v>
      </c>
      <c r="D237" t="s">
        <v>748</v>
      </c>
      <c r="E237" s="35">
        <v>0.9</v>
      </c>
      <c r="F237" s="35">
        <v>6.6</v>
      </c>
      <c r="G237" s="36">
        <v>4.1200000000000004E-3</v>
      </c>
      <c r="H237" s="18">
        <v>7.4152979999999999</v>
      </c>
      <c r="I237" s="16" t="s">
        <v>746</v>
      </c>
      <c r="J237" s="16"/>
      <c r="K237" s="16"/>
      <c r="L237" s="37"/>
      <c r="M237" s="37"/>
      <c r="N237" s="37"/>
      <c r="O237" s="37"/>
      <c r="P237" s="37"/>
      <c r="Q237" s="18">
        <v>4.5320000000000006E-2</v>
      </c>
      <c r="R237" s="18">
        <v>3.0900000000000003E-4</v>
      </c>
      <c r="S237" s="18">
        <v>8.6520000000000014E-2</v>
      </c>
      <c r="T237" s="18">
        <v>0.37080000000000002</v>
      </c>
      <c r="U237" s="18">
        <v>0.18540000000000001</v>
      </c>
      <c r="V237" s="18">
        <v>2.3731200000000001</v>
      </c>
      <c r="W237" s="18">
        <v>2.2248000000000001</v>
      </c>
      <c r="X237" s="18">
        <v>1.4832000000000001</v>
      </c>
      <c r="Y237" s="18">
        <v>6.5920000000000006E-2</v>
      </c>
      <c r="Z237" s="18">
        <v>0.29252</v>
      </c>
      <c r="AA237" s="18">
        <v>0.42848000000000003</v>
      </c>
      <c r="AB237" s="18">
        <v>0.7622000000000001</v>
      </c>
      <c r="AC237" s="18">
        <v>0.23484000000000002</v>
      </c>
      <c r="AD237" s="18">
        <v>1.2360000000000002</v>
      </c>
    </row>
    <row r="238" spans="2:30" x14ac:dyDescent="0.25">
      <c r="B238" t="s">
        <v>269</v>
      </c>
      <c r="C238" t="s">
        <v>105</v>
      </c>
      <c r="D238" t="s">
        <v>748</v>
      </c>
      <c r="E238" s="35">
        <v>0.9</v>
      </c>
      <c r="F238" s="35">
        <v>6.6</v>
      </c>
      <c r="G238" s="36">
        <v>4.1200000000000004E-3</v>
      </c>
      <c r="H238" s="18">
        <v>7.4152979999999999</v>
      </c>
      <c r="I238" s="16" t="s">
        <v>746</v>
      </c>
      <c r="J238" s="16"/>
      <c r="K238" s="16"/>
      <c r="L238" s="37"/>
      <c r="M238" s="37"/>
      <c r="N238" s="37"/>
      <c r="O238" s="37"/>
      <c r="P238" s="37"/>
      <c r="Q238" s="18">
        <v>4.5320000000000006E-2</v>
      </c>
      <c r="R238" s="18">
        <v>3.0900000000000003E-4</v>
      </c>
      <c r="S238" s="18">
        <v>8.6520000000000014E-2</v>
      </c>
      <c r="T238" s="18">
        <v>0.37080000000000002</v>
      </c>
      <c r="U238" s="18">
        <v>0.18540000000000001</v>
      </c>
      <c r="V238" s="18">
        <v>2.3731200000000001</v>
      </c>
      <c r="W238" s="18">
        <v>2.2248000000000001</v>
      </c>
      <c r="X238" s="18">
        <v>1.4832000000000001</v>
      </c>
      <c r="Y238" s="18">
        <v>6.5920000000000006E-2</v>
      </c>
      <c r="Z238" s="18">
        <v>0.29252</v>
      </c>
      <c r="AA238" s="18">
        <v>0.42848000000000003</v>
      </c>
      <c r="AB238" s="18">
        <v>0.7622000000000001</v>
      </c>
      <c r="AC238" s="18">
        <v>0.23484000000000002</v>
      </c>
      <c r="AD238" s="18">
        <v>1.2360000000000002</v>
      </c>
    </row>
    <row r="239" spans="2:30" x14ac:dyDescent="0.25">
      <c r="B239" t="s">
        <v>269</v>
      </c>
      <c r="C239" t="s">
        <v>105</v>
      </c>
      <c r="D239" t="s">
        <v>748</v>
      </c>
      <c r="E239" s="35">
        <v>0.9</v>
      </c>
      <c r="F239" s="35">
        <v>6.6</v>
      </c>
      <c r="G239" s="36">
        <v>4.1200000000000004E-3</v>
      </c>
      <c r="H239" s="18">
        <v>7.4152979999999999</v>
      </c>
      <c r="I239" s="16" t="s">
        <v>746</v>
      </c>
      <c r="J239" s="16"/>
      <c r="K239" s="16"/>
      <c r="L239" s="37"/>
      <c r="M239" s="37"/>
      <c r="N239" s="37"/>
      <c r="O239" s="37"/>
      <c r="P239" s="37"/>
      <c r="Q239" s="18">
        <v>4.5320000000000006E-2</v>
      </c>
      <c r="R239" s="18">
        <v>3.0900000000000003E-4</v>
      </c>
      <c r="S239" s="18">
        <v>8.6520000000000014E-2</v>
      </c>
      <c r="T239" s="18">
        <v>0.37080000000000002</v>
      </c>
      <c r="U239" s="18">
        <v>0.18540000000000001</v>
      </c>
      <c r="V239" s="18">
        <v>2.3731200000000001</v>
      </c>
      <c r="W239" s="18">
        <v>2.2248000000000001</v>
      </c>
      <c r="X239" s="18">
        <v>1.4832000000000001</v>
      </c>
      <c r="Y239" s="18">
        <v>6.5920000000000006E-2</v>
      </c>
      <c r="Z239" s="18">
        <v>0.29252</v>
      </c>
      <c r="AA239" s="18">
        <v>0.42848000000000003</v>
      </c>
      <c r="AB239" s="18">
        <v>0.7622000000000001</v>
      </c>
      <c r="AC239" s="18">
        <v>0.23484000000000002</v>
      </c>
      <c r="AD239" s="18">
        <v>1.2360000000000002</v>
      </c>
    </row>
    <row r="240" spans="2:30" x14ac:dyDescent="0.25">
      <c r="B240" t="s">
        <v>269</v>
      </c>
      <c r="C240" t="s">
        <v>105</v>
      </c>
      <c r="D240" t="s">
        <v>748</v>
      </c>
      <c r="E240" s="35">
        <v>0.9</v>
      </c>
      <c r="F240" s="35">
        <v>6.6</v>
      </c>
      <c r="G240" s="36">
        <v>4.1200000000000004E-3</v>
      </c>
      <c r="H240" s="18">
        <v>7.4152979999999999</v>
      </c>
      <c r="I240" s="16" t="s">
        <v>746</v>
      </c>
      <c r="J240" s="16"/>
      <c r="K240" s="16"/>
      <c r="L240" s="37"/>
      <c r="M240" s="37"/>
      <c r="N240" s="37"/>
      <c r="O240" s="37"/>
      <c r="P240" s="37"/>
      <c r="Q240" s="18">
        <v>4.5320000000000006E-2</v>
      </c>
      <c r="R240" s="18">
        <v>3.0900000000000003E-4</v>
      </c>
      <c r="S240" s="18">
        <v>8.6520000000000014E-2</v>
      </c>
      <c r="T240" s="18">
        <v>0.37080000000000002</v>
      </c>
      <c r="U240" s="18">
        <v>0.18540000000000001</v>
      </c>
      <c r="V240" s="18">
        <v>2.3731200000000001</v>
      </c>
      <c r="W240" s="18">
        <v>2.2248000000000001</v>
      </c>
      <c r="X240" s="18">
        <v>1.4832000000000001</v>
      </c>
      <c r="Y240" s="18">
        <v>6.5920000000000006E-2</v>
      </c>
      <c r="Z240" s="18">
        <v>0.29252</v>
      </c>
      <c r="AA240" s="18">
        <v>0.42848000000000003</v>
      </c>
      <c r="AB240" s="18">
        <v>0.7622000000000001</v>
      </c>
      <c r="AC240" s="18">
        <v>0.23484000000000002</v>
      </c>
      <c r="AD240" s="18">
        <v>1.2360000000000002</v>
      </c>
    </row>
    <row r="241" spans="2:30" x14ac:dyDescent="0.25">
      <c r="B241" t="s">
        <v>269</v>
      </c>
      <c r="C241" t="s">
        <v>105</v>
      </c>
      <c r="D241" t="s">
        <v>748</v>
      </c>
      <c r="E241" s="35">
        <v>0.9</v>
      </c>
      <c r="F241" s="35">
        <v>6.6</v>
      </c>
      <c r="G241" s="36">
        <v>4.1200000000000004E-3</v>
      </c>
      <c r="H241" s="18">
        <v>7.4152979999999999</v>
      </c>
      <c r="I241" s="16" t="s">
        <v>746</v>
      </c>
      <c r="J241" s="16"/>
      <c r="K241" s="16"/>
      <c r="L241" s="37"/>
      <c r="M241" s="37"/>
      <c r="N241" s="37"/>
      <c r="O241" s="37"/>
      <c r="P241" s="37"/>
      <c r="Q241" s="18">
        <v>4.5320000000000006E-2</v>
      </c>
      <c r="R241" s="18">
        <v>3.0900000000000003E-4</v>
      </c>
      <c r="S241" s="18">
        <v>8.6520000000000014E-2</v>
      </c>
      <c r="T241" s="18">
        <v>0.37080000000000002</v>
      </c>
      <c r="U241" s="18">
        <v>0.18540000000000001</v>
      </c>
      <c r="V241" s="18">
        <v>2.3731200000000001</v>
      </c>
      <c r="W241" s="18">
        <v>2.2248000000000001</v>
      </c>
      <c r="X241" s="18">
        <v>1.4832000000000001</v>
      </c>
      <c r="Y241" s="18">
        <v>6.5920000000000006E-2</v>
      </c>
      <c r="Z241" s="18">
        <v>0.29252</v>
      </c>
      <c r="AA241" s="18">
        <v>0.42848000000000003</v>
      </c>
      <c r="AB241" s="18">
        <v>0.7622000000000001</v>
      </c>
      <c r="AC241" s="18">
        <v>0.23484000000000002</v>
      </c>
      <c r="AD241" s="18">
        <v>1.2360000000000002</v>
      </c>
    </row>
    <row r="242" spans="2:30" x14ac:dyDescent="0.25">
      <c r="B242" t="s">
        <v>269</v>
      </c>
      <c r="C242" t="s">
        <v>105</v>
      </c>
      <c r="D242" t="s">
        <v>747</v>
      </c>
      <c r="E242" s="35">
        <v>0.9</v>
      </c>
      <c r="F242" s="35">
        <v>6.6</v>
      </c>
      <c r="G242" s="36">
        <v>4.9449999999999997E-3</v>
      </c>
      <c r="H242" s="18">
        <v>8.9002979999999994</v>
      </c>
      <c r="I242" s="16" t="s">
        <v>746</v>
      </c>
      <c r="J242" s="16"/>
      <c r="K242" s="16"/>
      <c r="L242" s="37"/>
      <c r="M242" s="37"/>
      <c r="N242" s="37"/>
      <c r="O242" s="37"/>
      <c r="P242" s="37"/>
      <c r="Q242" s="18">
        <v>5.4394999999999999E-2</v>
      </c>
      <c r="R242" s="18">
        <v>3.7087499999999995E-4</v>
      </c>
      <c r="S242" s="18">
        <v>0.10384499999999999</v>
      </c>
      <c r="T242" s="18">
        <v>0.44505</v>
      </c>
      <c r="U242" s="18">
        <v>0.222525</v>
      </c>
      <c r="V242" s="18">
        <v>2.8483199999999997</v>
      </c>
      <c r="W242" s="18">
        <v>2.6702999999999997</v>
      </c>
      <c r="X242" s="18">
        <v>1.7802</v>
      </c>
      <c r="Y242" s="18">
        <v>7.9119999999999996E-2</v>
      </c>
      <c r="Z242" s="18">
        <v>0.35109499999999999</v>
      </c>
      <c r="AA242" s="18">
        <v>0.51427999999999996</v>
      </c>
      <c r="AB242" s="18">
        <v>0.914825</v>
      </c>
      <c r="AC242" s="18">
        <v>0.28186499999999998</v>
      </c>
      <c r="AD242" s="18">
        <v>1.4834999999999998</v>
      </c>
    </row>
    <row r="243" spans="2:30" x14ac:dyDescent="0.25">
      <c r="B243" t="s">
        <v>269</v>
      </c>
      <c r="C243" t="s">
        <v>105</v>
      </c>
      <c r="D243" t="s">
        <v>748</v>
      </c>
      <c r="E243" s="35">
        <v>0.9</v>
      </c>
      <c r="F243" s="35">
        <v>6.6</v>
      </c>
      <c r="G243" s="36">
        <v>4.1200000000000004E-3</v>
      </c>
      <c r="H243" s="18">
        <v>7.4152979999999999</v>
      </c>
      <c r="I243" s="16" t="s">
        <v>746</v>
      </c>
      <c r="J243" s="16"/>
      <c r="K243" s="16"/>
      <c r="L243" s="37"/>
      <c r="M243" s="37"/>
      <c r="N243" s="37"/>
      <c r="O243" s="37"/>
      <c r="P243" s="37"/>
      <c r="Q243" s="18">
        <v>4.5320000000000006E-2</v>
      </c>
      <c r="R243" s="18">
        <v>3.0900000000000003E-4</v>
      </c>
      <c r="S243" s="18">
        <v>8.6520000000000014E-2</v>
      </c>
      <c r="T243" s="18">
        <v>0.37080000000000002</v>
      </c>
      <c r="U243" s="18">
        <v>0.18540000000000001</v>
      </c>
      <c r="V243" s="18">
        <v>2.3731200000000001</v>
      </c>
      <c r="W243" s="18">
        <v>2.2248000000000001</v>
      </c>
      <c r="X243" s="18">
        <v>1.4832000000000001</v>
      </c>
      <c r="Y243" s="18">
        <v>6.5920000000000006E-2</v>
      </c>
      <c r="Z243" s="18">
        <v>0.29252</v>
      </c>
      <c r="AA243" s="18">
        <v>0.42848000000000003</v>
      </c>
      <c r="AB243" s="18">
        <v>0.7622000000000001</v>
      </c>
      <c r="AC243" s="18">
        <v>0.23484000000000002</v>
      </c>
      <c r="AD243" s="18">
        <v>1.2360000000000002</v>
      </c>
    </row>
    <row r="244" spans="2:30" x14ac:dyDescent="0.25">
      <c r="B244" t="s">
        <v>269</v>
      </c>
      <c r="C244" t="s">
        <v>105</v>
      </c>
      <c r="D244" t="s">
        <v>748</v>
      </c>
      <c r="E244" s="35">
        <v>0.9</v>
      </c>
      <c r="F244" s="35">
        <v>6.6</v>
      </c>
      <c r="G244" s="36">
        <v>4.1200000000000004E-3</v>
      </c>
      <c r="H244" s="18">
        <v>7.4152979999999999</v>
      </c>
      <c r="I244" s="16" t="s">
        <v>746</v>
      </c>
      <c r="J244" s="16"/>
      <c r="K244" s="16"/>
      <c r="L244" s="37"/>
      <c r="M244" s="37"/>
      <c r="N244" s="37"/>
      <c r="O244" s="37"/>
      <c r="P244" s="37"/>
      <c r="Q244" s="18">
        <v>4.5320000000000006E-2</v>
      </c>
      <c r="R244" s="18">
        <v>3.0900000000000003E-4</v>
      </c>
      <c r="S244" s="18">
        <v>8.6520000000000014E-2</v>
      </c>
      <c r="T244" s="18">
        <v>0.37080000000000002</v>
      </c>
      <c r="U244" s="18">
        <v>0.18540000000000001</v>
      </c>
      <c r="V244" s="18">
        <v>2.3731200000000001</v>
      </c>
      <c r="W244" s="18">
        <v>2.2248000000000001</v>
      </c>
      <c r="X244" s="18">
        <v>1.4832000000000001</v>
      </c>
      <c r="Y244" s="18">
        <v>6.5920000000000006E-2</v>
      </c>
      <c r="Z244" s="18">
        <v>0.29252</v>
      </c>
      <c r="AA244" s="18">
        <v>0.42848000000000003</v>
      </c>
      <c r="AB244" s="18">
        <v>0.7622000000000001</v>
      </c>
      <c r="AC244" s="18">
        <v>0.23484000000000002</v>
      </c>
      <c r="AD244" s="18">
        <v>1.2360000000000002</v>
      </c>
    </row>
    <row r="245" spans="2:30" x14ac:dyDescent="0.25">
      <c r="B245" t="s">
        <v>269</v>
      </c>
      <c r="C245" t="s">
        <v>105</v>
      </c>
      <c r="D245" t="s">
        <v>748</v>
      </c>
      <c r="E245" s="35">
        <v>0.9</v>
      </c>
      <c r="F245" s="35">
        <v>6.6</v>
      </c>
      <c r="G245" s="36">
        <v>4.1200000000000004E-3</v>
      </c>
      <c r="H245" s="18">
        <v>7.4152979999999999</v>
      </c>
      <c r="I245" s="16" t="s">
        <v>746</v>
      </c>
      <c r="J245" s="16"/>
      <c r="K245" s="16"/>
      <c r="L245" s="37"/>
      <c r="M245" s="37"/>
      <c r="N245" s="37"/>
      <c r="O245" s="37"/>
      <c r="P245" s="37"/>
      <c r="Q245" s="18">
        <v>4.5320000000000006E-2</v>
      </c>
      <c r="R245" s="18">
        <v>3.0900000000000003E-4</v>
      </c>
      <c r="S245" s="18">
        <v>8.6520000000000014E-2</v>
      </c>
      <c r="T245" s="18">
        <v>0.37080000000000002</v>
      </c>
      <c r="U245" s="18">
        <v>0.18540000000000001</v>
      </c>
      <c r="V245" s="18">
        <v>2.3731200000000001</v>
      </c>
      <c r="W245" s="18">
        <v>2.2248000000000001</v>
      </c>
      <c r="X245" s="18">
        <v>1.4832000000000001</v>
      </c>
      <c r="Y245" s="18">
        <v>6.5920000000000006E-2</v>
      </c>
      <c r="Z245" s="18">
        <v>0.29252</v>
      </c>
      <c r="AA245" s="18">
        <v>0.42848000000000003</v>
      </c>
      <c r="AB245" s="18">
        <v>0.7622000000000001</v>
      </c>
      <c r="AC245" s="18">
        <v>0.23484000000000002</v>
      </c>
      <c r="AD245" s="18">
        <v>1.2360000000000002</v>
      </c>
    </row>
    <row r="246" spans="2:30" x14ac:dyDescent="0.25">
      <c r="B246" t="s">
        <v>269</v>
      </c>
      <c r="C246" t="s">
        <v>105</v>
      </c>
      <c r="D246" t="s">
        <v>748</v>
      </c>
      <c r="E246" s="35">
        <v>0.9</v>
      </c>
      <c r="F246" s="35">
        <v>6.6</v>
      </c>
      <c r="G246" s="36">
        <v>4.1200000000000004E-3</v>
      </c>
      <c r="H246" s="18">
        <v>7.4152979999999999</v>
      </c>
      <c r="I246" s="16" t="s">
        <v>746</v>
      </c>
      <c r="J246" s="16"/>
      <c r="K246" s="16"/>
      <c r="L246" s="37"/>
      <c r="M246" s="37"/>
      <c r="N246" s="37"/>
      <c r="O246" s="37"/>
      <c r="P246" s="37"/>
      <c r="Q246" s="18">
        <v>4.5320000000000006E-2</v>
      </c>
      <c r="R246" s="18">
        <v>3.0900000000000003E-4</v>
      </c>
      <c r="S246" s="18">
        <v>8.6520000000000014E-2</v>
      </c>
      <c r="T246" s="18">
        <v>0.37080000000000002</v>
      </c>
      <c r="U246" s="18">
        <v>0.18540000000000001</v>
      </c>
      <c r="V246" s="18">
        <v>2.3731200000000001</v>
      </c>
      <c r="W246" s="18">
        <v>2.2248000000000001</v>
      </c>
      <c r="X246" s="18">
        <v>1.4832000000000001</v>
      </c>
      <c r="Y246" s="18">
        <v>6.5920000000000006E-2</v>
      </c>
      <c r="Z246" s="18">
        <v>0.29252</v>
      </c>
      <c r="AA246" s="18">
        <v>0.42848000000000003</v>
      </c>
      <c r="AB246" s="18">
        <v>0.7622000000000001</v>
      </c>
      <c r="AC246" s="18">
        <v>0.23484000000000002</v>
      </c>
      <c r="AD246" s="18">
        <v>1.2360000000000002</v>
      </c>
    </row>
    <row r="247" spans="2:30" x14ac:dyDescent="0.25">
      <c r="B247" t="s">
        <v>269</v>
      </c>
      <c r="C247" t="s">
        <v>105</v>
      </c>
      <c r="D247" t="s">
        <v>748</v>
      </c>
      <c r="E247" s="35">
        <v>0.9</v>
      </c>
      <c r="F247" s="35">
        <v>6.6</v>
      </c>
      <c r="G247" s="36">
        <v>4.1200000000000004E-3</v>
      </c>
      <c r="H247" s="18">
        <v>7.4152979999999999</v>
      </c>
      <c r="I247" s="16" t="s">
        <v>746</v>
      </c>
      <c r="J247" s="16"/>
      <c r="K247" s="16"/>
      <c r="L247" s="37"/>
      <c r="M247" s="37"/>
      <c r="N247" s="37"/>
      <c r="O247" s="37"/>
      <c r="P247" s="37"/>
      <c r="Q247" s="18">
        <v>4.5320000000000006E-2</v>
      </c>
      <c r="R247" s="18">
        <v>3.0900000000000003E-4</v>
      </c>
      <c r="S247" s="18">
        <v>8.6520000000000014E-2</v>
      </c>
      <c r="T247" s="18">
        <v>0.37080000000000002</v>
      </c>
      <c r="U247" s="18">
        <v>0.18540000000000001</v>
      </c>
      <c r="V247" s="18">
        <v>2.3731200000000001</v>
      </c>
      <c r="W247" s="18">
        <v>2.2248000000000001</v>
      </c>
      <c r="X247" s="18">
        <v>1.4832000000000001</v>
      </c>
      <c r="Y247" s="18">
        <v>6.5920000000000006E-2</v>
      </c>
      <c r="Z247" s="18">
        <v>0.29252</v>
      </c>
      <c r="AA247" s="18">
        <v>0.42848000000000003</v>
      </c>
      <c r="AB247" s="18">
        <v>0.7622000000000001</v>
      </c>
      <c r="AC247" s="18">
        <v>0.23484000000000002</v>
      </c>
      <c r="AD247" s="18">
        <v>1.2360000000000002</v>
      </c>
    </row>
    <row r="248" spans="2:30" x14ac:dyDescent="0.25">
      <c r="B248" t="s">
        <v>269</v>
      </c>
      <c r="C248" t="s">
        <v>105</v>
      </c>
      <c r="D248" t="s">
        <v>748</v>
      </c>
      <c r="E248" s="35">
        <v>0.9</v>
      </c>
      <c r="F248" s="35">
        <v>6.6</v>
      </c>
      <c r="G248" s="36">
        <v>4.1200000000000004E-3</v>
      </c>
      <c r="H248" s="18">
        <v>7.4152979999999999</v>
      </c>
      <c r="I248" s="16" t="s">
        <v>746</v>
      </c>
      <c r="J248" s="16"/>
      <c r="K248" s="16"/>
      <c r="L248" s="37"/>
      <c r="M248" s="37"/>
      <c r="N248" s="37"/>
      <c r="O248" s="37"/>
      <c r="P248" s="37"/>
      <c r="Q248" s="18">
        <v>4.5320000000000006E-2</v>
      </c>
      <c r="R248" s="18">
        <v>3.0900000000000003E-4</v>
      </c>
      <c r="S248" s="18">
        <v>8.6520000000000014E-2</v>
      </c>
      <c r="T248" s="18">
        <v>0.37080000000000002</v>
      </c>
      <c r="U248" s="18">
        <v>0.18540000000000001</v>
      </c>
      <c r="V248" s="18">
        <v>2.3731200000000001</v>
      </c>
      <c r="W248" s="18">
        <v>2.2248000000000001</v>
      </c>
      <c r="X248" s="18">
        <v>1.4832000000000001</v>
      </c>
      <c r="Y248" s="18">
        <v>6.5920000000000006E-2</v>
      </c>
      <c r="Z248" s="18">
        <v>0.29252</v>
      </c>
      <c r="AA248" s="18">
        <v>0.42848000000000003</v>
      </c>
      <c r="AB248" s="18">
        <v>0.7622000000000001</v>
      </c>
      <c r="AC248" s="18">
        <v>0.23484000000000002</v>
      </c>
      <c r="AD248" s="18">
        <v>1.2360000000000002</v>
      </c>
    </row>
    <row r="249" spans="2:30" x14ac:dyDescent="0.25">
      <c r="B249" t="s">
        <v>269</v>
      </c>
      <c r="C249" t="s">
        <v>105</v>
      </c>
      <c r="D249" t="s">
        <v>748</v>
      </c>
      <c r="E249" s="35">
        <v>0.9</v>
      </c>
      <c r="F249" s="35">
        <v>6.6</v>
      </c>
      <c r="G249" s="36">
        <v>4.1200000000000004E-3</v>
      </c>
      <c r="H249" s="18">
        <v>7.4152979999999999</v>
      </c>
      <c r="I249" s="16" t="s">
        <v>746</v>
      </c>
      <c r="J249" s="16"/>
      <c r="K249" s="16"/>
      <c r="L249" s="37"/>
      <c r="M249" s="37"/>
      <c r="N249" s="37"/>
      <c r="O249" s="37"/>
      <c r="P249" s="37"/>
      <c r="Q249" s="18">
        <v>4.5320000000000006E-2</v>
      </c>
      <c r="R249" s="18">
        <v>3.0900000000000003E-4</v>
      </c>
      <c r="S249" s="18">
        <v>8.6520000000000014E-2</v>
      </c>
      <c r="T249" s="18">
        <v>0.37080000000000002</v>
      </c>
      <c r="U249" s="18">
        <v>0.18540000000000001</v>
      </c>
      <c r="V249" s="18">
        <v>2.3731200000000001</v>
      </c>
      <c r="W249" s="18">
        <v>2.2248000000000001</v>
      </c>
      <c r="X249" s="18">
        <v>1.4832000000000001</v>
      </c>
      <c r="Y249" s="18">
        <v>6.5920000000000006E-2</v>
      </c>
      <c r="Z249" s="18">
        <v>0.29252</v>
      </c>
      <c r="AA249" s="18">
        <v>0.42848000000000003</v>
      </c>
      <c r="AB249" s="18">
        <v>0.7622000000000001</v>
      </c>
      <c r="AC249" s="18">
        <v>0.23484000000000002</v>
      </c>
      <c r="AD249" s="18">
        <v>1.2360000000000002</v>
      </c>
    </row>
    <row r="250" spans="2:30" x14ac:dyDescent="0.25">
      <c r="B250" t="s">
        <v>269</v>
      </c>
      <c r="C250" t="s">
        <v>105</v>
      </c>
      <c r="D250" t="s">
        <v>748</v>
      </c>
      <c r="E250" s="35">
        <v>0.9</v>
      </c>
      <c r="F250" s="35">
        <v>6.6</v>
      </c>
      <c r="G250" s="36">
        <v>4.1200000000000004E-3</v>
      </c>
      <c r="H250" s="18">
        <v>7.4152979999999999</v>
      </c>
      <c r="I250" s="16" t="s">
        <v>746</v>
      </c>
      <c r="J250" s="16"/>
      <c r="K250" s="16"/>
      <c r="L250" s="37"/>
      <c r="M250" s="37"/>
      <c r="N250" s="37"/>
      <c r="O250" s="37"/>
      <c r="P250" s="37"/>
      <c r="Q250" s="18">
        <v>4.5320000000000006E-2</v>
      </c>
      <c r="R250" s="18">
        <v>3.0900000000000003E-4</v>
      </c>
      <c r="S250" s="18">
        <v>8.6520000000000014E-2</v>
      </c>
      <c r="T250" s="18">
        <v>0.37080000000000002</v>
      </c>
      <c r="U250" s="18">
        <v>0.18540000000000001</v>
      </c>
      <c r="V250" s="18">
        <v>2.3731200000000001</v>
      </c>
      <c r="W250" s="18">
        <v>2.2248000000000001</v>
      </c>
      <c r="X250" s="18">
        <v>1.4832000000000001</v>
      </c>
      <c r="Y250" s="18">
        <v>6.5920000000000006E-2</v>
      </c>
      <c r="Z250" s="18">
        <v>0.29252</v>
      </c>
      <c r="AA250" s="18">
        <v>0.42848000000000003</v>
      </c>
      <c r="AB250" s="18">
        <v>0.7622000000000001</v>
      </c>
      <c r="AC250" s="18">
        <v>0.23484000000000002</v>
      </c>
      <c r="AD250" s="18">
        <v>1.2360000000000002</v>
      </c>
    </row>
    <row r="251" spans="2:30" x14ac:dyDescent="0.25">
      <c r="B251" t="s">
        <v>269</v>
      </c>
      <c r="C251" t="s">
        <v>105</v>
      </c>
      <c r="D251" t="s">
        <v>748</v>
      </c>
      <c r="E251" s="35">
        <v>0.9</v>
      </c>
      <c r="F251" s="35">
        <v>6.6</v>
      </c>
      <c r="G251" s="36">
        <v>4.1200000000000004E-3</v>
      </c>
      <c r="H251" s="18">
        <v>7.4152979999999999</v>
      </c>
      <c r="I251" s="16" t="s">
        <v>746</v>
      </c>
      <c r="J251" s="16"/>
      <c r="K251" s="16"/>
      <c r="L251" s="37"/>
      <c r="M251" s="37"/>
      <c r="N251" s="37"/>
      <c r="O251" s="37"/>
      <c r="P251" s="37"/>
      <c r="Q251" s="18">
        <v>4.5320000000000006E-2</v>
      </c>
      <c r="R251" s="18">
        <v>3.0900000000000003E-4</v>
      </c>
      <c r="S251" s="18">
        <v>8.6520000000000014E-2</v>
      </c>
      <c r="T251" s="18">
        <v>0.37080000000000002</v>
      </c>
      <c r="U251" s="18">
        <v>0.18540000000000001</v>
      </c>
      <c r="V251" s="18">
        <v>2.3731200000000001</v>
      </c>
      <c r="W251" s="18">
        <v>2.2248000000000001</v>
      </c>
      <c r="X251" s="18">
        <v>1.4832000000000001</v>
      </c>
      <c r="Y251" s="18">
        <v>6.5920000000000006E-2</v>
      </c>
      <c r="Z251" s="18">
        <v>0.29252</v>
      </c>
      <c r="AA251" s="18">
        <v>0.42848000000000003</v>
      </c>
      <c r="AB251" s="18">
        <v>0.7622000000000001</v>
      </c>
      <c r="AC251" s="18">
        <v>0.23484000000000002</v>
      </c>
      <c r="AD251" s="18">
        <v>1.2360000000000002</v>
      </c>
    </row>
    <row r="252" spans="2:30" x14ac:dyDescent="0.25">
      <c r="B252" t="s">
        <v>269</v>
      </c>
      <c r="C252" t="s">
        <v>105</v>
      </c>
      <c r="D252" t="s">
        <v>748</v>
      </c>
      <c r="E252" s="35">
        <v>0.9</v>
      </c>
      <c r="F252" s="35">
        <v>6.6</v>
      </c>
      <c r="G252" s="36">
        <v>4.1200000000000004E-3</v>
      </c>
      <c r="H252" s="18">
        <v>7.4152979999999999</v>
      </c>
      <c r="I252" s="16" t="s">
        <v>746</v>
      </c>
      <c r="J252" s="16"/>
      <c r="K252" s="16"/>
      <c r="L252" s="37"/>
      <c r="M252" s="37"/>
      <c r="N252" s="37"/>
      <c r="O252" s="37"/>
      <c r="P252" s="37"/>
      <c r="Q252" s="18">
        <v>4.5320000000000006E-2</v>
      </c>
      <c r="R252" s="18">
        <v>3.0900000000000003E-4</v>
      </c>
      <c r="S252" s="18">
        <v>8.6520000000000014E-2</v>
      </c>
      <c r="T252" s="18">
        <v>0.37080000000000002</v>
      </c>
      <c r="U252" s="18">
        <v>0.18540000000000001</v>
      </c>
      <c r="V252" s="18">
        <v>2.3731200000000001</v>
      </c>
      <c r="W252" s="18">
        <v>2.2248000000000001</v>
      </c>
      <c r="X252" s="18">
        <v>1.4832000000000001</v>
      </c>
      <c r="Y252" s="18">
        <v>6.5920000000000006E-2</v>
      </c>
      <c r="Z252" s="18">
        <v>0.29252</v>
      </c>
      <c r="AA252" s="18">
        <v>0.42848000000000003</v>
      </c>
      <c r="AB252" s="18">
        <v>0.7622000000000001</v>
      </c>
      <c r="AC252" s="18">
        <v>0.23484000000000002</v>
      </c>
      <c r="AD252" s="18">
        <v>1.2360000000000002</v>
      </c>
    </row>
    <row r="253" spans="2:30" x14ac:dyDescent="0.25">
      <c r="B253" t="s">
        <v>269</v>
      </c>
      <c r="C253" t="s">
        <v>105</v>
      </c>
      <c r="D253" t="s">
        <v>748</v>
      </c>
      <c r="E253" s="35">
        <v>0.9</v>
      </c>
      <c r="F253" s="35">
        <v>6.6</v>
      </c>
      <c r="G253" s="36">
        <v>4.1200000000000004E-3</v>
      </c>
      <c r="H253" s="18">
        <v>7.4152979999999999</v>
      </c>
      <c r="I253" s="16" t="s">
        <v>746</v>
      </c>
      <c r="J253" s="16"/>
      <c r="K253" s="16"/>
      <c r="L253" s="37"/>
      <c r="M253" s="37"/>
      <c r="N253" s="37"/>
      <c r="O253" s="37"/>
      <c r="P253" s="37"/>
      <c r="Q253" s="18">
        <v>4.5320000000000006E-2</v>
      </c>
      <c r="R253" s="18">
        <v>3.0900000000000003E-4</v>
      </c>
      <c r="S253" s="18">
        <v>8.6520000000000014E-2</v>
      </c>
      <c r="T253" s="18">
        <v>0.37080000000000002</v>
      </c>
      <c r="U253" s="18">
        <v>0.18540000000000001</v>
      </c>
      <c r="V253" s="18">
        <v>2.3731200000000001</v>
      </c>
      <c r="W253" s="18">
        <v>2.2248000000000001</v>
      </c>
      <c r="X253" s="18">
        <v>1.4832000000000001</v>
      </c>
      <c r="Y253" s="18">
        <v>6.5920000000000006E-2</v>
      </c>
      <c r="Z253" s="18">
        <v>0.29252</v>
      </c>
      <c r="AA253" s="18">
        <v>0.42848000000000003</v>
      </c>
      <c r="AB253" s="18">
        <v>0.7622000000000001</v>
      </c>
      <c r="AC253" s="18">
        <v>0.23484000000000002</v>
      </c>
      <c r="AD253" s="18">
        <v>1.2360000000000002</v>
      </c>
    </row>
    <row r="254" spans="2:30" x14ac:dyDescent="0.25">
      <c r="B254" t="s">
        <v>269</v>
      </c>
      <c r="C254" t="s">
        <v>105</v>
      </c>
      <c r="D254" t="s">
        <v>748</v>
      </c>
      <c r="E254" s="35">
        <v>0.9</v>
      </c>
      <c r="F254" s="35">
        <v>6.6</v>
      </c>
      <c r="G254" s="36">
        <v>4.1200000000000004E-3</v>
      </c>
      <c r="H254" s="18">
        <v>7.4152979999999999</v>
      </c>
      <c r="I254" s="16" t="s">
        <v>746</v>
      </c>
      <c r="J254" s="16"/>
      <c r="K254" s="16"/>
      <c r="L254" s="37"/>
      <c r="M254" s="37"/>
      <c r="N254" s="37"/>
      <c r="O254" s="37"/>
      <c r="P254" s="37"/>
      <c r="Q254" s="18">
        <v>4.5320000000000006E-2</v>
      </c>
      <c r="R254" s="18">
        <v>3.0900000000000003E-4</v>
      </c>
      <c r="S254" s="18">
        <v>8.6520000000000014E-2</v>
      </c>
      <c r="T254" s="18">
        <v>0.37080000000000002</v>
      </c>
      <c r="U254" s="18">
        <v>0.18540000000000001</v>
      </c>
      <c r="V254" s="18">
        <v>2.3731200000000001</v>
      </c>
      <c r="W254" s="18">
        <v>2.2248000000000001</v>
      </c>
      <c r="X254" s="18">
        <v>1.4832000000000001</v>
      </c>
      <c r="Y254" s="18">
        <v>6.5920000000000006E-2</v>
      </c>
      <c r="Z254" s="18">
        <v>0.29252</v>
      </c>
      <c r="AA254" s="18">
        <v>0.42848000000000003</v>
      </c>
      <c r="AB254" s="18">
        <v>0.7622000000000001</v>
      </c>
      <c r="AC254" s="18">
        <v>0.23484000000000002</v>
      </c>
      <c r="AD254" s="18">
        <v>1.2360000000000002</v>
      </c>
    </row>
    <row r="255" spans="2:30" x14ac:dyDescent="0.25">
      <c r="B255" t="s">
        <v>269</v>
      </c>
      <c r="C255" t="s">
        <v>105</v>
      </c>
      <c r="D255" t="s">
        <v>748</v>
      </c>
      <c r="E255" s="35">
        <v>0.9</v>
      </c>
      <c r="F255" s="35">
        <v>6.6</v>
      </c>
      <c r="G255" s="36">
        <v>4.1200000000000004E-3</v>
      </c>
      <c r="H255" s="18">
        <v>7.4152979999999999</v>
      </c>
      <c r="I255" s="16" t="s">
        <v>746</v>
      </c>
      <c r="J255" s="16"/>
      <c r="K255" s="16"/>
      <c r="L255" s="37"/>
      <c r="M255" s="37"/>
      <c r="N255" s="37"/>
      <c r="O255" s="37"/>
      <c r="P255" s="37"/>
      <c r="Q255" s="18">
        <v>4.5320000000000006E-2</v>
      </c>
      <c r="R255" s="18">
        <v>3.0900000000000003E-4</v>
      </c>
      <c r="S255" s="18">
        <v>8.6520000000000014E-2</v>
      </c>
      <c r="T255" s="18">
        <v>0.37080000000000002</v>
      </c>
      <c r="U255" s="18">
        <v>0.18540000000000001</v>
      </c>
      <c r="V255" s="18">
        <v>2.3731200000000001</v>
      </c>
      <c r="W255" s="18">
        <v>2.2248000000000001</v>
      </c>
      <c r="X255" s="18">
        <v>1.4832000000000001</v>
      </c>
      <c r="Y255" s="18">
        <v>6.5920000000000006E-2</v>
      </c>
      <c r="Z255" s="18">
        <v>0.29252</v>
      </c>
      <c r="AA255" s="18">
        <v>0.42848000000000003</v>
      </c>
      <c r="AB255" s="18">
        <v>0.7622000000000001</v>
      </c>
      <c r="AC255" s="18">
        <v>0.23484000000000002</v>
      </c>
      <c r="AD255" s="18">
        <v>1.2360000000000002</v>
      </c>
    </row>
    <row r="256" spans="2:30" x14ac:dyDescent="0.25">
      <c r="B256" t="s">
        <v>269</v>
      </c>
      <c r="C256" t="s">
        <v>105</v>
      </c>
      <c r="D256" t="s">
        <v>748</v>
      </c>
      <c r="E256" s="35">
        <v>0.9</v>
      </c>
      <c r="F256" s="35">
        <v>6.6</v>
      </c>
      <c r="G256" s="36">
        <v>4.1200000000000004E-3</v>
      </c>
      <c r="H256" s="18">
        <v>7.4152979999999999</v>
      </c>
      <c r="I256" s="16" t="s">
        <v>746</v>
      </c>
      <c r="J256" s="16"/>
      <c r="K256" s="16"/>
      <c r="L256" s="37"/>
      <c r="M256" s="37"/>
      <c r="N256" s="37"/>
      <c r="O256" s="37"/>
      <c r="P256" s="37"/>
      <c r="Q256" s="18">
        <v>4.5320000000000006E-2</v>
      </c>
      <c r="R256" s="18">
        <v>3.0900000000000003E-4</v>
      </c>
      <c r="S256" s="18">
        <v>8.6520000000000014E-2</v>
      </c>
      <c r="T256" s="18">
        <v>0.37080000000000002</v>
      </c>
      <c r="U256" s="18">
        <v>0.18540000000000001</v>
      </c>
      <c r="V256" s="18">
        <v>2.3731200000000001</v>
      </c>
      <c r="W256" s="18">
        <v>2.2248000000000001</v>
      </c>
      <c r="X256" s="18">
        <v>1.4832000000000001</v>
      </c>
      <c r="Y256" s="18">
        <v>6.5920000000000006E-2</v>
      </c>
      <c r="Z256" s="18">
        <v>0.29252</v>
      </c>
      <c r="AA256" s="18">
        <v>0.42848000000000003</v>
      </c>
      <c r="AB256" s="18">
        <v>0.7622000000000001</v>
      </c>
      <c r="AC256" s="18">
        <v>0.23484000000000002</v>
      </c>
      <c r="AD256" s="18">
        <v>1.2360000000000002</v>
      </c>
    </row>
    <row r="257" spans="2:30" x14ac:dyDescent="0.25">
      <c r="B257" t="s">
        <v>269</v>
      </c>
      <c r="C257" t="s">
        <v>105</v>
      </c>
      <c r="D257" t="s">
        <v>748</v>
      </c>
      <c r="E257" s="35">
        <v>0.9</v>
      </c>
      <c r="F257" s="35">
        <v>6.6</v>
      </c>
      <c r="G257" s="36">
        <v>4.1200000000000004E-3</v>
      </c>
      <c r="H257" s="18">
        <v>7.4152979999999999</v>
      </c>
      <c r="I257" s="16" t="s">
        <v>746</v>
      </c>
      <c r="J257" s="16"/>
      <c r="K257" s="16"/>
      <c r="L257" s="37"/>
      <c r="M257" s="37"/>
      <c r="N257" s="37"/>
      <c r="O257" s="37"/>
      <c r="P257" s="37"/>
      <c r="Q257" s="18">
        <v>4.5320000000000006E-2</v>
      </c>
      <c r="R257" s="18">
        <v>3.0900000000000003E-4</v>
      </c>
      <c r="S257" s="18">
        <v>8.6520000000000014E-2</v>
      </c>
      <c r="T257" s="18">
        <v>0.37080000000000002</v>
      </c>
      <c r="U257" s="18">
        <v>0.18540000000000001</v>
      </c>
      <c r="V257" s="18">
        <v>2.3731200000000001</v>
      </c>
      <c r="W257" s="18">
        <v>2.2248000000000001</v>
      </c>
      <c r="X257" s="18">
        <v>1.4832000000000001</v>
      </c>
      <c r="Y257" s="18">
        <v>6.5920000000000006E-2</v>
      </c>
      <c r="Z257" s="18">
        <v>0.29252</v>
      </c>
      <c r="AA257" s="18">
        <v>0.42848000000000003</v>
      </c>
      <c r="AB257" s="18">
        <v>0.7622000000000001</v>
      </c>
      <c r="AC257" s="18">
        <v>0.23484000000000002</v>
      </c>
      <c r="AD257" s="18">
        <v>1.2360000000000002</v>
      </c>
    </row>
    <row r="258" spans="2:30" x14ac:dyDescent="0.25">
      <c r="B258" t="s">
        <v>269</v>
      </c>
      <c r="C258" t="s">
        <v>105</v>
      </c>
      <c r="D258" t="s">
        <v>748</v>
      </c>
      <c r="E258" s="35">
        <v>0.9</v>
      </c>
      <c r="F258" s="35">
        <v>6.6</v>
      </c>
      <c r="G258" s="36">
        <v>4.1200000000000004E-3</v>
      </c>
      <c r="H258" s="18">
        <v>7.4152979999999999</v>
      </c>
      <c r="I258" s="16" t="s">
        <v>746</v>
      </c>
      <c r="J258" s="16"/>
      <c r="K258" s="16"/>
      <c r="L258" s="37"/>
      <c r="M258" s="37"/>
      <c r="N258" s="37"/>
      <c r="O258" s="37"/>
      <c r="P258" s="37"/>
      <c r="Q258" s="18">
        <v>4.5320000000000006E-2</v>
      </c>
      <c r="R258" s="18">
        <v>3.0900000000000003E-4</v>
      </c>
      <c r="S258" s="18">
        <v>8.6520000000000014E-2</v>
      </c>
      <c r="T258" s="18">
        <v>0.37080000000000002</v>
      </c>
      <c r="U258" s="18">
        <v>0.18540000000000001</v>
      </c>
      <c r="V258" s="18">
        <v>2.3731200000000001</v>
      </c>
      <c r="W258" s="18">
        <v>2.2248000000000001</v>
      </c>
      <c r="X258" s="18">
        <v>1.4832000000000001</v>
      </c>
      <c r="Y258" s="18">
        <v>6.5920000000000006E-2</v>
      </c>
      <c r="Z258" s="18">
        <v>0.29252</v>
      </c>
      <c r="AA258" s="18">
        <v>0.42848000000000003</v>
      </c>
      <c r="AB258" s="18">
        <v>0.7622000000000001</v>
      </c>
      <c r="AC258" s="18">
        <v>0.23484000000000002</v>
      </c>
      <c r="AD258" s="18">
        <v>1.2360000000000002</v>
      </c>
    </row>
    <row r="259" spans="2:30" x14ac:dyDescent="0.25">
      <c r="B259" t="s">
        <v>269</v>
      </c>
      <c r="C259" t="s">
        <v>105</v>
      </c>
      <c r="D259" t="s">
        <v>748</v>
      </c>
      <c r="E259" s="35">
        <v>0.9</v>
      </c>
      <c r="F259" s="35">
        <v>6.6</v>
      </c>
      <c r="G259" s="36">
        <v>4.1200000000000004E-3</v>
      </c>
      <c r="H259" s="18">
        <v>7.4152979999999999</v>
      </c>
      <c r="I259" s="16" t="s">
        <v>746</v>
      </c>
      <c r="J259" s="16"/>
      <c r="K259" s="16"/>
      <c r="L259" s="37"/>
      <c r="M259" s="37"/>
      <c r="N259" s="37"/>
      <c r="O259" s="37"/>
      <c r="P259" s="37"/>
      <c r="Q259" s="18">
        <v>4.5320000000000006E-2</v>
      </c>
      <c r="R259" s="18">
        <v>3.0900000000000003E-4</v>
      </c>
      <c r="S259" s="18">
        <v>8.6520000000000014E-2</v>
      </c>
      <c r="T259" s="18">
        <v>0.37080000000000002</v>
      </c>
      <c r="U259" s="18">
        <v>0.18540000000000001</v>
      </c>
      <c r="V259" s="18">
        <v>2.3731200000000001</v>
      </c>
      <c r="W259" s="18">
        <v>2.2248000000000001</v>
      </c>
      <c r="X259" s="18">
        <v>1.4832000000000001</v>
      </c>
      <c r="Y259" s="18">
        <v>6.5920000000000006E-2</v>
      </c>
      <c r="Z259" s="18">
        <v>0.29252</v>
      </c>
      <c r="AA259" s="18">
        <v>0.42848000000000003</v>
      </c>
      <c r="AB259" s="18">
        <v>0.7622000000000001</v>
      </c>
      <c r="AC259" s="18">
        <v>0.23484000000000002</v>
      </c>
      <c r="AD259" s="18">
        <v>1.2360000000000002</v>
      </c>
    </row>
    <row r="260" spans="2:30" x14ac:dyDescent="0.25">
      <c r="B260" t="s">
        <v>269</v>
      </c>
      <c r="C260" t="s">
        <v>105</v>
      </c>
      <c r="D260" t="s">
        <v>749</v>
      </c>
      <c r="E260" s="35">
        <v>0.9</v>
      </c>
      <c r="F260" s="35">
        <v>6.6</v>
      </c>
      <c r="G260" s="36">
        <v>3.5699999999999998E-3</v>
      </c>
      <c r="H260" s="18">
        <v>6.4252979999999997</v>
      </c>
      <c r="I260" s="16" t="s">
        <v>746</v>
      </c>
      <c r="J260" s="16"/>
      <c r="K260" s="16"/>
      <c r="L260" s="37"/>
      <c r="M260" s="37"/>
      <c r="N260" s="37"/>
      <c r="O260" s="37"/>
      <c r="P260" s="37"/>
      <c r="Q260" s="18">
        <v>3.9269999999999999E-2</v>
      </c>
      <c r="R260" s="18">
        <v>2.6774999999999998E-4</v>
      </c>
      <c r="S260" s="18">
        <v>7.4969999999999995E-2</v>
      </c>
      <c r="T260" s="18">
        <v>0.32129999999999997</v>
      </c>
      <c r="U260" s="18">
        <v>0.16064999999999999</v>
      </c>
      <c r="V260" s="18">
        <v>2.0563199999999999</v>
      </c>
      <c r="W260" s="18">
        <v>1.9278</v>
      </c>
      <c r="X260" s="18">
        <v>1.2851999999999999</v>
      </c>
      <c r="Y260" s="18">
        <v>5.7119999999999997E-2</v>
      </c>
      <c r="Z260" s="18">
        <v>0.25346999999999997</v>
      </c>
      <c r="AA260" s="18">
        <v>0.37128</v>
      </c>
      <c r="AB260" s="18">
        <v>0.66044999999999998</v>
      </c>
      <c r="AC260" s="18">
        <v>0.20348999999999998</v>
      </c>
      <c r="AD260" s="18">
        <v>1.071</v>
      </c>
    </row>
    <row r="261" spans="2:30" x14ac:dyDescent="0.25">
      <c r="B261" t="s">
        <v>269</v>
      </c>
      <c r="C261" t="s">
        <v>105</v>
      </c>
      <c r="D261" t="s">
        <v>748</v>
      </c>
      <c r="E261" s="35">
        <v>0.9</v>
      </c>
      <c r="F261" s="35">
        <v>6.6</v>
      </c>
      <c r="G261" s="36">
        <v>4.1200000000000004E-3</v>
      </c>
      <c r="H261" s="18">
        <v>7.4152979999999999</v>
      </c>
      <c r="I261" s="16" t="s">
        <v>746</v>
      </c>
      <c r="J261" s="16"/>
      <c r="K261" s="16"/>
      <c r="L261" s="37"/>
      <c r="M261" s="37"/>
      <c r="N261" s="37"/>
      <c r="O261" s="37"/>
      <c r="P261" s="37"/>
      <c r="Q261" s="18">
        <v>4.5320000000000006E-2</v>
      </c>
      <c r="R261" s="18">
        <v>3.0900000000000003E-4</v>
      </c>
      <c r="S261" s="18">
        <v>8.6520000000000014E-2</v>
      </c>
      <c r="T261" s="18">
        <v>0.37080000000000002</v>
      </c>
      <c r="U261" s="18">
        <v>0.18540000000000001</v>
      </c>
      <c r="V261" s="18">
        <v>2.3731200000000001</v>
      </c>
      <c r="W261" s="18">
        <v>2.2248000000000001</v>
      </c>
      <c r="X261" s="18">
        <v>1.4832000000000001</v>
      </c>
      <c r="Y261" s="18">
        <v>6.5920000000000006E-2</v>
      </c>
      <c r="Z261" s="18">
        <v>0.29252</v>
      </c>
      <c r="AA261" s="18">
        <v>0.42848000000000003</v>
      </c>
      <c r="AB261" s="18">
        <v>0.7622000000000001</v>
      </c>
      <c r="AC261" s="18">
        <v>0.23484000000000002</v>
      </c>
      <c r="AD261" s="18">
        <v>1.2360000000000002</v>
      </c>
    </row>
    <row r="262" spans="2:30" x14ac:dyDescent="0.25">
      <c r="B262" t="s">
        <v>269</v>
      </c>
      <c r="C262" t="s">
        <v>105</v>
      </c>
      <c r="D262" t="s">
        <v>749</v>
      </c>
      <c r="E262" s="35">
        <v>0.9</v>
      </c>
      <c r="F262" s="35">
        <v>6.6</v>
      </c>
      <c r="G262" s="36">
        <v>3.5699999999999998E-3</v>
      </c>
      <c r="H262" s="18">
        <v>6.4252979999999997</v>
      </c>
      <c r="I262" s="16" t="s">
        <v>746</v>
      </c>
      <c r="J262" s="16"/>
      <c r="K262" s="16"/>
      <c r="L262" s="37"/>
      <c r="M262" s="37"/>
      <c r="N262" s="37"/>
      <c r="O262" s="37"/>
      <c r="P262" s="37"/>
      <c r="Q262" s="18">
        <v>3.9269999999999999E-2</v>
      </c>
      <c r="R262" s="18">
        <v>2.6774999999999998E-4</v>
      </c>
      <c r="S262" s="18">
        <v>7.4969999999999995E-2</v>
      </c>
      <c r="T262" s="18">
        <v>0.32129999999999997</v>
      </c>
      <c r="U262" s="18">
        <v>0.16064999999999999</v>
      </c>
      <c r="V262" s="18">
        <v>2.0563199999999999</v>
      </c>
      <c r="W262" s="18">
        <v>1.9278</v>
      </c>
      <c r="X262" s="18">
        <v>1.2851999999999999</v>
      </c>
      <c r="Y262" s="18">
        <v>5.7119999999999997E-2</v>
      </c>
      <c r="Z262" s="18">
        <v>0.25346999999999997</v>
      </c>
      <c r="AA262" s="18">
        <v>0.37128</v>
      </c>
      <c r="AB262" s="18">
        <v>0.66044999999999998</v>
      </c>
      <c r="AC262" s="18">
        <v>0.20348999999999998</v>
      </c>
      <c r="AD262" s="18">
        <v>1.071</v>
      </c>
    </row>
    <row r="263" spans="2:30" x14ac:dyDescent="0.25">
      <c r="B263" t="s">
        <v>269</v>
      </c>
      <c r="C263" t="s">
        <v>105</v>
      </c>
      <c r="D263" t="s">
        <v>748</v>
      </c>
      <c r="E263" s="35">
        <v>0.9</v>
      </c>
      <c r="F263" s="35">
        <v>6.6</v>
      </c>
      <c r="G263" s="36">
        <v>4.1200000000000004E-3</v>
      </c>
      <c r="H263" s="18">
        <v>7.4152979999999999</v>
      </c>
      <c r="I263" s="16" t="s">
        <v>746</v>
      </c>
      <c r="J263" s="16"/>
      <c r="K263" s="16"/>
      <c r="L263" s="37"/>
      <c r="M263" s="37"/>
      <c r="N263" s="37"/>
      <c r="O263" s="37"/>
      <c r="P263" s="37"/>
      <c r="Q263" s="18">
        <v>4.5320000000000006E-2</v>
      </c>
      <c r="R263" s="18">
        <v>3.0900000000000003E-4</v>
      </c>
      <c r="S263" s="18">
        <v>8.6520000000000014E-2</v>
      </c>
      <c r="T263" s="18">
        <v>0.37080000000000002</v>
      </c>
      <c r="U263" s="18">
        <v>0.18540000000000001</v>
      </c>
      <c r="V263" s="18">
        <v>2.3731200000000001</v>
      </c>
      <c r="W263" s="18">
        <v>2.2248000000000001</v>
      </c>
      <c r="X263" s="18">
        <v>1.4832000000000001</v>
      </c>
      <c r="Y263" s="18">
        <v>6.5920000000000006E-2</v>
      </c>
      <c r="Z263" s="18">
        <v>0.29252</v>
      </c>
      <c r="AA263" s="18">
        <v>0.42848000000000003</v>
      </c>
      <c r="AB263" s="18">
        <v>0.7622000000000001</v>
      </c>
      <c r="AC263" s="18">
        <v>0.23484000000000002</v>
      </c>
      <c r="AD263" s="18">
        <v>1.2360000000000002</v>
      </c>
    </row>
    <row r="264" spans="2:30" x14ac:dyDescent="0.25">
      <c r="B264" t="s">
        <v>269</v>
      </c>
      <c r="C264" t="s">
        <v>105</v>
      </c>
      <c r="D264" t="s">
        <v>748</v>
      </c>
      <c r="E264" s="35">
        <v>0.9</v>
      </c>
      <c r="F264" s="35">
        <v>6.6</v>
      </c>
      <c r="G264" s="36">
        <v>4.1200000000000004E-3</v>
      </c>
      <c r="H264" s="18">
        <v>7.4152979999999999</v>
      </c>
      <c r="I264" s="16" t="s">
        <v>746</v>
      </c>
      <c r="J264" s="16"/>
      <c r="K264" s="16"/>
      <c r="L264" s="37"/>
      <c r="M264" s="37"/>
      <c r="N264" s="37"/>
      <c r="O264" s="37"/>
      <c r="P264" s="37"/>
      <c r="Q264" s="18">
        <v>4.5320000000000006E-2</v>
      </c>
      <c r="R264" s="18">
        <v>3.0900000000000003E-4</v>
      </c>
      <c r="S264" s="18">
        <v>8.6520000000000014E-2</v>
      </c>
      <c r="T264" s="18">
        <v>0.37080000000000002</v>
      </c>
      <c r="U264" s="18">
        <v>0.18540000000000001</v>
      </c>
      <c r="V264" s="18">
        <v>2.3731200000000001</v>
      </c>
      <c r="W264" s="18">
        <v>2.2248000000000001</v>
      </c>
      <c r="X264" s="18">
        <v>1.4832000000000001</v>
      </c>
      <c r="Y264" s="18">
        <v>6.5920000000000006E-2</v>
      </c>
      <c r="Z264" s="18">
        <v>0.29252</v>
      </c>
      <c r="AA264" s="18">
        <v>0.42848000000000003</v>
      </c>
      <c r="AB264" s="18">
        <v>0.7622000000000001</v>
      </c>
      <c r="AC264" s="18">
        <v>0.23484000000000002</v>
      </c>
      <c r="AD264" s="18">
        <v>1.2360000000000002</v>
      </c>
    </row>
    <row r="265" spans="2:30" x14ac:dyDescent="0.25">
      <c r="B265" t="s">
        <v>269</v>
      </c>
      <c r="C265" t="s">
        <v>105</v>
      </c>
      <c r="D265" t="s">
        <v>748</v>
      </c>
      <c r="E265" s="35">
        <v>0.9</v>
      </c>
      <c r="F265" s="35">
        <v>6.6</v>
      </c>
      <c r="G265" s="36">
        <v>4.1200000000000004E-3</v>
      </c>
      <c r="H265" s="18">
        <v>7.4152979999999999</v>
      </c>
      <c r="I265" s="16" t="s">
        <v>746</v>
      </c>
      <c r="J265" s="16"/>
      <c r="K265" s="16"/>
      <c r="L265" s="37"/>
      <c r="M265" s="37"/>
      <c r="N265" s="37"/>
      <c r="O265" s="37"/>
      <c r="P265" s="37"/>
      <c r="Q265" s="18">
        <v>4.5320000000000006E-2</v>
      </c>
      <c r="R265" s="18">
        <v>3.0900000000000003E-4</v>
      </c>
      <c r="S265" s="18">
        <v>8.6520000000000014E-2</v>
      </c>
      <c r="T265" s="18">
        <v>0.37080000000000002</v>
      </c>
      <c r="U265" s="18">
        <v>0.18540000000000001</v>
      </c>
      <c r="V265" s="18">
        <v>2.3731200000000001</v>
      </c>
      <c r="W265" s="18">
        <v>2.2248000000000001</v>
      </c>
      <c r="X265" s="18">
        <v>1.4832000000000001</v>
      </c>
      <c r="Y265" s="18">
        <v>6.5920000000000006E-2</v>
      </c>
      <c r="Z265" s="18">
        <v>0.29252</v>
      </c>
      <c r="AA265" s="18">
        <v>0.42848000000000003</v>
      </c>
      <c r="AB265" s="18">
        <v>0.7622000000000001</v>
      </c>
      <c r="AC265" s="18">
        <v>0.23484000000000002</v>
      </c>
      <c r="AD265" s="18">
        <v>1.2360000000000002</v>
      </c>
    </row>
    <row r="266" spans="2:30" x14ac:dyDescent="0.25">
      <c r="B266" t="s">
        <v>269</v>
      </c>
      <c r="C266" t="s">
        <v>105</v>
      </c>
      <c r="D266" t="s">
        <v>748</v>
      </c>
      <c r="E266" s="35">
        <v>0.9</v>
      </c>
      <c r="F266" s="35">
        <v>6.6</v>
      </c>
      <c r="G266" s="36">
        <v>4.1200000000000004E-3</v>
      </c>
      <c r="H266" s="18">
        <v>7.4152979999999999</v>
      </c>
      <c r="I266" s="16" t="s">
        <v>746</v>
      </c>
      <c r="J266" s="16"/>
      <c r="K266" s="16"/>
      <c r="L266" s="37"/>
      <c r="M266" s="37"/>
      <c r="N266" s="37"/>
      <c r="O266" s="37"/>
      <c r="P266" s="37"/>
      <c r="Q266" s="18">
        <v>4.5320000000000006E-2</v>
      </c>
      <c r="R266" s="18">
        <v>3.0900000000000003E-4</v>
      </c>
      <c r="S266" s="18">
        <v>8.6520000000000014E-2</v>
      </c>
      <c r="T266" s="18">
        <v>0.37080000000000002</v>
      </c>
      <c r="U266" s="18">
        <v>0.18540000000000001</v>
      </c>
      <c r="V266" s="18">
        <v>2.3731200000000001</v>
      </c>
      <c r="W266" s="18">
        <v>2.2248000000000001</v>
      </c>
      <c r="X266" s="18">
        <v>1.4832000000000001</v>
      </c>
      <c r="Y266" s="18">
        <v>6.5920000000000006E-2</v>
      </c>
      <c r="Z266" s="18">
        <v>0.29252</v>
      </c>
      <c r="AA266" s="18">
        <v>0.42848000000000003</v>
      </c>
      <c r="AB266" s="18">
        <v>0.7622000000000001</v>
      </c>
      <c r="AC266" s="18">
        <v>0.23484000000000002</v>
      </c>
      <c r="AD266" s="18">
        <v>1.2360000000000002</v>
      </c>
    </row>
    <row r="267" spans="2:30" x14ac:dyDescent="0.25">
      <c r="B267" t="s">
        <v>269</v>
      </c>
      <c r="C267" t="s">
        <v>105</v>
      </c>
      <c r="D267" t="s">
        <v>748</v>
      </c>
      <c r="E267" s="35">
        <v>0.9</v>
      </c>
      <c r="F267" s="35">
        <v>6.6</v>
      </c>
      <c r="G267" s="36">
        <v>4.1200000000000004E-3</v>
      </c>
      <c r="H267" s="18">
        <v>7.4152979999999999</v>
      </c>
      <c r="I267" s="16" t="s">
        <v>746</v>
      </c>
      <c r="J267" s="16"/>
      <c r="K267" s="16"/>
      <c r="L267" s="37"/>
      <c r="M267" s="37"/>
      <c r="N267" s="37"/>
      <c r="O267" s="37"/>
      <c r="P267" s="37"/>
      <c r="Q267" s="18">
        <v>4.5320000000000006E-2</v>
      </c>
      <c r="R267" s="18">
        <v>3.0900000000000003E-4</v>
      </c>
      <c r="S267" s="18">
        <v>8.6520000000000014E-2</v>
      </c>
      <c r="T267" s="18">
        <v>0.37080000000000002</v>
      </c>
      <c r="U267" s="18">
        <v>0.18540000000000001</v>
      </c>
      <c r="V267" s="18">
        <v>2.3731200000000001</v>
      </c>
      <c r="W267" s="18">
        <v>2.2248000000000001</v>
      </c>
      <c r="X267" s="18">
        <v>1.4832000000000001</v>
      </c>
      <c r="Y267" s="18">
        <v>6.5920000000000006E-2</v>
      </c>
      <c r="Z267" s="18">
        <v>0.29252</v>
      </c>
      <c r="AA267" s="18">
        <v>0.42848000000000003</v>
      </c>
      <c r="AB267" s="18">
        <v>0.7622000000000001</v>
      </c>
      <c r="AC267" s="18">
        <v>0.23484000000000002</v>
      </c>
      <c r="AD267" s="18">
        <v>1.2360000000000002</v>
      </c>
    </row>
    <row r="268" spans="2:30" x14ac:dyDescent="0.25">
      <c r="B268" t="s">
        <v>269</v>
      </c>
      <c r="C268" t="s">
        <v>105</v>
      </c>
      <c r="D268" t="s">
        <v>748</v>
      </c>
      <c r="E268" s="35">
        <v>0.9</v>
      </c>
      <c r="F268" s="35">
        <v>6.6</v>
      </c>
      <c r="G268" s="36">
        <v>4.1200000000000004E-3</v>
      </c>
      <c r="H268" s="18">
        <v>7.4152979999999999</v>
      </c>
      <c r="I268" s="16" t="s">
        <v>746</v>
      </c>
      <c r="J268" s="16"/>
      <c r="K268" s="16"/>
      <c r="L268" s="37"/>
      <c r="M268" s="37"/>
      <c r="N268" s="37"/>
      <c r="O268" s="37"/>
      <c r="P268" s="37"/>
      <c r="Q268" s="18">
        <v>4.5320000000000006E-2</v>
      </c>
      <c r="R268" s="18">
        <v>3.0900000000000003E-4</v>
      </c>
      <c r="S268" s="18">
        <v>8.6520000000000014E-2</v>
      </c>
      <c r="T268" s="18">
        <v>0.37080000000000002</v>
      </c>
      <c r="U268" s="18">
        <v>0.18540000000000001</v>
      </c>
      <c r="V268" s="18">
        <v>2.3731200000000001</v>
      </c>
      <c r="W268" s="18">
        <v>2.2248000000000001</v>
      </c>
      <c r="X268" s="18">
        <v>1.4832000000000001</v>
      </c>
      <c r="Y268" s="18">
        <v>6.5920000000000006E-2</v>
      </c>
      <c r="Z268" s="18">
        <v>0.29252</v>
      </c>
      <c r="AA268" s="18">
        <v>0.42848000000000003</v>
      </c>
      <c r="AB268" s="18">
        <v>0.7622000000000001</v>
      </c>
      <c r="AC268" s="18">
        <v>0.23484000000000002</v>
      </c>
      <c r="AD268" s="18">
        <v>1.2360000000000002</v>
      </c>
    </row>
    <row r="269" spans="2:30" x14ac:dyDescent="0.25">
      <c r="B269" t="s">
        <v>269</v>
      </c>
      <c r="C269" t="s">
        <v>105</v>
      </c>
      <c r="D269" t="s">
        <v>748</v>
      </c>
      <c r="E269" s="35">
        <v>0.9</v>
      </c>
      <c r="F269" s="35">
        <v>6.6</v>
      </c>
      <c r="G269" s="36">
        <v>4.1200000000000004E-3</v>
      </c>
      <c r="H269" s="18">
        <v>7.4152979999999999</v>
      </c>
      <c r="I269" s="16" t="s">
        <v>746</v>
      </c>
      <c r="J269" s="16"/>
      <c r="K269" s="16"/>
      <c r="L269" s="37"/>
      <c r="M269" s="37"/>
      <c r="N269" s="37"/>
      <c r="O269" s="37"/>
      <c r="P269" s="37"/>
      <c r="Q269" s="18">
        <v>4.5320000000000006E-2</v>
      </c>
      <c r="R269" s="18">
        <v>3.0900000000000003E-4</v>
      </c>
      <c r="S269" s="18">
        <v>8.6520000000000014E-2</v>
      </c>
      <c r="T269" s="18">
        <v>0.37080000000000002</v>
      </c>
      <c r="U269" s="18">
        <v>0.18540000000000001</v>
      </c>
      <c r="V269" s="18">
        <v>2.3731200000000001</v>
      </c>
      <c r="W269" s="18">
        <v>2.2248000000000001</v>
      </c>
      <c r="X269" s="18">
        <v>1.4832000000000001</v>
      </c>
      <c r="Y269" s="18">
        <v>6.5920000000000006E-2</v>
      </c>
      <c r="Z269" s="18">
        <v>0.29252</v>
      </c>
      <c r="AA269" s="18">
        <v>0.42848000000000003</v>
      </c>
      <c r="AB269" s="18">
        <v>0.7622000000000001</v>
      </c>
      <c r="AC269" s="18">
        <v>0.23484000000000002</v>
      </c>
      <c r="AD269" s="18">
        <v>1.2360000000000002</v>
      </c>
    </row>
    <row r="270" spans="2:30" x14ac:dyDescent="0.25">
      <c r="B270" t="s">
        <v>269</v>
      </c>
      <c r="C270" t="s">
        <v>105</v>
      </c>
      <c r="D270" t="s">
        <v>748</v>
      </c>
      <c r="E270" s="35">
        <v>0.9</v>
      </c>
      <c r="F270" s="35">
        <v>6.6</v>
      </c>
      <c r="G270" s="36">
        <v>4.1200000000000004E-3</v>
      </c>
      <c r="H270" s="18">
        <v>7.4152979999999999</v>
      </c>
      <c r="I270" s="16" t="s">
        <v>746</v>
      </c>
      <c r="J270" s="16"/>
      <c r="K270" s="16"/>
      <c r="L270" s="37"/>
      <c r="M270" s="37"/>
      <c r="N270" s="37"/>
      <c r="O270" s="37"/>
      <c r="P270" s="37"/>
      <c r="Q270" s="18">
        <v>4.5320000000000006E-2</v>
      </c>
      <c r="R270" s="18">
        <v>3.0900000000000003E-4</v>
      </c>
      <c r="S270" s="18">
        <v>8.6520000000000014E-2</v>
      </c>
      <c r="T270" s="18">
        <v>0.37080000000000002</v>
      </c>
      <c r="U270" s="18">
        <v>0.18540000000000001</v>
      </c>
      <c r="V270" s="18">
        <v>2.3731200000000001</v>
      </c>
      <c r="W270" s="18">
        <v>2.2248000000000001</v>
      </c>
      <c r="X270" s="18">
        <v>1.4832000000000001</v>
      </c>
      <c r="Y270" s="18">
        <v>6.5920000000000006E-2</v>
      </c>
      <c r="Z270" s="18">
        <v>0.29252</v>
      </c>
      <c r="AA270" s="18">
        <v>0.42848000000000003</v>
      </c>
      <c r="AB270" s="18">
        <v>0.7622000000000001</v>
      </c>
      <c r="AC270" s="18">
        <v>0.23484000000000002</v>
      </c>
      <c r="AD270" s="18">
        <v>1.2360000000000002</v>
      </c>
    </row>
    <row r="271" spans="2:30" x14ac:dyDescent="0.25">
      <c r="B271" t="s">
        <v>269</v>
      </c>
      <c r="C271" t="s">
        <v>105</v>
      </c>
      <c r="D271" t="s">
        <v>748</v>
      </c>
      <c r="E271" s="35">
        <v>0.9</v>
      </c>
      <c r="F271" s="35">
        <v>6.6</v>
      </c>
      <c r="G271" s="36">
        <v>4.1200000000000004E-3</v>
      </c>
      <c r="H271" s="18">
        <v>7.4152979999999999</v>
      </c>
      <c r="I271" s="16" t="s">
        <v>746</v>
      </c>
      <c r="J271" s="16"/>
      <c r="K271" s="16"/>
      <c r="L271" s="37"/>
      <c r="M271" s="37"/>
      <c r="N271" s="37"/>
      <c r="O271" s="37"/>
      <c r="P271" s="37"/>
      <c r="Q271" s="18">
        <v>4.5320000000000006E-2</v>
      </c>
      <c r="R271" s="18">
        <v>3.0900000000000003E-4</v>
      </c>
      <c r="S271" s="18">
        <v>8.6520000000000014E-2</v>
      </c>
      <c r="T271" s="18">
        <v>0.37080000000000002</v>
      </c>
      <c r="U271" s="18">
        <v>0.18540000000000001</v>
      </c>
      <c r="V271" s="18">
        <v>2.3731200000000001</v>
      </c>
      <c r="W271" s="18">
        <v>2.2248000000000001</v>
      </c>
      <c r="X271" s="18">
        <v>1.4832000000000001</v>
      </c>
      <c r="Y271" s="18">
        <v>6.5920000000000006E-2</v>
      </c>
      <c r="Z271" s="18">
        <v>0.29252</v>
      </c>
      <c r="AA271" s="18">
        <v>0.42848000000000003</v>
      </c>
      <c r="AB271" s="18">
        <v>0.7622000000000001</v>
      </c>
      <c r="AC271" s="18">
        <v>0.23484000000000002</v>
      </c>
      <c r="AD271" s="18">
        <v>1.2360000000000002</v>
      </c>
    </row>
    <row r="272" spans="2:30" x14ac:dyDescent="0.25">
      <c r="B272" t="s">
        <v>269</v>
      </c>
      <c r="C272" t="s">
        <v>105</v>
      </c>
      <c r="D272" t="s">
        <v>748</v>
      </c>
      <c r="E272" s="35">
        <v>0.9</v>
      </c>
      <c r="F272" s="35">
        <v>6.6</v>
      </c>
      <c r="G272" s="36">
        <v>4.1200000000000004E-3</v>
      </c>
      <c r="H272" s="18">
        <v>7.4152979999999999</v>
      </c>
      <c r="I272" s="16" t="s">
        <v>746</v>
      </c>
      <c r="J272" s="16"/>
      <c r="K272" s="16"/>
      <c r="L272" s="37"/>
      <c r="M272" s="37"/>
      <c r="N272" s="37"/>
      <c r="O272" s="37"/>
      <c r="P272" s="37"/>
      <c r="Q272" s="18">
        <v>4.5320000000000006E-2</v>
      </c>
      <c r="R272" s="18">
        <v>3.0900000000000003E-4</v>
      </c>
      <c r="S272" s="18">
        <v>8.6520000000000014E-2</v>
      </c>
      <c r="T272" s="18">
        <v>0.37080000000000002</v>
      </c>
      <c r="U272" s="18">
        <v>0.18540000000000001</v>
      </c>
      <c r="V272" s="18">
        <v>2.3731200000000001</v>
      </c>
      <c r="W272" s="18">
        <v>2.2248000000000001</v>
      </c>
      <c r="X272" s="18">
        <v>1.4832000000000001</v>
      </c>
      <c r="Y272" s="18">
        <v>6.5920000000000006E-2</v>
      </c>
      <c r="Z272" s="18">
        <v>0.29252</v>
      </c>
      <c r="AA272" s="18">
        <v>0.42848000000000003</v>
      </c>
      <c r="AB272" s="18">
        <v>0.7622000000000001</v>
      </c>
      <c r="AC272" s="18">
        <v>0.23484000000000002</v>
      </c>
      <c r="AD272" s="18">
        <v>1.2360000000000002</v>
      </c>
    </row>
    <row r="273" spans="2:30" x14ac:dyDescent="0.25">
      <c r="B273" t="s">
        <v>269</v>
      </c>
      <c r="C273" t="s">
        <v>105</v>
      </c>
      <c r="D273" t="s">
        <v>748</v>
      </c>
      <c r="E273" s="35">
        <v>0.9</v>
      </c>
      <c r="F273" s="35">
        <v>6.6</v>
      </c>
      <c r="G273" s="36">
        <v>4.1200000000000004E-3</v>
      </c>
      <c r="H273" s="18">
        <v>7.4152979999999999</v>
      </c>
      <c r="I273" s="16" t="s">
        <v>746</v>
      </c>
      <c r="J273" s="16"/>
      <c r="K273" s="16"/>
      <c r="L273" s="37"/>
      <c r="M273" s="37"/>
      <c r="N273" s="37"/>
      <c r="O273" s="37"/>
      <c r="P273" s="37"/>
      <c r="Q273" s="18">
        <v>4.5320000000000006E-2</v>
      </c>
      <c r="R273" s="18">
        <v>3.0900000000000003E-4</v>
      </c>
      <c r="S273" s="18">
        <v>8.6520000000000014E-2</v>
      </c>
      <c r="T273" s="18">
        <v>0.37080000000000002</v>
      </c>
      <c r="U273" s="18">
        <v>0.18540000000000001</v>
      </c>
      <c r="V273" s="18">
        <v>2.3731200000000001</v>
      </c>
      <c r="W273" s="18">
        <v>2.2248000000000001</v>
      </c>
      <c r="X273" s="18">
        <v>1.4832000000000001</v>
      </c>
      <c r="Y273" s="18">
        <v>6.5920000000000006E-2</v>
      </c>
      <c r="Z273" s="18">
        <v>0.29252</v>
      </c>
      <c r="AA273" s="18">
        <v>0.42848000000000003</v>
      </c>
      <c r="AB273" s="18">
        <v>0.7622000000000001</v>
      </c>
      <c r="AC273" s="18">
        <v>0.23484000000000002</v>
      </c>
      <c r="AD273" s="18">
        <v>1.2360000000000002</v>
      </c>
    </row>
    <row r="274" spans="2:30" x14ac:dyDescent="0.25">
      <c r="B274" t="s">
        <v>269</v>
      </c>
      <c r="C274" t="s">
        <v>105</v>
      </c>
      <c r="D274" t="s">
        <v>748</v>
      </c>
      <c r="E274" s="35">
        <v>0.9</v>
      </c>
      <c r="F274" s="35">
        <v>6.6</v>
      </c>
      <c r="G274" s="36">
        <v>4.1200000000000004E-3</v>
      </c>
      <c r="H274" s="18">
        <v>7.4152979999999999</v>
      </c>
      <c r="I274" s="16" t="s">
        <v>746</v>
      </c>
      <c r="J274" s="16"/>
      <c r="K274" s="16"/>
      <c r="L274" s="37"/>
      <c r="M274" s="37"/>
      <c r="N274" s="37"/>
      <c r="O274" s="37"/>
      <c r="P274" s="37"/>
      <c r="Q274" s="18">
        <v>4.5320000000000006E-2</v>
      </c>
      <c r="R274" s="18">
        <v>3.0900000000000003E-4</v>
      </c>
      <c r="S274" s="18">
        <v>8.6520000000000014E-2</v>
      </c>
      <c r="T274" s="18">
        <v>0.37080000000000002</v>
      </c>
      <c r="U274" s="18">
        <v>0.18540000000000001</v>
      </c>
      <c r="V274" s="18">
        <v>2.3731200000000001</v>
      </c>
      <c r="W274" s="18">
        <v>2.2248000000000001</v>
      </c>
      <c r="X274" s="18">
        <v>1.4832000000000001</v>
      </c>
      <c r="Y274" s="18">
        <v>6.5920000000000006E-2</v>
      </c>
      <c r="Z274" s="18">
        <v>0.29252</v>
      </c>
      <c r="AA274" s="18">
        <v>0.42848000000000003</v>
      </c>
      <c r="AB274" s="18">
        <v>0.7622000000000001</v>
      </c>
      <c r="AC274" s="18">
        <v>0.23484000000000002</v>
      </c>
      <c r="AD274" s="18">
        <v>1.2360000000000002</v>
      </c>
    </row>
    <row r="275" spans="2:30" x14ac:dyDescent="0.25">
      <c r="B275" t="s">
        <v>269</v>
      </c>
      <c r="C275" t="s">
        <v>105</v>
      </c>
      <c r="D275" t="s">
        <v>748</v>
      </c>
      <c r="E275" s="35">
        <v>0.9</v>
      </c>
      <c r="F275" s="35">
        <v>6.6</v>
      </c>
      <c r="G275" s="36">
        <v>4.1200000000000004E-3</v>
      </c>
      <c r="H275" s="18">
        <v>7.4152979999999999</v>
      </c>
      <c r="I275" s="16" t="s">
        <v>746</v>
      </c>
      <c r="J275" s="16"/>
      <c r="K275" s="16"/>
      <c r="L275" s="37"/>
      <c r="M275" s="37"/>
      <c r="N275" s="37"/>
      <c r="O275" s="37"/>
      <c r="P275" s="37"/>
      <c r="Q275" s="18">
        <v>4.5320000000000006E-2</v>
      </c>
      <c r="R275" s="18">
        <v>3.0900000000000003E-4</v>
      </c>
      <c r="S275" s="18">
        <v>8.6520000000000014E-2</v>
      </c>
      <c r="T275" s="18">
        <v>0.37080000000000002</v>
      </c>
      <c r="U275" s="18">
        <v>0.18540000000000001</v>
      </c>
      <c r="V275" s="18">
        <v>2.3731200000000001</v>
      </c>
      <c r="W275" s="18">
        <v>2.2248000000000001</v>
      </c>
      <c r="X275" s="18">
        <v>1.4832000000000001</v>
      </c>
      <c r="Y275" s="18">
        <v>6.5920000000000006E-2</v>
      </c>
      <c r="Z275" s="18">
        <v>0.29252</v>
      </c>
      <c r="AA275" s="18">
        <v>0.42848000000000003</v>
      </c>
      <c r="AB275" s="18">
        <v>0.7622000000000001</v>
      </c>
      <c r="AC275" s="18">
        <v>0.23484000000000002</v>
      </c>
      <c r="AD275" s="18">
        <v>1.2360000000000002</v>
      </c>
    </row>
    <row r="276" spans="2:30" x14ac:dyDescent="0.25">
      <c r="B276" t="s">
        <v>269</v>
      </c>
      <c r="C276" t="s">
        <v>105</v>
      </c>
      <c r="D276" t="s">
        <v>748</v>
      </c>
      <c r="E276" s="35">
        <v>0.9</v>
      </c>
      <c r="F276" s="35">
        <v>6.6</v>
      </c>
      <c r="G276" s="36">
        <v>4.1200000000000004E-3</v>
      </c>
      <c r="H276" s="18">
        <v>7.4152979999999999</v>
      </c>
      <c r="I276" s="16" t="s">
        <v>746</v>
      </c>
      <c r="J276" s="16"/>
      <c r="K276" s="16"/>
      <c r="L276" s="37"/>
      <c r="M276" s="37"/>
      <c r="N276" s="37"/>
      <c r="O276" s="37"/>
      <c r="P276" s="37"/>
      <c r="Q276" s="18">
        <v>4.5320000000000006E-2</v>
      </c>
      <c r="R276" s="18">
        <v>3.0900000000000003E-4</v>
      </c>
      <c r="S276" s="18">
        <v>8.6520000000000014E-2</v>
      </c>
      <c r="T276" s="18">
        <v>0.37080000000000002</v>
      </c>
      <c r="U276" s="18">
        <v>0.18540000000000001</v>
      </c>
      <c r="V276" s="18">
        <v>2.3731200000000001</v>
      </c>
      <c r="W276" s="18">
        <v>2.2248000000000001</v>
      </c>
      <c r="X276" s="18">
        <v>1.4832000000000001</v>
      </c>
      <c r="Y276" s="18">
        <v>6.5920000000000006E-2</v>
      </c>
      <c r="Z276" s="18">
        <v>0.29252</v>
      </c>
      <c r="AA276" s="18">
        <v>0.42848000000000003</v>
      </c>
      <c r="AB276" s="18">
        <v>0.7622000000000001</v>
      </c>
      <c r="AC276" s="18">
        <v>0.23484000000000002</v>
      </c>
      <c r="AD276" s="18">
        <v>1.2360000000000002</v>
      </c>
    </row>
    <row r="277" spans="2:30" x14ac:dyDescent="0.25">
      <c r="B277" t="s">
        <v>269</v>
      </c>
      <c r="C277" t="s">
        <v>105</v>
      </c>
      <c r="D277" t="s">
        <v>748</v>
      </c>
      <c r="E277" s="35">
        <v>0.9</v>
      </c>
      <c r="F277" s="35">
        <v>6.6</v>
      </c>
      <c r="G277" s="36">
        <v>4.1200000000000004E-3</v>
      </c>
      <c r="H277" s="18">
        <v>7.4152979999999999</v>
      </c>
      <c r="I277" s="16" t="s">
        <v>746</v>
      </c>
      <c r="J277" s="16"/>
      <c r="K277" s="16"/>
      <c r="L277" s="37"/>
      <c r="M277" s="37"/>
      <c r="N277" s="37"/>
      <c r="O277" s="37"/>
      <c r="P277" s="37"/>
      <c r="Q277" s="18">
        <v>4.5320000000000006E-2</v>
      </c>
      <c r="R277" s="18">
        <v>3.0900000000000003E-4</v>
      </c>
      <c r="S277" s="18">
        <v>8.6520000000000014E-2</v>
      </c>
      <c r="T277" s="18">
        <v>0.37080000000000002</v>
      </c>
      <c r="U277" s="18">
        <v>0.18540000000000001</v>
      </c>
      <c r="V277" s="18">
        <v>2.3731200000000001</v>
      </c>
      <c r="W277" s="18">
        <v>2.2248000000000001</v>
      </c>
      <c r="X277" s="18">
        <v>1.4832000000000001</v>
      </c>
      <c r="Y277" s="18">
        <v>6.5920000000000006E-2</v>
      </c>
      <c r="Z277" s="18">
        <v>0.29252</v>
      </c>
      <c r="AA277" s="18">
        <v>0.42848000000000003</v>
      </c>
      <c r="AB277" s="18">
        <v>0.7622000000000001</v>
      </c>
      <c r="AC277" s="18">
        <v>0.23484000000000002</v>
      </c>
      <c r="AD277" s="18">
        <v>1.2360000000000002</v>
      </c>
    </row>
    <row r="278" spans="2:30" x14ac:dyDescent="0.25">
      <c r="B278" t="s">
        <v>269</v>
      </c>
      <c r="C278" t="s">
        <v>105</v>
      </c>
      <c r="D278" t="s">
        <v>753</v>
      </c>
      <c r="E278" s="35">
        <v>0.9</v>
      </c>
      <c r="F278" s="35">
        <v>6.6</v>
      </c>
      <c r="G278" s="36">
        <v>5.77E-3</v>
      </c>
      <c r="H278" s="18">
        <v>10.385298000000001</v>
      </c>
      <c r="I278" s="16" t="s">
        <v>746</v>
      </c>
      <c r="J278" s="16"/>
      <c r="K278" s="16"/>
      <c r="L278" s="37"/>
      <c r="M278" s="37"/>
      <c r="N278" s="37"/>
      <c r="O278" s="37"/>
      <c r="P278" s="37"/>
      <c r="Q278" s="18">
        <v>6.3469999999999999E-2</v>
      </c>
      <c r="R278" s="18">
        <v>4.3274999999999997E-4</v>
      </c>
      <c r="S278" s="18">
        <v>0.12117</v>
      </c>
      <c r="T278" s="18">
        <v>0.51929999999999998</v>
      </c>
      <c r="U278" s="18">
        <v>0.25964999999999999</v>
      </c>
      <c r="V278" s="18">
        <v>3.3235199999999998</v>
      </c>
      <c r="W278" s="18">
        <v>3.1158000000000001</v>
      </c>
      <c r="X278" s="18">
        <v>2.0771999999999999</v>
      </c>
      <c r="Y278" s="18">
        <v>9.2319999999999999E-2</v>
      </c>
      <c r="Z278" s="18">
        <v>0.40966999999999998</v>
      </c>
      <c r="AA278" s="18">
        <v>0.60007999999999995</v>
      </c>
      <c r="AB278" s="18">
        <v>1.06745</v>
      </c>
      <c r="AC278" s="18">
        <v>0.32889000000000002</v>
      </c>
      <c r="AD278" s="18">
        <v>1.7310000000000001</v>
      </c>
    </row>
    <row r="279" spans="2:30" x14ac:dyDescent="0.25">
      <c r="B279" t="s">
        <v>269</v>
      </c>
      <c r="C279" t="s">
        <v>105</v>
      </c>
      <c r="D279" t="s">
        <v>749</v>
      </c>
      <c r="E279" s="35">
        <v>0.9</v>
      </c>
      <c r="F279" s="35">
        <v>6.6</v>
      </c>
      <c r="G279" s="36">
        <v>3.5699999999999998E-3</v>
      </c>
      <c r="H279" s="18">
        <v>6.4252979999999997</v>
      </c>
      <c r="I279" s="16" t="s">
        <v>746</v>
      </c>
      <c r="J279" s="16"/>
      <c r="K279" s="16"/>
      <c r="L279" s="37"/>
      <c r="M279" s="37"/>
      <c r="N279" s="37"/>
      <c r="O279" s="37"/>
      <c r="P279" s="37"/>
      <c r="Q279" s="18">
        <v>3.9269999999999999E-2</v>
      </c>
      <c r="R279" s="18">
        <v>2.6774999999999998E-4</v>
      </c>
      <c r="S279" s="18">
        <v>7.4969999999999995E-2</v>
      </c>
      <c r="T279" s="18">
        <v>0.32129999999999997</v>
      </c>
      <c r="U279" s="18">
        <v>0.16064999999999999</v>
      </c>
      <c r="V279" s="18">
        <v>2.0563199999999999</v>
      </c>
      <c r="W279" s="18">
        <v>1.9278</v>
      </c>
      <c r="X279" s="18">
        <v>1.2851999999999999</v>
      </c>
      <c r="Y279" s="18">
        <v>5.7119999999999997E-2</v>
      </c>
      <c r="Z279" s="18">
        <v>0.25346999999999997</v>
      </c>
      <c r="AA279" s="18">
        <v>0.37128</v>
      </c>
      <c r="AB279" s="18">
        <v>0.66044999999999998</v>
      </c>
      <c r="AC279" s="18">
        <v>0.20348999999999998</v>
      </c>
      <c r="AD279" s="18">
        <v>1.071</v>
      </c>
    </row>
    <row r="280" spans="2:30" x14ac:dyDescent="0.25">
      <c r="B280" t="s">
        <v>269</v>
      </c>
      <c r="C280" t="s">
        <v>105</v>
      </c>
      <c r="D280" t="s">
        <v>748</v>
      </c>
      <c r="E280" s="35">
        <v>0.9</v>
      </c>
      <c r="F280" s="35">
        <v>6.6</v>
      </c>
      <c r="G280" s="36">
        <v>4.1200000000000004E-3</v>
      </c>
      <c r="H280" s="18">
        <v>7.4152979999999999</v>
      </c>
      <c r="I280" s="16" t="s">
        <v>746</v>
      </c>
      <c r="J280" s="16"/>
      <c r="K280" s="16"/>
      <c r="L280" s="37"/>
      <c r="M280" s="37"/>
      <c r="N280" s="37"/>
      <c r="O280" s="37"/>
      <c r="P280" s="37"/>
      <c r="Q280" s="18">
        <v>4.5320000000000006E-2</v>
      </c>
      <c r="R280" s="18">
        <v>3.0900000000000003E-4</v>
      </c>
      <c r="S280" s="18">
        <v>8.6520000000000014E-2</v>
      </c>
      <c r="T280" s="18">
        <v>0.37080000000000002</v>
      </c>
      <c r="U280" s="18">
        <v>0.18540000000000001</v>
      </c>
      <c r="V280" s="18">
        <v>2.3731200000000001</v>
      </c>
      <c r="W280" s="18">
        <v>2.2248000000000001</v>
      </c>
      <c r="X280" s="18">
        <v>1.4832000000000001</v>
      </c>
      <c r="Y280" s="18">
        <v>6.5920000000000006E-2</v>
      </c>
      <c r="Z280" s="18">
        <v>0.29252</v>
      </c>
      <c r="AA280" s="18">
        <v>0.42848000000000003</v>
      </c>
      <c r="AB280" s="18">
        <v>0.7622000000000001</v>
      </c>
      <c r="AC280" s="18">
        <v>0.23484000000000002</v>
      </c>
      <c r="AD280" s="18">
        <v>1.2360000000000002</v>
      </c>
    </row>
    <row r="281" spans="2:30" x14ac:dyDescent="0.25">
      <c r="B281" t="s">
        <v>269</v>
      </c>
      <c r="C281" t="s">
        <v>105</v>
      </c>
      <c r="D281" t="s">
        <v>748</v>
      </c>
      <c r="E281" s="35">
        <v>0.9</v>
      </c>
      <c r="F281" s="35">
        <v>6.6</v>
      </c>
      <c r="G281" s="36">
        <v>4.1200000000000004E-3</v>
      </c>
      <c r="H281" s="18">
        <v>7.4152979999999999</v>
      </c>
      <c r="I281" s="16" t="s">
        <v>746</v>
      </c>
      <c r="J281" s="16"/>
      <c r="K281" s="16"/>
      <c r="L281" s="37"/>
      <c r="M281" s="37"/>
      <c r="N281" s="37"/>
      <c r="O281" s="37"/>
      <c r="P281" s="37"/>
      <c r="Q281" s="18">
        <v>4.5320000000000006E-2</v>
      </c>
      <c r="R281" s="18">
        <v>3.0900000000000003E-4</v>
      </c>
      <c r="S281" s="18">
        <v>8.6520000000000014E-2</v>
      </c>
      <c r="T281" s="18">
        <v>0.37080000000000002</v>
      </c>
      <c r="U281" s="18">
        <v>0.18540000000000001</v>
      </c>
      <c r="V281" s="18">
        <v>2.3731200000000001</v>
      </c>
      <c r="W281" s="18">
        <v>2.2248000000000001</v>
      </c>
      <c r="X281" s="18">
        <v>1.4832000000000001</v>
      </c>
      <c r="Y281" s="18">
        <v>6.5920000000000006E-2</v>
      </c>
      <c r="Z281" s="18">
        <v>0.29252</v>
      </c>
      <c r="AA281" s="18">
        <v>0.42848000000000003</v>
      </c>
      <c r="AB281" s="18">
        <v>0.7622000000000001</v>
      </c>
      <c r="AC281" s="18">
        <v>0.23484000000000002</v>
      </c>
      <c r="AD281" s="18">
        <v>1.2360000000000002</v>
      </c>
    </row>
    <row r="282" spans="2:30" x14ac:dyDescent="0.25">
      <c r="B282" t="s">
        <v>269</v>
      </c>
      <c r="C282" t="s">
        <v>105</v>
      </c>
      <c r="D282" t="s">
        <v>750</v>
      </c>
      <c r="E282" s="35">
        <v>0.9</v>
      </c>
      <c r="F282" s="35">
        <v>6.6</v>
      </c>
      <c r="G282" s="36">
        <v>3.0200000000000001E-3</v>
      </c>
      <c r="H282" s="18">
        <v>5.4352980000000004</v>
      </c>
      <c r="I282" s="16" t="s">
        <v>746</v>
      </c>
      <c r="J282" s="16"/>
      <c r="K282" s="16"/>
      <c r="L282" s="37"/>
      <c r="M282" s="37"/>
      <c r="N282" s="37"/>
      <c r="O282" s="37"/>
      <c r="P282" s="37"/>
      <c r="Q282" s="18">
        <v>3.322E-2</v>
      </c>
      <c r="R282" s="18">
        <v>2.265E-4</v>
      </c>
      <c r="S282" s="18">
        <v>6.3420000000000004E-2</v>
      </c>
      <c r="T282" s="18">
        <v>0.27179999999999999</v>
      </c>
      <c r="U282" s="18">
        <v>0.13589999999999999</v>
      </c>
      <c r="V282" s="18">
        <v>1.7395200000000002</v>
      </c>
      <c r="W282" s="18">
        <v>1.6308</v>
      </c>
      <c r="X282" s="18">
        <v>1.0871999999999999</v>
      </c>
      <c r="Y282" s="18">
        <v>4.8320000000000002E-2</v>
      </c>
      <c r="Z282" s="18">
        <v>0.21442</v>
      </c>
      <c r="AA282" s="18">
        <v>0.31408000000000003</v>
      </c>
      <c r="AB282" s="18">
        <v>0.55869999999999997</v>
      </c>
      <c r="AC282" s="18">
        <v>0.17214000000000002</v>
      </c>
      <c r="AD282" s="18">
        <v>0.90600000000000003</v>
      </c>
    </row>
    <row r="283" spans="2:30" x14ac:dyDescent="0.25">
      <c r="B283" t="s">
        <v>269</v>
      </c>
      <c r="C283" t="s">
        <v>326</v>
      </c>
      <c r="D283" t="s">
        <v>750</v>
      </c>
      <c r="E283" s="35">
        <v>0.9</v>
      </c>
      <c r="F283" s="35">
        <v>6.6</v>
      </c>
      <c r="G283" s="36">
        <v>3.0200000000000001E-3</v>
      </c>
      <c r="H283" s="18">
        <v>5.4352980000000004</v>
      </c>
      <c r="I283" s="16" t="s">
        <v>746</v>
      </c>
      <c r="J283" s="16"/>
      <c r="K283" s="16"/>
      <c r="L283" s="37"/>
      <c r="M283" s="37"/>
      <c r="N283" s="37"/>
      <c r="O283" s="37"/>
      <c r="P283" s="37"/>
      <c r="Q283" s="18">
        <v>3.322E-2</v>
      </c>
      <c r="R283" s="18">
        <v>2.265E-4</v>
      </c>
      <c r="S283" s="18">
        <v>6.3420000000000004E-2</v>
      </c>
      <c r="T283" s="18">
        <v>0.27179999999999999</v>
      </c>
      <c r="U283" s="18">
        <v>0.13589999999999999</v>
      </c>
      <c r="V283" s="18">
        <v>1.7395200000000002</v>
      </c>
      <c r="W283" s="18">
        <v>1.6308</v>
      </c>
      <c r="X283" s="18">
        <v>1.0871999999999999</v>
      </c>
      <c r="Y283" s="18">
        <v>4.8320000000000002E-2</v>
      </c>
      <c r="Z283" s="18">
        <v>0.21442</v>
      </c>
      <c r="AA283" s="18">
        <v>0.31408000000000003</v>
      </c>
      <c r="AB283" s="18">
        <v>0.55869999999999997</v>
      </c>
      <c r="AC283" s="18">
        <v>0.17214000000000002</v>
      </c>
      <c r="AD283" s="18">
        <v>0.90600000000000003</v>
      </c>
    </row>
    <row r="284" spans="2:30" x14ac:dyDescent="0.25">
      <c r="B284" t="s">
        <v>269</v>
      </c>
      <c r="C284" t="s">
        <v>326</v>
      </c>
      <c r="D284" t="s">
        <v>753</v>
      </c>
      <c r="E284" s="35">
        <v>0.9</v>
      </c>
      <c r="F284" s="35">
        <v>6.6</v>
      </c>
      <c r="G284" s="36">
        <v>5.77E-3</v>
      </c>
      <c r="H284" s="18">
        <v>10.385298000000001</v>
      </c>
      <c r="I284" s="16" t="s">
        <v>746</v>
      </c>
      <c r="J284" s="16"/>
      <c r="K284" s="16"/>
      <c r="L284" s="37"/>
      <c r="M284" s="37"/>
      <c r="N284" s="37"/>
      <c r="O284" s="37"/>
      <c r="P284" s="37"/>
      <c r="Q284" s="18">
        <v>6.3469999999999999E-2</v>
      </c>
      <c r="R284" s="18">
        <v>4.3274999999999997E-4</v>
      </c>
      <c r="S284" s="18">
        <v>0.12117</v>
      </c>
      <c r="T284" s="18">
        <v>0.51929999999999998</v>
      </c>
      <c r="U284" s="18">
        <v>0.25964999999999999</v>
      </c>
      <c r="V284" s="18">
        <v>3.3235199999999998</v>
      </c>
      <c r="W284" s="18">
        <v>3.1158000000000001</v>
      </c>
      <c r="X284" s="18">
        <v>2.0771999999999999</v>
      </c>
      <c r="Y284" s="18">
        <v>9.2319999999999999E-2</v>
      </c>
      <c r="Z284" s="18">
        <v>0.40966999999999998</v>
      </c>
      <c r="AA284" s="18">
        <v>0.60007999999999995</v>
      </c>
      <c r="AB284" s="18">
        <v>1.06745</v>
      </c>
      <c r="AC284" s="18">
        <v>0.32889000000000002</v>
      </c>
      <c r="AD284" s="18">
        <v>1.7310000000000001</v>
      </c>
    </row>
    <row r="285" spans="2:30" x14ac:dyDescent="0.25">
      <c r="B285" t="s">
        <v>269</v>
      </c>
      <c r="C285" t="s">
        <v>326</v>
      </c>
      <c r="D285" t="s">
        <v>753</v>
      </c>
      <c r="E285" s="35">
        <v>0.9</v>
      </c>
      <c r="F285" s="35">
        <v>6.6</v>
      </c>
      <c r="G285" s="36">
        <v>5.77E-3</v>
      </c>
      <c r="H285" s="18">
        <v>10.385298000000001</v>
      </c>
      <c r="I285" s="16" t="s">
        <v>746</v>
      </c>
      <c r="J285" s="16"/>
      <c r="K285" s="16"/>
      <c r="L285" s="37"/>
      <c r="M285" s="37"/>
      <c r="N285" s="37"/>
      <c r="O285" s="37"/>
      <c r="P285" s="37"/>
      <c r="Q285" s="18">
        <v>6.3469999999999999E-2</v>
      </c>
      <c r="R285" s="18">
        <v>4.3274999999999997E-4</v>
      </c>
      <c r="S285" s="18">
        <v>0.12117</v>
      </c>
      <c r="T285" s="18">
        <v>0.51929999999999998</v>
      </c>
      <c r="U285" s="18">
        <v>0.25964999999999999</v>
      </c>
      <c r="V285" s="18">
        <v>3.3235199999999998</v>
      </c>
      <c r="W285" s="18">
        <v>3.1158000000000001</v>
      </c>
      <c r="X285" s="18">
        <v>2.0771999999999999</v>
      </c>
      <c r="Y285" s="18">
        <v>9.2319999999999999E-2</v>
      </c>
      <c r="Z285" s="18">
        <v>0.40966999999999998</v>
      </c>
      <c r="AA285" s="18">
        <v>0.60007999999999995</v>
      </c>
      <c r="AB285" s="18">
        <v>1.06745</v>
      </c>
      <c r="AC285" s="18">
        <v>0.32889000000000002</v>
      </c>
      <c r="AD285" s="18">
        <v>1.7310000000000001</v>
      </c>
    </row>
    <row r="286" spans="2:30" x14ac:dyDescent="0.25">
      <c r="B286" t="s">
        <v>269</v>
      </c>
      <c r="C286" t="s">
        <v>326</v>
      </c>
      <c r="D286" t="s">
        <v>750</v>
      </c>
      <c r="E286" s="35">
        <v>0.9</v>
      </c>
      <c r="F286" s="35">
        <v>6.6</v>
      </c>
      <c r="G286" s="36">
        <v>3.0200000000000001E-3</v>
      </c>
      <c r="H286" s="18">
        <v>5.4352980000000004</v>
      </c>
      <c r="I286" s="16" t="s">
        <v>746</v>
      </c>
      <c r="J286" s="16"/>
      <c r="K286" s="16"/>
      <c r="L286" s="37"/>
      <c r="M286" s="37"/>
      <c r="N286" s="37"/>
      <c r="O286" s="37"/>
      <c r="P286" s="37"/>
      <c r="Q286" s="18">
        <v>3.322E-2</v>
      </c>
      <c r="R286" s="18">
        <v>2.265E-4</v>
      </c>
      <c r="S286" s="18">
        <v>6.3420000000000004E-2</v>
      </c>
      <c r="T286" s="18">
        <v>0.27179999999999999</v>
      </c>
      <c r="U286" s="18">
        <v>0.13589999999999999</v>
      </c>
      <c r="V286" s="18">
        <v>1.7395200000000002</v>
      </c>
      <c r="W286" s="18">
        <v>1.6308</v>
      </c>
      <c r="X286" s="18">
        <v>1.0871999999999999</v>
      </c>
      <c r="Y286" s="18">
        <v>4.8320000000000002E-2</v>
      </c>
      <c r="Z286" s="18">
        <v>0.21442</v>
      </c>
      <c r="AA286" s="18">
        <v>0.31408000000000003</v>
      </c>
      <c r="AB286" s="18">
        <v>0.55869999999999997</v>
      </c>
      <c r="AC286" s="18">
        <v>0.17214000000000002</v>
      </c>
      <c r="AD286" s="18">
        <v>0.90600000000000003</v>
      </c>
    </row>
    <row r="287" spans="2:30" x14ac:dyDescent="0.25">
      <c r="B287" t="s">
        <v>269</v>
      </c>
      <c r="C287" t="s">
        <v>326</v>
      </c>
      <c r="D287" t="s">
        <v>750</v>
      </c>
      <c r="E287" s="35">
        <v>0.9</v>
      </c>
      <c r="F287" s="35">
        <v>6.6</v>
      </c>
      <c r="G287" s="36">
        <v>3.0200000000000001E-3</v>
      </c>
      <c r="H287" s="18">
        <v>5.4352980000000004</v>
      </c>
      <c r="I287" s="16" t="s">
        <v>746</v>
      </c>
      <c r="J287" s="16"/>
      <c r="K287" s="16"/>
      <c r="L287" s="37"/>
      <c r="M287" s="37"/>
      <c r="N287" s="37"/>
      <c r="O287" s="37"/>
      <c r="P287" s="37"/>
      <c r="Q287" s="18">
        <v>3.322E-2</v>
      </c>
      <c r="R287" s="18">
        <v>2.265E-4</v>
      </c>
      <c r="S287" s="18">
        <v>6.3420000000000004E-2</v>
      </c>
      <c r="T287" s="18">
        <v>0.27179999999999999</v>
      </c>
      <c r="U287" s="18">
        <v>0.13589999999999999</v>
      </c>
      <c r="V287" s="18">
        <v>1.7395200000000002</v>
      </c>
      <c r="W287" s="18">
        <v>1.6308</v>
      </c>
      <c r="X287" s="18">
        <v>1.0871999999999999</v>
      </c>
      <c r="Y287" s="18">
        <v>4.8320000000000002E-2</v>
      </c>
      <c r="Z287" s="18">
        <v>0.21442</v>
      </c>
      <c r="AA287" s="18">
        <v>0.31408000000000003</v>
      </c>
      <c r="AB287" s="18">
        <v>0.55869999999999997</v>
      </c>
      <c r="AC287" s="18">
        <v>0.17214000000000002</v>
      </c>
      <c r="AD287" s="18">
        <v>0.90600000000000003</v>
      </c>
    </row>
    <row r="288" spans="2:30" x14ac:dyDescent="0.25">
      <c r="B288" t="s">
        <v>269</v>
      </c>
      <c r="C288" t="s">
        <v>326</v>
      </c>
      <c r="D288" t="s">
        <v>750</v>
      </c>
      <c r="E288" s="35">
        <v>0.9</v>
      </c>
      <c r="F288" s="35">
        <v>6.6</v>
      </c>
      <c r="G288" s="36">
        <v>3.0200000000000001E-3</v>
      </c>
      <c r="H288" s="18">
        <v>5.4352980000000004</v>
      </c>
      <c r="I288" s="16" t="s">
        <v>746</v>
      </c>
      <c r="J288" s="16"/>
      <c r="K288" s="16"/>
      <c r="L288" s="37"/>
      <c r="M288" s="37"/>
      <c r="N288" s="37"/>
      <c r="O288" s="37"/>
      <c r="P288" s="37"/>
      <c r="Q288" s="18">
        <v>3.322E-2</v>
      </c>
      <c r="R288" s="18">
        <v>2.265E-4</v>
      </c>
      <c r="S288" s="18">
        <v>6.3420000000000004E-2</v>
      </c>
      <c r="T288" s="18">
        <v>0.27179999999999999</v>
      </c>
      <c r="U288" s="18">
        <v>0.13589999999999999</v>
      </c>
      <c r="V288" s="18">
        <v>1.7395200000000002</v>
      </c>
      <c r="W288" s="18">
        <v>1.6308</v>
      </c>
      <c r="X288" s="18">
        <v>1.0871999999999999</v>
      </c>
      <c r="Y288" s="18">
        <v>4.8320000000000002E-2</v>
      </c>
      <c r="Z288" s="18">
        <v>0.21442</v>
      </c>
      <c r="AA288" s="18">
        <v>0.31408000000000003</v>
      </c>
      <c r="AB288" s="18">
        <v>0.55869999999999997</v>
      </c>
      <c r="AC288" s="18">
        <v>0.17214000000000002</v>
      </c>
      <c r="AD288" s="18">
        <v>0.90600000000000003</v>
      </c>
    </row>
    <row r="289" spans="2:30" x14ac:dyDescent="0.25">
      <c r="B289" t="s">
        <v>269</v>
      </c>
      <c r="C289" t="s">
        <v>326</v>
      </c>
      <c r="D289" t="s">
        <v>748</v>
      </c>
      <c r="E289" s="35">
        <v>0.9</v>
      </c>
      <c r="F289" s="35">
        <v>6.6</v>
      </c>
      <c r="G289" s="36">
        <v>4.1200000000000004E-3</v>
      </c>
      <c r="H289" s="18">
        <v>7.4152979999999999</v>
      </c>
      <c r="I289" s="16" t="s">
        <v>746</v>
      </c>
      <c r="J289" s="16"/>
      <c r="K289" s="16"/>
      <c r="L289" s="37"/>
      <c r="M289" s="37"/>
      <c r="N289" s="37"/>
      <c r="O289" s="37"/>
      <c r="P289" s="37"/>
      <c r="Q289" s="18">
        <v>4.5320000000000006E-2</v>
      </c>
      <c r="R289" s="18">
        <v>3.0900000000000003E-4</v>
      </c>
      <c r="S289" s="18">
        <v>8.6520000000000014E-2</v>
      </c>
      <c r="T289" s="18">
        <v>0.37080000000000002</v>
      </c>
      <c r="U289" s="18">
        <v>0.18540000000000001</v>
      </c>
      <c r="V289" s="18">
        <v>2.3731200000000001</v>
      </c>
      <c r="W289" s="18">
        <v>2.2248000000000001</v>
      </c>
      <c r="X289" s="18">
        <v>1.4832000000000001</v>
      </c>
      <c r="Y289" s="18">
        <v>6.5920000000000006E-2</v>
      </c>
      <c r="Z289" s="18">
        <v>0.29252</v>
      </c>
      <c r="AA289" s="18">
        <v>0.42848000000000003</v>
      </c>
      <c r="AB289" s="18">
        <v>0.7622000000000001</v>
      </c>
      <c r="AC289" s="18">
        <v>0.23484000000000002</v>
      </c>
      <c r="AD289" s="18">
        <v>1.2360000000000002</v>
      </c>
    </row>
    <row r="290" spans="2:30" x14ac:dyDescent="0.25">
      <c r="B290" t="s">
        <v>269</v>
      </c>
      <c r="C290" t="s">
        <v>326</v>
      </c>
      <c r="D290" t="s">
        <v>747</v>
      </c>
      <c r="E290" s="35">
        <v>0.9</v>
      </c>
      <c r="F290" s="35">
        <v>6.6</v>
      </c>
      <c r="G290" s="36">
        <v>4.9449999999999997E-3</v>
      </c>
      <c r="H290" s="18">
        <v>8.9002979999999994</v>
      </c>
      <c r="I290" s="16" t="s">
        <v>746</v>
      </c>
      <c r="J290" s="16"/>
      <c r="K290" s="16"/>
      <c r="L290" s="37"/>
      <c r="M290" s="37"/>
      <c r="N290" s="37"/>
      <c r="O290" s="37"/>
      <c r="P290" s="37"/>
      <c r="Q290" s="18">
        <v>5.4394999999999999E-2</v>
      </c>
      <c r="R290" s="18">
        <v>3.7087499999999995E-4</v>
      </c>
      <c r="S290" s="18">
        <v>0.10384499999999999</v>
      </c>
      <c r="T290" s="18">
        <v>0.44505</v>
      </c>
      <c r="U290" s="18">
        <v>0.222525</v>
      </c>
      <c r="V290" s="18">
        <v>2.8483199999999997</v>
      </c>
      <c r="W290" s="18">
        <v>2.6702999999999997</v>
      </c>
      <c r="X290" s="18">
        <v>1.7802</v>
      </c>
      <c r="Y290" s="18">
        <v>7.9119999999999996E-2</v>
      </c>
      <c r="Z290" s="18">
        <v>0.35109499999999999</v>
      </c>
      <c r="AA290" s="18">
        <v>0.51427999999999996</v>
      </c>
      <c r="AB290" s="18">
        <v>0.914825</v>
      </c>
      <c r="AC290" s="18">
        <v>0.28186499999999998</v>
      </c>
      <c r="AD290" s="18">
        <v>1.4834999999999998</v>
      </c>
    </row>
    <row r="291" spans="2:30" x14ac:dyDescent="0.25">
      <c r="B291" t="s">
        <v>269</v>
      </c>
      <c r="C291" t="s">
        <v>326</v>
      </c>
      <c r="D291" t="s">
        <v>748</v>
      </c>
      <c r="E291" s="35">
        <v>0.9</v>
      </c>
      <c r="F291" s="35">
        <v>6.6</v>
      </c>
      <c r="G291" s="36">
        <v>4.1200000000000004E-3</v>
      </c>
      <c r="H291" s="18">
        <v>7.4152979999999999</v>
      </c>
      <c r="I291" s="16" t="s">
        <v>746</v>
      </c>
      <c r="J291" s="16"/>
      <c r="K291" s="16"/>
      <c r="L291" s="37"/>
      <c r="M291" s="37"/>
      <c r="N291" s="37"/>
      <c r="O291" s="37"/>
      <c r="P291" s="37"/>
      <c r="Q291" s="18">
        <v>4.5320000000000006E-2</v>
      </c>
      <c r="R291" s="18">
        <v>3.0900000000000003E-4</v>
      </c>
      <c r="S291" s="18">
        <v>8.6520000000000014E-2</v>
      </c>
      <c r="T291" s="18">
        <v>0.37080000000000002</v>
      </c>
      <c r="U291" s="18">
        <v>0.18540000000000001</v>
      </c>
      <c r="V291" s="18">
        <v>2.3731200000000001</v>
      </c>
      <c r="W291" s="18">
        <v>2.2248000000000001</v>
      </c>
      <c r="X291" s="18">
        <v>1.4832000000000001</v>
      </c>
      <c r="Y291" s="18">
        <v>6.5920000000000006E-2</v>
      </c>
      <c r="Z291" s="18">
        <v>0.29252</v>
      </c>
      <c r="AA291" s="18">
        <v>0.42848000000000003</v>
      </c>
      <c r="AB291" s="18">
        <v>0.7622000000000001</v>
      </c>
      <c r="AC291" s="18">
        <v>0.23484000000000002</v>
      </c>
      <c r="AD291" s="18">
        <v>1.2360000000000002</v>
      </c>
    </row>
    <row r="292" spans="2:30" x14ac:dyDescent="0.25">
      <c r="B292" t="s">
        <v>269</v>
      </c>
      <c r="C292" t="s">
        <v>326</v>
      </c>
      <c r="D292" t="s">
        <v>748</v>
      </c>
      <c r="E292" s="35">
        <v>0.9</v>
      </c>
      <c r="F292" s="35">
        <v>6.6</v>
      </c>
      <c r="G292" s="36">
        <v>4.1200000000000004E-3</v>
      </c>
      <c r="H292" s="18">
        <v>7.4152979999999999</v>
      </c>
      <c r="I292" s="16" t="s">
        <v>746</v>
      </c>
      <c r="J292" s="16"/>
      <c r="K292" s="16"/>
      <c r="L292" s="37"/>
      <c r="M292" s="37"/>
      <c r="N292" s="37"/>
      <c r="O292" s="37"/>
      <c r="P292" s="37"/>
      <c r="Q292" s="18">
        <v>4.5320000000000006E-2</v>
      </c>
      <c r="R292" s="18">
        <v>3.0900000000000003E-4</v>
      </c>
      <c r="S292" s="18">
        <v>8.6520000000000014E-2</v>
      </c>
      <c r="T292" s="18">
        <v>0.37080000000000002</v>
      </c>
      <c r="U292" s="18">
        <v>0.18540000000000001</v>
      </c>
      <c r="V292" s="18">
        <v>2.3731200000000001</v>
      </c>
      <c r="W292" s="18">
        <v>2.2248000000000001</v>
      </c>
      <c r="X292" s="18">
        <v>1.4832000000000001</v>
      </c>
      <c r="Y292" s="18">
        <v>6.5920000000000006E-2</v>
      </c>
      <c r="Z292" s="18">
        <v>0.29252</v>
      </c>
      <c r="AA292" s="18">
        <v>0.42848000000000003</v>
      </c>
      <c r="AB292" s="18">
        <v>0.7622000000000001</v>
      </c>
      <c r="AC292" s="18">
        <v>0.23484000000000002</v>
      </c>
      <c r="AD292" s="18">
        <v>1.2360000000000002</v>
      </c>
    </row>
    <row r="293" spans="2:30" x14ac:dyDescent="0.25">
      <c r="B293" t="s">
        <v>269</v>
      </c>
      <c r="C293" t="s">
        <v>326</v>
      </c>
      <c r="D293" t="s">
        <v>748</v>
      </c>
      <c r="E293" s="35">
        <v>0.9</v>
      </c>
      <c r="F293" s="35">
        <v>6.6</v>
      </c>
      <c r="G293" s="36">
        <v>4.1200000000000004E-3</v>
      </c>
      <c r="H293" s="18">
        <v>7.4152979999999999</v>
      </c>
      <c r="I293" s="16" t="s">
        <v>746</v>
      </c>
      <c r="J293" s="16"/>
      <c r="K293" s="16"/>
      <c r="L293" s="37"/>
      <c r="M293" s="37"/>
      <c r="N293" s="37"/>
      <c r="O293" s="37"/>
      <c r="P293" s="37"/>
      <c r="Q293" s="18">
        <v>4.5320000000000006E-2</v>
      </c>
      <c r="R293" s="18">
        <v>3.0900000000000003E-4</v>
      </c>
      <c r="S293" s="18">
        <v>8.6520000000000014E-2</v>
      </c>
      <c r="T293" s="18">
        <v>0.37080000000000002</v>
      </c>
      <c r="U293" s="18">
        <v>0.18540000000000001</v>
      </c>
      <c r="V293" s="18">
        <v>2.3731200000000001</v>
      </c>
      <c r="W293" s="18">
        <v>2.2248000000000001</v>
      </c>
      <c r="X293" s="18">
        <v>1.4832000000000001</v>
      </c>
      <c r="Y293" s="18">
        <v>6.5920000000000006E-2</v>
      </c>
      <c r="Z293" s="18">
        <v>0.29252</v>
      </c>
      <c r="AA293" s="18">
        <v>0.42848000000000003</v>
      </c>
      <c r="AB293" s="18">
        <v>0.7622000000000001</v>
      </c>
      <c r="AC293" s="18">
        <v>0.23484000000000002</v>
      </c>
      <c r="AD293" s="18">
        <v>1.2360000000000002</v>
      </c>
    </row>
    <row r="294" spans="2:30" x14ac:dyDescent="0.25">
      <c r="B294" t="s">
        <v>269</v>
      </c>
      <c r="C294" t="s">
        <v>326</v>
      </c>
      <c r="D294" t="s">
        <v>748</v>
      </c>
      <c r="E294" s="35">
        <v>0.9</v>
      </c>
      <c r="F294" s="35">
        <v>6.6</v>
      </c>
      <c r="G294" s="36">
        <v>4.1200000000000004E-3</v>
      </c>
      <c r="H294" s="18">
        <v>7.4152979999999999</v>
      </c>
      <c r="I294" s="16" t="s">
        <v>746</v>
      </c>
      <c r="J294" s="16"/>
      <c r="K294" s="16"/>
      <c r="L294" s="37"/>
      <c r="M294" s="37"/>
      <c r="N294" s="37"/>
      <c r="O294" s="37"/>
      <c r="P294" s="37"/>
      <c r="Q294" s="18">
        <v>4.5320000000000006E-2</v>
      </c>
      <c r="R294" s="18">
        <v>3.0900000000000003E-4</v>
      </c>
      <c r="S294" s="18">
        <v>8.6520000000000014E-2</v>
      </c>
      <c r="T294" s="18">
        <v>0.37080000000000002</v>
      </c>
      <c r="U294" s="18">
        <v>0.18540000000000001</v>
      </c>
      <c r="V294" s="18">
        <v>2.3731200000000001</v>
      </c>
      <c r="W294" s="18">
        <v>2.2248000000000001</v>
      </c>
      <c r="X294" s="18">
        <v>1.4832000000000001</v>
      </c>
      <c r="Y294" s="18">
        <v>6.5920000000000006E-2</v>
      </c>
      <c r="Z294" s="18">
        <v>0.29252</v>
      </c>
      <c r="AA294" s="18">
        <v>0.42848000000000003</v>
      </c>
      <c r="AB294" s="18">
        <v>0.7622000000000001</v>
      </c>
      <c r="AC294" s="18">
        <v>0.23484000000000002</v>
      </c>
      <c r="AD294" s="18">
        <v>1.2360000000000002</v>
      </c>
    </row>
    <row r="295" spans="2:30" x14ac:dyDescent="0.25">
      <c r="B295" t="s">
        <v>269</v>
      </c>
      <c r="C295" t="s">
        <v>326</v>
      </c>
      <c r="D295" t="s">
        <v>747</v>
      </c>
      <c r="E295" s="35">
        <v>0.9</v>
      </c>
      <c r="F295" s="35">
        <v>6.6</v>
      </c>
      <c r="G295" s="36">
        <v>4.9449999999999997E-3</v>
      </c>
      <c r="H295" s="18">
        <v>8.9002979999999994</v>
      </c>
      <c r="I295" s="16" t="s">
        <v>746</v>
      </c>
      <c r="J295" s="16"/>
      <c r="K295" s="16"/>
      <c r="L295" s="37"/>
      <c r="M295" s="37"/>
      <c r="N295" s="37"/>
      <c r="O295" s="37"/>
      <c r="P295" s="37"/>
      <c r="Q295" s="18">
        <v>5.4394999999999999E-2</v>
      </c>
      <c r="R295" s="18">
        <v>3.7087499999999995E-4</v>
      </c>
      <c r="S295" s="18">
        <v>0.10384499999999999</v>
      </c>
      <c r="T295" s="18">
        <v>0.44505</v>
      </c>
      <c r="U295" s="18">
        <v>0.222525</v>
      </c>
      <c r="V295" s="18">
        <v>2.8483199999999997</v>
      </c>
      <c r="W295" s="18">
        <v>2.6702999999999997</v>
      </c>
      <c r="X295" s="18">
        <v>1.7802</v>
      </c>
      <c r="Y295" s="18">
        <v>7.9119999999999996E-2</v>
      </c>
      <c r="Z295" s="18">
        <v>0.35109499999999999</v>
      </c>
      <c r="AA295" s="18">
        <v>0.51427999999999996</v>
      </c>
      <c r="AB295" s="18">
        <v>0.914825</v>
      </c>
      <c r="AC295" s="18">
        <v>0.28186499999999998</v>
      </c>
      <c r="AD295" s="18">
        <v>1.4834999999999998</v>
      </c>
    </row>
    <row r="296" spans="2:30" x14ac:dyDescent="0.25">
      <c r="B296" t="s">
        <v>269</v>
      </c>
      <c r="C296" t="s">
        <v>326</v>
      </c>
      <c r="D296" t="s">
        <v>748</v>
      </c>
      <c r="E296" s="35">
        <v>0.9</v>
      </c>
      <c r="F296" s="35">
        <v>6.6</v>
      </c>
      <c r="G296" s="36">
        <v>4.1200000000000004E-3</v>
      </c>
      <c r="H296" s="18">
        <v>7.4152979999999999</v>
      </c>
      <c r="I296" s="16" t="s">
        <v>746</v>
      </c>
      <c r="J296" s="16"/>
      <c r="K296" s="16"/>
      <c r="L296" s="37"/>
      <c r="M296" s="37"/>
      <c r="N296" s="37"/>
      <c r="O296" s="37"/>
      <c r="P296" s="37"/>
      <c r="Q296" s="18">
        <v>4.5320000000000006E-2</v>
      </c>
      <c r="R296" s="18">
        <v>3.0900000000000003E-4</v>
      </c>
      <c r="S296" s="18">
        <v>8.6520000000000014E-2</v>
      </c>
      <c r="T296" s="18">
        <v>0.37080000000000002</v>
      </c>
      <c r="U296" s="18">
        <v>0.18540000000000001</v>
      </c>
      <c r="V296" s="18">
        <v>2.3731200000000001</v>
      </c>
      <c r="W296" s="18">
        <v>2.2248000000000001</v>
      </c>
      <c r="X296" s="18">
        <v>1.4832000000000001</v>
      </c>
      <c r="Y296" s="18">
        <v>6.5920000000000006E-2</v>
      </c>
      <c r="Z296" s="18">
        <v>0.29252</v>
      </c>
      <c r="AA296" s="18">
        <v>0.42848000000000003</v>
      </c>
      <c r="AB296" s="18">
        <v>0.7622000000000001</v>
      </c>
      <c r="AC296" s="18">
        <v>0.23484000000000002</v>
      </c>
      <c r="AD296" s="18">
        <v>1.2360000000000002</v>
      </c>
    </row>
    <row r="297" spans="2:30" x14ac:dyDescent="0.25">
      <c r="B297" t="s">
        <v>269</v>
      </c>
      <c r="C297" t="s">
        <v>326</v>
      </c>
      <c r="D297" t="s">
        <v>748</v>
      </c>
      <c r="E297" s="35">
        <v>0.9</v>
      </c>
      <c r="F297" s="35">
        <v>6.6</v>
      </c>
      <c r="G297" s="36">
        <v>4.1200000000000004E-3</v>
      </c>
      <c r="H297" s="18">
        <v>7.4152979999999999</v>
      </c>
      <c r="I297" s="16" t="s">
        <v>746</v>
      </c>
      <c r="J297" s="16"/>
      <c r="K297" s="16"/>
      <c r="L297" s="37"/>
      <c r="M297" s="37"/>
      <c r="N297" s="37"/>
      <c r="O297" s="37"/>
      <c r="P297" s="37"/>
      <c r="Q297" s="18">
        <v>4.5320000000000006E-2</v>
      </c>
      <c r="R297" s="18">
        <v>3.0900000000000003E-4</v>
      </c>
      <c r="S297" s="18">
        <v>8.6520000000000014E-2</v>
      </c>
      <c r="T297" s="18">
        <v>0.37080000000000002</v>
      </c>
      <c r="U297" s="18">
        <v>0.18540000000000001</v>
      </c>
      <c r="V297" s="18">
        <v>2.3731200000000001</v>
      </c>
      <c r="W297" s="18">
        <v>2.2248000000000001</v>
      </c>
      <c r="X297" s="18">
        <v>1.4832000000000001</v>
      </c>
      <c r="Y297" s="18">
        <v>6.5920000000000006E-2</v>
      </c>
      <c r="Z297" s="18">
        <v>0.29252</v>
      </c>
      <c r="AA297" s="18">
        <v>0.42848000000000003</v>
      </c>
      <c r="AB297" s="18">
        <v>0.7622000000000001</v>
      </c>
      <c r="AC297" s="18">
        <v>0.23484000000000002</v>
      </c>
      <c r="AD297" s="18">
        <v>1.2360000000000002</v>
      </c>
    </row>
    <row r="298" spans="2:30" x14ac:dyDescent="0.25">
      <c r="B298" t="s">
        <v>269</v>
      </c>
      <c r="C298" t="s">
        <v>326</v>
      </c>
      <c r="D298" t="s">
        <v>748</v>
      </c>
      <c r="E298" s="35">
        <v>0.9</v>
      </c>
      <c r="F298" s="35">
        <v>6.6</v>
      </c>
      <c r="G298" s="36">
        <v>4.1200000000000004E-3</v>
      </c>
      <c r="H298" s="18">
        <v>7.4152979999999999</v>
      </c>
      <c r="I298" s="16" t="s">
        <v>746</v>
      </c>
      <c r="J298" s="16"/>
      <c r="K298" s="16"/>
      <c r="L298" s="37"/>
      <c r="M298" s="37"/>
      <c r="N298" s="37"/>
      <c r="O298" s="37"/>
      <c r="P298" s="37"/>
      <c r="Q298" s="18">
        <v>4.5320000000000006E-2</v>
      </c>
      <c r="R298" s="18">
        <v>3.0900000000000003E-4</v>
      </c>
      <c r="S298" s="18">
        <v>8.6520000000000014E-2</v>
      </c>
      <c r="T298" s="18">
        <v>0.37080000000000002</v>
      </c>
      <c r="U298" s="18">
        <v>0.18540000000000001</v>
      </c>
      <c r="V298" s="18">
        <v>2.3731200000000001</v>
      </c>
      <c r="W298" s="18">
        <v>2.2248000000000001</v>
      </c>
      <c r="X298" s="18">
        <v>1.4832000000000001</v>
      </c>
      <c r="Y298" s="18">
        <v>6.5920000000000006E-2</v>
      </c>
      <c r="Z298" s="18">
        <v>0.29252</v>
      </c>
      <c r="AA298" s="18">
        <v>0.42848000000000003</v>
      </c>
      <c r="AB298" s="18">
        <v>0.7622000000000001</v>
      </c>
      <c r="AC298" s="18">
        <v>0.23484000000000002</v>
      </c>
      <c r="AD298" s="18">
        <v>1.2360000000000002</v>
      </c>
    </row>
    <row r="299" spans="2:30" x14ac:dyDescent="0.25">
      <c r="B299" t="s">
        <v>269</v>
      </c>
      <c r="C299" t="s">
        <v>326</v>
      </c>
      <c r="D299" t="s">
        <v>748</v>
      </c>
      <c r="E299" s="35">
        <v>0.9</v>
      </c>
      <c r="F299" s="35">
        <v>6.6</v>
      </c>
      <c r="G299" s="36">
        <v>4.1200000000000004E-3</v>
      </c>
      <c r="H299" s="18">
        <v>7.4152979999999999</v>
      </c>
      <c r="I299" s="16" t="s">
        <v>746</v>
      </c>
      <c r="J299" s="16"/>
      <c r="K299" s="16"/>
      <c r="L299" s="37"/>
      <c r="M299" s="37"/>
      <c r="N299" s="37"/>
      <c r="O299" s="37"/>
      <c r="P299" s="37"/>
      <c r="Q299" s="18">
        <v>4.5320000000000006E-2</v>
      </c>
      <c r="R299" s="18">
        <v>3.0900000000000003E-4</v>
      </c>
      <c r="S299" s="18">
        <v>8.6520000000000014E-2</v>
      </c>
      <c r="T299" s="18">
        <v>0.37080000000000002</v>
      </c>
      <c r="U299" s="18">
        <v>0.18540000000000001</v>
      </c>
      <c r="V299" s="18">
        <v>2.3731200000000001</v>
      </c>
      <c r="W299" s="18">
        <v>2.2248000000000001</v>
      </c>
      <c r="X299" s="18">
        <v>1.4832000000000001</v>
      </c>
      <c r="Y299" s="18">
        <v>6.5920000000000006E-2</v>
      </c>
      <c r="Z299" s="18">
        <v>0.29252</v>
      </c>
      <c r="AA299" s="18">
        <v>0.42848000000000003</v>
      </c>
      <c r="AB299" s="18">
        <v>0.7622000000000001</v>
      </c>
      <c r="AC299" s="18">
        <v>0.23484000000000002</v>
      </c>
      <c r="AD299" s="18">
        <v>1.2360000000000002</v>
      </c>
    </row>
    <row r="300" spans="2:30" x14ac:dyDescent="0.25">
      <c r="B300" t="s">
        <v>269</v>
      </c>
      <c r="C300" t="s">
        <v>326</v>
      </c>
      <c r="D300" t="s">
        <v>748</v>
      </c>
      <c r="E300" s="35">
        <v>0.9</v>
      </c>
      <c r="F300" s="35">
        <v>6.6</v>
      </c>
      <c r="G300" s="36">
        <v>4.1200000000000004E-3</v>
      </c>
      <c r="H300" s="18">
        <v>7.4152979999999999</v>
      </c>
      <c r="I300" s="16" t="s">
        <v>746</v>
      </c>
      <c r="J300" s="16"/>
      <c r="K300" s="16"/>
      <c r="L300" s="37"/>
      <c r="M300" s="37"/>
      <c r="N300" s="37"/>
      <c r="O300" s="37"/>
      <c r="P300" s="37"/>
      <c r="Q300" s="18">
        <v>4.5320000000000006E-2</v>
      </c>
      <c r="R300" s="18">
        <v>3.0900000000000003E-4</v>
      </c>
      <c r="S300" s="18">
        <v>8.6520000000000014E-2</v>
      </c>
      <c r="T300" s="18">
        <v>0.37080000000000002</v>
      </c>
      <c r="U300" s="18">
        <v>0.18540000000000001</v>
      </c>
      <c r="V300" s="18">
        <v>2.3731200000000001</v>
      </c>
      <c r="W300" s="18">
        <v>2.2248000000000001</v>
      </c>
      <c r="X300" s="18">
        <v>1.4832000000000001</v>
      </c>
      <c r="Y300" s="18">
        <v>6.5920000000000006E-2</v>
      </c>
      <c r="Z300" s="18">
        <v>0.29252</v>
      </c>
      <c r="AA300" s="18">
        <v>0.42848000000000003</v>
      </c>
      <c r="AB300" s="18">
        <v>0.7622000000000001</v>
      </c>
      <c r="AC300" s="18">
        <v>0.23484000000000002</v>
      </c>
      <c r="AD300" s="18">
        <v>1.2360000000000002</v>
      </c>
    </row>
    <row r="301" spans="2:30" x14ac:dyDescent="0.25">
      <c r="B301" t="s">
        <v>269</v>
      </c>
      <c r="C301" t="s">
        <v>326</v>
      </c>
      <c r="D301" t="s">
        <v>747</v>
      </c>
      <c r="E301" s="35">
        <v>0.9</v>
      </c>
      <c r="F301" s="35">
        <v>6.6</v>
      </c>
      <c r="G301" s="36">
        <v>4.9449999999999997E-3</v>
      </c>
      <c r="H301" s="18">
        <v>8.9002979999999994</v>
      </c>
      <c r="I301" s="16" t="s">
        <v>746</v>
      </c>
      <c r="J301" s="16"/>
      <c r="K301" s="16"/>
      <c r="L301" s="37"/>
      <c r="M301" s="37"/>
      <c r="N301" s="37"/>
      <c r="O301" s="37"/>
      <c r="P301" s="37"/>
      <c r="Q301" s="18">
        <v>5.4394999999999999E-2</v>
      </c>
      <c r="R301" s="18">
        <v>3.7087499999999995E-4</v>
      </c>
      <c r="S301" s="18">
        <v>0.10384499999999999</v>
      </c>
      <c r="T301" s="18">
        <v>0.44505</v>
      </c>
      <c r="U301" s="18">
        <v>0.222525</v>
      </c>
      <c r="V301" s="18">
        <v>2.8483199999999997</v>
      </c>
      <c r="W301" s="18">
        <v>2.6702999999999997</v>
      </c>
      <c r="X301" s="18">
        <v>1.7802</v>
      </c>
      <c r="Y301" s="18">
        <v>7.9119999999999996E-2</v>
      </c>
      <c r="Z301" s="18">
        <v>0.35109499999999999</v>
      </c>
      <c r="AA301" s="18">
        <v>0.51427999999999996</v>
      </c>
      <c r="AB301" s="18">
        <v>0.914825</v>
      </c>
      <c r="AC301" s="18">
        <v>0.28186499999999998</v>
      </c>
      <c r="AD301" s="18">
        <v>1.4834999999999998</v>
      </c>
    </row>
    <row r="302" spans="2:30" x14ac:dyDescent="0.25">
      <c r="B302" t="s">
        <v>269</v>
      </c>
      <c r="C302" t="s">
        <v>326</v>
      </c>
      <c r="D302" t="s">
        <v>748</v>
      </c>
      <c r="E302" s="35">
        <v>0.9</v>
      </c>
      <c r="F302" s="35">
        <v>6.6</v>
      </c>
      <c r="G302" s="36">
        <v>4.1200000000000004E-3</v>
      </c>
      <c r="H302" s="18">
        <v>7.4152979999999999</v>
      </c>
      <c r="I302" s="16" t="s">
        <v>746</v>
      </c>
      <c r="J302" s="16"/>
      <c r="K302" s="16"/>
      <c r="L302" s="37"/>
      <c r="M302" s="37"/>
      <c r="N302" s="37"/>
      <c r="O302" s="37"/>
      <c r="P302" s="37"/>
      <c r="Q302" s="18">
        <v>4.5320000000000006E-2</v>
      </c>
      <c r="R302" s="18">
        <v>3.0900000000000003E-4</v>
      </c>
      <c r="S302" s="18">
        <v>8.6520000000000014E-2</v>
      </c>
      <c r="T302" s="18">
        <v>0.37080000000000002</v>
      </c>
      <c r="U302" s="18">
        <v>0.18540000000000001</v>
      </c>
      <c r="V302" s="18">
        <v>2.3731200000000001</v>
      </c>
      <c r="W302" s="18">
        <v>2.2248000000000001</v>
      </c>
      <c r="X302" s="18">
        <v>1.4832000000000001</v>
      </c>
      <c r="Y302" s="18">
        <v>6.5920000000000006E-2</v>
      </c>
      <c r="Z302" s="18">
        <v>0.29252</v>
      </c>
      <c r="AA302" s="18">
        <v>0.42848000000000003</v>
      </c>
      <c r="AB302" s="18">
        <v>0.7622000000000001</v>
      </c>
      <c r="AC302" s="18">
        <v>0.23484000000000002</v>
      </c>
      <c r="AD302" s="18">
        <v>1.2360000000000002</v>
      </c>
    </row>
    <row r="303" spans="2:30" x14ac:dyDescent="0.25">
      <c r="B303" t="s">
        <v>269</v>
      </c>
      <c r="C303" t="s">
        <v>326</v>
      </c>
      <c r="D303" t="s">
        <v>748</v>
      </c>
      <c r="E303" s="35">
        <v>0.9</v>
      </c>
      <c r="F303" s="35">
        <v>6.6</v>
      </c>
      <c r="G303" s="36">
        <v>4.1200000000000004E-3</v>
      </c>
      <c r="H303" s="18">
        <v>7.4152979999999999</v>
      </c>
      <c r="I303" s="16" t="s">
        <v>746</v>
      </c>
      <c r="J303" s="16"/>
      <c r="K303" s="16"/>
      <c r="L303" s="37"/>
      <c r="M303" s="37"/>
      <c r="N303" s="37"/>
      <c r="O303" s="37"/>
      <c r="P303" s="37"/>
      <c r="Q303" s="18">
        <v>4.5320000000000006E-2</v>
      </c>
      <c r="R303" s="18">
        <v>3.0900000000000003E-4</v>
      </c>
      <c r="S303" s="18">
        <v>8.6520000000000014E-2</v>
      </c>
      <c r="T303" s="18">
        <v>0.37080000000000002</v>
      </c>
      <c r="U303" s="18">
        <v>0.18540000000000001</v>
      </c>
      <c r="V303" s="18">
        <v>2.3731200000000001</v>
      </c>
      <c r="W303" s="18">
        <v>2.2248000000000001</v>
      </c>
      <c r="X303" s="18">
        <v>1.4832000000000001</v>
      </c>
      <c r="Y303" s="18">
        <v>6.5920000000000006E-2</v>
      </c>
      <c r="Z303" s="18">
        <v>0.29252</v>
      </c>
      <c r="AA303" s="18">
        <v>0.42848000000000003</v>
      </c>
      <c r="AB303" s="18">
        <v>0.7622000000000001</v>
      </c>
      <c r="AC303" s="18">
        <v>0.23484000000000002</v>
      </c>
      <c r="AD303" s="18">
        <v>1.2360000000000002</v>
      </c>
    </row>
    <row r="304" spans="2:30" x14ac:dyDescent="0.25">
      <c r="B304" t="s">
        <v>269</v>
      </c>
      <c r="C304" t="s">
        <v>326</v>
      </c>
      <c r="D304" t="s">
        <v>748</v>
      </c>
      <c r="E304" s="35">
        <v>0.9</v>
      </c>
      <c r="F304" s="35">
        <v>6.6</v>
      </c>
      <c r="G304" s="36">
        <v>4.1200000000000004E-3</v>
      </c>
      <c r="H304" s="18">
        <v>7.4152979999999999</v>
      </c>
      <c r="I304" s="16" t="s">
        <v>746</v>
      </c>
      <c r="J304" s="16"/>
      <c r="K304" s="16"/>
      <c r="L304" s="37"/>
      <c r="M304" s="37"/>
      <c r="N304" s="37"/>
      <c r="O304" s="37"/>
      <c r="P304" s="37"/>
      <c r="Q304" s="18">
        <v>4.5320000000000006E-2</v>
      </c>
      <c r="R304" s="18">
        <v>3.0900000000000003E-4</v>
      </c>
      <c r="S304" s="18">
        <v>8.6520000000000014E-2</v>
      </c>
      <c r="T304" s="18">
        <v>0.37080000000000002</v>
      </c>
      <c r="U304" s="18">
        <v>0.18540000000000001</v>
      </c>
      <c r="V304" s="18">
        <v>2.3731200000000001</v>
      </c>
      <c r="W304" s="18">
        <v>2.2248000000000001</v>
      </c>
      <c r="X304" s="18">
        <v>1.4832000000000001</v>
      </c>
      <c r="Y304" s="18">
        <v>6.5920000000000006E-2</v>
      </c>
      <c r="Z304" s="18">
        <v>0.29252</v>
      </c>
      <c r="AA304" s="18">
        <v>0.42848000000000003</v>
      </c>
      <c r="AB304" s="18">
        <v>0.7622000000000001</v>
      </c>
      <c r="AC304" s="18">
        <v>0.23484000000000002</v>
      </c>
      <c r="AD304" s="18">
        <v>1.2360000000000002</v>
      </c>
    </row>
    <row r="305" spans="2:30" x14ac:dyDescent="0.25">
      <c r="B305" t="s">
        <v>269</v>
      </c>
      <c r="C305" t="s">
        <v>326</v>
      </c>
      <c r="D305" t="s">
        <v>748</v>
      </c>
      <c r="E305" s="35">
        <v>0.9</v>
      </c>
      <c r="F305" s="35">
        <v>6.6</v>
      </c>
      <c r="G305" s="36">
        <v>4.1200000000000004E-3</v>
      </c>
      <c r="H305" s="18">
        <v>7.4152979999999999</v>
      </c>
      <c r="I305" s="16" t="s">
        <v>746</v>
      </c>
      <c r="J305" s="16"/>
      <c r="K305" s="16"/>
      <c r="L305" s="37"/>
      <c r="M305" s="37"/>
      <c r="N305" s="37"/>
      <c r="O305" s="37"/>
      <c r="P305" s="37"/>
      <c r="Q305" s="18">
        <v>4.5320000000000006E-2</v>
      </c>
      <c r="R305" s="18">
        <v>3.0900000000000003E-4</v>
      </c>
      <c r="S305" s="18">
        <v>8.6520000000000014E-2</v>
      </c>
      <c r="T305" s="18">
        <v>0.37080000000000002</v>
      </c>
      <c r="U305" s="18">
        <v>0.18540000000000001</v>
      </c>
      <c r="V305" s="18">
        <v>2.3731200000000001</v>
      </c>
      <c r="W305" s="18">
        <v>2.2248000000000001</v>
      </c>
      <c r="X305" s="18">
        <v>1.4832000000000001</v>
      </c>
      <c r="Y305" s="18">
        <v>6.5920000000000006E-2</v>
      </c>
      <c r="Z305" s="18">
        <v>0.29252</v>
      </c>
      <c r="AA305" s="18">
        <v>0.42848000000000003</v>
      </c>
      <c r="AB305" s="18">
        <v>0.7622000000000001</v>
      </c>
      <c r="AC305" s="18">
        <v>0.23484000000000002</v>
      </c>
      <c r="AD305" s="18">
        <v>1.2360000000000002</v>
      </c>
    </row>
    <row r="306" spans="2:30" x14ac:dyDescent="0.25">
      <c r="B306" t="s">
        <v>269</v>
      </c>
      <c r="C306" t="s">
        <v>326</v>
      </c>
      <c r="D306" t="s">
        <v>747</v>
      </c>
      <c r="E306" s="35">
        <v>0.9</v>
      </c>
      <c r="F306" s="35">
        <v>6.6</v>
      </c>
      <c r="G306" s="36">
        <v>4.9449999999999997E-3</v>
      </c>
      <c r="H306" s="18">
        <v>8.9002979999999994</v>
      </c>
      <c r="I306" s="16" t="s">
        <v>746</v>
      </c>
      <c r="J306" s="16"/>
      <c r="K306" s="16"/>
      <c r="L306" s="37"/>
      <c r="M306" s="37"/>
      <c r="N306" s="37"/>
      <c r="O306" s="37"/>
      <c r="P306" s="37"/>
      <c r="Q306" s="18">
        <v>5.4394999999999999E-2</v>
      </c>
      <c r="R306" s="18">
        <v>3.7087499999999995E-4</v>
      </c>
      <c r="S306" s="18">
        <v>0.10384499999999999</v>
      </c>
      <c r="T306" s="18">
        <v>0.44505</v>
      </c>
      <c r="U306" s="18">
        <v>0.222525</v>
      </c>
      <c r="V306" s="18">
        <v>2.8483199999999997</v>
      </c>
      <c r="W306" s="18">
        <v>2.6702999999999997</v>
      </c>
      <c r="X306" s="18">
        <v>1.7802</v>
      </c>
      <c r="Y306" s="18">
        <v>7.9119999999999996E-2</v>
      </c>
      <c r="Z306" s="18">
        <v>0.35109499999999999</v>
      </c>
      <c r="AA306" s="18">
        <v>0.51427999999999996</v>
      </c>
      <c r="AB306" s="18">
        <v>0.914825</v>
      </c>
      <c r="AC306" s="18">
        <v>0.28186499999999998</v>
      </c>
      <c r="AD306" s="18">
        <v>1.4834999999999998</v>
      </c>
    </row>
    <row r="307" spans="2:30" x14ac:dyDescent="0.25">
      <c r="B307" t="s">
        <v>269</v>
      </c>
      <c r="C307" t="s">
        <v>326</v>
      </c>
      <c r="D307" t="s">
        <v>748</v>
      </c>
      <c r="E307" s="35">
        <v>0.9</v>
      </c>
      <c r="F307" s="35">
        <v>6.6</v>
      </c>
      <c r="G307" s="36">
        <v>4.1200000000000004E-3</v>
      </c>
      <c r="H307" s="18">
        <v>7.4152979999999999</v>
      </c>
      <c r="I307" s="16" t="s">
        <v>746</v>
      </c>
      <c r="J307" s="16"/>
      <c r="K307" s="16"/>
      <c r="L307" s="37"/>
      <c r="M307" s="37"/>
      <c r="N307" s="37"/>
      <c r="O307" s="37"/>
      <c r="P307" s="37"/>
      <c r="Q307" s="18">
        <v>4.5320000000000006E-2</v>
      </c>
      <c r="R307" s="18">
        <v>3.0900000000000003E-4</v>
      </c>
      <c r="S307" s="18">
        <v>8.6520000000000014E-2</v>
      </c>
      <c r="T307" s="18">
        <v>0.37080000000000002</v>
      </c>
      <c r="U307" s="18">
        <v>0.18540000000000001</v>
      </c>
      <c r="V307" s="18">
        <v>2.3731200000000001</v>
      </c>
      <c r="W307" s="18">
        <v>2.2248000000000001</v>
      </c>
      <c r="X307" s="18">
        <v>1.4832000000000001</v>
      </c>
      <c r="Y307" s="18">
        <v>6.5920000000000006E-2</v>
      </c>
      <c r="Z307" s="18">
        <v>0.29252</v>
      </c>
      <c r="AA307" s="18">
        <v>0.42848000000000003</v>
      </c>
      <c r="AB307" s="18">
        <v>0.7622000000000001</v>
      </c>
      <c r="AC307" s="18">
        <v>0.23484000000000002</v>
      </c>
      <c r="AD307" s="18">
        <v>1.2360000000000002</v>
      </c>
    </row>
    <row r="308" spans="2:30" x14ac:dyDescent="0.25">
      <c r="B308" t="s">
        <v>269</v>
      </c>
      <c r="C308" t="s">
        <v>326</v>
      </c>
      <c r="D308" t="s">
        <v>748</v>
      </c>
      <c r="E308" s="35">
        <v>0.9</v>
      </c>
      <c r="F308" s="35">
        <v>6.6</v>
      </c>
      <c r="G308" s="36">
        <v>4.1200000000000004E-3</v>
      </c>
      <c r="H308" s="18">
        <v>7.4152979999999999</v>
      </c>
      <c r="I308" s="16" t="s">
        <v>746</v>
      </c>
      <c r="J308" s="16"/>
      <c r="K308" s="16"/>
      <c r="L308" s="37"/>
      <c r="M308" s="37"/>
      <c r="N308" s="37"/>
      <c r="O308" s="37"/>
      <c r="P308" s="37"/>
      <c r="Q308" s="18">
        <v>4.5320000000000006E-2</v>
      </c>
      <c r="R308" s="18">
        <v>3.0900000000000003E-4</v>
      </c>
      <c r="S308" s="18">
        <v>8.6520000000000014E-2</v>
      </c>
      <c r="T308" s="18">
        <v>0.37080000000000002</v>
      </c>
      <c r="U308" s="18">
        <v>0.18540000000000001</v>
      </c>
      <c r="V308" s="18">
        <v>2.3731200000000001</v>
      </c>
      <c r="W308" s="18">
        <v>2.2248000000000001</v>
      </c>
      <c r="X308" s="18">
        <v>1.4832000000000001</v>
      </c>
      <c r="Y308" s="18">
        <v>6.5920000000000006E-2</v>
      </c>
      <c r="Z308" s="18">
        <v>0.29252</v>
      </c>
      <c r="AA308" s="18">
        <v>0.42848000000000003</v>
      </c>
      <c r="AB308" s="18">
        <v>0.7622000000000001</v>
      </c>
      <c r="AC308" s="18">
        <v>0.23484000000000002</v>
      </c>
      <c r="AD308" s="18">
        <v>1.2360000000000002</v>
      </c>
    </row>
    <row r="309" spans="2:30" x14ac:dyDescent="0.25">
      <c r="B309" t="s">
        <v>269</v>
      </c>
      <c r="C309" t="s">
        <v>326</v>
      </c>
      <c r="D309" t="s">
        <v>747</v>
      </c>
      <c r="E309" s="35">
        <v>0.9</v>
      </c>
      <c r="F309" s="35">
        <v>6.6</v>
      </c>
      <c r="G309" s="36">
        <v>4.9449999999999997E-3</v>
      </c>
      <c r="H309" s="18">
        <v>8.9002979999999994</v>
      </c>
      <c r="I309" s="16" t="s">
        <v>746</v>
      </c>
      <c r="J309" s="16"/>
      <c r="K309" s="16"/>
      <c r="L309" s="37"/>
      <c r="M309" s="37"/>
      <c r="N309" s="37"/>
      <c r="O309" s="37"/>
      <c r="P309" s="37"/>
      <c r="Q309" s="18">
        <v>5.4394999999999999E-2</v>
      </c>
      <c r="R309" s="18">
        <v>3.7087499999999995E-4</v>
      </c>
      <c r="S309" s="18">
        <v>0.10384499999999999</v>
      </c>
      <c r="T309" s="18">
        <v>0.44505</v>
      </c>
      <c r="U309" s="18">
        <v>0.222525</v>
      </c>
      <c r="V309" s="18">
        <v>2.8483199999999997</v>
      </c>
      <c r="W309" s="18">
        <v>2.6702999999999997</v>
      </c>
      <c r="X309" s="18">
        <v>1.7802</v>
      </c>
      <c r="Y309" s="18">
        <v>7.9119999999999996E-2</v>
      </c>
      <c r="Z309" s="18">
        <v>0.35109499999999999</v>
      </c>
      <c r="AA309" s="18">
        <v>0.51427999999999996</v>
      </c>
      <c r="AB309" s="18">
        <v>0.914825</v>
      </c>
      <c r="AC309" s="18">
        <v>0.28186499999999998</v>
      </c>
      <c r="AD309" s="18">
        <v>1.4834999999999998</v>
      </c>
    </row>
    <row r="310" spans="2:30" x14ac:dyDescent="0.25">
      <c r="B310" t="s">
        <v>269</v>
      </c>
      <c r="C310" t="s">
        <v>326</v>
      </c>
      <c r="D310" t="s">
        <v>750</v>
      </c>
      <c r="E310" s="35">
        <v>0.9</v>
      </c>
      <c r="F310" s="35">
        <v>6.6</v>
      </c>
      <c r="G310" s="36">
        <v>3.0200000000000001E-3</v>
      </c>
      <c r="H310" s="18">
        <v>5.4352980000000004</v>
      </c>
      <c r="I310" s="16" t="s">
        <v>746</v>
      </c>
      <c r="J310" s="16"/>
      <c r="K310" s="16"/>
      <c r="L310" s="37"/>
      <c r="M310" s="37"/>
      <c r="N310" s="37"/>
      <c r="O310" s="37"/>
      <c r="P310" s="37"/>
      <c r="Q310" s="18">
        <v>3.322E-2</v>
      </c>
      <c r="R310" s="18">
        <v>2.265E-4</v>
      </c>
      <c r="S310" s="18">
        <v>6.3420000000000004E-2</v>
      </c>
      <c r="T310" s="18">
        <v>0.27179999999999999</v>
      </c>
      <c r="U310" s="18">
        <v>0.13589999999999999</v>
      </c>
      <c r="V310" s="18">
        <v>1.7395200000000002</v>
      </c>
      <c r="W310" s="18">
        <v>1.6308</v>
      </c>
      <c r="X310" s="18">
        <v>1.0871999999999999</v>
      </c>
      <c r="Y310" s="18">
        <v>4.8320000000000002E-2</v>
      </c>
      <c r="Z310" s="18">
        <v>0.21442</v>
      </c>
      <c r="AA310" s="18">
        <v>0.31408000000000003</v>
      </c>
      <c r="AB310" s="18">
        <v>0.55869999999999997</v>
      </c>
      <c r="AC310" s="18">
        <v>0.17214000000000002</v>
      </c>
      <c r="AD310" s="18">
        <v>0.90600000000000003</v>
      </c>
    </row>
    <row r="311" spans="2:30" x14ac:dyDescent="0.25">
      <c r="B311" t="s">
        <v>269</v>
      </c>
      <c r="C311" t="s">
        <v>326</v>
      </c>
      <c r="D311" t="s">
        <v>750</v>
      </c>
      <c r="E311" s="35">
        <v>0.9</v>
      </c>
      <c r="F311" s="35">
        <v>6.6</v>
      </c>
      <c r="G311" s="36">
        <v>3.0200000000000001E-3</v>
      </c>
      <c r="H311" s="18">
        <v>5.4352980000000004</v>
      </c>
      <c r="I311" s="16" t="s">
        <v>746</v>
      </c>
      <c r="J311" s="16"/>
      <c r="K311" s="16"/>
      <c r="L311" s="37"/>
      <c r="M311" s="37"/>
      <c r="N311" s="37"/>
      <c r="O311" s="37"/>
      <c r="P311" s="37"/>
      <c r="Q311" s="18">
        <v>3.322E-2</v>
      </c>
      <c r="R311" s="18">
        <v>2.265E-4</v>
      </c>
      <c r="S311" s="18">
        <v>6.3420000000000004E-2</v>
      </c>
      <c r="T311" s="18">
        <v>0.27179999999999999</v>
      </c>
      <c r="U311" s="18">
        <v>0.13589999999999999</v>
      </c>
      <c r="V311" s="18">
        <v>1.7395200000000002</v>
      </c>
      <c r="W311" s="18">
        <v>1.6308</v>
      </c>
      <c r="X311" s="18">
        <v>1.0871999999999999</v>
      </c>
      <c r="Y311" s="18">
        <v>4.8320000000000002E-2</v>
      </c>
      <c r="Z311" s="18">
        <v>0.21442</v>
      </c>
      <c r="AA311" s="18">
        <v>0.31408000000000003</v>
      </c>
      <c r="AB311" s="18">
        <v>0.55869999999999997</v>
      </c>
      <c r="AC311" s="18">
        <v>0.17214000000000002</v>
      </c>
      <c r="AD311" s="18">
        <v>0.90600000000000003</v>
      </c>
    </row>
    <row r="312" spans="2:30" x14ac:dyDescent="0.25">
      <c r="B312" t="s">
        <v>269</v>
      </c>
      <c r="C312" t="s">
        <v>326</v>
      </c>
      <c r="D312" t="s">
        <v>752</v>
      </c>
      <c r="E312" s="35">
        <v>0.9</v>
      </c>
      <c r="F312" s="35">
        <v>6.6</v>
      </c>
      <c r="G312" s="36">
        <v>2.47E-3</v>
      </c>
      <c r="H312" s="18">
        <v>4.4452980000000002</v>
      </c>
      <c r="I312" s="16" t="s">
        <v>746</v>
      </c>
      <c r="J312" s="16"/>
      <c r="K312" s="16"/>
      <c r="L312" s="37"/>
      <c r="M312" s="37"/>
      <c r="N312" s="37"/>
      <c r="O312" s="37"/>
      <c r="P312" s="37"/>
      <c r="Q312" s="18">
        <v>2.717E-2</v>
      </c>
      <c r="R312" s="18">
        <v>1.8525E-4</v>
      </c>
      <c r="S312" s="18">
        <v>5.1869999999999999E-2</v>
      </c>
      <c r="T312" s="18">
        <v>0.2223</v>
      </c>
      <c r="U312" s="18">
        <v>0.11115</v>
      </c>
      <c r="V312" s="18">
        <v>1.42272</v>
      </c>
      <c r="W312" s="18">
        <v>1.3338000000000001</v>
      </c>
      <c r="X312" s="18">
        <v>0.88919999999999999</v>
      </c>
      <c r="Y312" s="18">
        <v>3.952E-2</v>
      </c>
      <c r="Z312" s="18">
        <v>0.17537</v>
      </c>
      <c r="AA312" s="18">
        <v>0.25688</v>
      </c>
      <c r="AB312" s="18">
        <v>0.45694999999999997</v>
      </c>
      <c r="AC312" s="18">
        <v>0.14079</v>
      </c>
      <c r="AD312" s="18">
        <v>0.74099999999999999</v>
      </c>
    </row>
    <row r="313" spans="2:30" x14ac:dyDescent="0.25">
      <c r="B313" t="s">
        <v>269</v>
      </c>
      <c r="C313" t="s">
        <v>326</v>
      </c>
      <c r="D313" t="s">
        <v>752</v>
      </c>
      <c r="E313" s="35">
        <v>0.9</v>
      </c>
      <c r="F313" s="35">
        <v>6.6</v>
      </c>
      <c r="G313" s="36">
        <v>2.47E-3</v>
      </c>
      <c r="H313" s="18">
        <v>4.4452980000000002</v>
      </c>
      <c r="I313" s="16" t="s">
        <v>746</v>
      </c>
      <c r="J313" s="16"/>
      <c r="K313" s="16"/>
      <c r="L313" s="37"/>
      <c r="M313" s="37"/>
      <c r="N313" s="37"/>
      <c r="O313" s="37"/>
      <c r="P313" s="37"/>
      <c r="Q313" s="18">
        <v>2.717E-2</v>
      </c>
      <c r="R313" s="18">
        <v>1.8525E-4</v>
      </c>
      <c r="S313" s="18">
        <v>5.1869999999999999E-2</v>
      </c>
      <c r="T313" s="18">
        <v>0.2223</v>
      </c>
      <c r="U313" s="18">
        <v>0.11115</v>
      </c>
      <c r="V313" s="18">
        <v>1.42272</v>
      </c>
      <c r="W313" s="18">
        <v>1.3338000000000001</v>
      </c>
      <c r="X313" s="18">
        <v>0.88919999999999999</v>
      </c>
      <c r="Y313" s="18">
        <v>3.952E-2</v>
      </c>
      <c r="Z313" s="18">
        <v>0.17537</v>
      </c>
      <c r="AA313" s="18">
        <v>0.25688</v>
      </c>
      <c r="AB313" s="18">
        <v>0.45694999999999997</v>
      </c>
      <c r="AC313" s="18">
        <v>0.14079</v>
      </c>
      <c r="AD313" s="18">
        <v>0.74099999999999999</v>
      </c>
    </row>
    <row r="314" spans="2:30" x14ac:dyDescent="0.25">
      <c r="B314" t="s">
        <v>269</v>
      </c>
      <c r="C314" t="s">
        <v>326</v>
      </c>
      <c r="D314" t="s">
        <v>752</v>
      </c>
      <c r="E314" s="35">
        <v>0.9</v>
      </c>
      <c r="F314" s="35">
        <v>6.6</v>
      </c>
      <c r="G314" s="36">
        <v>2.47E-3</v>
      </c>
      <c r="H314" s="18">
        <v>4.4452980000000002</v>
      </c>
      <c r="I314" s="16" t="s">
        <v>746</v>
      </c>
      <c r="J314" s="16"/>
      <c r="K314" s="16"/>
      <c r="L314" s="37"/>
      <c r="M314" s="37"/>
      <c r="N314" s="37"/>
      <c r="O314" s="37"/>
      <c r="P314" s="37"/>
      <c r="Q314" s="18">
        <v>2.717E-2</v>
      </c>
      <c r="R314" s="18">
        <v>1.8525E-4</v>
      </c>
      <c r="S314" s="18">
        <v>5.1869999999999999E-2</v>
      </c>
      <c r="T314" s="18">
        <v>0.2223</v>
      </c>
      <c r="U314" s="18">
        <v>0.11115</v>
      </c>
      <c r="V314" s="18">
        <v>1.42272</v>
      </c>
      <c r="W314" s="18">
        <v>1.3338000000000001</v>
      </c>
      <c r="X314" s="18">
        <v>0.88919999999999999</v>
      </c>
      <c r="Y314" s="18">
        <v>3.952E-2</v>
      </c>
      <c r="Z314" s="18">
        <v>0.17537</v>
      </c>
      <c r="AA314" s="18">
        <v>0.25688</v>
      </c>
      <c r="AB314" s="18">
        <v>0.45694999999999997</v>
      </c>
      <c r="AC314" s="18">
        <v>0.14079</v>
      </c>
      <c r="AD314" s="18">
        <v>0.74099999999999999</v>
      </c>
    </row>
    <row r="315" spans="2:30" x14ac:dyDescent="0.25">
      <c r="B315" t="s">
        <v>269</v>
      </c>
      <c r="C315" t="s">
        <v>326</v>
      </c>
      <c r="D315" t="s">
        <v>752</v>
      </c>
      <c r="E315" s="35">
        <v>0.9</v>
      </c>
      <c r="F315" s="35">
        <v>6.6</v>
      </c>
      <c r="G315" s="36">
        <v>2.47E-3</v>
      </c>
      <c r="H315" s="18">
        <v>4.4452980000000002</v>
      </c>
      <c r="I315" s="16" t="s">
        <v>746</v>
      </c>
      <c r="J315" s="16"/>
      <c r="K315" s="16"/>
      <c r="L315" s="37"/>
      <c r="M315" s="37"/>
      <c r="N315" s="37"/>
      <c r="O315" s="37"/>
      <c r="P315" s="37"/>
      <c r="Q315" s="18">
        <v>2.717E-2</v>
      </c>
      <c r="R315" s="18">
        <v>1.8525E-4</v>
      </c>
      <c r="S315" s="18">
        <v>5.1869999999999999E-2</v>
      </c>
      <c r="T315" s="18">
        <v>0.2223</v>
      </c>
      <c r="U315" s="18">
        <v>0.11115</v>
      </c>
      <c r="V315" s="18">
        <v>1.42272</v>
      </c>
      <c r="W315" s="18">
        <v>1.3338000000000001</v>
      </c>
      <c r="X315" s="18">
        <v>0.88919999999999999</v>
      </c>
      <c r="Y315" s="18">
        <v>3.952E-2</v>
      </c>
      <c r="Z315" s="18">
        <v>0.17537</v>
      </c>
      <c r="AA315" s="18">
        <v>0.25688</v>
      </c>
      <c r="AB315" s="18">
        <v>0.45694999999999997</v>
      </c>
      <c r="AC315" s="18">
        <v>0.14079</v>
      </c>
      <c r="AD315" s="18">
        <v>0.74099999999999999</v>
      </c>
    </row>
    <row r="316" spans="2:30" x14ac:dyDescent="0.25">
      <c r="B316" t="s">
        <v>269</v>
      </c>
      <c r="C316" t="s">
        <v>105</v>
      </c>
      <c r="D316" t="s">
        <v>752</v>
      </c>
      <c r="E316" s="35">
        <v>0.9</v>
      </c>
      <c r="F316" s="35">
        <v>6.6</v>
      </c>
      <c r="G316" s="36">
        <v>2.47E-3</v>
      </c>
      <c r="H316" s="18">
        <v>4.4452980000000002</v>
      </c>
      <c r="I316" s="16" t="s">
        <v>746</v>
      </c>
      <c r="J316" s="16"/>
      <c r="K316" s="16"/>
      <c r="L316" s="37"/>
      <c r="M316" s="37"/>
      <c r="N316" s="37"/>
      <c r="O316" s="37"/>
      <c r="P316" s="37"/>
      <c r="Q316" s="18">
        <v>2.717E-2</v>
      </c>
      <c r="R316" s="18">
        <v>1.8525E-4</v>
      </c>
      <c r="S316" s="18">
        <v>5.1869999999999999E-2</v>
      </c>
      <c r="T316" s="18">
        <v>0.2223</v>
      </c>
      <c r="U316" s="18">
        <v>0.11115</v>
      </c>
      <c r="V316" s="18">
        <v>1.42272</v>
      </c>
      <c r="W316" s="18">
        <v>1.3338000000000001</v>
      </c>
      <c r="X316" s="18">
        <v>0.88919999999999999</v>
      </c>
      <c r="Y316" s="18">
        <v>3.952E-2</v>
      </c>
      <c r="Z316" s="18">
        <v>0.17537</v>
      </c>
      <c r="AA316" s="18">
        <v>0.25688</v>
      </c>
      <c r="AB316" s="18">
        <v>0.45694999999999997</v>
      </c>
      <c r="AC316" s="18">
        <v>0.14079</v>
      </c>
      <c r="AD316" s="18">
        <v>0.74099999999999999</v>
      </c>
    </row>
    <row r="317" spans="2:30" x14ac:dyDescent="0.25">
      <c r="B317" t="s">
        <v>269</v>
      </c>
      <c r="C317" t="s">
        <v>105</v>
      </c>
      <c r="D317" t="s">
        <v>752</v>
      </c>
      <c r="E317" s="35">
        <v>0.9</v>
      </c>
      <c r="F317" s="35">
        <v>6.6</v>
      </c>
      <c r="G317" s="36">
        <v>2.47E-3</v>
      </c>
      <c r="H317" s="18">
        <v>4.4452980000000002</v>
      </c>
      <c r="I317" s="16" t="s">
        <v>746</v>
      </c>
      <c r="J317" s="16"/>
      <c r="K317" s="16"/>
      <c r="L317" s="37"/>
      <c r="M317" s="37"/>
      <c r="N317" s="37"/>
      <c r="O317" s="37"/>
      <c r="P317" s="37"/>
      <c r="Q317" s="18">
        <v>2.717E-2</v>
      </c>
      <c r="R317" s="18">
        <v>1.8525E-4</v>
      </c>
      <c r="S317" s="18">
        <v>5.1869999999999999E-2</v>
      </c>
      <c r="T317" s="18">
        <v>0.2223</v>
      </c>
      <c r="U317" s="18">
        <v>0.11115</v>
      </c>
      <c r="V317" s="18">
        <v>1.42272</v>
      </c>
      <c r="W317" s="18">
        <v>1.3338000000000001</v>
      </c>
      <c r="X317" s="18">
        <v>0.88919999999999999</v>
      </c>
      <c r="Y317" s="18">
        <v>3.952E-2</v>
      </c>
      <c r="Z317" s="18">
        <v>0.17537</v>
      </c>
      <c r="AA317" s="18">
        <v>0.25688</v>
      </c>
      <c r="AB317" s="18">
        <v>0.45694999999999997</v>
      </c>
      <c r="AC317" s="18">
        <v>0.14079</v>
      </c>
      <c r="AD317" s="18">
        <v>0.74099999999999999</v>
      </c>
    </row>
    <row r="318" spans="2:30" x14ac:dyDescent="0.25">
      <c r="B318" t="s">
        <v>269</v>
      </c>
      <c r="C318" t="s">
        <v>105</v>
      </c>
      <c r="D318" t="s">
        <v>752</v>
      </c>
      <c r="E318" s="35">
        <v>0.9</v>
      </c>
      <c r="F318" s="35">
        <v>6.6</v>
      </c>
      <c r="G318" s="36">
        <v>2.47E-3</v>
      </c>
      <c r="H318" s="18">
        <v>4.4452980000000002</v>
      </c>
      <c r="I318" s="16" t="s">
        <v>746</v>
      </c>
      <c r="J318" s="16"/>
      <c r="K318" s="16"/>
      <c r="L318" s="37"/>
      <c r="M318" s="37"/>
      <c r="N318" s="37"/>
      <c r="O318" s="37"/>
      <c r="P318" s="37"/>
      <c r="Q318" s="18">
        <v>2.717E-2</v>
      </c>
      <c r="R318" s="18">
        <v>1.8525E-4</v>
      </c>
      <c r="S318" s="18">
        <v>5.1869999999999999E-2</v>
      </c>
      <c r="T318" s="18">
        <v>0.2223</v>
      </c>
      <c r="U318" s="18">
        <v>0.11115</v>
      </c>
      <c r="V318" s="18">
        <v>1.42272</v>
      </c>
      <c r="W318" s="18">
        <v>1.3338000000000001</v>
      </c>
      <c r="X318" s="18">
        <v>0.88919999999999999</v>
      </c>
      <c r="Y318" s="18">
        <v>3.952E-2</v>
      </c>
      <c r="Z318" s="18">
        <v>0.17537</v>
      </c>
      <c r="AA318" s="18">
        <v>0.25688</v>
      </c>
      <c r="AB318" s="18">
        <v>0.45694999999999997</v>
      </c>
      <c r="AC318" s="18">
        <v>0.14079</v>
      </c>
      <c r="AD318" s="18">
        <v>0.74099999999999999</v>
      </c>
    </row>
    <row r="319" spans="2:30" x14ac:dyDescent="0.25">
      <c r="B319" t="s">
        <v>269</v>
      </c>
      <c r="C319" t="s">
        <v>105</v>
      </c>
      <c r="D319" t="s">
        <v>752</v>
      </c>
      <c r="E319" s="35">
        <v>0.9</v>
      </c>
      <c r="F319" s="35">
        <v>6.6</v>
      </c>
      <c r="G319" s="36">
        <v>2.47E-3</v>
      </c>
      <c r="H319" s="18">
        <v>4.4452980000000002</v>
      </c>
      <c r="I319" s="16" t="s">
        <v>746</v>
      </c>
      <c r="J319" s="16"/>
      <c r="K319" s="16"/>
      <c r="L319" s="37"/>
      <c r="M319" s="37"/>
      <c r="N319" s="37"/>
      <c r="O319" s="37"/>
      <c r="P319" s="37"/>
      <c r="Q319" s="18">
        <v>2.717E-2</v>
      </c>
      <c r="R319" s="18">
        <v>1.8525E-4</v>
      </c>
      <c r="S319" s="18">
        <v>5.1869999999999999E-2</v>
      </c>
      <c r="T319" s="18">
        <v>0.2223</v>
      </c>
      <c r="U319" s="18">
        <v>0.11115</v>
      </c>
      <c r="V319" s="18">
        <v>1.42272</v>
      </c>
      <c r="W319" s="18">
        <v>1.3338000000000001</v>
      </c>
      <c r="X319" s="18">
        <v>0.88919999999999999</v>
      </c>
      <c r="Y319" s="18">
        <v>3.952E-2</v>
      </c>
      <c r="Z319" s="18">
        <v>0.17537</v>
      </c>
      <c r="AA319" s="18">
        <v>0.25688</v>
      </c>
      <c r="AB319" s="18">
        <v>0.45694999999999997</v>
      </c>
      <c r="AC319" s="18">
        <v>0.14079</v>
      </c>
      <c r="AD319" s="18">
        <v>0.74099999999999999</v>
      </c>
    </row>
    <row r="320" spans="2:30" x14ac:dyDescent="0.25">
      <c r="B320" t="s">
        <v>269</v>
      </c>
      <c r="C320" t="s">
        <v>105</v>
      </c>
      <c r="D320" t="s">
        <v>752</v>
      </c>
      <c r="E320" s="35">
        <v>0.9</v>
      </c>
      <c r="F320" s="35">
        <v>6.6</v>
      </c>
      <c r="G320" s="36">
        <v>2.47E-3</v>
      </c>
      <c r="H320" s="18">
        <v>4.4452980000000002</v>
      </c>
      <c r="I320" s="16" t="s">
        <v>746</v>
      </c>
      <c r="J320" s="16"/>
      <c r="K320" s="16"/>
      <c r="L320" s="37"/>
      <c r="M320" s="37"/>
      <c r="N320" s="37"/>
      <c r="O320" s="37"/>
      <c r="P320" s="37"/>
      <c r="Q320" s="18">
        <v>2.717E-2</v>
      </c>
      <c r="R320" s="18">
        <v>1.8525E-4</v>
      </c>
      <c r="S320" s="18">
        <v>5.1869999999999999E-2</v>
      </c>
      <c r="T320" s="18">
        <v>0.2223</v>
      </c>
      <c r="U320" s="18">
        <v>0.11115</v>
      </c>
      <c r="V320" s="18">
        <v>1.42272</v>
      </c>
      <c r="W320" s="18">
        <v>1.3338000000000001</v>
      </c>
      <c r="X320" s="18">
        <v>0.88919999999999999</v>
      </c>
      <c r="Y320" s="18">
        <v>3.952E-2</v>
      </c>
      <c r="Z320" s="18">
        <v>0.17537</v>
      </c>
      <c r="AA320" s="18">
        <v>0.25688</v>
      </c>
      <c r="AB320" s="18">
        <v>0.45694999999999997</v>
      </c>
      <c r="AC320" s="18">
        <v>0.14079</v>
      </c>
      <c r="AD320" s="18">
        <v>0.74099999999999999</v>
      </c>
    </row>
    <row r="321" spans="2:30" x14ac:dyDescent="0.25">
      <c r="B321" t="s">
        <v>269</v>
      </c>
      <c r="C321" t="s">
        <v>105</v>
      </c>
      <c r="D321" t="s">
        <v>752</v>
      </c>
      <c r="E321" s="35">
        <v>0.9</v>
      </c>
      <c r="F321" s="35">
        <v>6.6</v>
      </c>
      <c r="G321" s="36">
        <v>2.47E-3</v>
      </c>
      <c r="H321" s="18">
        <v>4.4452980000000002</v>
      </c>
      <c r="I321" s="16" t="s">
        <v>746</v>
      </c>
      <c r="J321" s="16"/>
      <c r="K321" s="16"/>
      <c r="L321" s="37"/>
      <c r="M321" s="37"/>
      <c r="N321" s="37"/>
      <c r="O321" s="37"/>
      <c r="P321" s="37"/>
      <c r="Q321" s="18">
        <v>2.717E-2</v>
      </c>
      <c r="R321" s="18">
        <v>1.8525E-4</v>
      </c>
      <c r="S321" s="18">
        <v>5.1869999999999999E-2</v>
      </c>
      <c r="T321" s="18">
        <v>0.2223</v>
      </c>
      <c r="U321" s="18">
        <v>0.11115</v>
      </c>
      <c r="V321" s="18">
        <v>1.42272</v>
      </c>
      <c r="W321" s="18">
        <v>1.3338000000000001</v>
      </c>
      <c r="X321" s="18">
        <v>0.88919999999999999</v>
      </c>
      <c r="Y321" s="18">
        <v>3.952E-2</v>
      </c>
      <c r="Z321" s="18">
        <v>0.17537</v>
      </c>
      <c r="AA321" s="18">
        <v>0.25688</v>
      </c>
      <c r="AB321" s="18">
        <v>0.45694999999999997</v>
      </c>
      <c r="AC321" s="18">
        <v>0.14079</v>
      </c>
      <c r="AD321" s="18">
        <v>0.74099999999999999</v>
      </c>
    </row>
    <row r="322" spans="2:30" x14ac:dyDescent="0.25">
      <c r="B322" t="s">
        <v>269</v>
      </c>
      <c r="C322" t="s">
        <v>105</v>
      </c>
      <c r="D322" t="s">
        <v>752</v>
      </c>
      <c r="E322" s="35">
        <v>0.9</v>
      </c>
      <c r="F322" s="35">
        <v>6.6</v>
      </c>
      <c r="G322" s="36">
        <v>2.47E-3</v>
      </c>
      <c r="H322" s="18">
        <v>4.4452980000000002</v>
      </c>
      <c r="I322" s="16" t="s">
        <v>746</v>
      </c>
      <c r="J322" s="16"/>
      <c r="K322" s="16"/>
      <c r="L322" s="37"/>
      <c r="M322" s="37"/>
      <c r="N322" s="37"/>
      <c r="O322" s="37"/>
      <c r="P322" s="37"/>
      <c r="Q322" s="18">
        <v>2.717E-2</v>
      </c>
      <c r="R322" s="18">
        <v>1.8525E-4</v>
      </c>
      <c r="S322" s="18">
        <v>5.1869999999999999E-2</v>
      </c>
      <c r="T322" s="18">
        <v>0.2223</v>
      </c>
      <c r="U322" s="18">
        <v>0.11115</v>
      </c>
      <c r="V322" s="18">
        <v>1.42272</v>
      </c>
      <c r="W322" s="18">
        <v>1.3338000000000001</v>
      </c>
      <c r="X322" s="18">
        <v>0.88919999999999999</v>
      </c>
      <c r="Y322" s="18">
        <v>3.952E-2</v>
      </c>
      <c r="Z322" s="18">
        <v>0.17537</v>
      </c>
      <c r="AA322" s="18">
        <v>0.25688</v>
      </c>
      <c r="AB322" s="18">
        <v>0.45694999999999997</v>
      </c>
      <c r="AC322" s="18">
        <v>0.14079</v>
      </c>
      <c r="AD322" s="18">
        <v>0.74099999999999999</v>
      </c>
    </row>
    <row r="323" spans="2:30" x14ac:dyDescent="0.25">
      <c r="B323" t="s">
        <v>269</v>
      </c>
      <c r="C323" t="s">
        <v>105</v>
      </c>
      <c r="D323" t="s">
        <v>752</v>
      </c>
      <c r="E323" s="35">
        <v>0.9</v>
      </c>
      <c r="F323" s="35">
        <v>6.6</v>
      </c>
      <c r="G323" s="36">
        <v>2.47E-3</v>
      </c>
      <c r="H323" s="18">
        <v>4.4452980000000002</v>
      </c>
      <c r="I323" s="16" t="s">
        <v>746</v>
      </c>
      <c r="J323" s="16"/>
      <c r="K323" s="16"/>
      <c r="L323" s="37"/>
      <c r="M323" s="37"/>
      <c r="N323" s="37"/>
      <c r="O323" s="37"/>
      <c r="P323" s="37"/>
      <c r="Q323" s="18">
        <v>2.717E-2</v>
      </c>
      <c r="R323" s="18">
        <v>1.8525E-4</v>
      </c>
      <c r="S323" s="18">
        <v>5.1869999999999999E-2</v>
      </c>
      <c r="T323" s="18">
        <v>0.2223</v>
      </c>
      <c r="U323" s="18">
        <v>0.11115</v>
      </c>
      <c r="V323" s="18">
        <v>1.42272</v>
      </c>
      <c r="W323" s="18">
        <v>1.3338000000000001</v>
      </c>
      <c r="X323" s="18">
        <v>0.88919999999999999</v>
      </c>
      <c r="Y323" s="18">
        <v>3.952E-2</v>
      </c>
      <c r="Z323" s="18">
        <v>0.17537</v>
      </c>
      <c r="AA323" s="18">
        <v>0.25688</v>
      </c>
      <c r="AB323" s="18">
        <v>0.45694999999999997</v>
      </c>
      <c r="AC323" s="18">
        <v>0.14079</v>
      </c>
      <c r="AD323" s="18">
        <v>0.74099999999999999</v>
      </c>
    </row>
    <row r="324" spans="2:30" x14ac:dyDescent="0.25">
      <c r="B324" t="s">
        <v>269</v>
      </c>
      <c r="C324" t="s">
        <v>105</v>
      </c>
      <c r="D324" t="s">
        <v>752</v>
      </c>
      <c r="E324" s="35">
        <v>0.9</v>
      </c>
      <c r="F324" s="35">
        <v>6.6</v>
      </c>
      <c r="G324" s="36">
        <v>2.47E-3</v>
      </c>
      <c r="H324" s="18">
        <v>4.4452980000000002</v>
      </c>
      <c r="I324" s="16" t="s">
        <v>746</v>
      </c>
      <c r="J324" s="16"/>
      <c r="K324" s="16"/>
      <c r="L324" s="37"/>
      <c r="M324" s="37"/>
      <c r="N324" s="37"/>
      <c r="O324" s="37"/>
      <c r="P324" s="37"/>
      <c r="Q324" s="18">
        <v>2.717E-2</v>
      </c>
      <c r="R324" s="18">
        <v>1.8525E-4</v>
      </c>
      <c r="S324" s="18">
        <v>5.1869999999999999E-2</v>
      </c>
      <c r="T324" s="18">
        <v>0.2223</v>
      </c>
      <c r="U324" s="18">
        <v>0.11115</v>
      </c>
      <c r="V324" s="18">
        <v>1.42272</v>
      </c>
      <c r="W324" s="18">
        <v>1.3338000000000001</v>
      </c>
      <c r="X324" s="18">
        <v>0.88919999999999999</v>
      </c>
      <c r="Y324" s="18">
        <v>3.952E-2</v>
      </c>
      <c r="Z324" s="18">
        <v>0.17537</v>
      </c>
      <c r="AA324" s="18">
        <v>0.25688</v>
      </c>
      <c r="AB324" s="18">
        <v>0.45694999999999997</v>
      </c>
      <c r="AC324" s="18">
        <v>0.14079</v>
      </c>
      <c r="AD324" s="18">
        <v>0.74099999999999999</v>
      </c>
    </row>
    <row r="325" spans="2:30" x14ac:dyDescent="0.25">
      <c r="B325" t="s">
        <v>269</v>
      </c>
      <c r="C325" t="s">
        <v>105</v>
      </c>
      <c r="D325" t="s">
        <v>752</v>
      </c>
      <c r="E325" s="35">
        <v>0.9</v>
      </c>
      <c r="F325" s="35">
        <v>6.6</v>
      </c>
      <c r="G325" s="36">
        <v>2.47E-3</v>
      </c>
      <c r="H325" s="18">
        <v>4.4452980000000002</v>
      </c>
      <c r="I325" s="16" t="s">
        <v>746</v>
      </c>
      <c r="J325" s="16"/>
      <c r="K325" s="16"/>
      <c r="L325" s="37"/>
      <c r="M325" s="37"/>
      <c r="N325" s="37"/>
      <c r="O325" s="37"/>
      <c r="P325" s="37"/>
      <c r="Q325" s="18">
        <v>2.717E-2</v>
      </c>
      <c r="R325" s="18">
        <v>1.8525E-4</v>
      </c>
      <c r="S325" s="18">
        <v>5.1869999999999999E-2</v>
      </c>
      <c r="T325" s="18">
        <v>0.2223</v>
      </c>
      <c r="U325" s="18">
        <v>0.11115</v>
      </c>
      <c r="V325" s="18">
        <v>1.42272</v>
      </c>
      <c r="W325" s="18">
        <v>1.3338000000000001</v>
      </c>
      <c r="X325" s="18">
        <v>0.88919999999999999</v>
      </c>
      <c r="Y325" s="18">
        <v>3.952E-2</v>
      </c>
      <c r="Z325" s="18">
        <v>0.17537</v>
      </c>
      <c r="AA325" s="18">
        <v>0.25688</v>
      </c>
      <c r="AB325" s="18">
        <v>0.45694999999999997</v>
      </c>
      <c r="AC325" s="18">
        <v>0.14079</v>
      </c>
      <c r="AD325" s="18">
        <v>0.74099999999999999</v>
      </c>
    </row>
    <row r="326" spans="2:30" x14ac:dyDescent="0.25">
      <c r="B326" t="s">
        <v>269</v>
      </c>
      <c r="C326" t="s">
        <v>105</v>
      </c>
      <c r="D326" t="s">
        <v>752</v>
      </c>
      <c r="E326" s="35">
        <v>0.9</v>
      </c>
      <c r="F326" s="35">
        <v>6.6</v>
      </c>
      <c r="G326" s="36">
        <v>2.47E-3</v>
      </c>
      <c r="H326" s="18">
        <v>4.4452980000000002</v>
      </c>
      <c r="I326" s="16" t="s">
        <v>746</v>
      </c>
      <c r="J326" s="16"/>
      <c r="K326" s="16"/>
      <c r="L326" s="37"/>
      <c r="M326" s="37"/>
      <c r="N326" s="37"/>
      <c r="O326" s="37"/>
      <c r="P326" s="37"/>
      <c r="Q326" s="18">
        <v>2.717E-2</v>
      </c>
      <c r="R326" s="18">
        <v>1.8525E-4</v>
      </c>
      <c r="S326" s="18">
        <v>5.1869999999999999E-2</v>
      </c>
      <c r="T326" s="18">
        <v>0.2223</v>
      </c>
      <c r="U326" s="18">
        <v>0.11115</v>
      </c>
      <c r="V326" s="18">
        <v>1.42272</v>
      </c>
      <c r="W326" s="18">
        <v>1.3338000000000001</v>
      </c>
      <c r="X326" s="18">
        <v>0.88919999999999999</v>
      </c>
      <c r="Y326" s="18">
        <v>3.952E-2</v>
      </c>
      <c r="Z326" s="18">
        <v>0.17537</v>
      </c>
      <c r="AA326" s="18">
        <v>0.25688</v>
      </c>
      <c r="AB326" s="18">
        <v>0.45694999999999997</v>
      </c>
      <c r="AC326" s="18">
        <v>0.14079</v>
      </c>
      <c r="AD326" s="18">
        <v>0.74099999999999999</v>
      </c>
    </row>
    <row r="327" spans="2:30" x14ac:dyDescent="0.25">
      <c r="B327" t="s">
        <v>269</v>
      </c>
      <c r="C327" t="s">
        <v>105</v>
      </c>
      <c r="D327" t="s">
        <v>752</v>
      </c>
      <c r="E327" s="35">
        <v>0.9</v>
      </c>
      <c r="F327" s="35">
        <v>6.6</v>
      </c>
      <c r="G327" s="36">
        <v>2.47E-3</v>
      </c>
      <c r="H327" s="18">
        <v>4.4452980000000002</v>
      </c>
      <c r="I327" s="16" t="s">
        <v>746</v>
      </c>
      <c r="J327" s="16"/>
      <c r="K327" s="16"/>
      <c r="L327" s="37"/>
      <c r="M327" s="37"/>
      <c r="N327" s="37"/>
      <c r="O327" s="37"/>
      <c r="P327" s="37"/>
      <c r="Q327" s="18">
        <v>2.717E-2</v>
      </c>
      <c r="R327" s="18">
        <v>1.8525E-4</v>
      </c>
      <c r="S327" s="18">
        <v>5.1869999999999999E-2</v>
      </c>
      <c r="T327" s="18">
        <v>0.2223</v>
      </c>
      <c r="U327" s="18">
        <v>0.11115</v>
      </c>
      <c r="V327" s="18">
        <v>1.42272</v>
      </c>
      <c r="W327" s="18">
        <v>1.3338000000000001</v>
      </c>
      <c r="X327" s="18">
        <v>0.88919999999999999</v>
      </c>
      <c r="Y327" s="18">
        <v>3.952E-2</v>
      </c>
      <c r="Z327" s="18">
        <v>0.17537</v>
      </c>
      <c r="AA327" s="18">
        <v>0.25688</v>
      </c>
      <c r="AB327" s="18">
        <v>0.45694999999999997</v>
      </c>
      <c r="AC327" s="18">
        <v>0.14079</v>
      </c>
      <c r="AD327" s="18">
        <v>0.74099999999999999</v>
      </c>
    </row>
    <row r="328" spans="2:30" x14ac:dyDescent="0.25">
      <c r="B328" t="s">
        <v>269</v>
      </c>
      <c r="C328" t="s">
        <v>105</v>
      </c>
      <c r="D328" t="s">
        <v>752</v>
      </c>
      <c r="E328" s="35">
        <v>0.9</v>
      </c>
      <c r="F328" s="35">
        <v>6.6</v>
      </c>
      <c r="G328" s="36">
        <v>2.47E-3</v>
      </c>
      <c r="H328" s="18">
        <v>4.4452980000000002</v>
      </c>
      <c r="I328" s="16" t="s">
        <v>746</v>
      </c>
      <c r="J328" s="16"/>
      <c r="K328" s="16"/>
      <c r="L328" s="37"/>
      <c r="M328" s="37"/>
      <c r="N328" s="37"/>
      <c r="O328" s="37"/>
      <c r="P328" s="37"/>
      <c r="Q328" s="18">
        <v>2.717E-2</v>
      </c>
      <c r="R328" s="18">
        <v>1.8525E-4</v>
      </c>
      <c r="S328" s="18">
        <v>5.1869999999999999E-2</v>
      </c>
      <c r="T328" s="18">
        <v>0.2223</v>
      </c>
      <c r="U328" s="18">
        <v>0.11115</v>
      </c>
      <c r="V328" s="18">
        <v>1.42272</v>
      </c>
      <c r="W328" s="18">
        <v>1.3338000000000001</v>
      </c>
      <c r="X328" s="18">
        <v>0.88919999999999999</v>
      </c>
      <c r="Y328" s="18">
        <v>3.952E-2</v>
      </c>
      <c r="Z328" s="18">
        <v>0.17537</v>
      </c>
      <c r="AA328" s="18">
        <v>0.25688</v>
      </c>
      <c r="AB328" s="18">
        <v>0.45694999999999997</v>
      </c>
      <c r="AC328" s="18">
        <v>0.14079</v>
      </c>
      <c r="AD328" s="18">
        <v>0.74099999999999999</v>
      </c>
    </row>
    <row r="329" spans="2:30" x14ac:dyDescent="0.25">
      <c r="B329" t="s">
        <v>269</v>
      </c>
      <c r="C329" t="s">
        <v>105</v>
      </c>
      <c r="D329" t="s">
        <v>752</v>
      </c>
      <c r="E329" s="35">
        <v>0.9</v>
      </c>
      <c r="F329" s="35">
        <v>6.6</v>
      </c>
      <c r="G329" s="36">
        <v>2.47E-3</v>
      </c>
      <c r="H329" s="18">
        <v>4.4452980000000002</v>
      </c>
      <c r="I329" s="16" t="s">
        <v>746</v>
      </c>
      <c r="J329" s="16"/>
      <c r="K329" s="16"/>
      <c r="L329" s="37"/>
      <c r="M329" s="37"/>
      <c r="N329" s="37"/>
      <c r="O329" s="37"/>
      <c r="P329" s="37"/>
      <c r="Q329" s="18">
        <v>2.717E-2</v>
      </c>
      <c r="R329" s="18">
        <v>1.8525E-4</v>
      </c>
      <c r="S329" s="18">
        <v>5.1869999999999999E-2</v>
      </c>
      <c r="T329" s="18">
        <v>0.2223</v>
      </c>
      <c r="U329" s="18">
        <v>0.11115</v>
      </c>
      <c r="V329" s="18">
        <v>1.42272</v>
      </c>
      <c r="W329" s="18">
        <v>1.3338000000000001</v>
      </c>
      <c r="X329" s="18">
        <v>0.88919999999999999</v>
      </c>
      <c r="Y329" s="18">
        <v>3.952E-2</v>
      </c>
      <c r="Z329" s="18">
        <v>0.17537</v>
      </c>
      <c r="AA329" s="18">
        <v>0.25688</v>
      </c>
      <c r="AB329" s="18">
        <v>0.45694999999999997</v>
      </c>
      <c r="AC329" s="18">
        <v>0.14079</v>
      </c>
      <c r="AD329" s="18">
        <v>0.74099999999999999</v>
      </c>
    </row>
    <row r="330" spans="2:30" x14ac:dyDescent="0.25">
      <c r="B330" t="s">
        <v>269</v>
      </c>
      <c r="C330" t="s">
        <v>105</v>
      </c>
      <c r="D330" t="s">
        <v>752</v>
      </c>
      <c r="E330" s="35">
        <v>0.9</v>
      </c>
      <c r="F330" s="35">
        <v>6.6</v>
      </c>
      <c r="G330" s="36">
        <v>2.47E-3</v>
      </c>
      <c r="H330" s="18">
        <v>4.4452980000000002</v>
      </c>
      <c r="I330" s="16" t="s">
        <v>746</v>
      </c>
      <c r="J330" s="16"/>
      <c r="K330" s="16"/>
      <c r="L330" s="37"/>
      <c r="M330" s="37"/>
      <c r="N330" s="37"/>
      <c r="O330" s="37"/>
      <c r="P330" s="37"/>
      <c r="Q330" s="18">
        <v>2.717E-2</v>
      </c>
      <c r="R330" s="18">
        <v>1.8525E-4</v>
      </c>
      <c r="S330" s="18">
        <v>5.1869999999999999E-2</v>
      </c>
      <c r="T330" s="18">
        <v>0.2223</v>
      </c>
      <c r="U330" s="18">
        <v>0.11115</v>
      </c>
      <c r="V330" s="18">
        <v>1.42272</v>
      </c>
      <c r="W330" s="18">
        <v>1.3338000000000001</v>
      </c>
      <c r="X330" s="18">
        <v>0.88919999999999999</v>
      </c>
      <c r="Y330" s="18">
        <v>3.952E-2</v>
      </c>
      <c r="Z330" s="18">
        <v>0.17537</v>
      </c>
      <c r="AA330" s="18">
        <v>0.25688</v>
      </c>
      <c r="AB330" s="18">
        <v>0.45694999999999997</v>
      </c>
      <c r="AC330" s="18">
        <v>0.14079</v>
      </c>
      <c r="AD330" s="18">
        <v>0.74099999999999999</v>
      </c>
    </row>
    <row r="331" spans="2:30" x14ac:dyDescent="0.25">
      <c r="B331" t="s">
        <v>269</v>
      </c>
      <c r="C331" t="s">
        <v>105</v>
      </c>
      <c r="D331" t="s">
        <v>752</v>
      </c>
      <c r="E331" s="35">
        <v>0.9</v>
      </c>
      <c r="F331" s="35">
        <v>6.6</v>
      </c>
      <c r="G331" s="36">
        <v>2.47E-3</v>
      </c>
      <c r="H331" s="18">
        <v>4.4452980000000002</v>
      </c>
      <c r="I331" s="16" t="s">
        <v>746</v>
      </c>
      <c r="J331" s="16"/>
      <c r="K331" s="16"/>
      <c r="L331" s="37"/>
      <c r="M331" s="37"/>
      <c r="N331" s="37"/>
      <c r="O331" s="37"/>
      <c r="P331" s="37"/>
      <c r="Q331" s="18">
        <v>2.717E-2</v>
      </c>
      <c r="R331" s="18">
        <v>1.8525E-4</v>
      </c>
      <c r="S331" s="18">
        <v>5.1869999999999999E-2</v>
      </c>
      <c r="T331" s="18">
        <v>0.2223</v>
      </c>
      <c r="U331" s="18">
        <v>0.11115</v>
      </c>
      <c r="V331" s="18">
        <v>1.42272</v>
      </c>
      <c r="W331" s="18">
        <v>1.3338000000000001</v>
      </c>
      <c r="X331" s="18">
        <v>0.88919999999999999</v>
      </c>
      <c r="Y331" s="18">
        <v>3.952E-2</v>
      </c>
      <c r="Z331" s="18">
        <v>0.17537</v>
      </c>
      <c r="AA331" s="18">
        <v>0.25688</v>
      </c>
      <c r="AB331" s="18">
        <v>0.45694999999999997</v>
      </c>
      <c r="AC331" s="18">
        <v>0.14079</v>
      </c>
      <c r="AD331" s="18">
        <v>0.74099999999999999</v>
      </c>
    </row>
    <row r="332" spans="2:30" x14ac:dyDescent="0.25">
      <c r="B332" t="s">
        <v>269</v>
      </c>
      <c r="C332" t="s">
        <v>105</v>
      </c>
      <c r="D332" t="s">
        <v>752</v>
      </c>
      <c r="E332" s="35">
        <v>0.9</v>
      </c>
      <c r="F332" s="35">
        <v>6.6</v>
      </c>
      <c r="G332" s="36">
        <v>2.47E-3</v>
      </c>
      <c r="H332" s="18">
        <v>4.4452980000000002</v>
      </c>
      <c r="I332" s="16" t="s">
        <v>746</v>
      </c>
      <c r="J332" s="16"/>
      <c r="K332" s="16"/>
      <c r="L332" s="37"/>
      <c r="M332" s="37"/>
      <c r="N332" s="37"/>
      <c r="O332" s="37"/>
      <c r="P332" s="37"/>
      <c r="Q332" s="18">
        <v>2.717E-2</v>
      </c>
      <c r="R332" s="18">
        <v>1.8525E-4</v>
      </c>
      <c r="S332" s="18">
        <v>5.1869999999999999E-2</v>
      </c>
      <c r="T332" s="18">
        <v>0.2223</v>
      </c>
      <c r="U332" s="18">
        <v>0.11115</v>
      </c>
      <c r="V332" s="18">
        <v>1.42272</v>
      </c>
      <c r="W332" s="18">
        <v>1.3338000000000001</v>
      </c>
      <c r="X332" s="18">
        <v>0.88919999999999999</v>
      </c>
      <c r="Y332" s="18">
        <v>3.952E-2</v>
      </c>
      <c r="Z332" s="18">
        <v>0.17537</v>
      </c>
      <c r="AA332" s="18">
        <v>0.25688</v>
      </c>
      <c r="AB332" s="18">
        <v>0.45694999999999997</v>
      </c>
      <c r="AC332" s="18">
        <v>0.14079</v>
      </c>
      <c r="AD332" s="18">
        <v>0.74099999999999999</v>
      </c>
    </row>
    <row r="333" spans="2:30" x14ac:dyDescent="0.25">
      <c r="B333" t="s">
        <v>269</v>
      </c>
      <c r="C333" t="s">
        <v>105</v>
      </c>
      <c r="D333" t="s">
        <v>752</v>
      </c>
      <c r="E333" s="35">
        <v>0.9</v>
      </c>
      <c r="F333" s="35">
        <v>6.6</v>
      </c>
      <c r="G333" s="36">
        <v>2.47E-3</v>
      </c>
      <c r="H333" s="18">
        <v>4.4452980000000002</v>
      </c>
      <c r="I333" s="16" t="s">
        <v>746</v>
      </c>
      <c r="J333" s="16"/>
      <c r="K333" s="16"/>
      <c r="L333" s="37"/>
      <c r="M333" s="37"/>
      <c r="N333" s="37"/>
      <c r="O333" s="37"/>
      <c r="P333" s="37"/>
      <c r="Q333" s="18">
        <v>2.717E-2</v>
      </c>
      <c r="R333" s="18">
        <v>1.8525E-4</v>
      </c>
      <c r="S333" s="18">
        <v>5.1869999999999999E-2</v>
      </c>
      <c r="T333" s="18">
        <v>0.2223</v>
      </c>
      <c r="U333" s="18">
        <v>0.11115</v>
      </c>
      <c r="V333" s="18">
        <v>1.42272</v>
      </c>
      <c r="W333" s="18">
        <v>1.3338000000000001</v>
      </c>
      <c r="X333" s="18">
        <v>0.88919999999999999</v>
      </c>
      <c r="Y333" s="18">
        <v>3.952E-2</v>
      </c>
      <c r="Z333" s="18">
        <v>0.17537</v>
      </c>
      <c r="AA333" s="18">
        <v>0.25688</v>
      </c>
      <c r="AB333" s="18">
        <v>0.45694999999999997</v>
      </c>
      <c r="AC333" s="18">
        <v>0.14079</v>
      </c>
      <c r="AD333" s="18">
        <v>0.74099999999999999</v>
      </c>
    </row>
    <row r="334" spans="2:30" x14ac:dyDescent="0.25">
      <c r="B334" t="s">
        <v>269</v>
      </c>
      <c r="C334" t="s">
        <v>105</v>
      </c>
      <c r="D334" t="s">
        <v>752</v>
      </c>
      <c r="E334" s="35">
        <v>0.9</v>
      </c>
      <c r="F334" s="35">
        <v>6.6</v>
      </c>
      <c r="G334" s="36">
        <v>2.47E-3</v>
      </c>
      <c r="H334" s="18">
        <v>4.4452980000000002</v>
      </c>
      <c r="I334" s="16" t="s">
        <v>746</v>
      </c>
      <c r="J334" s="16"/>
      <c r="K334" s="16"/>
      <c r="L334" s="37"/>
      <c r="M334" s="37"/>
      <c r="N334" s="37"/>
      <c r="O334" s="37"/>
      <c r="P334" s="37"/>
      <c r="Q334" s="18">
        <v>2.717E-2</v>
      </c>
      <c r="R334" s="18">
        <v>1.8525E-4</v>
      </c>
      <c r="S334" s="18">
        <v>5.1869999999999999E-2</v>
      </c>
      <c r="T334" s="18">
        <v>0.2223</v>
      </c>
      <c r="U334" s="18">
        <v>0.11115</v>
      </c>
      <c r="V334" s="18">
        <v>1.42272</v>
      </c>
      <c r="W334" s="18">
        <v>1.3338000000000001</v>
      </c>
      <c r="X334" s="18">
        <v>0.88919999999999999</v>
      </c>
      <c r="Y334" s="18">
        <v>3.952E-2</v>
      </c>
      <c r="Z334" s="18">
        <v>0.17537</v>
      </c>
      <c r="AA334" s="18">
        <v>0.25688</v>
      </c>
      <c r="AB334" s="18">
        <v>0.45694999999999997</v>
      </c>
      <c r="AC334" s="18">
        <v>0.14079</v>
      </c>
      <c r="AD334" s="18">
        <v>0.74099999999999999</v>
      </c>
    </row>
    <row r="335" spans="2:30" x14ac:dyDescent="0.25">
      <c r="B335" t="s">
        <v>269</v>
      </c>
      <c r="C335" t="s">
        <v>105</v>
      </c>
      <c r="D335" t="s">
        <v>752</v>
      </c>
      <c r="E335" s="35">
        <v>0.9</v>
      </c>
      <c r="F335" s="35">
        <v>6.6</v>
      </c>
      <c r="G335" s="36">
        <v>2.47E-3</v>
      </c>
      <c r="H335" s="18">
        <v>4.4452980000000002</v>
      </c>
      <c r="I335" s="16" t="s">
        <v>746</v>
      </c>
      <c r="J335" s="16"/>
      <c r="K335" s="16"/>
      <c r="L335" s="37"/>
      <c r="M335" s="37"/>
      <c r="N335" s="37"/>
      <c r="O335" s="37"/>
      <c r="P335" s="37"/>
      <c r="Q335" s="18">
        <v>2.717E-2</v>
      </c>
      <c r="R335" s="18">
        <v>1.8525E-4</v>
      </c>
      <c r="S335" s="18">
        <v>5.1869999999999999E-2</v>
      </c>
      <c r="T335" s="18">
        <v>0.2223</v>
      </c>
      <c r="U335" s="18">
        <v>0.11115</v>
      </c>
      <c r="V335" s="18">
        <v>1.42272</v>
      </c>
      <c r="W335" s="18">
        <v>1.3338000000000001</v>
      </c>
      <c r="X335" s="18">
        <v>0.88919999999999999</v>
      </c>
      <c r="Y335" s="18">
        <v>3.952E-2</v>
      </c>
      <c r="Z335" s="18">
        <v>0.17537</v>
      </c>
      <c r="AA335" s="18">
        <v>0.25688</v>
      </c>
      <c r="AB335" s="18">
        <v>0.45694999999999997</v>
      </c>
      <c r="AC335" s="18">
        <v>0.14079</v>
      </c>
      <c r="AD335" s="18">
        <v>0.74099999999999999</v>
      </c>
    </row>
    <row r="336" spans="2:30" x14ac:dyDescent="0.25">
      <c r="B336" t="s">
        <v>269</v>
      </c>
      <c r="C336" t="s">
        <v>105</v>
      </c>
      <c r="D336" t="s">
        <v>752</v>
      </c>
      <c r="E336" s="35">
        <v>0.9</v>
      </c>
      <c r="F336" s="35">
        <v>6.6</v>
      </c>
      <c r="G336" s="36">
        <v>2.47E-3</v>
      </c>
      <c r="H336" s="18">
        <v>4.4452980000000002</v>
      </c>
      <c r="I336" s="16" t="s">
        <v>746</v>
      </c>
      <c r="J336" s="16"/>
      <c r="K336" s="16"/>
      <c r="L336" s="37"/>
      <c r="M336" s="37"/>
      <c r="N336" s="37"/>
      <c r="O336" s="37"/>
      <c r="P336" s="37"/>
      <c r="Q336" s="18">
        <v>2.717E-2</v>
      </c>
      <c r="R336" s="18">
        <v>1.8525E-4</v>
      </c>
      <c r="S336" s="18">
        <v>5.1869999999999999E-2</v>
      </c>
      <c r="T336" s="18">
        <v>0.2223</v>
      </c>
      <c r="U336" s="18">
        <v>0.11115</v>
      </c>
      <c r="V336" s="18">
        <v>1.42272</v>
      </c>
      <c r="W336" s="18">
        <v>1.3338000000000001</v>
      </c>
      <c r="X336" s="18">
        <v>0.88919999999999999</v>
      </c>
      <c r="Y336" s="18">
        <v>3.952E-2</v>
      </c>
      <c r="Z336" s="18">
        <v>0.17537</v>
      </c>
      <c r="AA336" s="18">
        <v>0.25688</v>
      </c>
      <c r="AB336" s="18">
        <v>0.45694999999999997</v>
      </c>
      <c r="AC336" s="18">
        <v>0.14079</v>
      </c>
      <c r="AD336" s="18">
        <v>0.74099999999999999</v>
      </c>
    </row>
    <row r="337" spans="2:30" x14ac:dyDescent="0.25">
      <c r="B337" t="s">
        <v>269</v>
      </c>
      <c r="C337" t="s">
        <v>105</v>
      </c>
      <c r="D337" t="s">
        <v>752</v>
      </c>
      <c r="E337" s="35">
        <v>0.9</v>
      </c>
      <c r="F337" s="35">
        <v>6.6</v>
      </c>
      <c r="G337" s="36">
        <v>2.47E-3</v>
      </c>
      <c r="H337" s="18">
        <v>4.4452980000000002</v>
      </c>
      <c r="I337" s="16" t="s">
        <v>746</v>
      </c>
      <c r="J337" s="16"/>
      <c r="K337" s="16"/>
      <c r="L337" s="37"/>
      <c r="M337" s="37"/>
      <c r="N337" s="37"/>
      <c r="O337" s="37"/>
      <c r="P337" s="37"/>
      <c r="Q337" s="18">
        <v>2.717E-2</v>
      </c>
      <c r="R337" s="18">
        <v>1.8525E-4</v>
      </c>
      <c r="S337" s="18">
        <v>5.1869999999999999E-2</v>
      </c>
      <c r="T337" s="18">
        <v>0.2223</v>
      </c>
      <c r="U337" s="18">
        <v>0.11115</v>
      </c>
      <c r="V337" s="18">
        <v>1.42272</v>
      </c>
      <c r="W337" s="18">
        <v>1.3338000000000001</v>
      </c>
      <c r="X337" s="18">
        <v>0.88919999999999999</v>
      </c>
      <c r="Y337" s="18">
        <v>3.952E-2</v>
      </c>
      <c r="Z337" s="18">
        <v>0.17537</v>
      </c>
      <c r="AA337" s="18">
        <v>0.25688</v>
      </c>
      <c r="AB337" s="18">
        <v>0.45694999999999997</v>
      </c>
      <c r="AC337" s="18">
        <v>0.14079</v>
      </c>
      <c r="AD337" s="18">
        <v>0.74099999999999999</v>
      </c>
    </row>
    <row r="338" spans="2:30" x14ac:dyDescent="0.25">
      <c r="B338" t="s">
        <v>269</v>
      </c>
      <c r="C338" t="s">
        <v>105</v>
      </c>
      <c r="D338" t="s">
        <v>752</v>
      </c>
      <c r="E338" s="35">
        <v>0.9</v>
      </c>
      <c r="F338" s="35">
        <v>6.6</v>
      </c>
      <c r="G338" s="36">
        <v>2.47E-3</v>
      </c>
      <c r="H338" s="18">
        <v>4.4452980000000002</v>
      </c>
      <c r="I338" s="16" t="s">
        <v>746</v>
      </c>
      <c r="J338" s="16"/>
      <c r="K338" s="16"/>
      <c r="L338" s="37"/>
      <c r="M338" s="37"/>
      <c r="N338" s="37"/>
      <c r="O338" s="37"/>
      <c r="P338" s="37"/>
      <c r="Q338" s="18">
        <v>2.717E-2</v>
      </c>
      <c r="R338" s="18">
        <v>1.8525E-4</v>
      </c>
      <c r="S338" s="18">
        <v>5.1869999999999999E-2</v>
      </c>
      <c r="T338" s="18">
        <v>0.2223</v>
      </c>
      <c r="U338" s="18">
        <v>0.11115</v>
      </c>
      <c r="V338" s="18">
        <v>1.42272</v>
      </c>
      <c r="W338" s="18">
        <v>1.3338000000000001</v>
      </c>
      <c r="X338" s="18">
        <v>0.88919999999999999</v>
      </c>
      <c r="Y338" s="18">
        <v>3.952E-2</v>
      </c>
      <c r="Z338" s="18">
        <v>0.17537</v>
      </c>
      <c r="AA338" s="18">
        <v>0.25688</v>
      </c>
      <c r="AB338" s="18">
        <v>0.45694999999999997</v>
      </c>
      <c r="AC338" s="18">
        <v>0.14079</v>
      </c>
      <c r="AD338" s="18">
        <v>0.74099999999999999</v>
      </c>
    </row>
    <row r="339" spans="2:30" x14ac:dyDescent="0.25">
      <c r="B339" t="s">
        <v>269</v>
      </c>
      <c r="C339" t="s">
        <v>105</v>
      </c>
      <c r="D339" t="s">
        <v>752</v>
      </c>
      <c r="E339" s="35">
        <v>0.9</v>
      </c>
      <c r="F339" s="35">
        <v>6.6</v>
      </c>
      <c r="G339" s="36">
        <v>2.47E-3</v>
      </c>
      <c r="H339" s="18">
        <v>4.4452980000000002</v>
      </c>
      <c r="I339" s="16" t="s">
        <v>746</v>
      </c>
      <c r="J339" s="16"/>
      <c r="K339" s="16"/>
      <c r="L339" s="37"/>
      <c r="M339" s="37"/>
      <c r="N339" s="37"/>
      <c r="O339" s="37"/>
      <c r="P339" s="37"/>
      <c r="Q339" s="18">
        <v>2.717E-2</v>
      </c>
      <c r="R339" s="18">
        <v>1.8525E-4</v>
      </c>
      <c r="S339" s="18">
        <v>5.1869999999999999E-2</v>
      </c>
      <c r="T339" s="18">
        <v>0.2223</v>
      </c>
      <c r="U339" s="18">
        <v>0.11115</v>
      </c>
      <c r="V339" s="18">
        <v>1.42272</v>
      </c>
      <c r="W339" s="18">
        <v>1.3338000000000001</v>
      </c>
      <c r="X339" s="18">
        <v>0.88919999999999999</v>
      </c>
      <c r="Y339" s="18">
        <v>3.952E-2</v>
      </c>
      <c r="Z339" s="18">
        <v>0.17537</v>
      </c>
      <c r="AA339" s="18">
        <v>0.25688</v>
      </c>
      <c r="AB339" s="18">
        <v>0.45694999999999997</v>
      </c>
      <c r="AC339" s="18">
        <v>0.14079</v>
      </c>
      <c r="AD339" s="18">
        <v>0.74099999999999999</v>
      </c>
    </row>
    <row r="340" spans="2:30" x14ac:dyDescent="0.25">
      <c r="B340" t="s">
        <v>269</v>
      </c>
      <c r="C340" t="s">
        <v>105</v>
      </c>
      <c r="D340" t="s">
        <v>752</v>
      </c>
      <c r="E340" s="35">
        <v>0.9</v>
      </c>
      <c r="F340" s="35">
        <v>6.6</v>
      </c>
      <c r="G340" s="36">
        <v>2.47E-3</v>
      </c>
      <c r="H340" s="18">
        <v>4.4452980000000002</v>
      </c>
      <c r="I340" s="16" t="s">
        <v>746</v>
      </c>
      <c r="J340" s="16"/>
      <c r="K340" s="16"/>
      <c r="L340" s="37"/>
      <c r="M340" s="37"/>
      <c r="N340" s="37"/>
      <c r="O340" s="37"/>
      <c r="P340" s="37"/>
      <c r="Q340" s="18">
        <v>2.717E-2</v>
      </c>
      <c r="R340" s="18">
        <v>1.8525E-4</v>
      </c>
      <c r="S340" s="18">
        <v>5.1869999999999999E-2</v>
      </c>
      <c r="T340" s="18">
        <v>0.2223</v>
      </c>
      <c r="U340" s="18">
        <v>0.11115</v>
      </c>
      <c r="V340" s="18">
        <v>1.42272</v>
      </c>
      <c r="W340" s="18">
        <v>1.3338000000000001</v>
      </c>
      <c r="X340" s="18">
        <v>0.88919999999999999</v>
      </c>
      <c r="Y340" s="18">
        <v>3.952E-2</v>
      </c>
      <c r="Z340" s="18">
        <v>0.17537</v>
      </c>
      <c r="AA340" s="18">
        <v>0.25688</v>
      </c>
      <c r="AB340" s="18">
        <v>0.45694999999999997</v>
      </c>
      <c r="AC340" s="18">
        <v>0.14079</v>
      </c>
      <c r="AD340" s="18">
        <v>0.74099999999999999</v>
      </c>
    </row>
    <row r="341" spans="2:30" x14ac:dyDescent="0.25">
      <c r="B341" t="s">
        <v>269</v>
      </c>
      <c r="C341" t="s">
        <v>105</v>
      </c>
      <c r="D341" t="s">
        <v>752</v>
      </c>
      <c r="E341" s="35">
        <v>0.9</v>
      </c>
      <c r="F341" s="35">
        <v>6.6</v>
      </c>
      <c r="G341" s="36">
        <v>2.47E-3</v>
      </c>
      <c r="H341" s="18">
        <v>4.4452980000000002</v>
      </c>
      <c r="I341" s="16" t="s">
        <v>746</v>
      </c>
      <c r="J341" s="16"/>
      <c r="K341" s="16"/>
      <c r="L341" s="37"/>
      <c r="M341" s="37"/>
      <c r="N341" s="37"/>
      <c r="O341" s="37"/>
      <c r="P341" s="37"/>
      <c r="Q341" s="18">
        <v>2.717E-2</v>
      </c>
      <c r="R341" s="18">
        <v>1.8525E-4</v>
      </c>
      <c r="S341" s="18">
        <v>5.1869999999999999E-2</v>
      </c>
      <c r="T341" s="18">
        <v>0.2223</v>
      </c>
      <c r="U341" s="18">
        <v>0.11115</v>
      </c>
      <c r="V341" s="18">
        <v>1.42272</v>
      </c>
      <c r="W341" s="18">
        <v>1.3338000000000001</v>
      </c>
      <c r="X341" s="18">
        <v>0.88919999999999999</v>
      </c>
      <c r="Y341" s="18">
        <v>3.952E-2</v>
      </c>
      <c r="Z341" s="18">
        <v>0.17537</v>
      </c>
      <c r="AA341" s="18">
        <v>0.25688</v>
      </c>
      <c r="AB341" s="18">
        <v>0.45694999999999997</v>
      </c>
      <c r="AC341" s="18">
        <v>0.14079</v>
      </c>
      <c r="AD341" s="18">
        <v>0.74099999999999999</v>
      </c>
    </row>
    <row r="342" spans="2:30" x14ac:dyDescent="0.25">
      <c r="B342" t="s">
        <v>269</v>
      </c>
      <c r="C342" t="s">
        <v>105</v>
      </c>
      <c r="D342" t="s">
        <v>752</v>
      </c>
      <c r="E342" s="35">
        <v>0.9</v>
      </c>
      <c r="F342" s="35">
        <v>6.6</v>
      </c>
      <c r="G342" s="36">
        <v>2.47E-3</v>
      </c>
      <c r="H342" s="18">
        <v>4.4452980000000002</v>
      </c>
      <c r="I342" s="16" t="s">
        <v>746</v>
      </c>
      <c r="J342" s="16"/>
      <c r="K342" s="16"/>
      <c r="L342" s="37"/>
      <c r="M342" s="37"/>
      <c r="N342" s="37"/>
      <c r="O342" s="37"/>
      <c r="P342" s="37"/>
      <c r="Q342" s="18">
        <v>2.717E-2</v>
      </c>
      <c r="R342" s="18">
        <v>1.8525E-4</v>
      </c>
      <c r="S342" s="18">
        <v>5.1869999999999999E-2</v>
      </c>
      <c r="T342" s="18">
        <v>0.2223</v>
      </c>
      <c r="U342" s="18">
        <v>0.11115</v>
      </c>
      <c r="V342" s="18">
        <v>1.42272</v>
      </c>
      <c r="W342" s="18">
        <v>1.3338000000000001</v>
      </c>
      <c r="X342" s="18">
        <v>0.88919999999999999</v>
      </c>
      <c r="Y342" s="18">
        <v>3.952E-2</v>
      </c>
      <c r="Z342" s="18">
        <v>0.17537</v>
      </c>
      <c r="AA342" s="18">
        <v>0.25688</v>
      </c>
      <c r="AB342" s="18">
        <v>0.45694999999999997</v>
      </c>
      <c r="AC342" s="18">
        <v>0.14079</v>
      </c>
      <c r="AD342" s="18">
        <v>0.74099999999999999</v>
      </c>
    </row>
    <row r="343" spans="2:30" x14ac:dyDescent="0.25">
      <c r="B343" t="s">
        <v>269</v>
      </c>
      <c r="C343" t="s">
        <v>105</v>
      </c>
      <c r="D343" t="s">
        <v>752</v>
      </c>
      <c r="E343" s="35">
        <v>0.9</v>
      </c>
      <c r="F343" s="35">
        <v>6.6</v>
      </c>
      <c r="G343" s="36">
        <v>2.47E-3</v>
      </c>
      <c r="H343" s="18">
        <v>4.4452980000000002</v>
      </c>
      <c r="I343" s="16" t="s">
        <v>746</v>
      </c>
      <c r="J343" s="16"/>
      <c r="K343" s="16"/>
      <c r="L343" s="37"/>
      <c r="M343" s="37"/>
      <c r="N343" s="37"/>
      <c r="O343" s="37"/>
      <c r="P343" s="37"/>
      <c r="Q343" s="18">
        <v>2.717E-2</v>
      </c>
      <c r="R343" s="18">
        <v>1.8525E-4</v>
      </c>
      <c r="S343" s="18">
        <v>5.1869999999999999E-2</v>
      </c>
      <c r="T343" s="18">
        <v>0.2223</v>
      </c>
      <c r="U343" s="18">
        <v>0.11115</v>
      </c>
      <c r="V343" s="18">
        <v>1.42272</v>
      </c>
      <c r="W343" s="18">
        <v>1.3338000000000001</v>
      </c>
      <c r="X343" s="18">
        <v>0.88919999999999999</v>
      </c>
      <c r="Y343" s="18">
        <v>3.952E-2</v>
      </c>
      <c r="Z343" s="18">
        <v>0.17537</v>
      </c>
      <c r="AA343" s="18">
        <v>0.25688</v>
      </c>
      <c r="AB343" s="18">
        <v>0.45694999999999997</v>
      </c>
      <c r="AC343" s="18">
        <v>0.14079</v>
      </c>
      <c r="AD343" s="18">
        <v>0.74099999999999999</v>
      </c>
    </row>
    <row r="344" spans="2:30" x14ac:dyDescent="0.25">
      <c r="B344" t="s">
        <v>269</v>
      </c>
      <c r="C344" t="s">
        <v>105</v>
      </c>
      <c r="D344" t="s">
        <v>752</v>
      </c>
      <c r="E344" s="35">
        <v>0.9</v>
      </c>
      <c r="F344" s="35">
        <v>6.6</v>
      </c>
      <c r="G344" s="36">
        <v>2.47E-3</v>
      </c>
      <c r="H344" s="18">
        <v>4.4452980000000002</v>
      </c>
      <c r="I344" s="16" t="s">
        <v>746</v>
      </c>
      <c r="J344" s="16"/>
      <c r="K344" s="16"/>
      <c r="L344" s="37"/>
      <c r="M344" s="37"/>
      <c r="N344" s="37"/>
      <c r="O344" s="37"/>
      <c r="P344" s="37"/>
      <c r="Q344" s="18">
        <v>2.717E-2</v>
      </c>
      <c r="R344" s="18">
        <v>1.8525E-4</v>
      </c>
      <c r="S344" s="18">
        <v>5.1869999999999999E-2</v>
      </c>
      <c r="T344" s="18">
        <v>0.2223</v>
      </c>
      <c r="U344" s="18">
        <v>0.11115</v>
      </c>
      <c r="V344" s="18">
        <v>1.42272</v>
      </c>
      <c r="W344" s="18">
        <v>1.3338000000000001</v>
      </c>
      <c r="X344" s="18">
        <v>0.88919999999999999</v>
      </c>
      <c r="Y344" s="18">
        <v>3.952E-2</v>
      </c>
      <c r="Z344" s="18">
        <v>0.17537</v>
      </c>
      <c r="AA344" s="18">
        <v>0.25688</v>
      </c>
      <c r="AB344" s="18">
        <v>0.45694999999999997</v>
      </c>
      <c r="AC344" s="18">
        <v>0.14079</v>
      </c>
      <c r="AD344" s="18">
        <v>0.74099999999999999</v>
      </c>
    </row>
    <row r="345" spans="2:30" x14ac:dyDescent="0.25">
      <c r="B345" t="s">
        <v>269</v>
      </c>
      <c r="C345" t="s">
        <v>105</v>
      </c>
      <c r="D345" t="s">
        <v>752</v>
      </c>
      <c r="E345" s="35">
        <v>0.9</v>
      </c>
      <c r="F345" s="35">
        <v>6.6</v>
      </c>
      <c r="G345" s="36">
        <v>2.47E-3</v>
      </c>
      <c r="H345" s="18">
        <v>4.4452980000000002</v>
      </c>
      <c r="I345" s="16" t="s">
        <v>746</v>
      </c>
      <c r="J345" s="16"/>
      <c r="K345" s="16"/>
      <c r="L345" s="37"/>
      <c r="M345" s="37"/>
      <c r="N345" s="37"/>
      <c r="O345" s="37"/>
      <c r="P345" s="37"/>
      <c r="Q345" s="18">
        <v>2.717E-2</v>
      </c>
      <c r="R345" s="18">
        <v>1.8525E-4</v>
      </c>
      <c r="S345" s="18">
        <v>5.1869999999999999E-2</v>
      </c>
      <c r="T345" s="18">
        <v>0.2223</v>
      </c>
      <c r="U345" s="18">
        <v>0.11115</v>
      </c>
      <c r="V345" s="18">
        <v>1.42272</v>
      </c>
      <c r="W345" s="18">
        <v>1.3338000000000001</v>
      </c>
      <c r="X345" s="18">
        <v>0.88919999999999999</v>
      </c>
      <c r="Y345" s="18">
        <v>3.952E-2</v>
      </c>
      <c r="Z345" s="18">
        <v>0.17537</v>
      </c>
      <c r="AA345" s="18">
        <v>0.25688</v>
      </c>
      <c r="AB345" s="18">
        <v>0.45694999999999997</v>
      </c>
      <c r="AC345" s="18">
        <v>0.14079</v>
      </c>
      <c r="AD345" s="18">
        <v>0.74099999999999999</v>
      </c>
    </row>
    <row r="346" spans="2:30" x14ac:dyDescent="0.25">
      <c r="B346" t="s">
        <v>269</v>
      </c>
      <c r="C346" t="s">
        <v>105</v>
      </c>
      <c r="D346" t="s">
        <v>752</v>
      </c>
      <c r="E346" s="35">
        <v>0.9</v>
      </c>
      <c r="F346" s="35">
        <v>6.6</v>
      </c>
      <c r="G346" s="36">
        <v>2.47E-3</v>
      </c>
      <c r="H346" s="18">
        <v>4.4452980000000002</v>
      </c>
      <c r="I346" s="16" t="s">
        <v>746</v>
      </c>
      <c r="J346" s="16"/>
      <c r="K346" s="16"/>
      <c r="L346" s="37"/>
      <c r="M346" s="37"/>
      <c r="N346" s="37"/>
      <c r="O346" s="37"/>
      <c r="P346" s="37"/>
      <c r="Q346" s="18">
        <v>2.717E-2</v>
      </c>
      <c r="R346" s="18">
        <v>1.8525E-4</v>
      </c>
      <c r="S346" s="18">
        <v>5.1869999999999999E-2</v>
      </c>
      <c r="T346" s="18">
        <v>0.2223</v>
      </c>
      <c r="U346" s="18">
        <v>0.11115</v>
      </c>
      <c r="V346" s="18">
        <v>1.42272</v>
      </c>
      <c r="W346" s="18">
        <v>1.3338000000000001</v>
      </c>
      <c r="X346" s="18">
        <v>0.88919999999999999</v>
      </c>
      <c r="Y346" s="18">
        <v>3.952E-2</v>
      </c>
      <c r="Z346" s="18">
        <v>0.17537</v>
      </c>
      <c r="AA346" s="18">
        <v>0.25688</v>
      </c>
      <c r="AB346" s="18">
        <v>0.45694999999999997</v>
      </c>
      <c r="AC346" s="18">
        <v>0.14079</v>
      </c>
      <c r="AD346" s="18">
        <v>0.74099999999999999</v>
      </c>
    </row>
    <row r="347" spans="2:30" x14ac:dyDescent="0.25">
      <c r="B347" t="s">
        <v>269</v>
      </c>
      <c r="C347" t="s">
        <v>105</v>
      </c>
      <c r="D347" t="s">
        <v>752</v>
      </c>
      <c r="E347" s="35">
        <v>0.9</v>
      </c>
      <c r="F347" s="35">
        <v>6.6</v>
      </c>
      <c r="G347" s="36">
        <v>2.47E-3</v>
      </c>
      <c r="H347" s="18">
        <v>4.4452980000000002</v>
      </c>
      <c r="I347" s="16" t="s">
        <v>746</v>
      </c>
      <c r="J347" s="16"/>
      <c r="K347" s="16"/>
      <c r="L347" s="37"/>
      <c r="M347" s="37"/>
      <c r="N347" s="37"/>
      <c r="O347" s="37"/>
      <c r="P347" s="37"/>
      <c r="Q347" s="18">
        <v>2.717E-2</v>
      </c>
      <c r="R347" s="18">
        <v>1.8525E-4</v>
      </c>
      <c r="S347" s="18">
        <v>5.1869999999999999E-2</v>
      </c>
      <c r="T347" s="18">
        <v>0.2223</v>
      </c>
      <c r="U347" s="18">
        <v>0.11115</v>
      </c>
      <c r="V347" s="18">
        <v>1.42272</v>
      </c>
      <c r="W347" s="18">
        <v>1.3338000000000001</v>
      </c>
      <c r="X347" s="18">
        <v>0.88919999999999999</v>
      </c>
      <c r="Y347" s="18">
        <v>3.952E-2</v>
      </c>
      <c r="Z347" s="18">
        <v>0.17537</v>
      </c>
      <c r="AA347" s="18">
        <v>0.25688</v>
      </c>
      <c r="AB347" s="18">
        <v>0.45694999999999997</v>
      </c>
      <c r="AC347" s="18">
        <v>0.14079</v>
      </c>
      <c r="AD347" s="18">
        <v>0.74099999999999999</v>
      </c>
    </row>
    <row r="348" spans="2:30" x14ac:dyDescent="0.25">
      <c r="B348" t="s">
        <v>269</v>
      </c>
      <c r="C348" t="s">
        <v>105</v>
      </c>
      <c r="D348" t="s">
        <v>752</v>
      </c>
      <c r="E348" s="35">
        <v>0.9</v>
      </c>
      <c r="F348" s="35">
        <v>6.6</v>
      </c>
      <c r="G348" s="36">
        <v>2.47E-3</v>
      </c>
      <c r="H348" s="18">
        <v>4.4452980000000002</v>
      </c>
      <c r="I348" s="16" t="s">
        <v>746</v>
      </c>
      <c r="J348" s="16"/>
      <c r="K348" s="16"/>
      <c r="L348" s="37"/>
      <c r="M348" s="37"/>
      <c r="N348" s="37"/>
      <c r="O348" s="37"/>
      <c r="P348" s="37"/>
      <c r="Q348" s="18">
        <v>2.717E-2</v>
      </c>
      <c r="R348" s="18">
        <v>1.8525E-4</v>
      </c>
      <c r="S348" s="18">
        <v>5.1869999999999999E-2</v>
      </c>
      <c r="T348" s="18">
        <v>0.2223</v>
      </c>
      <c r="U348" s="18">
        <v>0.11115</v>
      </c>
      <c r="V348" s="18">
        <v>1.42272</v>
      </c>
      <c r="W348" s="18">
        <v>1.3338000000000001</v>
      </c>
      <c r="X348" s="18">
        <v>0.88919999999999999</v>
      </c>
      <c r="Y348" s="18">
        <v>3.952E-2</v>
      </c>
      <c r="Z348" s="18">
        <v>0.17537</v>
      </c>
      <c r="AA348" s="18">
        <v>0.25688</v>
      </c>
      <c r="AB348" s="18">
        <v>0.45694999999999997</v>
      </c>
      <c r="AC348" s="18">
        <v>0.14079</v>
      </c>
      <c r="AD348" s="18">
        <v>0.74099999999999999</v>
      </c>
    </row>
    <row r="349" spans="2:30" x14ac:dyDescent="0.25">
      <c r="B349" t="s">
        <v>269</v>
      </c>
      <c r="C349" t="s">
        <v>105</v>
      </c>
      <c r="D349" t="s">
        <v>752</v>
      </c>
      <c r="E349" s="35">
        <v>0.9</v>
      </c>
      <c r="F349" s="35">
        <v>6.6</v>
      </c>
      <c r="G349" s="36">
        <v>2.47E-3</v>
      </c>
      <c r="H349" s="18">
        <v>4.4452980000000002</v>
      </c>
      <c r="I349" s="16" t="s">
        <v>746</v>
      </c>
      <c r="J349" s="16"/>
      <c r="K349" s="16"/>
      <c r="L349" s="37"/>
      <c r="M349" s="37"/>
      <c r="N349" s="37"/>
      <c r="O349" s="37"/>
      <c r="P349" s="37"/>
      <c r="Q349" s="18">
        <v>2.717E-2</v>
      </c>
      <c r="R349" s="18">
        <v>1.8525E-4</v>
      </c>
      <c r="S349" s="18">
        <v>5.1869999999999999E-2</v>
      </c>
      <c r="T349" s="18">
        <v>0.2223</v>
      </c>
      <c r="U349" s="18">
        <v>0.11115</v>
      </c>
      <c r="V349" s="18">
        <v>1.42272</v>
      </c>
      <c r="W349" s="18">
        <v>1.3338000000000001</v>
      </c>
      <c r="X349" s="18">
        <v>0.88919999999999999</v>
      </c>
      <c r="Y349" s="18">
        <v>3.952E-2</v>
      </c>
      <c r="Z349" s="18">
        <v>0.17537</v>
      </c>
      <c r="AA349" s="18">
        <v>0.25688</v>
      </c>
      <c r="AB349" s="18">
        <v>0.45694999999999997</v>
      </c>
      <c r="AC349" s="18">
        <v>0.14079</v>
      </c>
      <c r="AD349" s="18">
        <v>0.74099999999999999</v>
      </c>
    </row>
    <row r="350" spans="2:30" x14ac:dyDescent="0.25">
      <c r="B350" t="s">
        <v>269</v>
      </c>
      <c r="C350" t="s">
        <v>105</v>
      </c>
      <c r="D350" t="s">
        <v>752</v>
      </c>
      <c r="E350" s="35">
        <v>0.9</v>
      </c>
      <c r="F350" s="35">
        <v>6.6</v>
      </c>
      <c r="G350" s="36">
        <v>2.47E-3</v>
      </c>
      <c r="H350" s="18">
        <v>4.4452980000000002</v>
      </c>
      <c r="I350" s="16" t="s">
        <v>746</v>
      </c>
      <c r="J350" s="16"/>
      <c r="K350" s="16"/>
      <c r="L350" s="37"/>
      <c r="M350" s="37"/>
      <c r="N350" s="37"/>
      <c r="O350" s="37"/>
      <c r="P350" s="37"/>
      <c r="Q350" s="18">
        <v>2.717E-2</v>
      </c>
      <c r="R350" s="18">
        <v>1.8525E-4</v>
      </c>
      <c r="S350" s="18">
        <v>5.1869999999999999E-2</v>
      </c>
      <c r="T350" s="18">
        <v>0.2223</v>
      </c>
      <c r="U350" s="18">
        <v>0.11115</v>
      </c>
      <c r="V350" s="18">
        <v>1.42272</v>
      </c>
      <c r="W350" s="18">
        <v>1.3338000000000001</v>
      </c>
      <c r="X350" s="18">
        <v>0.88919999999999999</v>
      </c>
      <c r="Y350" s="18">
        <v>3.952E-2</v>
      </c>
      <c r="Z350" s="18">
        <v>0.17537</v>
      </c>
      <c r="AA350" s="18">
        <v>0.25688</v>
      </c>
      <c r="AB350" s="18">
        <v>0.45694999999999997</v>
      </c>
      <c r="AC350" s="18">
        <v>0.14079</v>
      </c>
      <c r="AD350" s="18">
        <v>0.74099999999999999</v>
      </c>
    </row>
    <row r="351" spans="2:30" x14ac:dyDescent="0.25">
      <c r="B351" t="s">
        <v>269</v>
      </c>
      <c r="C351" t="s">
        <v>105</v>
      </c>
      <c r="D351" t="s">
        <v>752</v>
      </c>
      <c r="E351" s="35">
        <v>0.9</v>
      </c>
      <c r="F351" s="35">
        <v>6.6</v>
      </c>
      <c r="G351" s="36">
        <v>2.47E-3</v>
      </c>
      <c r="H351" s="18">
        <v>4.4452980000000002</v>
      </c>
      <c r="I351" s="16" t="s">
        <v>746</v>
      </c>
      <c r="J351" s="16"/>
      <c r="K351" s="16"/>
      <c r="L351" s="37"/>
      <c r="M351" s="37"/>
      <c r="N351" s="37"/>
      <c r="O351" s="37"/>
      <c r="P351" s="37"/>
      <c r="Q351" s="18">
        <v>2.717E-2</v>
      </c>
      <c r="R351" s="18">
        <v>1.8525E-4</v>
      </c>
      <c r="S351" s="18">
        <v>5.1869999999999999E-2</v>
      </c>
      <c r="T351" s="18">
        <v>0.2223</v>
      </c>
      <c r="U351" s="18">
        <v>0.11115</v>
      </c>
      <c r="V351" s="18">
        <v>1.42272</v>
      </c>
      <c r="W351" s="18">
        <v>1.3338000000000001</v>
      </c>
      <c r="X351" s="18">
        <v>0.88919999999999999</v>
      </c>
      <c r="Y351" s="18">
        <v>3.952E-2</v>
      </c>
      <c r="Z351" s="18">
        <v>0.17537</v>
      </c>
      <c r="AA351" s="18">
        <v>0.25688</v>
      </c>
      <c r="AB351" s="18">
        <v>0.45694999999999997</v>
      </c>
      <c r="AC351" s="18">
        <v>0.14079</v>
      </c>
      <c r="AD351" s="18">
        <v>0.74099999999999999</v>
      </c>
    </row>
    <row r="352" spans="2:30" x14ac:dyDescent="0.25">
      <c r="B352" t="s">
        <v>269</v>
      </c>
      <c r="C352" t="s">
        <v>105</v>
      </c>
      <c r="D352" t="s">
        <v>752</v>
      </c>
      <c r="E352" s="35">
        <v>0.9</v>
      </c>
      <c r="F352" s="35">
        <v>6.6</v>
      </c>
      <c r="G352" s="36">
        <v>2.47E-3</v>
      </c>
      <c r="H352" s="18">
        <v>4.4452980000000002</v>
      </c>
      <c r="I352" s="16" t="s">
        <v>746</v>
      </c>
      <c r="J352" s="16"/>
      <c r="K352" s="16"/>
      <c r="L352" s="37"/>
      <c r="M352" s="37"/>
      <c r="N352" s="37"/>
      <c r="O352" s="37"/>
      <c r="P352" s="37"/>
      <c r="Q352" s="18">
        <v>2.717E-2</v>
      </c>
      <c r="R352" s="18">
        <v>1.8525E-4</v>
      </c>
      <c r="S352" s="18">
        <v>5.1869999999999999E-2</v>
      </c>
      <c r="T352" s="18">
        <v>0.2223</v>
      </c>
      <c r="U352" s="18">
        <v>0.11115</v>
      </c>
      <c r="V352" s="18">
        <v>1.42272</v>
      </c>
      <c r="W352" s="18">
        <v>1.3338000000000001</v>
      </c>
      <c r="X352" s="18">
        <v>0.88919999999999999</v>
      </c>
      <c r="Y352" s="18">
        <v>3.952E-2</v>
      </c>
      <c r="Z352" s="18">
        <v>0.17537</v>
      </c>
      <c r="AA352" s="18">
        <v>0.25688</v>
      </c>
      <c r="AB352" s="18">
        <v>0.45694999999999997</v>
      </c>
      <c r="AC352" s="18">
        <v>0.14079</v>
      </c>
      <c r="AD352" s="18">
        <v>0.74099999999999999</v>
      </c>
    </row>
    <row r="353" spans="2:30" x14ac:dyDescent="0.25">
      <c r="B353" t="s">
        <v>269</v>
      </c>
      <c r="C353" t="s">
        <v>105</v>
      </c>
      <c r="D353" t="s">
        <v>752</v>
      </c>
      <c r="E353" s="35">
        <v>0.9</v>
      </c>
      <c r="F353" s="35">
        <v>6.6</v>
      </c>
      <c r="G353" s="36">
        <v>2.47E-3</v>
      </c>
      <c r="H353" s="18">
        <v>4.4452980000000002</v>
      </c>
      <c r="I353" s="16" t="s">
        <v>746</v>
      </c>
      <c r="J353" s="16"/>
      <c r="K353" s="16"/>
      <c r="L353" s="37"/>
      <c r="M353" s="37"/>
      <c r="N353" s="37"/>
      <c r="O353" s="37"/>
      <c r="P353" s="37"/>
      <c r="Q353" s="18">
        <v>2.717E-2</v>
      </c>
      <c r="R353" s="18">
        <v>1.8525E-4</v>
      </c>
      <c r="S353" s="18">
        <v>5.1869999999999999E-2</v>
      </c>
      <c r="T353" s="18">
        <v>0.2223</v>
      </c>
      <c r="U353" s="18">
        <v>0.11115</v>
      </c>
      <c r="V353" s="18">
        <v>1.42272</v>
      </c>
      <c r="W353" s="18">
        <v>1.3338000000000001</v>
      </c>
      <c r="X353" s="18">
        <v>0.88919999999999999</v>
      </c>
      <c r="Y353" s="18">
        <v>3.952E-2</v>
      </c>
      <c r="Z353" s="18">
        <v>0.17537</v>
      </c>
      <c r="AA353" s="18">
        <v>0.25688</v>
      </c>
      <c r="AB353" s="18">
        <v>0.45694999999999997</v>
      </c>
      <c r="AC353" s="18">
        <v>0.14079</v>
      </c>
      <c r="AD353" s="18">
        <v>0.74099999999999999</v>
      </c>
    </row>
    <row r="354" spans="2:30" x14ac:dyDescent="0.25">
      <c r="B354" t="s">
        <v>269</v>
      </c>
      <c r="C354" t="s">
        <v>105</v>
      </c>
      <c r="D354" t="s">
        <v>752</v>
      </c>
      <c r="E354" s="35">
        <v>0.9</v>
      </c>
      <c r="F354" s="35">
        <v>6.6</v>
      </c>
      <c r="G354" s="36">
        <v>2.47E-3</v>
      </c>
      <c r="H354" s="18">
        <v>4.4452980000000002</v>
      </c>
      <c r="I354" s="16" t="s">
        <v>746</v>
      </c>
      <c r="J354" s="16"/>
      <c r="K354" s="16"/>
      <c r="L354" s="37"/>
      <c r="M354" s="37"/>
      <c r="N354" s="37"/>
      <c r="O354" s="37"/>
      <c r="P354" s="37"/>
      <c r="Q354" s="18">
        <v>2.717E-2</v>
      </c>
      <c r="R354" s="18">
        <v>1.8525E-4</v>
      </c>
      <c r="S354" s="18">
        <v>5.1869999999999999E-2</v>
      </c>
      <c r="T354" s="18">
        <v>0.2223</v>
      </c>
      <c r="U354" s="18">
        <v>0.11115</v>
      </c>
      <c r="V354" s="18">
        <v>1.42272</v>
      </c>
      <c r="W354" s="18">
        <v>1.3338000000000001</v>
      </c>
      <c r="X354" s="18">
        <v>0.88919999999999999</v>
      </c>
      <c r="Y354" s="18">
        <v>3.952E-2</v>
      </c>
      <c r="Z354" s="18">
        <v>0.17537</v>
      </c>
      <c r="AA354" s="18">
        <v>0.25688</v>
      </c>
      <c r="AB354" s="18">
        <v>0.45694999999999997</v>
      </c>
      <c r="AC354" s="18">
        <v>0.14079</v>
      </c>
      <c r="AD354" s="18">
        <v>0.74099999999999999</v>
      </c>
    </row>
    <row r="355" spans="2:30" x14ac:dyDescent="0.25">
      <c r="B355" t="s">
        <v>269</v>
      </c>
      <c r="C355" t="s">
        <v>105</v>
      </c>
      <c r="D355" t="s">
        <v>752</v>
      </c>
      <c r="E355" s="35">
        <v>0.9</v>
      </c>
      <c r="F355" s="35">
        <v>6.6</v>
      </c>
      <c r="G355" s="36">
        <v>2.47E-3</v>
      </c>
      <c r="H355" s="18">
        <v>4.4452980000000002</v>
      </c>
      <c r="I355" s="16" t="s">
        <v>746</v>
      </c>
      <c r="J355" s="16"/>
      <c r="K355" s="16"/>
      <c r="L355" s="37"/>
      <c r="M355" s="37"/>
      <c r="N355" s="37"/>
      <c r="O355" s="37"/>
      <c r="P355" s="37"/>
      <c r="Q355" s="18">
        <v>2.717E-2</v>
      </c>
      <c r="R355" s="18">
        <v>1.8525E-4</v>
      </c>
      <c r="S355" s="18">
        <v>5.1869999999999999E-2</v>
      </c>
      <c r="T355" s="18">
        <v>0.2223</v>
      </c>
      <c r="U355" s="18">
        <v>0.11115</v>
      </c>
      <c r="V355" s="18">
        <v>1.42272</v>
      </c>
      <c r="W355" s="18">
        <v>1.3338000000000001</v>
      </c>
      <c r="X355" s="18">
        <v>0.88919999999999999</v>
      </c>
      <c r="Y355" s="18">
        <v>3.952E-2</v>
      </c>
      <c r="Z355" s="18">
        <v>0.17537</v>
      </c>
      <c r="AA355" s="18">
        <v>0.25688</v>
      </c>
      <c r="AB355" s="18">
        <v>0.45694999999999997</v>
      </c>
      <c r="AC355" s="18">
        <v>0.14079</v>
      </c>
      <c r="AD355" s="18">
        <v>0.74099999999999999</v>
      </c>
    </row>
    <row r="356" spans="2:30" x14ac:dyDescent="0.25">
      <c r="B356" t="s">
        <v>269</v>
      </c>
      <c r="C356" t="s">
        <v>105</v>
      </c>
      <c r="D356" t="s">
        <v>752</v>
      </c>
      <c r="E356" s="35">
        <v>0.9</v>
      </c>
      <c r="F356" s="35">
        <v>6.6</v>
      </c>
      <c r="G356" s="36">
        <v>2.47E-3</v>
      </c>
      <c r="H356" s="18">
        <v>4.4452980000000002</v>
      </c>
      <c r="I356" s="16" t="s">
        <v>746</v>
      </c>
      <c r="J356" s="16"/>
      <c r="K356" s="16"/>
      <c r="L356" s="37"/>
      <c r="M356" s="37"/>
      <c r="N356" s="37"/>
      <c r="O356" s="37"/>
      <c r="P356" s="37"/>
      <c r="Q356" s="18">
        <v>2.717E-2</v>
      </c>
      <c r="R356" s="18">
        <v>1.8525E-4</v>
      </c>
      <c r="S356" s="18">
        <v>5.1869999999999999E-2</v>
      </c>
      <c r="T356" s="18">
        <v>0.2223</v>
      </c>
      <c r="U356" s="18">
        <v>0.11115</v>
      </c>
      <c r="V356" s="18">
        <v>1.42272</v>
      </c>
      <c r="W356" s="18">
        <v>1.3338000000000001</v>
      </c>
      <c r="X356" s="18">
        <v>0.88919999999999999</v>
      </c>
      <c r="Y356" s="18">
        <v>3.952E-2</v>
      </c>
      <c r="Z356" s="18">
        <v>0.17537</v>
      </c>
      <c r="AA356" s="18">
        <v>0.25688</v>
      </c>
      <c r="AB356" s="18">
        <v>0.45694999999999997</v>
      </c>
      <c r="AC356" s="18">
        <v>0.14079</v>
      </c>
      <c r="AD356" s="18">
        <v>0.74099999999999999</v>
      </c>
    </row>
    <row r="357" spans="2:30" x14ac:dyDescent="0.25">
      <c r="B357" t="s">
        <v>269</v>
      </c>
      <c r="C357" t="s">
        <v>105</v>
      </c>
      <c r="D357" t="s">
        <v>752</v>
      </c>
      <c r="E357" s="35">
        <v>0.9</v>
      </c>
      <c r="F357" s="35">
        <v>6.6</v>
      </c>
      <c r="G357" s="36">
        <v>2.47E-3</v>
      </c>
      <c r="H357" s="18">
        <v>4.4452980000000002</v>
      </c>
      <c r="I357" s="16" t="s">
        <v>746</v>
      </c>
      <c r="J357" s="16"/>
      <c r="K357" s="16"/>
      <c r="L357" s="37"/>
      <c r="M357" s="37"/>
      <c r="N357" s="37"/>
      <c r="O357" s="37"/>
      <c r="P357" s="37"/>
      <c r="Q357" s="18">
        <v>2.717E-2</v>
      </c>
      <c r="R357" s="18">
        <v>1.8525E-4</v>
      </c>
      <c r="S357" s="18">
        <v>5.1869999999999999E-2</v>
      </c>
      <c r="T357" s="18">
        <v>0.2223</v>
      </c>
      <c r="U357" s="18">
        <v>0.11115</v>
      </c>
      <c r="V357" s="18">
        <v>1.42272</v>
      </c>
      <c r="W357" s="18">
        <v>1.3338000000000001</v>
      </c>
      <c r="X357" s="18">
        <v>0.88919999999999999</v>
      </c>
      <c r="Y357" s="18">
        <v>3.952E-2</v>
      </c>
      <c r="Z357" s="18">
        <v>0.17537</v>
      </c>
      <c r="AA357" s="18">
        <v>0.25688</v>
      </c>
      <c r="AB357" s="18">
        <v>0.45694999999999997</v>
      </c>
      <c r="AC357" s="18">
        <v>0.14079</v>
      </c>
      <c r="AD357" s="18">
        <v>0.74099999999999999</v>
      </c>
    </row>
    <row r="358" spans="2:30" x14ac:dyDescent="0.25">
      <c r="B358" t="s">
        <v>269</v>
      </c>
      <c r="C358" t="s">
        <v>105</v>
      </c>
      <c r="D358" t="s">
        <v>752</v>
      </c>
      <c r="E358" s="35">
        <v>0.9</v>
      </c>
      <c r="F358" s="35">
        <v>6.6</v>
      </c>
      <c r="G358" s="36">
        <v>2.47E-3</v>
      </c>
      <c r="H358" s="18">
        <v>4.4452980000000002</v>
      </c>
      <c r="I358" s="16" t="s">
        <v>746</v>
      </c>
      <c r="J358" s="16"/>
      <c r="K358" s="16"/>
      <c r="L358" s="37"/>
      <c r="M358" s="37"/>
      <c r="N358" s="37"/>
      <c r="O358" s="37"/>
      <c r="P358" s="37"/>
      <c r="Q358" s="18">
        <v>2.717E-2</v>
      </c>
      <c r="R358" s="18">
        <v>1.8525E-4</v>
      </c>
      <c r="S358" s="18">
        <v>5.1869999999999999E-2</v>
      </c>
      <c r="T358" s="18">
        <v>0.2223</v>
      </c>
      <c r="U358" s="18">
        <v>0.11115</v>
      </c>
      <c r="V358" s="18">
        <v>1.42272</v>
      </c>
      <c r="W358" s="18">
        <v>1.3338000000000001</v>
      </c>
      <c r="X358" s="18">
        <v>0.88919999999999999</v>
      </c>
      <c r="Y358" s="18">
        <v>3.952E-2</v>
      </c>
      <c r="Z358" s="18">
        <v>0.17537</v>
      </c>
      <c r="AA358" s="18">
        <v>0.25688</v>
      </c>
      <c r="AB358" s="18">
        <v>0.45694999999999997</v>
      </c>
      <c r="AC358" s="18">
        <v>0.14079</v>
      </c>
      <c r="AD358" s="18">
        <v>0.74099999999999999</v>
      </c>
    </row>
    <row r="359" spans="2:30" x14ac:dyDescent="0.25">
      <c r="B359" t="s">
        <v>269</v>
      </c>
      <c r="C359" t="s">
        <v>105</v>
      </c>
      <c r="D359" t="s">
        <v>752</v>
      </c>
      <c r="E359" s="35">
        <v>0.9</v>
      </c>
      <c r="F359" s="35">
        <v>6.6</v>
      </c>
      <c r="G359" s="36">
        <v>2.47E-3</v>
      </c>
      <c r="H359" s="18">
        <v>4.4452980000000002</v>
      </c>
      <c r="I359" s="16" t="s">
        <v>746</v>
      </c>
      <c r="J359" s="16"/>
      <c r="K359" s="16"/>
      <c r="L359" s="37"/>
      <c r="M359" s="37"/>
      <c r="N359" s="37"/>
      <c r="O359" s="37"/>
      <c r="P359" s="37"/>
      <c r="Q359" s="18">
        <v>2.717E-2</v>
      </c>
      <c r="R359" s="18">
        <v>1.8525E-4</v>
      </c>
      <c r="S359" s="18">
        <v>5.1869999999999999E-2</v>
      </c>
      <c r="T359" s="18">
        <v>0.2223</v>
      </c>
      <c r="U359" s="18">
        <v>0.11115</v>
      </c>
      <c r="V359" s="18">
        <v>1.42272</v>
      </c>
      <c r="W359" s="18">
        <v>1.3338000000000001</v>
      </c>
      <c r="X359" s="18">
        <v>0.88919999999999999</v>
      </c>
      <c r="Y359" s="18">
        <v>3.952E-2</v>
      </c>
      <c r="Z359" s="18">
        <v>0.17537</v>
      </c>
      <c r="AA359" s="18">
        <v>0.25688</v>
      </c>
      <c r="AB359" s="18">
        <v>0.45694999999999997</v>
      </c>
      <c r="AC359" s="18">
        <v>0.14079</v>
      </c>
      <c r="AD359" s="18">
        <v>0.74099999999999999</v>
      </c>
    </row>
    <row r="360" spans="2:30" x14ac:dyDescent="0.25">
      <c r="B360" t="s">
        <v>269</v>
      </c>
      <c r="C360" t="s">
        <v>105</v>
      </c>
      <c r="D360" t="s">
        <v>752</v>
      </c>
      <c r="E360" s="35">
        <v>0.9</v>
      </c>
      <c r="F360" s="35">
        <v>6.6</v>
      </c>
      <c r="G360" s="36">
        <v>2.47E-3</v>
      </c>
      <c r="H360" s="18">
        <v>4.4452980000000002</v>
      </c>
      <c r="I360" s="16" t="s">
        <v>746</v>
      </c>
      <c r="J360" s="16"/>
      <c r="K360" s="16"/>
      <c r="L360" s="37"/>
      <c r="M360" s="37"/>
      <c r="N360" s="37"/>
      <c r="O360" s="37"/>
      <c r="P360" s="37"/>
      <c r="Q360" s="18">
        <v>2.717E-2</v>
      </c>
      <c r="R360" s="18">
        <v>1.8525E-4</v>
      </c>
      <c r="S360" s="18">
        <v>5.1869999999999999E-2</v>
      </c>
      <c r="T360" s="18">
        <v>0.2223</v>
      </c>
      <c r="U360" s="18">
        <v>0.11115</v>
      </c>
      <c r="V360" s="18">
        <v>1.42272</v>
      </c>
      <c r="W360" s="18">
        <v>1.3338000000000001</v>
      </c>
      <c r="X360" s="18">
        <v>0.88919999999999999</v>
      </c>
      <c r="Y360" s="18">
        <v>3.952E-2</v>
      </c>
      <c r="Z360" s="18">
        <v>0.17537</v>
      </c>
      <c r="AA360" s="18">
        <v>0.25688</v>
      </c>
      <c r="AB360" s="18">
        <v>0.45694999999999997</v>
      </c>
      <c r="AC360" s="18">
        <v>0.14079</v>
      </c>
      <c r="AD360" s="18">
        <v>0.74099999999999999</v>
      </c>
    </row>
    <row r="361" spans="2:30" x14ac:dyDescent="0.25">
      <c r="B361" t="s">
        <v>269</v>
      </c>
      <c r="C361" t="s">
        <v>105</v>
      </c>
      <c r="D361" t="s">
        <v>752</v>
      </c>
      <c r="E361" s="35">
        <v>0.9</v>
      </c>
      <c r="F361" s="35">
        <v>6.6</v>
      </c>
      <c r="G361" s="36">
        <v>2.47E-3</v>
      </c>
      <c r="H361" s="18">
        <v>4.4452980000000002</v>
      </c>
      <c r="I361" s="16" t="s">
        <v>746</v>
      </c>
      <c r="J361" s="16"/>
      <c r="K361" s="16"/>
      <c r="L361" s="37"/>
      <c r="M361" s="37"/>
      <c r="N361" s="37"/>
      <c r="O361" s="37"/>
      <c r="P361" s="37"/>
      <c r="Q361" s="18">
        <v>2.717E-2</v>
      </c>
      <c r="R361" s="18">
        <v>1.8525E-4</v>
      </c>
      <c r="S361" s="18">
        <v>5.1869999999999999E-2</v>
      </c>
      <c r="T361" s="18">
        <v>0.2223</v>
      </c>
      <c r="U361" s="18">
        <v>0.11115</v>
      </c>
      <c r="V361" s="18">
        <v>1.42272</v>
      </c>
      <c r="W361" s="18">
        <v>1.3338000000000001</v>
      </c>
      <c r="X361" s="18">
        <v>0.88919999999999999</v>
      </c>
      <c r="Y361" s="18">
        <v>3.952E-2</v>
      </c>
      <c r="Z361" s="18">
        <v>0.17537</v>
      </c>
      <c r="AA361" s="18">
        <v>0.25688</v>
      </c>
      <c r="AB361" s="18">
        <v>0.45694999999999997</v>
      </c>
      <c r="AC361" s="18">
        <v>0.14079</v>
      </c>
      <c r="AD361" s="18">
        <v>0.74099999999999999</v>
      </c>
    </row>
    <row r="362" spans="2:30" x14ac:dyDescent="0.25">
      <c r="B362" t="s">
        <v>269</v>
      </c>
      <c r="C362" t="s">
        <v>105</v>
      </c>
      <c r="D362" t="s">
        <v>752</v>
      </c>
      <c r="E362" s="35">
        <v>0.9</v>
      </c>
      <c r="F362" s="35">
        <v>6.6</v>
      </c>
      <c r="G362" s="36">
        <v>2.47E-3</v>
      </c>
      <c r="H362" s="18">
        <v>4.4452980000000002</v>
      </c>
      <c r="I362" s="16" t="s">
        <v>746</v>
      </c>
      <c r="J362" s="16"/>
      <c r="K362" s="16"/>
      <c r="L362" s="37"/>
      <c r="M362" s="37"/>
      <c r="N362" s="37"/>
      <c r="O362" s="37"/>
      <c r="P362" s="37"/>
      <c r="Q362" s="18">
        <v>2.717E-2</v>
      </c>
      <c r="R362" s="18">
        <v>1.8525E-4</v>
      </c>
      <c r="S362" s="18">
        <v>5.1869999999999999E-2</v>
      </c>
      <c r="T362" s="18">
        <v>0.2223</v>
      </c>
      <c r="U362" s="18">
        <v>0.11115</v>
      </c>
      <c r="V362" s="18">
        <v>1.42272</v>
      </c>
      <c r="W362" s="18">
        <v>1.3338000000000001</v>
      </c>
      <c r="X362" s="18">
        <v>0.88919999999999999</v>
      </c>
      <c r="Y362" s="18">
        <v>3.952E-2</v>
      </c>
      <c r="Z362" s="18">
        <v>0.17537</v>
      </c>
      <c r="AA362" s="18">
        <v>0.25688</v>
      </c>
      <c r="AB362" s="18">
        <v>0.45694999999999997</v>
      </c>
      <c r="AC362" s="18">
        <v>0.14079</v>
      </c>
      <c r="AD362" s="18">
        <v>0.74099999999999999</v>
      </c>
    </row>
    <row r="363" spans="2:30" x14ac:dyDescent="0.25">
      <c r="B363" t="s">
        <v>269</v>
      </c>
      <c r="C363" t="s">
        <v>105</v>
      </c>
      <c r="D363" t="s">
        <v>752</v>
      </c>
      <c r="E363" s="35">
        <v>0.9</v>
      </c>
      <c r="F363" s="35">
        <v>6.6</v>
      </c>
      <c r="G363" s="36">
        <v>2.47E-3</v>
      </c>
      <c r="H363" s="18">
        <v>4.4452980000000002</v>
      </c>
      <c r="I363" s="16" t="s">
        <v>746</v>
      </c>
      <c r="J363" s="16"/>
      <c r="K363" s="16"/>
      <c r="L363" s="37"/>
      <c r="M363" s="37"/>
      <c r="N363" s="37"/>
      <c r="O363" s="37"/>
      <c r="P363" s="37"/>
      <c r="Q363" s="18">
        <v>2.717E-2</v>
      </c>
      <c r="R363" s="18">
        <v>1.8525E-4</v>
      </c>
      <c r="S363" s="18">
        <v>5.1869999999999999E-2</v>
      </c>
      <c r="T363" s="18">
        <v>0.2223</v>
      </c>
      <c r="U363" s="18">
        <v>0.11115</v>
      </c>
      <c r="V363" s="18">
        <v>1.42272</v>
      </c>
      <c r="W363" s="18">
        <v>1.3338000000000001</v>
      </c>
      <c r="X363" s="18">
        <v>0.88919999999999999</v>
      </c>
      <c r="Y363" s="18">
        <v>3.952E-2</v>
      </c>
      <c r="Z363" s="18">
        <v>0.17537</v>
      </c>
      <c r="AA363" s="18">
        <v>0.25688</v>
      </c>
      <c r="AB363" s="18">
        <v>0.45694999999999997</v>
      </c>
      <c r="AC363" s="18">
        <v>0.14079</v>
      </c>
      <c r="AD363" s="18">
        <v>0.74099999999999999</v>
      </c>
    </row>
    <row r="364" spans="2:30" x14ac:dyDescent="0.25">
      <c r="B364" t="s">
        <v>269</v>
      </c>
      <c r="C364" t="s">
        <v>105</v>
      </c>
      <c r="D364" t="s">
        <v>752</v>
      </c>
      <c r="E364" s="35">
        <v>0.9</v>
      </c>
      <c r="F364" s="35">
        <v>6.6</v>
      </c>
      <c r="G364" s="36">
        <v>2.47E-3</v>
      </c>
      <c r="H364" s="18">
        <v>4.4452980000000002</v>
      </c>
      <c r="I364" s="16" t="s">
        <v>746</v>
      </c>
      <c r="J364" s="16"/>
      <c r="K364" s="16"/>
      <c r="L364" s="37"/>
      <c r="M364" s="37"/>
      <c r="N364" s="37"/>
      <c r="O364" s="37"/>
      <c r="P364" s="37"/>
      <c r="Q364" s="18">
        <v>2.717E-2</v>
      </c>
      <c r="R364" s="18">
        <v>1.8525E-4</v>
      </c>
      <c r="S364" s="18">
        <v>5.1869999999999999E-2</v>
      </c>
      <c r="T364" s="18">
        <v>0.2223</v>
      </c>
      <c r="U364" s="18">
        <v>0.11115</v>
      </c>
      <c r="V364" s="18">
        <v>1.42272</v>
      </c>
      <c r="W364" s="18">
        <v>1.3338000000000001</v>
      </c>
      <c r="X364" s="18">
        <v>0.88919999999999999</v>
      </c>
      <c r="Y364" s="18">
        <v>3.952E-2</v>
      </c>
      <c r="Z364" s="18">
        <v>0.17537</v>
      </c>
      <c r="AA364" s="18">
        <v>0.25688</v>
      </c>
      <c r="AB364" s="18">
        <v>0.45694999999999997</v>
      </c>
      <c r="AC364" s="18">
        <v>0.14079</v>
      </c>
      <c r="AD364" s="18">
        <v>0.74099999999999999</v>
      </c>
    </row>
    <row r="365" spans="2:30" x14ac:dyDescent="0.25">
      <c r="B365" t="s">
        <v>269</v>
      </c>
      <c r="C365" t="s">
        <v>105</v>
      </c>
      <c r="D365" t="s">
        <v>752</v>
      </c>
      <c r="E365" s="35">
        <v>0.9</v>
      </c>
      <c r="F365" s="35">
        <v>6.6</v>
      </c>
      <c r="G365" s="36">
        <v>2.47E-3</v>
      </c>
      <c r="H365" s="18">
        <v>4.4452980000000002</v>
      </c>
      <c r="I365" s="16" t="s">
        <v>746</v>
      </c>
      <c r="J365" s="16"/>
      <c r="K365" s="16"/>
      <c r="L365" s="37"/>
      <c r="M365" s="37"/>
      <c r="N365" s="37"/>
      <c r="O365" s="37"/>
      <c r="P365" s="37"/>
      <c r="Q365" s="18">
        <v>2.717E-2</v>
      </c>
      <c r="R365" s="18">
        <v>1.8525E-4</v>
      </c>
      <c r="S365" s="18">
        <v>5.1869999999999999E-2</v>
      </c>
      <c r="T365" s="18">
        <v>0.2223</v>
      </c>
      <c r="U365" s="18">
        <v>0.11115</v>
      </c>
      <c r="V365" s="18">
        <v>1.42272</v>
      </c>
      <c r="W365" s="18">
        <v>1.3338000000000001</v>
      </c>
      <c r="X365" s="18">
        <v>0.88919999999999999</v>
      </c>
      <c r="Y365" s="18">
        <v>3.952E-2</v>
      </c>
      <c r="Z365" s="18">
        <v>0.17537</v>
      </c>
      <c r="AA365" s="18">
        <v>0.25688</v>
      </c>
      <c r="AB365" s="18">
        <v>0.45694999999999997</v>
      </c>
      <c r="AC365" s="18">
        <v>0.14079</v>
      </c>
      <c r="AD365" s="18">
        <v>0.74099999999999999</v>
      </c>
    </row>
    <row r="366" spans="2:30" x14ac:dyDescent="0.25">
      <c r="B366" t="s">
        <v>269</v>
      </c>
      <c r="C366" t="s">
        <v>105</v>
      </c>
      <c r="D366" t="s">
        <v>752</v>
      </c>
      <c r="E366" s="35">
        <v>0.9</v>
      </c>
      <c r="F366" s="35">
        <v>6.6</v>
      </c>
      <c r="G366" s="36">
        <v>2.47E-3</v>
      </c>
      <c r="H366" s="18">
        <v>4.4452980000000002</v>
      </c>
      <c r="I366" s="16" t="s">
        <v>746</v>
      </c>
      <c r="J366" s="16"/>
      <c r="K366" s="16"/>
      <c r="L366" s="37"/>
      <c r="M366" s="37"/>
      <c r="N366" s="37"/>
      <c r="O366" s="37"/>
      <c r="P366" s="37"/>
      <c r="Q366" s="18">
        <v>2.717E-2</v>
      </c>
      <c r="R366" s="18">
        <v>1.8525E-4</v>
      </c>
      <c r="S366" s="18">
        <v>5.1869999999999999E-2</v>
      </c>
      <c r="T366" s="18">
        <v>0.2223</v>
      </c>
      <c r="U366" s="18">
        <v>0.11115</v>
      </c>
      <c r="V366" s="18">
        <v>1.42272</v>
      </c>
      <c r="W366" s="18">
        <v>1.3338000000000001</v>
      </c>
      <c r="X366" s="18">
        <v>0.88919999999999999</v>
      </c>
      <c r="Y366" s="18">
        <v>3.952E-2</v>
      </c>
      <c r="Z366" s="18">
        <v>0.17537</v>
      </c>
      <c r="AA366" s="18">
        <v>0.25688</v>
      </c>
      <c r="AB366" s="18">
        <v>0.45694999999999997</v>
      </c>
      <c r="AC366" s="18">
        <v>0.14079</v>
      </c>
      <c r="AD366" s="18">
        <v>0.74099999999999999</v>
      </c>
    </row>
    <row r="367" spans="2:30" x14ac:dyDescent="0.25">
      <c r="B367" t="s">
        <v>269</v>
      </c>
      <c r="C367" t="s">
        <v>105</v>
      </c>
      <c r="D367" t="s">
        <v>752</v>
      </c>
      <c r="E367" s="35">
        <v>0.9</v>
      </c>
      <c r="F367" s="35">
        <v>6.6</v>
      </c>
      <c r="G367" s="36">
        <v>2.47E-3</v>
      </c>
      <c r="H367" s="18">
        <v>4.4452980000000002</v>
      </c>
      <c r="I367" s="16" t="s">
        <v>746</v>
      </c>
      <c r="J367" s="16"/>
      <c r="K367" s="16"/>
      <c r="L367" s="37"/>
      <c r="M367" s="37"/>
      <c r="N367" s="37"/>
      <c r="O367" s="37"/>
      <c r="P367" s="37"/>
      <c r="Q367" s="18">
        <v>2.717E-2</v>
      </c>
      <c r="R367" s="18">
        <v>1.8525E-4</v>
      </c>
      <c r="S367" s="18">
        <v>5.1869999999999999E-2</v>
      </c>
      <c r="T367" s="18">
        <v>0.2223</v>
      </c>
      <c r="U367" s="18">
        <v>0.11115</v>
      </c>
      <c r="V367" s="18">
        <v>1.42272</v>
      </c>
      <c r="W367" s="18">
        <v>1.3338000000000001</v>
      </c>
      <c r="X367" s="18">
        <v>0.88919999999999999</v>
      </c>
      <c r="Y367" s="18">
        <v>3.952E-2</v>
      </c>
      <c r="Z367" s="18">
        <v>0.17537</v>
      </c>
      <c r="AA367" s="18">
        <v>0.25688</v>
      </c>
      <c r="AB367" s="18">
        <v>0.45694999999999997</v>
      </c>
      <c r="AC367" s="18">
        <v>0.14079</v>
      </c>
      <c r="AD367" s="18">
        <v>0.74099999999999999</v>
      </c>
    </row>
    <row r="368" spans="2:30" x14ac:dyDescent="0.25">
      <c r="B368" t="s">
        <v>269</v>
      </c>
      <c r="C368" t="s">
        <v>105</v>
      </c>
      <c r="D368" t="s">
        <v>752</v>
      </c>
      <c r="E368" s="35">
        <v>0.9</v>
      </c>
      <c r="F368" s="35">
        <v>6.6</v>
      </c>
      <c r="G368" s="36">
        <v>2.47E-3</v>
      </c>
      <c r="H368" s="18">
        <v>4.4452980000000002</v>
      </c>
      <c r="I368" s="16" t="s">
        <v>746</v>
      </c>
      <c r="J368" s="16"/>
      <c r="K368" s="16"/>
      <c r="L368" s="37"/>
      <c r="M368" s="37"/>
      <c r="N368" s="37"/>
      <c r="O368" s="37"/>
      <c r="P368" s="37"/>
      <c r="Q368" s="18">
        <v>2.717E-2</v>
      </c>
      <c r="R368" s="18">
        <v>1.8525E-4</v>
      </c>
      <c r="S368" s="18">
        <v>5.1869999999999999E-2</v>
      </c>
      <c r="T368" s="18">
        <v>0.2223</v>
      </c>
      <c r="U368" s="18">
        <v>0.11115</v>
      </c>
      <c r="V368" s="18">
        <v>1.42272</v>
      </c>
      <c r="W368" s="18">
        <v>1.3338000000000001</v>
      </c>
      <c r="X368" s="18">
        <v>0.88919999999999999</v>
      </c>
      <c r="Y368" s="18">
        <v>3.952E-2</v>
      </c>
      <c r="Z368" s="18">
        <v>0.17537</v>
      </c>
      <c r="AA368" s="18">
        <v>0.25688</v>
      </c>
      <c r="AB368" s="18">
        <v>0.45694999999999997</v>
      </c>
      <c r="AC368" s="18">
        <v>0.14079</v>
      </c>
      <c r="AD368" s="18">
        <v>0.74099999999999999</v>
      </c>
    </row>
    <row r="369" spans="2:30" x14ac:dyDescent="0.25">
      <c r="B369" t="s">
        <v>269</v>
      </c>
      <c r="C369" t="s">
        <v>105</v>
      </c>
      <c r="D369" t="s">
        <v>752</v>
      </c>
      <c r="E369" s="35">
        <v>0.9</v>
      </c>
      <c r="F369" s="35">
        <v>6.6</v>
      </c>
      <c r="G369" s="36">
        <v>2.47E-3</v>
      </c>
      <c r="H369" s="18">
        <v>4.4452980000000002</v>
      </c>
      <c r="I369" s="16" t="s">
        <v>746</v>
      </c>
      <c r="J369" s="16"/>
      <c r="K369" s="16"/>
      <c r="L369" s="37"/>
      <c r="M369" s="37"/>
      <c r="N369" s="37"/>
      <c r="O369" s="37"/>
      <c r="P369" s="37"/>
      <c r="Q369" s="18">
        <v>2.717E-2</v>
      </c>
      <c r="R369" s="18">
        <v>1.8525E-4</v>
      </c>
      <c r="S369" s="18">
        <v>5.1869999999999999E-2</v>
      </c>
      <c r="T369" s="18">
        <v>0.2223</v>
      </c>
      <c r="U369" s="18">
        <v>0.11115</v>
      </c>
      <c r="V369" s="18">
        <v>1.42272</v>
      </c>
      <c r="W369" s="18">
        <v>1.3338000000000001</v>
      </c>
      <c r="X369" s="18">
        <v>0.88919999999999999</v>
      </c>
      <c r="Y369" s="18">
        <v>3.952E-2</v>
      </c>
      <c r="Z369" s="18">
        <v>0.17537</v>
      </c>
      <c r="AA369" s="18">
        <v>0.25688</v>
      </c>
      <c r="AB369" s="18">
        <v>0.45694999999999997</v>
      </c>
      <c r="AC369" s="18">
        <v>0.14079</v>
      </c>
      <c r="AD369" s="18">
        <v>0.74099999999999999</v>
      </c>
    </row>
    <row r="370" spans="2:30" x14ac:dyDescent="0.25">
      <c r="B370" t="s">
        <v>269</v>
      </c>
      <c r="C370" t="s">
        <v>105</v>
      </c>
      <c r="D370" t="s">
        <v>752</v>
      </c>
      <c r="E370" s="35">
        <v>0.9</v>
      </c>
      <c r="F370" s="35">
        <v>6.6</v>
      </c>
      <c r="G370" s="36">
        <v>2.47E-3</v>
      </c>
      <c r="H370" s="18">
        <v>4.4452980000000002</v>
      </c>
      <c r="I370" s="16" t="s">
        <v>746</v>
      </c>
      <c r="J370" s="16"/>
      <c r="K370" s="16"/>
      <c r="L370" s="37"/>
      <c r="M370" s="37"/>
      <c r="N370" s="37"/>
      <c r="O370" s="37"/>
      <c r="P370" s="37"/>
      <c r="Q370" s="18">
        <v>2.717E-2</v>
      </c>
      <c r="R370" s="18">
        <v>1.8525E-4</v>
      </c>
      <c r="S370" s="18">
        <v>5.1869999999999999E-2</v>
      </c>
      <c r="T370" s="18">
        <v>0.2223</v>
      </c>
      <c r="U370" s="18">
        <v>0.11115</v>
      </c>
      <c r="V370" s="18">
        <v>1.42272</v>
      </c>
      <c r="W370" s="18">
        <v>1.3338000000000001</v>
      </c>
      <c r="X370" s="18">
        <v>0.88919999999999999</v>
      </c>
      <c r="Y370" s="18">
        <v>3.952E-2</v>
      </c>
      <c r="Z370" s="18">
        <v>0.17537</v>
      </c>
      <c r="AA370" s="18">
        <v>0.25688</v>
      </c>
      <c r="AB370" s="18">
        <v>0.45694999999999997</v>
      </c>
      <c r="AC370" s="18">
        <v>0.14079</v>
      </c>
      <c r="AD370" s="18">
        <v>0.74099999999999999</v>
      </c>
    </row>
    <row r="371" spans="2:30" x14ac:dyDescent="0.25">
      <c r="B371" t="s">
        <v>269</v>
      </c>
      <c r="C371" t="s">
        <v>105</v>
      </c>
      <c r="D371" t="s">
        <v>752</v>
      </c>
      <c r="E371" s="35">
        <v>0.9</v>
      </c>
      <c r="F371" s="35">
        <v>6.6</v>
      </c>
      <c r="G371" s="36">
        <v>2.47E-3</v>
      </c>
      <c r="H371" s="18">
        <v>4.4452980000000002</v>
      </c>
      <c r="I371" s="16" t="s">
        <v>746</v>
      </c>
      <c r="J371" s="16"/>
      <c r="K371" s="16"/>
      <c r="L371" s="37"/>
      <c r="M371" s="37"/>
      <c r="N371" s="37"/>
      <c r="O371" s="37"/>
      <c r="P371" s="37"/>
      <c r="Q371" s="18">
        <v>2.717E-2</v>
      </c>
      <c r="R371" s="18">
        <v>1.8525E-4</v>
      </c>
      <c r="S371" s="18">
        <v>5.1869999999999999E-2</v>
      </c>
      <c r="T371" s="18">
        <v>0.2223</v>
      </c>
      <c r="U371" s="18">
        <v>0.11115</v>
      </c>
      <c r="V371" s="18">
        <v>1.42272</v>
      </c>
      <c r="W371" s="18">
        <v>1.3338000000000001</v>
      </c>
      <c r="X371" s="18">
        <v>0.88919999999999999</v>
      </c>
      <c r="Y371" s="18">
        <v>3.952E-2</v>
      </c>
      <c r="Z371" s="18">
        <v>0.17537</v>
      </c>
      <c r="AA371" s="18">
        <v>0.25688</v>
      </c>
      <c r="AB371" s="18">
        <v>0.45694999999999997</v>
      </c>
      <c r="AC371" s="18">
        <v>0.14079</v>
      </c>
      <c r="AD371" s="18">
        <v>0.74099999999999999</v>
      </c>
    </row>
    <row r="372" spans="2:30" x14ac:dyDescent="0.25">
      <c r="B372" t="s">
        <v>269</v>
      </c>
      <c r="C372" t="s">
        <v>105</v>
      </c>
      <c r="D372" t="s">
        <v>752</v>
      </c>
      <c r="E372" s="35">
        <v>0.9</v>
      </c>
      <c r="F372" s="35">
        <v>6.6</v>
      </c>
      <c r="G372" s="36">
        <v>2.47E-3</v>
      </c>
      <c r="H372" s="18">
        <v>4.4452980000000002</v>
      </c>
      <c r="I372" s="16" t="s">
        <v>746</v>
      </c>
      <c r="J372" s="16"/>
      <c r="K372" s="16"/>
      <c r="L372" s="37"/>
      <c r="M372" s="37"/>
      <c r="N372" s="37"/>
      <c r="O372" s="37"/>
      <c r="P372" s="37"/>
      <c r="Q372" s="18">
        <v>2.717E-2</v>
      </c>
      <c r="R372" s="18">
        <v>1.8525E-4</v>
      </c>
      <c r="S372" s="18">
        <v>5.1869999999999999E-2</v>
      </c>
      <c r="T372" s="18">
        <v>0.2223</v>
      </c>
      <c r="U372" s="18">
        <v>0.11115</v>
      </c>
      <c r="V372" s="18">
        <v>1.42272</v>
      </c>
      <c r="W372" s="18">
        <v>1.3338000000000001</v>
      </c>
      <c r="X372" s="18">
        <v>0.88919999999999999</v>
      </c>
      <c r="Y372" s="18">
        <v>3.952E-2</v>
      </c>
      <c r="Z372" s="18">
        <v>0.17537</v>
      </c>
      <c r="AA372" s="18">
        <v>0.25688</v>
      </c>
      <c r="AB372" s="18">
        <v>0.45694999999999997</v>
      </c>
      <c r="AC372" s="18">
        <v>0.14079</v>
      </c>
      <c r="AD372" s="18">
        <v>0.74099999999999999</v>
      </c>
    </row>
    <row r="373" spans="2:30" x14ac:dyDescent="0.25">
      <c r="B373" t="s">
        <v>269</v>
      </c>
      <c r="C373" t="s">
        <v>105</v>
      </c>
      <c r="D373" t="s">
        <v>752</v>
      </c>
      <c r="E373" s="35">
        <v>0.9</v>
      </c>
      <c r="F373" s="35">
        <v>6.6</v>
      </c>
      <c r="G373" s="36">
        <v>2.47E-3</v>
      </c>
      <c r="H373" s="18">
        <v>4.4452980000000002</v>
      </c>
      <c r="I373" s="16" t="s">
        <v>746</v>
      </c>
      <c r="J373" s="16"/>
      <c r="K373" s="16"/>
      <c r="L373" s="37"/>
      <c r="M373" s="37"/>
      <c r="N373" s="37"/>
      <c r="O373" s="37"/>
      <c r="P373" s="37"/>
      <c r="Q373" s="18">
        <v>2.717E-2</v>
      </c>
      <c r="R373" s="18">
        <v>1.8525E-4</v>
      </c>
      <c r="S373" s="18">
        <v>5.1869999999999999E-2</v>
      </c>
      <c r="T373" s="18">
        <v>0.2223</v>
      </c>
      <c r="U373" s="18">
        <v>0.11115</v>
      </c>
      <c r="V373" s="18">
        <v>1.42272</v>
      </c>
      <c r="W373" s="18">
        <v>1.3338000000000001</v>
      </c>
      <c r="X373" s="18">
        <v>0.88919999999999999</v>
      </c>
      <c r="Y373" s="18">
        <v>3.952E-2</v>
      </c>
      <c r="Z373" s="18">
        <v>0.17537</v>
      </c>
      <c r="AA373" s="18">
        <v>0.25688</v>
      </c>
      <c r="AB373" s="18">
        <v>0.45694999999999997</v>
      </c>
      <c r="AC373" s="18">
        <v>0.14079</v>
      </c>
      <c r="AD373" s="18">
        <v>0.74099999999999999</v>
      </c>
    </row>
    <row r="374" spans="2:30" x14ac:dyDescent="0.25">
      <c r="B374" t="s">
        <v>269</v>
      </c>
      <c r="C374" t="s">
        <v>105</v>
      </c>
      <c r="D374" t="s">
        <v>752</v>
      </c>
      <c r="E374" s="35">
        <v>0.9</v>
      </c>
      <c r="F374" s="35">
        <v>6.6</v>
      </c>
      <c r="G374" s="36">
        <v>2.47E-3</v>
      </c>
      <c r="H374" s="18">
        <v>4.4452980000000002</v>
      </c>
      <c r="I374" s="16" t="s">
        <v>746</v>
      </c>
      <c r="J374" s="16"/>
      <c r="K374" s="16"/>
      <c r="L374" s="37"/>
      <c r="M374" s="37"/>
      <c r="N374" s="37"/>
      <c r="O374" s="37"/>
      <c r="P374" s="37"/>
      <c r="Q374" s="18">
        <v>2.717E-2</v>
      </c>
      <c r="R374" s="18">
        <v>1.8525E-4</v>
      </c>
      <c r="S374" s="18">
        <v>5.1869999999999999E-2</v>
      </c>
      <c r="T374" s="18">
        <v>0.2223</v>
      </c>
      <c r="U374" s="18">
        <v>0.11115</v>
      </c>
      <c r="V374" s="18">
        <v>1.42272</v>
      </c>
      <c r="W374" s="18">
        <v>1.3338000000000001</v>
      </c>
      <c r="X374" s="18">
        <v>0.88919999999999999</v>
      </c>
      <c r="Y374" s="18">
        <v>3.952E-2</v>
      </c>
      <c r="Z374" s="18">
        <v>0.17537</v>
      </c>
      <c r="AA374" s="18">
        <v>0.25688</v>
      </c>
      <c r="AB374" s="18">
        <v>0.45694999999999997</v>
      </c>
      <c r="AC374" s="18">
        <v>0.14079</v>
      </c>
      <c r="AD374" s="18">
        <v>0.74099999999999999</v>
      </c>
    </row>
    <row r="375" spans="2:30" x14ac:dyDescent="0.25">
      <c r="B375" t="s">
        <v>269</v>
      </c>
      <c r="C375" t="s">
        <v>105</v>
      </c>
      <c r="D375" t="s">
        <v>752</v>
      </c>
      <c r="E375" s="35">
        <v>0.9</v>
      </c>
      <c r="F375" s="35">
        <v>6.6</v>
      </c>
      <c r="G375" s="36">
        <v>2.47E-3</v>
      </c>
      <c r="H375" s="18">
        <v>4.4452980000000002</v>
      </c>
      <c r="I375" s="16" t="s">
        <v>746</v>
      </c>
      <c r="J375" s="16"/>
      <c r="K375" s="16"/>
      <c r="L375" s="37"/>
      <c r="M375" s="37"/>
      <c r="N375" s="37"/>
      <c r="O375" s="37"/>
      <c r="P375" s="37"/>
      <c r="Q375" s="18">
        <v>2.717E-2</v>
      </c>
      <c r="R375" s="18">
        <v>1.8525E-4</v>
      </c>
      <c r="S375" s="18">
        <v>5.1869999999999999E-2</v>
      </c>
      <c r="T375" s="18">
        <v>0.2223</v>
      </c>
      <c r="U375" s="18">
        <v>0.11115</v>
      </c>
      <c r="V375" s="18">
        <v>1.42272</v>
      </c>
      <c r="W375" s="18">
        <v>1.3338000000000001</v>
      </c>
      <c r="X375" s="18">
        <v>0.88919999999999999</v>
      </c>
      <c r="Y375" s="18">
        <v>3.952E-2</v>
      </c>
      <c r="Z375" s="18">
        <v>0.17537</v>
      </c>
      <c r="AA375" s="18">
        <v>0.25688</v>
      </c>
      <c r="AB375" s="18">
        <v>0.45694999999999997</v>
      </c>
      <c r="AC375" s="18">
        <v>0.14079</v>
      </c>
      <c r="AD375" s="18">
        <v>0.74099999999999999</v>
      </c>
    </row>
    <row r="376" spans="2:30" x14ac:dyDescent="0.25">
      <c r="B376" t="s">
        <v>269</v>
      </c>
      <c r="C376" t="s">
        <v>105</v>
      </c>
      <c r="D376" t="s">
        <v>752</v>
      </c>
      <c r="E376" s="35">
        <v>0.9</v>
      </c>
      <c r="F376" s="35">
        <v>6.6</v>
      </c>
      <c r="G376" s="36">
        <v>2.47E-3</v>
      </c>
      <c r="H376" s="18">
        <v>4.4452980000000002</v>
      </c>
      <c r="I376" s="16" t="s">
        <v>746</v>
      </c>
      <c r="J376" s="16"/>
      <c r="K376" s="16"/>
      <c r="L376" s="37"/>
      <c r="M376" s="37"/>
      <c r="N376" s="37"/>
      <c r="O376" s="37"/>
      <c r="P376" s="37"/>
      <c r="Q376" s="18">
        <v>2.717E-2</v>
      </c>
      <c r="R376" s="18">
        <v>1.8525E-4</v>
      </c>
      <c r="S376" s="18">
        <v>5.1869999999999999E-2</v>
      </c>
      <c r="T376" s="18">
        <v>0.2223</v>
      </c>
      <c r="U376" s="18">
        <v>0.11115</v>
      </c>
      <c r="V376" s="18">
        <v>1.42272</v>
      </c>
      <c r="W376" s="18">
        <v>1.3338000000000001</v>
      </c>
      <c r="X376" s="18">
        <v>0.88919999999999999</v>
      </c>
      <c r="Y376" s="18">
        <v>3.952E-2</v>
      </c>
      <c r="Z376" s="18">
        <v>0.17537</v>
      </c>
      <c r="AA376" s="18">
        <v>0.25688</v>
      </c>
      <c r="AB376" s="18">
        <v>0.45694999999999997</v>
      </c>
      <c r="AC376" s="18">
        <v>0.14079</v>
      </c>
      <c r="AD376" s="18">
        <v>0.74099999999999999</v>
      </c>
    </row>
    <row r="377" spans="2:30" x14ac:dyDescent="0.25">
      <c r="B377" t="s">
        <v>269</v>
      </c>
      <c r="C377" t="s">
        <v>105</v>
      </c>
      <c r="D377" t="s">
        <v>752</v>
      </c>
      <c r="E377" s="35">
        <v>0.9</v>
      </c>
      <c r="F377" s="35">
        <v>6.6</v>
      </c>
      <c r="G377" s="36">
        <v>2.47E-3</v>
      </c>
      <c r="H377" s="18">
        <v>4.4452980000000002</v>
      </c>
      <c r="I377" s="16" t="s">
        <v>746</v>
      </c>
      <c r="J377" s="16"/>
      <c r="K377" s="16"/>
      <c r="L377" s="37"/>
      <c r="M377" s="37"/>
      <c r="N377" s="37"/>
      <c r="O377" s="37"/>
      <c r="P377" s="37"/>
      <c r="Q377" s="18">
        <v>2.717E-2</v>
      </c>
      <c r="R377" s="18">
        <v>1.8525E-4</v>
      </c>
      <c r="S377" s="18">
        <v>5.1869999999999999E-2</v>
      </c>
      <c r="T377" s="18">
        <v>0.2223</v>
      </c>
      <c r="U377" s="18">
        <v>0.11115</v>
      </c>
      <c r="V377" s="18">
        <v>1.42272</v>
      </c>
      <c r="W377" s="18">
        <v>1.3338000000000001</v>
      </c>
      <c r="X377" s="18">
        <v>0.88919999999999999</v>
      </c>
      <c r="Y377" s="18">
        <v>3.952E-2</v>
      </c>
      <c r="Z377" s="18">
        <v>0.17537</v>
      </c>
      <c r="AA377" s="18">
        <v>0.25688</v>
      </c>
      <c r="AB377" s="18">
        <v>0.45694999999999997</v>
      </c>
      <c r="AC377" s="18">
        <v>0.14079</v>
      </c>
      <c r="AD377" s="18">
        <v>0.74099999999999999</v>
      </c>
    </row>
    <row r="378" spans="2:30" x14ac:dyDescent="0.25">
      <c r="B378" t="s">
        <v>269</v>
      </c>
      <c r="C378" t="s">
        <v>105</v>
      </c>
      <c r="D378" t="s">
        <v>752</v>
      </c>
      <c r="E378" s="35">
        <v>0.9</v>
      </c>
      <c r="F378" s="35">
        <v>6.6</v>
      </c>
      <c r="G378" s="36">
        <v>2.47E-3</v>
      </c>
      <c r="H378" s="18">
        <v>4.4452980000000002</v>
      </c>
      <c r="I378" s="16" t="s">
        <v>746</v>
      </c>
      <c r="J378" s="16"/>
      <c r="K378" s="16"/>
      <c r="L378" s="37"/>
      <c r="M378" s="37"/>
      <c r="N378" s="37"/>
      <c r="O378" s="37"/>
      <c r="P378" s="37"/>
      <c r="Q378" s="18">
        <v>2.717E-2</v>
      </c>
      <c r="R378" s="18">
        <v>1.8525E-4</v>
      </c>
      <c r="S378" s="18">
        <v>5.1869999999999999E-2</v>
      </c>
      <c r="T378" s="18">
        <v>0.2223</v>
      </c>
      <c r="U378" s="18">
        <v>0.11115</v>
      </c>
      <c r="V378" s="18">
        <v>1.42272</v>
      </c>
      <c r="W378" s="18">
        <v>1.3338000000000001</v>
      </c>
      <c r="X378" s="18">
        <v>0.88919999999999999</v>
      </c>
      <c r="Y378" s="18">
        <v>3.952E-2</v>
      </c>
      <c r="Z378" s="18">
        <v>0.17537</v>
      </c>
      <c r="AA378" s="18">
        <v>0.25688</v>
      </c>
      <c r="AB378" s="18">
        <v>0.45694999999999997</v>
      </c>
      <c r="AC378" s="18">
        <v>0.14079</v>
      </c>
      <c r="AD378" s="18">
        <v>0.74099999999999999</v>
      </c>
    </row>
    <row r="379" spans="2:30" x14ac:dyDescent="0.25">
      <c r="B379" t="s">
        <v>269</v>
      </c>
      <c r="C379" t="s">
        <v>105</v>
      </c>
      <c r="D379" t="s">
        <v>752</v>
      </c>
      <c r="E379" s="35">
        <v>0.9</v>
      </c>
      <c r="F379" s="35">
        <v>6.6</v>
      </c>
      <c r="G379" s="36">
        <v>2.47E-3</v>
      </c>
      <c r="H379" s="18">
        <v>4.4452980000000002</v>
      </c>
      <c r="I379" s="16" t="s">
        <v>746</v>
      </c>
      <c r="J379" s="16"/>
      <c r="K379" s="16"/>
      <c r="L379" s="37"/>
      <c r="M379" s="37"/>
      <c r="N379" s="37"/>
      <c r="O379" s="37"/>
      <c r="P379" s="37"/>
      <c r="Q379" s="18">
        <v>2.717E-2</v>
      </c>
      <c r="R379" s="18">
        <v>1.8525E-4</v>
      </c>
      <c r="S379" s="18">
        <v>5.1869999999999999E-2</v>
      </c>
      <c r="T379" s="18">
        <v>0.2223</v>
      </c>
      <c r="U379" s="18">
        <v>0.11115</v>
      </c>
      <c r="V379" s="18">
        <v>1.42272</v>
      </c>
      <c r="W379" s="18">
        <v>1.3338000000000001</v>
      </c>
      <c r="X379" s="18">
        <v>0.88919999999999999</v>
      </c>
      <c r="Y379" s="18">
        <v>3.952E-2</v>
      </c>
      <c r="Z379" s="18">
        <v>0.17537</v>
      </c>
      <c r="AA379" s="18">
        <v>0.25688</v>
      </c>
      <c r="AB379" s="18">
        <v>0.45694999999999997</v>
      </c>
      <c r="AC379" s="18">
        <v>0.14079</v>
      </c>
      <c r="AD379" s="18">
        <v>0.74099999999999999</v>
      </c>
    </row>
    <row r="380" spans="2:30" x14ac:dyDescent="0.25">
      <c r="B380" t="s">
        <v>269</v>
      </c>
      <c r="C380" t="s">
        <v>105</v>
      </c>
      <c r="D380" t="s">
        <v>752</v>
      </c>
      <c r="E380" s="35">
        <v>0.9</v>
      </c>
      <c r="F380" s="35">
        <v>6.6</v>
      </c>
      <c r="G380" s="36">
        <v>2.47E-3</v>
      </c>
      <c r="H380" s="18">
        <v>4.4452980000000002</v>
      </c>
      <c r="I380" s="16" t="s">
        <v>746</v>
      </c>
      <c r="J380" s="16"/>
      <c r="K380" s="16"/>
      <c r="L380" s="37"/>
      <c r="M380" s="37"/>
      <c r="N380" s="37"/>
      <c r="O380" s="37"/>
      <c r="P380" s="37"/>
      <c r="Q380" s="18">
        <v>2.717E-2</v>
      </c>
      <c r="R380" s="18">
        <v>1.8525E-4</v>
      </c>
      <c r="S380" s="18">
        <v>5.1869999999999999E-2</v>
      </c>
      <c r="T380" s="18">
        <v>0.2223</v>
      </c>
      <c r="U380" s="18">
        <v>0.11115</v>
      </c>
      <c r="V380" s="18">
        <v>1.42272</v>
      </c>
      <c r="W380" s="18">
        <v>1.3338000000000001</v>
      </c>
      <c r="X380" s="18">
        <v>0.88919999999999999</v>
      </c>
      <c r="Y380" s="18">
        <v>3.952E-2</v>
      </c>
      <c r="Z380" s="18">
        <v>0.17537</v>
      </c>
      <c r="AA380" s="18">
        <v>0.25688</v>
      </c>
      <c r="AB380" s="18">
        <v>0.45694999999999997</v>
      </c>
      <c r="AC380" s="18">
        <v>0.14079</v>
      </c>
      <c r="AD380" s="18">
        <v>0.74099999999999999</v>
      </c>
    </row>
    <row r="381" spans="2:30" x14ac:dyDescent="0.25">
      <c r="B381" t="s">
        <v>269</v>
      </c>
      <c r="C381" t="s">
        <v>105</v>
      </c>
      <c r="D381" t="s">
        <v>752</v>
      </c>
      <c r="E381" s="35">
        <v>0.9</v>
      </c>
      <c r="F381" s="35">
        <v>6.6</v>
      </c>
      <c r="G381" s="36">
        <v>2.47E-3</v>
      </c>
      <c r="H381" s="18">
        <v>4.4452980000000002</v>
      </c>
      <c r="I381" s="16" t="s">
        <v>746</v>
      </c>
      <c r="J381" s="16"/>
      <c r="K381" s="16"/>
      <c r="L381" s="37"/>
      <c r="M381" s="37"/>
      <c r="N381" s="37"/>
      <c r="O381" s="37"/>
      <c r="P381" s="37"/>
      <c r="Q381" s="18">
        <v>2.717E-2</v>
      </c>
      <c r="R381" s="18">
        <v>1.8525E-4</v>
      </c>
      <c r="S381" s="18">
        <v>5.1869999999999999E-2</v>
      </c>
      <c r="T381" s="18">
        <v>0.2223</v>
      </c>
      <c r="U381" s="18">
        <v>0.11115</v>
      </c>
      <c r="V381" s="18">
        <v>1.42272</v>
      </c>
      <c r="W381" s="18">
        <v>1.3338000000000001</v>
      </c>
      <c r="X381" s="18">
        <v>0.88919999999999999</v>
      </c>
      <c r="Y381" s="18">
        <v>3.952E-2</v>
      </c>
      <c r="Z381" s="18">
        <v>0.17537</v>
      </c>
      <c r="AA381" s="18">
        <v>0.25688</v>
      </c>
      <c r="AB381" s="18">
        <v>0.45694999999999997</v>
      </c>
      <c r="AC381" s="18">
        <v>0.14079</v>
      </c>
      <c r="AD381" s="18">
        <v>0.74099999999999999</v>
      </c>
    </row>
    <row r="382" spans="2:30" x14ac:dyDescent="0.25">
      <c r="B382" t="s">
        <v>269</v>
      </c>
      <c r="C382" t="s">
        <v>105</v>
      </c>
      <c r="D382" t="s">
        <v>752</v>
      </c>
      <c r="E382" s="35">
        <v>0.9</v>
      </c>
      <c r="F382" s="35">
        <v>6.6</v>
      </c>
      <c r="G382" s="36">
        <v>2.47E-3</v>
      </c>
      <c r="H382" s="18">
        <v>4.4452980000000002</v>
      </c>
      <c r="I382" s="16" t="s">
        <v>746</v>
      </c>
      <c r="J382" s="16"/>
      <c r="K382" s="16"/>
      <c r="L382" s="37"/>
      <c r="M382" s="37"/>
      <c r="N382" s="37"/>
      <c r="O382" s="37"/>
      <c r="P382" s="37"/>
      <c r="Q382" s="18">
        <v>2.717E-2</v>
      </c>
      <c r="R382" s="18">
        <v>1.8525E-4</v>
      </c>
      <c r="S382" s="18">
        <v>5.1869999999999999E-2</v>
      </c>
      <c r="T382" s="18">
        <v>0.2223</v>
      </c>
      <c r="U382" s="18">
        <v>0.11115</v>
      </c>
      <c r="V382" s="18">
        <v>1.42272</v>
      </c>
      <c r="W382" s="18">
        <v>1.3338000000000001</v>
      </c>
      <c r="X382" s="18">
        <v>0.88919999999999999</v>
      </c>
      <c r="Y382" s="18">
        <v>3.952E-2</v>
      </c>
      <c r="Z382" s="18">
        <v>0.17537</v>
      </c>
      <c r="AA382" s="18">
        <v>0.25688</v>
      </c>
      <c r="AB382" s="18">
        <v>0.45694999999999997</v>
      </c>
      <c r="AC382" s="18">
        <v>0.14079</v>
      </c>
      <c r="AD382" s="18">
        <v>0.74099999999999999</v>
      </c>
    </row>
    <row r="383" spans="2:30" x14ac:dyDescent="0.25">
      <c r="B383" t="s">
        <v>269</v>
      </c>
      <c r="C383" t="s">
        <v>105</v>
      </c>
      <c r="D383" t="s">
        <v>752</v>
      </c>
      <c r="E383" s="35">
        <v>0.9</v>
      </c>
      <c r="F383" s="35">
        <v>6.6</v>
      </c>
      <c r="G383" s="36">
        <v>2.47E-3</v>
      </c>
      <c r="H383" s="18">
        <v>4.4452980000000002</v>
      </c>
      <c r="I383" s="16" t="s">
        <v>746</v>
      </c>
      <c r="J383" s="16"/>
      <c r="K383" s="16"/>
      <c r="L383" s="37"/>
      <c r="M383" s="37"/>
      <c r="N383" s="37"/>
      <c r="O383" s="37"/>
      <c r="P383" s="37"/>
      <c r="Q383" s="18">
        <v>2.717E-2</v>
      </c>
      <c r="R383" s="18">
        <v>1.8525E-4</v>
      </c>
      <c r="S383" s="18">
        <v>5.1869999999999999E-2</v>
      </c>
      <c r="T383" s="18">
        <v>0.2223</v>
      </c>
      <c r="U383" s="18">
        <v>0.11115</v>
      </c>
      <c r="V383" s="18">
        <v>1.42272</v>
      </c>
      <c r="W383" s="18">
        <v>1.3338000000000001</v>
      </c>
      <c r="X383" s="18">
        <v>0.88919999999999999</v>
      </c>
      <c r="Y383" s="18">
        <v>3.952E-2</v>
      </c>
      <c r="Z383" s="18">
        <v>0.17537</v>
      </c>
      <c r="AA383" s="18">
        <v>0.25688</v>
      </c>
      <c r="AB383" s="18">
        <v>0.45694999999999997</v>
      </c>
      <c r="AC383" s="18">
        <v>0.14079</v>
      </c>
      <c r="AD383" s="18">
        <v>0.74099999999999999</v>
      </c>
    </row>
    <row r="384" spans="2:30" x14ac:dyDescent="0.25">
      <c r="B384" t="s">
        <v>269</v>
      </c>
      <c r="C384" t="s">
        <v>105</v>
      </c>
      <c r="D384" t="s">
        <v>752</v>
      </c>
      <c r="E384" s="35">
        <v>0.9</v>
      </c>
      <c r="F384" s="35">
        <v>6.6</v>
      </c>
      <c r="G384" s="36">
        <v>2.47E-3</v>
      </c>
      <c r="H384" s="18">
        <v>4.4452980000000002</v>
      </c>
      <c r="I384" s="16" t="s">
        <v>746</v>
      </c>
      <c r="J384" s="16"/>
      <c r="K384" s="16"/>
      <c r="L384" s="37"/>
      <c r="M384" s="37"/>
      <c r="N384" s="37"/>
      <c r="O384" s="37"/>
      <c r="P384" s="37"/>
      <c r="Q384" s="18">
        <v>2.717E-2</v>
      </c>
      <c r="R384" s="18">
        <v>1.8525E-4</v>
      </c>
      <c r="S384" s="18">
        <v>5.1869999999999999E-2</v>
      </c>
      <c r="T384" s="18">
        <v>0.2223</v>
      </c>
      <c r="U384" s="18">
        <v>0.11115</v>
      </c>
      <c r="V384" s="18">
        <v>1.42272</v>
      </c>
      <c r="W384" s="18">
        <v>1.3338000000000001</v>
      </c>
      <c r="X384" s="18">
        <v>0.88919999999999999</v>
      </c>
      <c r="Y384" s="18">
        <v>3.952E-2</v>
      </c>
      <c r="Z384" s="18">
        <v>0.17537</v>
      </c>
      <c r="AA384" s="18">
        <v>0.25688</v>
      </c>
      <c r="AB384" s="18">
        <v>0.45694999999999997</v>
      </c>
      <c r="AC384" s="18">
        <v>0.14079</v>
      </c>
      <c r="AD384" s="18">
        <v>0.74099999999999999</v>
      </c>
    </row>
    <row r="385" spans="2:30" x14ac:dyDescent="0.25">
      <c r="B385" t="s">
        <v>269</v>
      </c>
      <c r="C385" t="s">
        <v>105</v>
      </c>
      <c r="D385" t="s">
        <v>752</v>
      </c>
      <c r="E385" s="35">
        <v>0.9</v>
      </c>
      <c r="F385" s="35">
        <v>6.6</v>
      </c>
      <c r="G385" s="36">
        <v>2.47E-3</v>
      </c>
      <c r="H385" s="18">
        <v>4.4452980000000002</v>
      </c>
      <c r="I385" s="16" t="s">
        <v>746</v>
      </c>
      <c r="J385" s="16"/>
      <c r="K385" s="16"/>
      <c r="L385" s="37"/>
      <c r="M385" s="37"/>
      <c r="N385" s="37"/>
      <c r="O385" s="37"/>
      <c r="P385" s="37"/>
      <c r="Q385" s="18">
        <v>2.717E-2</v>
      </c>
      <c r="R385" s="18">
        <v>1.8525E-4</v>
      </c>
      <c r="S385" s="18">
        <v>5.1869999999999999E-2</v>
      </c>
      <c r="T385" s="18">
        <v>0.2223</v>
      </c>
      <c r="U385" s="18">
        <v>0.11115</v>
      </c>
      <c r="V385" s="18">
        <v>1.42272</v>
      </c>
      <c r="W385" s="18">
        <v>1.3338000000000001</v>
      </c>
      <c r="X385" s="18">
        <v>0.88919999999999999</v>
      </c>
      <c r="Y385" s="18">
        <v>3.952E-2</v>
      </c>
      <c r="Z385" s="18">
        <v>0.17537</v>
      </c>
      <c r="AA385" s="18">
        <v>0.25688</v>
      </c>
      <c r="AB385" s="18">
        <v>0.45694999999999997</v>
      </c>
      <c r="AC385" s="18">
        <v>0.14079</v>
      </c>
      <c r="AD385" s="18">
        <v>0.74099999999999999</v>
      </c>
    </row>
    <row r="386" spans="2:30" x14ac:dyDescent="0.25">
      <c r="B386" t="s">
        <v>269</v>
      </c>
      <c r="C386" t="s">
        <v>105</v>
      </c>
      <c r="D386" t="s">
        <v>752</v>
      </c>
      <c r="E386" s="35">
        <v>0.9</v>
      </c>
      <c r="F386" s="35">
        <v>6.6</v>
      </c>
      <c r="G386" s="36">
        <v>2.47E-3</v>
      </c>
      <c r="H386" s="18">
        <v>4.4452980000000002</v>
      </c>
      <c r="I386" s="16" t="s">
        <v>746</v>
      </c>
      <c r="J386" s="16"/>
      <c r="K386" s="16"/>
      <c r="L386" s="37"/>
      <c r="M386" s="37"/>
      <c r="N386" s="37"/>
      <c r="O386" s="37"/>
      <c r="P386" s="37"/>
      <c r="Q386" s="18">
        <v>2.717E-2</v>
      </c>
      <c r="R386" s="18">
        <v>1.8525E-4</v>
      </c>
      <c r="S386" s="18">
        <v>5.1869999999999999E-2</v>
      </c>
      <c r="T386" s="18">
        <v>0.2223</v>
      </c>
      <c r="U386" s="18">
        <v>0.11115</v>
      </c>
      <c r="V386" s="18">
        <v>1.42272</v>
      </c>
      <c r="W386" s="18">
        <v>1.3338000000000001</v>
      </c>
      <c r="X386" s="18">
        <v>0.88919999999999999</v>
      </c>
      <c r="Y386" s="18">
        <v>3.952E-2</v>
      </c>
      <c r="Z386" s="18">
        <v>0.17537</v>
      </c>
      <c r="AA386" s="18">
        <v>0.25688</v>
      </c>
      <c r="AB386" s="18">
        <v>0.45694999999999997</v>
      </c>
      <c r="AC386" s="18">
        <v>0.14079</v>
      </c>
      <c r="AD386" s="18">
        <v>0.74099999999999999</v>
      </c>
    </row>
    <row r="387" spans="2:30" x14ac:dyDescent="0.25">
      <c r="B387" t="s">
        <v>269</v>
      </c>
      <c r="C387" t="s">
        <v>105</v>
      </c>
      <c r="D387" t="s">
        <v>752</v>
      </c>
      <c r="E387" s="35">
        <v>0.9</v>
      </c>
      <c r="F387" s="35">
        <v>6.6</v>
      </c>
      <c r="G387" s="36">
        <v>2.47E-3</v>
      </c>
      <c r="H387" s="18">
        <v>4.4452980000000002</v>
      </c>
      <c r="I387" s="16" t="s">
        <v>746</v>
      </c>
      <c r="J387" s="16"/>
      <c r="K387" s="16"/>
      <c r="L387" s="37"/>
      <c r="M387" s="37"/>
      <c r="N387" s="37"/>
      <c r="O387" s="37"/>
      <c r="P387" s="37"/>
      <c r="Q387" s="18">
        <v>2.717E-2</v>
      </c>
      <c r="R387" s="18">
        <v>1.8525E-4</v>
      </c>
      <c r="S387" s="18">
        <v>5.1869999999999999E-2</v>
      </c>
      <c r="T387" s="18">
        <v>0.2223</v>
      </c>
      <c r="U387" s="18">
        <v>0.11115</v>
      </c>
      <c r="V387" s="18">
        <v>1.42272</v>
      </c>
      <c r="W387" s="18">
        <v>1.3338000000000001</v>
      </c>
      <c r="X387" s="18">
        <v>0.88919999999999999</v>
      </c>
      <c r="Y387" s="18">
        <v>3.952E-2</v>
      </c>
      <c r="Z387" s="18">
        <v>0.17537</v>
      </c>
      <c r="AA387" s="18">
        <v>0.25688</v>
      </c>
      <c r="AB387" s="18">
        <v>0.45694999999999997</v>
      </c>
      <c r="AC387" s="18">
        <v>0.14079</v>
      </c>
      <c r="AD387" s="18">
        <v>0.74099999999999999</v>
      </c>
    </row>
    <row r="388" spans="2:30" x14ac:dyDescent="0.25">
      <c r="B388" t="s">
        <v>269</v>
      </c>
      <c r="C388" t="s">
        <v>105</v>
      </c>
      <c r="D388" t="s">
        <v>752</v>
      </c>
      <c r="E388" s="35">
        <v>0.9</v>
      </c>
      <c r="F388" s="35">
        <v>6.6</v>
      </c>
      <c r="G388" s="36">
        <v>2.47E-3</v>
      </c>
      <c r="H388" s="18">
        <v>4.4452980000000002</v>
      </c>
      <c r="I388" s="16" t="s">
        <v>746</v>
      </c>
      <c r="J388" s="16"/>
      <c r="K388" s="16"/>
      <c r="L388" s="37"/>
      <c r="M388" s="37"/>
      <c r="N388" s="37"/>
      <c r="O388" s="37"/>
      <c r="P388" s="37"/>
      <c r="Q388" s="18">
        <v>2.717E-2</v>
      </c>
      <c r="R388" s="18">
        <v>1.8525E-4</v>
      </c>
      <c r="S388" s="18">
        <v>5.1869999999999999E-2</v>
      </c>
      <c r="T388" s="18">
        <v>0.2223</v>
      </c>
      <c r="U388" s="18">
        <v>0.11115</v>
      </c>
      <c r="V388" s="18">
        <v>1.42272</v>
      </c>
      <c r="W388" s="18">
        <v>1.3338000000000001</v>
      </c>
      <c r="X388" s="18">
        <v>0.88919999999999999</v>
      </c>
      <c r="Y388" s="18">
        <v>3.952E-2</v>
      </c>
      <c r="Z388" s="18">
        <v>0.17537</v>
      </c>
      <c r="AA388" s="18">
        <v>0.25688</v>
      </c>
      <c r="AB388" s="18">
        <v>0.45694999999999997</v>
      </c>
      <c r="AC388" s="18">
        <v>0.14079</v>
      </c>
      <c r="AD388" s="18">
        <v>0.74099999999999999</v>
      </c>
    </row>
    <row r="389" spans="2:30" x14ac:dyDescent="0.25">
      <c r="B389" t="s">
        <v>269</v>
      </c>
      <c r="C389" t="s">
        <v>105</v>
      </c>
      <c r="D389" t="s">
        <v>752</v>
      </c>
      <c r="E389" s="35">
        <v>0.9</v>
      </c>
      <c r="F389" s="35">
        <v>6.6</v>
      </c>
      <c r="G389" s="36">
        <v>2.47E-3</v>
      </c>
      <c r="H389" s="18">
        <v>4.4452980000000002</v>
      </c>
      <c r="I389" s="16" t="s">
        <v>746</v>
      </c>
      <c r="J389" s="16"/>
      <c r="K389" s="16"/>
      <c r="L389" s="37"/>
      <c r="M389" s="37"/>
      <c r="N389" s="37"/>
      <c r="O389" s="37"/>
      <c r="P389" s="37"/>
      <c r="Q389" s="18">
        <v>2.717E-2</v>
      </c>
      <c r="R389" s="18">
        <v>1.8525E-4</v>
      </c>
      <c r="S389" s="18">
        <v>5.1869999999999999E-2</v>
      </c>
      <c r="T389" s="18">
        <v>0.2223</v>
      </c>
      <c r="U389" s="18">
        <v>0.11115</v>
      </c>
      <c r="V389" s="18">
        <v>1.42272</v>
      </c>
      <c r="W389" s="18">
        <v>1.3338000000000001</v>
      </c>
      <c r="X389" s="18">
        <v>0.88919999999999999</v>
      </c>
      <c r="Y389" s="18">
        <v>3.952E-2</v>
      </c>
      <c r="Z389" s="18">
        <v>0.17537</v>
      </c>
      <c r="AA389" s="18">
        <v>0.25688</v>
      </c>
      <c r="AB389" s="18">
        <v>0.45694999999999997</v>
      </c>
      <c r="AC389" s="18">
        <v>0.14079</v>
      </c>
      <c r="AD389" s="18">
        <v>0.74099999999999999</v>
      </c>
    </row>
    <row r="390" spans="2:30" x14ac:dyDescent="0.25">
      <c r="B390" t="s">
        <v>269</v>
      </c>
      <c r="C390" t="s">
        <v>105</v>
      </c>
      <c r="D390" t="s">
        <v>752</v>
      </c>
      <c r="E390" s="35">
        <v>0.9</v>
      </c>
      <c r="F390" s="35">
        <v>6.6</v>
      </c>
      <c r="G390" s="36">
        <v>2.47E-3</v>
      </c>
      <c r="H390" s="18">
        <v>4.4452980000000002</v>
      </c>
      <c r="I390" s="16" t="s">
        <v>746</v>
      </c>
      <c r="J390" s="16"/>
      <c r="K390" s="16"/>
      <c r="L390" s="37"/>
      <c r="M390" s="37"/>
      <c r="N390" s="37"/>
      <c r="O390" s="37"/>
      <c r="P390" s="37"/>
      <c r="Q390" s="18">
        <v>2.717E-2</v>
      </c>
      <c r="R390" s="18">
        <v>1.8525E-4</v>
      </c>
      <c r="S390" s="18">
        <v>5.1869999999999999E-2</v>
      </c>
      <c r="T390" s="18">
        <v>0.2223</v>
      </c>
      <c r="U390" s="18">
        <v>0.11115</v>
      </c>
      <c r="V390" s="18">
        <v>1.42272</v>
      </c>
      <c r="W390" s="18">
        <v>1.3338000000000001</v>
      </c>
      <c r="X390" s="18">
        <v>0.88919999999999999</v>
      </c>
      <c r="Y390" s="18">
        <v>3.952E-2</v>
      </c>
      <c r="Z390" s="18">
        <v>0.17537</v>
      </c>
      <c r="AA390" s="18">
        <v>0.25688</v>
      </c>
      <c r="AB390" s="18">
        <v>0.45694999999999997</v>
      </c>
      <c r="AC390" s="18">
        <v>0.14079</v>
      </c>
      <c r="AD390" s="18">
        <v>0.74099999999999999</v>
      </c>
    </row>
    <row r="391" spans="2:30" x14ac:dyDescent="0.25">
      <c r="B391" t="s">
        <v>269</v>
      </c>
      <c r="C391" t="s">
        <v>105</v>
      </c>
      <c r="D391" t="s">
        <v>752</v>
      </c>
      <c r="E391" s="35">
        <v>0.9</v>
      </c>
      <c r="F391" s="35">
        <v>6.6</v>
      </c>
      <c r="G391" s="36">
        <v>2.47E-3</v>
      </c>
      <c r="H391" s="18">
        <v>4.4452980000000002</v>
      </c>
      <c r="I391" s="16" t="s">
        <v>746</v>
      </c>
      <c r="J391" s="16"/>
      <c r="K391" s="16"/>
      <c r="L391" s="37"/>
      <c r="M391" s="37"/>
      <c r="N391" s="37"/>
      <c r="O391" s="37"/>
      <c r="P391" s="37"/>
      <c r="Q391" s="18">
        <v>2.717E-2</v>
      </c>
      <c r="R391" s="18">
        <v>1.8525E-4</v>
      </c>
      <c r="S391" s="18">
        <v>5.1869999999999999E-2</v>
      </c>
      <c r="T391" s="18">
        <v>0.2223</v>
      </c>
      <c r="U391" s="18">
        <v>0.11115</v>
      </c>
      <c r="V391" s="18">
        <v>1.42272</v>
      </c>
      <c r="W391" s="18">
        <v>1.3338000000000001</v>
      </c>
      <c r="X391" s="18">
        <v>0.88919999999999999</v>
      </c>
      <c r="Y391" s="18">
        <v>3.952E-2</v>
      </c>
      <c r="Z391" s="18">
        <v>0.17537</v>
      </c>
      <c r="AA391" s="18">
        <v>0.25688</v>
      </c>
      <c r="AB391" s="18">
        <v>0.45694999999999997</v>
      </c>
      <c r="AC391" s="18">
        <v>0.14079</v>
      </c>
      <c r="AD391" s="18">
        <v>0.74099999999999999</v>
      </c>
    </row>
    <row r="392" spans="2:30" x14ac:dyDescent="0.25">
      <c r="B392" t="s">
        <v>269</v>
      </c>
      <c r="C392" t="s">
        <v>105</v>
      </c>
      <c r="D392" t="s">
        <v>752</v>
      </c>
      <c r="E392" s="35">
        <v>0.9</v>
      </c>
      <c r="F392" s="35">
        <v>6.6</v>
      </c>
      <c r="G392" s="36">
        <v>2.47E-3</v>
      </c>
      <c r="H392" s="18">
        <v>4.4452980000000002</v>
      </c>
      <c r="I392" s="16" t="s">
        <v>746</v>
      </c>
      <c r="J392" s="16"/>
      <c r="K392" s="16"/>
      <c r="L392" s="37"/>
      <c r="M392" s="37"/>
      <c r="N392" s="37"/>
      <c r="O392" s="37"/>
      <c r="P392" s="37"/>
      <c r="Q392" s="18">
        <v>2.717E-2</v>
      </c>
      <c r="R392" s="18">
        <v>1.8525E-4</v>
      </c>
      <c r="S392" s="18">
        <v>5.1869999999999999E-2</v>
      </c>
      <c r="T392" s="18">
        <v>0.2223</v>
      </c>
      <c r="U392" s="18">
        <v>0.11115</v>
      </c>
      <c r="V392" s="18">
        <v>1.42272</v>
      </c>
      <c r="W392" s="18">
        <v>1.3338000000000001</v>
      </c>
      <c r="X392" s="18">
        <v>0.88919999999999999</v>
      </c>
      <c r="Y392" s="18">
        <v>3.952E-2</v>
      </c>
      <c r="Z392" s="18">
        <v>0.17537</v>
      </c>
      <c r="AA392" s="18">
        <v>0.25688</v>
      </c>
      <c r="AB392" s="18">
        <v>0.45694999999999997</v>
      </c>
      <c r="AC392" s="18">
        <v>0.14079</v>
      </c>
      <c r="AD392" s="18">
        <v>0.74099999999999999</v>
      </c>
    </row>
    <row r="393" spans="2:30" x14ac:dyDescent="0.25">
      <c r="B393" t="s">
        <v>269</v>
      </c>
      <c r="C393" t="s">
        <v>105</v>
      </c>
      <c r="D393" t="s">
        <v>752</v>
      </c>
      <c r="E393" s="35">
        <v>0.9</v>
      </c>
      <c r="F393" s="35">
        <v>6.6</v>
      </c>
      <c r="G393" s="36">
        <v>2.47E-3</v>
      </c>
      <c r="H393" s="18">
        <v>4.4452980000000002</v>
      </c>
      <c r="I393" s="16" t="s">
        <v>746</v>
      </c>
      <c r="J393" s="16"/>
      <c r="K393" s="16"/>
      <c r="L393" s="37"/>
      <c r="M393" s="37"/>
      <c r="N393" s="37"/>
      <c r="O393" s="37"/>
      <c r="P393" s="37"/>
      <c r="Q393" s="18">
        <v>2.717E-2</v>
      </c>
      <c r="R393" s="18">
        <v>1.8525E-4</v>
      </c>
      <c r="S393" s="18">
        <v>5.1869999999999999E-2</v>
      </c>
      <c r="T393" s="18">
        <v>0.2223</v>
      </c>
      <c r="U393" s="18">
        <v>0.11115</v>
      </c>
      <c r="V393" s="18">
        <v>1.42272</v>
      </c>
      <c r="W393" s="18">
        <v>1.3338000000000001</v>
      </c>
      <c r="X393" s="18">
        <v>0.88919999999999999</v>
      </c>
      <c r="Y393" s="18">
        <v>3.952E-2</v>
      </c>
      <c r="Z393" s="18">
        <v>0.17537</v>
      </c>
      <c r="AA393" s="18">
        <v>0.25688</v>
      </c>
      <c r="AB393" s="18">
        <v>0.45694999999999997</v>
      </c>
      <c r="AC393" s="18">
        <v>0.14079</v>
      </c>
      <c r="AD393" s="18">
        <v>0.74099999999999999</v>
      </c>
    </row>
    <row r="394" spans="2:30" x14ac:dyDescent="0.25">
      <c r="B394" t="s">
        <v>269</v>
      </c>
      <c r="C394" t="s">
        <v>326</v>
      </c>
      <c r="D394" t="s">
        <v>752</v>
      </c>
      <c r="E394" s="35">
        <v>0.9</v>
      </c>
      <c r="F394" s="35">
        <v>6.6</v>
      </c>
      <c r="G394" s="36">
        <v>2.47E-3</v>
      </c>
      <c r="H394" s="18">
        <v>4.4452980000000002</v>
      </c>
      <c r="I394" s="16" t="s">
        <v>746</v>
      </c>
      <c r="J394" s="16"/>
      <c r="K394" s="16"/>
      <c r="L394" s="37"/>
      <c r="M394" s="37"/>
      <c r="N394" s="37"/>
      <c r="O394" s="37"/>
      <c r="P394" s="37"/>
      <c r="Q394" s="18">
        <v>2.717E-2</v>
      </c>
      <c r="R394" s="18">
        <v>1.8525E-4</v>
      </c>
      <c r="S394" s="18">
        <v>5.1869999999999999E-2</v>
      </c>
      <c r="T394" s="18">
        <v>0.2223</v>
      </c>
      <c r="U394" s="18">
        <v>0.11115</v>
      </c>
      <c r="V394" s="18">
        <v>1.42272</v>
      </c>
      <c r="W394" s="18">
        <v>1.3338000000000001</v>
      </c>
      <c r="X394" s="18">
        <v>0.88919999999999999</v>
      </c>
      <c r="Y394" s="18">
        <v>3.952E-2</v>
      </c>
      <c r="Z394" s="18">
        <v>0.17537</v>
      </c>
      <c r="AA394" s="18">
        <v>0.25688</v>
      </c>
      <c r="AB394" s="18">
        <v>0.45694999999999997</v>
      </c>
      <c r="AC394" s="18">
        <v>0.14079</v>
      </c>
      <c r="AD394" s="18">
        <v>0.74099999999999999</v>
      </c>
    </row>
    <row r="395" spans="2:30" x14ac:dyDescent="0.25">
      <c r="B395" t="s">
        <v>269</v>
      </c>
      <c r="C395" t="s">
        <v>326</v>
      </c>
      <c r="D395" t="s">
        <v>752</v>
      </c>
      <c r="E395" s="35">
        <v>0.9</v>
      </c>
      <c r="F395" s="35">
        <v>6.6</v>
      </c>
      <c r="G395" s="36">
        <v>2.47E-3</v>
      </c>
      <c r="H395" s="18">
        <v>4.4452980000000002</v>
      </c>
      <c r="I395" s="16" t="s">
        <v>746</v>
      </c>
      <c r="J395" s="16"/>
      <c r="K395" s="16"/>
      <c r="L395" s="37"/>
      <c r="M395" s="37"/>
      <c r="N395" s="37"/>
      <c r="O395" s="37"/>
      <c r="P395" s="37"/>
      <c r="Q395" s="18">
        <v>2.717E-2</v>
      </c>
      <c r="R395" s="18">
        <v>1.8525E-4</v>
      </c>
      <c r="S395" s="18">
        <v>5.1869999999999999E-2</v>
      </c>
      <c r="T395" s="18">
        <v>0.2223</v>
      </c>
      <c r="U395" s="18">
        <v>0.11115</v>
      </c>
      <c r="V395" s="18">
        <v>1.42272</v>
      </c>
      <c r="W395" s="18">
        <v>1.3338000000000001</v>
      </c>
      <c r="X395" s="18">
        <v>0.88919999999999999</v>
      </c>
      <c r="Y395" s="18">
        <v>3.952E-2</v>
      </c>
      <c r="Z395" s="18">
        <v>0.17537</v>
      </c>
      <c r="AA395" s="18">
        <v>0.25688</v>
      </c>
      <c r="AB395" s="18">
        <v>0.45694999999999997</v>
      </c>
      <c r="AC395" s="18">
        <v>0.14079</v>
      </c>
      <c r="AD395" s="18">
        <v>0.74099999999999999</v>
      </c>
    </row>
    <row r="396" spans="2:30" x14ac:dyDescent="0.25">
      <c r="B396" t="s">
        <v>269</v>
      </c>
      <c r="C396" t="s">
        <v>326</v>
      </c>
      <c r="D396" t="s">
        <v>752</v>
      </c>
      <c r="E396" s="35">
        <v>0.9</v>
      </c>
      <c r="F396" s="35">
        <v>6.6</v>
      </c>
      <c r="G396" s="36">
        <v>2.47E-3</v>
      </c>
      <c r="H396" s="18">
        <v>4.4452980000000002</v>
      </c>
      <c r="I396" s="16" t="s">
        <v>746</v>
      </c>
      <c r="J396" s="16"/>
      <c r="K396" s="16"/>
      <c r="L396" s="37"/>
      <c r="M396" s="37"/>
      <c r="N396" s="37"/>
      <c r="O396" s="37"/>
      <c r="P396" s="37"/>
      <c r="Q396" s="18">
        <v>2.717E-2</v>
      </c>
      <c r="R396" s="18">
        <v>1.8525E-4</v>
      </c>
      <c r="S396" s="18">
        <v>5.1869999999999999E-2</v>
      </c>
      <c r="T396" s="18">
        <v>0.2223</v>
      </c>
      <c r="U396" s="18">
        <v>0.11115</v>
      </c>
      <c r="V396" s="18">
        <v>1.42272</v>
      </c>
      <c r="W396" s="18">
        <v>1.3338000000000001</v>
      </c>
      <c r="X396" s="18">
        <v>0.88919999999999999</v>
      </c>
      <c r="Y396" s="18">
        <v>3.952E-2</v>
      </c>
      <c r="Z396" s="18">
        <v>0.17537</v>
      </c>
      <c r="AA396" s="18">
        <v>0.25688</v>
      </c>
      <c r="AB396" s="18">
        <v>0.45694999999999997</v>
      </c>
      <c r="AC396" s="18">
        <v>0.14079</v>
      </c>
      <c r="AD396" s="18">
        <v>0.74099999999999999</v>
      </c>
    </row>
    <row r="397" spans="2:30" x14ac:dyDescent="0.25">
      <c r="B397" t="s">
        <v>269</v>
      </c>
      <c r="C397" t="s">
        <v>326</v>
      </c>
      <c r="D397" t="s">
        <v>752</v>
      </c>
      <c r="E397" s="35">
        <v>0.9</v>
      </c>
      <c r="F397" s="35">
        <v>6.6</v>
      </c>
      <c r="G397" s="36">
        <v>2.47E-3</v>
      </c>
      <c r="H397" s="18">
        <v>4.4452980000000002</v>
      </c>
      <c r="I397" s="16" t="s">
        <v>746</v>
      </c>
      <c r="J397" s="16"/>
      <c r="K397" s="16"/>
      <c r="L397" s="37"/>
      <c r="M397" s="37"/>
      <c r="N397" s="37"/>
      <c r="O397" s="37"/>
      <c r="P397" s="37"/>
      <c r="Q397" s="18">
        <v>2.717E-2</v>
      </c>
      <c r="R397" s="18">
        <v>1.8525E-4</v>
      </c>
      <c r="S397" s="18">
        <v>5.1869999999999999E-2</v>
      </c>
      <c r="T397" s="18">
        <v>0.2223</v>
      </c>
      <c r="U397" s="18">
        <v>0.11115</v>
      </c>
      <c r="V397" s="18">
        <v>1.42272</v>
      </c>
      <c r="W397" s="18">
        <v>1.3338000000000001</v>
      </c>
      <c r="X397" s="18">
        <v>0.88919999999999999</v>
      </c>
      <c r="Y397" s="18">
        <v>3.952E-2</v>
      </c>
      <c r="Z397" s="18">
        <v>0.17537</v>
      </c>
      <c r="AA397" s="18">
        <v>0.25688</v>
      </c>
      <c r="AB397" s="18">
        <v>0.45694999999999997</v>
      </c>
      <c r="AC397" s="18">
        <v>0.14079</v>
      </c>
      <c r="AD397" s="18">
        <v>0.74099999999999999</v>
      </c>
    </row>
    <row r="398" spans="2:30" x14ac:dyDescent="0.25">
      <c r="B398" t="s">
        <v>269</v>
      </c>
      <c r="C398" t="s">
        <v>326</v>
      </c>
      <c r="D398" t="s">
        <v>752</v>
      </c>
      <c r="E398" s="35">
        <v>0.9</v>
      </c>
      <c r="F398" s="35">
        <v>6.6</v>
      </c>
      <c r="G398" s="36">
        <v>2.47E-3</v>
      </c>
      <c r="H398" s="18">
        <v>4.4452980000000002</v>
      </c>
      <c r="I398" s="16" t="s">
        <v>746</v>
      </c>
      <c r="J398" s="16"/>
      <c r="K398" s="16"/>
      <c r="L398" s="37"/>
      <c r="M398" s="37"/>
      <c r="N398" s="37"/>
      <c r="O398" s="37"/>
      <c r="P398" s="37"/>
      <c r="Q398" s="18">
        <v>2.717E-2</v>
      </c>
      <c r="R398" s="18">
        <v>1.8525E-4</v>
      </c>
      <c r="S398" s="18">
        <v>5.1869999999999999E-2</v>
      </c>
      <c r="T398" s="18">
        <v>0.2223</v>
      </c>
      <c r="U398" s="18">
        <v>0.11115</v>
      </c>
      <c r="V398" s="18">
        <v>1.42272</v>
      </c>
      <c r="W398" s="18">
        <v>1.3338000000000001</v>
      </c>
      <c r="X398" s="18">
        <v>0.88919999999999999</v>
      </c>
      <c r="Y398" s="18">
        <v>3.952E-2</v>
      </c>
      <c r="Z398" s="18">
        <v>0.17537</v>
      </c>
      <c r="AA398" s="18">
        <v>0.25688</v>
      </c>
      <c r="AB398" s="18">
        <v>0.45694999999999997</v>
      </c>
      <c r="AC398" s="18">
        <v>0.14079</v>
      </c>
      <c r="AD398" s="18">
        <v>0.74099999999999999</v>
      </c>
    </row>
    <row r="399" spans="2:30" x14ac:dyDescent="0.25">
      <c r="B399" t="s">
        <v>269</v>
      </c>
      <c r="C399" t="s">
        <v>326</v>
      </c>
      <c r="D399" t="s">
        <v>752</v>
      </c>
      <c r="E399" s="35">
        <v>0.9</v>
      </c>
      <c r="F399" s="35">
        <v>6.6</v>
      </c>
      <c r="G399" s="36">
        <v>2.47E-3</v>
      </c>
      <c r="H399" s="18">
        <v>4.4452980000000002</v>
      </c>
      <c r="I399" s="16" t="s">
        <v>746</v>
      </c>
      <c r="J399" s="16"/>
      <c r="K399" s="16"/>
      <c r="L399" s="37"/>
      <c r="M399" s="37"/>
      <c r="N399" s="37"/>
      <c r="O399" s="37"/>
      <c r="P399" s="37"/>
      <c r="Q399" s="18">
        <v>2.717E-2</v>
      </c>
      <c r="R399" s="18">
        <v>1.8525E-4</v>
      </c>
      <c r="S399" s="18">
        <v>5.1869999999999999E-2</v>
      </c>
      <c r="T399" s="18">
        <v>0.2223</v>
      </c>
      <c r="U399" s="18">
        <v>0.11115</v>
      </c>
      <c r="V399" s="18">
        <v>1.42272</v>
      </c>
      <c r="W399" s="18">
        <v>1.3338000000000001</v>
      </c>
      <c r="X399" s="18">
        <v>0.88919999999999999</v>
      </c>
      <c r="Y399" s="18">
        <v>3.952E-2</v>
      </c>
      <c r="Z399" s="18">
        <v>0.17537</v>
      </c>
      <c r="AA399" s="18">
        <v>0.25688</v>
      </c>
      <c r="AB399" s="18">
        <v>0.45694999999999997</v>
      </c>
      <c r="AC399" s="18">
        <v>0.14079</v>
      </c>
      <c r="AD399" s="18">
        <v>0.74099999999999999</v>
      </c>
    </row>
    <row r="400" spans="2:30" x14ac:dyDescent="0.25">
      <c r="B400" t="s">
        <v>269</v>
      </c>
      <c r="C400" t="s">
        <v>326</v>
      </c>
      <c r="D400" t="s">
        <v>752</v>
      </c>
      <c r="E400" s="35">
        <v>0.9</v>
      </c>
      <c r="F400" s="35">
        <v>6.6</v>
      </c>
      <c r="G400" s="36">
        <v>2.47E-3</v>
      </c>
      <c r="H400" s="18">
        <v>4.4452980000000002</v>
      </c>
      <c r="I400" s="16" t="s">
        <v>746</v>
      </c>
      <c r="J400" s="16"/>
      <c r="K400" s="16"/>
      <c r="L400" s="37"/>
      <c r="M400" s="37"/>
      <c r="N400" s="37"/>
      <c r="O400" s="37"/>
      <c r="P400" s="37"/>
      <c r="Q400" s="18">
        <v>2.717E-2</v>
      </c>
      <c r="R400" s="18">
        <v>1.8525E-4</v>
      </c>
      <c r="S400" s="18">
        <v>5.1869999999999999E-2</v>
      </c>
      <c r="T400" s="18">
        <v>0.2223</v>
      </c>
      <c r="U400" s="18">
        <v>0.11115</v>
      </c>
      <c r="V400" s="18">
        <v>1.42272</v>
      </c>
      <c r="W400" s="18">
        <v>1.3338000000000001</v>
      </c>
      <c r="X400" s="18">
        <v>0.88919999999999999</v>
      </c>
      <c r="Y400" s="18">
        <v>3.952E-2</v>
      </c>
      <c r="Z400" s="18">
        <v>0.17537</v>
      </c>
      <c r="AA400" s="18">
        <v>0.25688</v>
      </c>
      <c r="AB400" s="18">
        <v>0.45694999999999997</v>
      </c>
      <c r="AC400" s="18">
        <v>0.14079</v>
      </c>
      <c r="AD400" s="18">
        <v>0.74099999999999999</v>
      </c>
    </row>
    <row r="401" spans="2:30" x14ac:dyDescent="0.25">
      <c r="B401" t="s">
        <v>269</v>
      </c>
      <c r="C401" t="s">
        <v>326</v>
      </c>
      <c r="D401" t="s">
        <v>752</v>
      </c>
      <c r="E401" s="35">
        <v>0.9</v>
      </c>
      <c r="F401" s="35">
        <v>6.6</v>
      </c>
      <c r="G401" s="36">
        <v>2.47E-3</v>
      </c>
      <c r="H401" s="18">
        <v>4.4452980000000002</v>
      </c>
      <c r="I401" s="16" t="s">
        <v>746</v>
      </c>
      <c r="J401" s="16"/>
      <c r="K401" s="16"/>
      <c r="L401" s="37"/>
      <c r="M401" s="37"/>
      <c r="N401" s="37"/>
      <c r="O401" s="37"/>
      <c r="P401" s="37"/>
      <c r="Q401" s="18">
        <v>2.717E-2</v>
      </c>
      <c r="R401" s="18">
        <v>1.8525E-4</v>
      </c>
      <c r="S401" s="18">
        <v>5.1869999999999999E-2</v>
      </c>
      <c r="T401" s="18">
        <v>0.2223</v>
      </c>
      <c r="U401" s="18">
        <v>0.11115</v>
      </c>
      <c r="V401" s="18">
        <v>1.42272</v>
      </c>
      <c r="W401" s="18">
        <v>1.3338000000000001</v>
      </c>
      <c r="X401" s="18">
        <v>0.88919999999999999</v>
      </c>
      <c r="Y401" s="18">
        <v>3.952E-2</v>
      </c>
      <c r="Z401" s="18">
        <v>0.17537</v>
      </c>
      <c r="AA401" s="18">
        <v>0.25688</v>
      </c>
      <c r="AB401" s="18">
        <v>0.45694999999999997</v>
      </c>
      <c r="AC401" s="18">
        <v>0.14079</v>
      </c>
      <c r="AD401" s="18">
        <v>0.74099999999999999</v>
      </c>
    </row>
    <row r="402" spans="2:30" x14ac:dyDescent="0.25">
      <c r="B402" t="s">
        <v>269</v>
      </c>
      <c r="C402" t="s">
        <v>326</v>
      </c>
      <c r="D402" t="s">
        <v>752</v>
      </c>
      <c r="E402" s="35">
        <v>0.9</v>
      </c>
      <c r="F402" s="35">
        <v>6.6</v>
      </c>
      <c r="G402" s="36">
        <v>2.47E-3</v>
      </c>
      <c r="H402" s="18">
        <v>4.4452980000000002</v>
      </c>
      <c r="I402" s="16" t="s">
        <v>746</v>
      </c>
      <c r="J402" s="16"/>
      <c r="K402" s="16"/>
      <c r="L402" s="37"/>
      <c r="M402" s="37"/>
      <c r="N402" s="37"/>
      <c r="O402" s="37"/>
      <c r="P402" s="37"/>
      <c r="Q402" s="18">
        <v>2.717E-2</v>
      </c>
      <c r="R402" s="18">
        <v>1.8525E-4</v>
      </c>
      <c r="S402" s="18">
        <v>5.1869999999999999E-2</v>
      </c>
      <c r="T402" s="18">
        <v>0.2223</v>
      </c>
      <c r="U402" s="18">
        <v>0.11115</v>
      </c>
      <c r="V402" s="18">
        <v>1.42272</v>
      </c>
      <c r="W402" s="18">
        <v>1.3338000000000001</v>
      </c>
      <c r="X402" s="18">
        <v>0.88919999999999999</v>
      </c>
      <c r="Y402" s="18">
        <v>3.952E-2</v>
      </c>
      <c r="Z402" s="18">
        <v>0.17537</v>
      </c>
      <c r="AA402" s="18">
        <v>0.25688</v>
      </c>
      <c r="AB402" s="18">
        <v>0.45694999999999997</v>
      </c>
      <c r="AC402" s="18">
        <v>0.14079</v>
      </c>
      <c r="AD402" s="18">
        <v>0.74099999999999999</v>
      </c>
    </row>
    <row r="403" spans="2:30" x14ac:dyDescent="0.25">
      <c r="B403" t="s">
        <v>269</v>
      </c>
      <c r="C403" t="s">
        <v>326</v>
      </c>
      <c r="D403" t="s">
        <v>752</v>
      </c>
      <c r="E403" s="35">
        <v>0.9</v>
      </c>
      <c r="F403" s="35">
        <v>6.6</v>
      </c>
      <c r="G403" s="36">
        <v>2.47E-3</v>
      </c>
      <c r="H403" s="18">
        <v>4.4452980000000002</v>
      </c>
      <c r="I403" s="16" t="s">
        <v>746</v>
      </c>
      <c r="J403" s="16"/>
      <c r="K403" s="16"/>
      <c r="L403" s="37"/>
      <c r="M403" s="37"/>
      <c r="N403" s="37"/>
      <c r="O403" s="37"/>
      <c r="P403" s="37"/>
      <c r="Q403" s="18">
        <v>2.717E-2</v>
      </c>
      <c r="R403" s="18">
        <v>1.8525E-4</v>
      </c>
      <c r="S403" s="18">
        <v>5.1869999999999999E-2</v>
      </c>
      <c r="T403" s="18">
        <v>0.2223</v>
      </c>
      <c r="U403" s="18">
        <v>0.11115</v>
      </c>
      <c r="V403" s="18">
        <v>1.42272</v>
      </c>
      <c r="W403" s="18">
        <v>1.3338000000000001</v>
      </c>
      <c r="X403" s="18">
        <v>0.88919999999999999</v>
      </c>
      <c r="Y403" s="18">
        <v>3.952E-2</v>
      </c>
      <c r="Z403" s="18">
        <v>0.17537</v>
      </c>
      <c r="AA403" s="18">
        <v>0.25688</v>
      </c>
      <c r="AB403" s="18">
        <v>0.45694999999999997</v>
      </c>
      <c r="AC403" s="18">
        <v>0.14079</v>
      </c>
      <c r="AD403" s="18">
        <v>0.74099999999999999</v>
      </c>
    </row>
    <row r="404" spans="2:30" x14ac:dyDescent="0.25">
      <c r="B404" t="s">
        <v>269</v>
      </c>
      <c r="C404" t="s">
        <v>326</v>
      </c>
      <c r="D404" t="s">
        <v>752</v>
      </c>
      <c r="E404" s="35">
        <v>0.9</v>
      </c>
      <c r="F404" s="35">
        <v>6.6</v>
      </c>
      <c r="G404" s="36">
        <v>2.47E-3</v>
      </c>
      <c r="H404" s="18">
        <v>4.4452980000000002</v>
      </c>
      <c r="I404" s="16" t="s">
        <v>746</v>
      </c>
      <c r="J404" s="16"/>
      <c r="K404" s="16"/>
      <c r="L404" s="37"/>
      <c r="M404" s="37"/>
      <c r="N404" s="37"/>
      <c r="O404" s="37"/>
      <c r="P404" s="37"/>
      <c r="Q404" s="18">
        <v>2.717E-2</v>
      </c>
      <c r="R404" s="18">
        <v>1.8525E-4</v>
      </c>
      <c r="S404" s="18">
        <v>5.1869999999999999E-2</v>
      </c>
      <c r="T404" s="18">
        <v>0.2223</v>
      </c>
      <c r="U404" s="18">
        <v>0.11115</v>
      </c>
      <c r="V404" s="18">
        <v>1.42272</v>
      </c>
      <c r="W404" s="18">
        <v>1.3338000000000001</v>
      </c>
      <c r="X404" s="18">
        <v>0.88919999999999999</v>
      </c>
      <c r="Y404" s="18">
        <v>3.952E-2</v>
      </c>
      <c r="Z404" s="18">
        <v>0.17537</v>
      </c>
      <c r="AA404" s="18">
        <v>0.25688</v>
      </c>
      <c r="AB404" s="18">
        <v>0.45694999999999997</v>
      </c>
      <c r="AC404" s="18">
        <v>0.14079</v>
      </c>
      <c r="AD404" s="18">
        <v>0.74099999999999999</v>
      </c>
    </row>
    <row r="405" spans="2:30" x14ac:dyDescent="0.25">
      <c r="B405" t="s">
        <v>269</v>
      </c>
      <c r="C405" t="s">
        <v>326</v>
      </c>
      <c r="D405" t="s">
        <v>752</v>
      </c>
      <c r="E405" s="35">
        <v>0.9</v>
      </c>
      <c r="F405" s="35">
        <v>6.6</v>
      </c>
      <c r="G405" s="36">
        <v>2.47E-3</v>
      </c>
      <c r="H405" s="18">
        <v>4.4452980000000002</v>
      </c>
      <c r="I405" s="16" t="s">
        <v>746</v>
      </c>
      <c r="J405" s="16"/>
      <c r="K405" s="16"/>
      <c r="L405" s="37"/>
      <c r="M405" s="37"/>
      <c r="N405" s="37"/>
      <c r="O405" s="37"/>
      <c r="P405" s="37"/>
      <c r="Q405" s="18">
        <v>2.717E-2</v>
      </c>
      <c r="R405" s="18">
        <v>1.8525E-4</v>
      </c>
      <c r="S405" s="18">
        <v>5.1869999999999999E-2</v>
      </c>
      <c r="T405" s="18">
        <v>0.2223</v>
      </c>
      <c r="U405" s="18">
        <v>0.11115</v>
      </c>
      <c r="V405" s="18">
        <v>1.42272</v>
      </c>
      <c r="W405" s="18">
        <v>1.3338000000000001</v>
      </c>
      <c r="X405" s="18">
        <v>0.88919999999999999</v>
      </c>
      <c r="Y405" s="18">
        <v>3.952E-2</v>
      </c>
      <c r="Z405" s="18">
        <v>0.17537</v>
      </c>
      <c r="AA405" s="18">
        <v>0.25688</v>
      </c>
      <c r="AB405" s="18">
        <v>0.45694999999999997</v>
      </c>
      <c r="AC405" s="18">
        <v>0.14079</v>
      </c>
      <c r="AD405" s="18">
        <v>0.74099999999999999</v>
      </c>
    </row>
    <row r="406" spans="2:30" x14ac:dyDescent="0.25">
      <c r="B406" t="s">
        <v>269</v>
      </c>
      <c r="C406" t="s">
        <v>326</v>
      </c>
      <c r="D406" t="s">
        <v>752</v>
      </c>
      <c r="E406" s="35">
        <v>0.9</v>
      </c>
      <c r="F406" s="35">
        <v>6.6</v>
      </c>
      <c r="G406" s="36">
        <v>2.47E-3</v>
      </c>
      <c r="H406" s="18">
        <v>4.4452980000000002</v>
      </c>
      <c r="I406" s="16" t="s">
        <v>746</v>
      </c>
      <c r="J406" s="16"/>
      <c r="K406" s="16"/>
      <c r="L406" s="37"/>
      <c r="M406" s="37"/>
      <c r="N406" s="37"/>
      <c r="O406" s="37"/>
      <c r="P406" s="37"/>
      <c r="Q406" s="18">
        <v>2.717E-2</v>
      </c>
      <c r="R406" s="18">
        <v>1.8525E-4</v>
      </c>
      <c r="S406" s="18">
        <v>5.1869999999999999E-2</v>
      </c>
      <c r="T406" s="18">
        <v>0.2223</v>
      </c>
      <c r="U406" s="18">
        <v>0.11115</v>
      </c>
      <c r="V406" s="18">
        <v>1.42272</v>
      </c>
      <c r="W406" s="18">
        <v>1.3338000000000001</v>
      </c>
      <c r="X406" s="18">
        <v>0.88919999999999999</v>
      </c>
      <c r="Y406" s="18">
        <v>3.952E-2</v>
      </c>
      <c r="Z406" s="18">
        <v>0.17537</v>
      </c>
      <c r="AA406" s="18">
        <v>0.25688</v>
      </c>
      <c r="AB406" s="18">
        <v>0.45694999999999997</v>
      </c>
      <c r="AC406" s="18">
        <v>0.14079</v>
      </c>
      <c r="AD406" s="18">
        <v>0.74099999999999999</v>
      </c>
    </row>
    <row r="407" spans="2:30" x14ac:dyDescent="0.25">
      <c r="B407" t="s">
        <v>269</v>
      </c>
      <c r="C407" t="s">
        <v>326</v>
      </c>
      <c r="D407" t="s">
        <v>752</v>
      </c>
      <c r="E407" s="35">
        <v>0.9</v>
      </c>
      <c r="F407" s="35">
        <v>6.6</v>
      </c>
      <c r="G407" s="36">
        <v>2.47E-3</v>
      </c>
      <c r="H407" s="18">
        <v>4.4452980000000002</v>
      </c>
      <c r="I407" s="16" t="s">
        <v>746</v>
      </c>
      <c r="J407" s="16"/>
      <c r="K407" s="16"/>
      <c r="L407" s="37"/>
      <c r="M407" s="37"/>
      <c r="N407" s="37"/>
      <c r="O407" s="37"/>
      <c r="P407" s="37"/>
      <c r="Q407" s="18">
        <v>2.717E-2</v>
      </c>
      <c r="R407" s="18">
        <v>1.8525E-4</v>
      </c>
      <c r="S407" s="18">
        <v>5.1869999999999999E-2</v>
      </c>
      <c r="T407" s="18">
        <v>0.2223</v>
      </c>
      <c r="U407" s="18">
        <v>0.11115</v>
      </c>
      <c r="V407" s="18">
        <v>1.42272</v>
      </c>
      <c r="W407" s="18">
        <v>1.3338000000000001</v>
      </c>
      <c r="X407" s="18">
        <v>0.88919999999999999</v>
      </c>
      <c r="Y407" s="18">
        <v>3.952E-2</v>
      </c>
      <c r="Z407" s="18">
        <v>0.17537</v>
      </c>
      <c r="AA407" s="18">
        <v>0.25688</v>
      </c>
      <c r="AB407" s="18">
        <v>0.45694999999999997</v>
      </c>
      <c r="AC407" s="18">
        <v>0.14079</v>
      </c>
      <c r="AD407" s="18">
        <v>0.74099999999999999</v>
      </c>
    </row>
    <row r="408" spans="2:30" x14ac:dyDescent="0.25">
      <c r="B408" t="s">
        <v>269</v>
      </c>
      <c r="C408" t="s">
        <v>326</v>
      </c>
      <c r="D408" t="s">
        <v>752</v>
      </c>
      <c r="E408" s="35">
        <v>0.9</v>
      </c>
      <c r="F408" s="35">
        <v>6.6</v>
      </c>
      <c r="G408" s="36">
        <v>2.47E-3</v>
      </c>
      <c r="H408" s="18">
        <v>4.4452980000000002</v>
      </c>
      <c r="I408" s="16" t="s">
        <v>746</v>
      </c>
      <c r="J408" s="16"/>
      <c r="K408" s="16"/>
      <c r="L408" s="37"/>
      <c r="M408" s="37"/>
      <c r="N408" s="37"/>
      <c r="O408" s="37"/>
      <c r="P408" s="37"/>
      <c r="Q408" s="18">
        <v>2.717E-2</v>
      </c>
      <c r="R408" s="18">
        <v>1.8525E-4</v>
      </c>
      <c r="S408" s="18">
        <v>5.1869999999999999E-2</v>
      </c>
      <c r="T408" s="18">
        <v>0.2223</v>
      </c>
      <c r="U408" s="18">
        <v>0.11115</v>
      </c>
      <c r="V408" s="18">
        <v>1.42272</v>
      </c>
      <c r="W408" s="18">
        <v>1.3338000000000001</v>
      </c>
      <c r="X408" s="18">
        <v>0.88919999999999999</v>
      </c>
      <c r="Y408" s="18">
        <v>3.952E-2</v>
      </c>
      <c r="Z408" s="18">
        <v>0.17537</v>
      </c>
      <c r="AA408" s="18">
        <v>0.25688</v>
      </c>
      <c r="AB408" s="18">
        <v>0.45694999999999997</v>
      </c>
      <c r="AC408" s="18">
        <v>0.14079</v>
      </c>
      <c r="AD408" s="18">
        <v>0.74099999999999999</v>
      </c>
    </row>
    <row r="409" spans="2:30" x14ac:dyDescent="0.25">
      <c r="B409" t="s">
        <v>269</v>
      </c>
      <c r="C409" t="s">
        <v>326</v>
      </c>
      <c r="D409" t="s">
        <v>752</v>
      </c>
      <c r="E409" s="35">
        <v>0.9</v>
      </c>
      <c r="F409" s="35">
        <v>6.6</v>
      </c>
      <c r="G409" s="36">
        <v>2.47E-3</v>
      </c>
      <c r="H409" s="18">
        <v>4.4452980000000002</v>
      </c>
      <c r="I409" s="16" t="s">
        <v>746</v>
      </c>
      <c r="J409" s="16"/>
      <c r="K409" s="16"/>
      <c r="L409" s="37"/>
      <c r="M409" s="37"/>
      <c r="N409" s="37"/>
      <c r="O409" s="37"/>
      <c r="P409" s="37"/>
      <c r="Q409" s="18">
        <v>2.717E-2</v>
      </c>
      <c r="R409" s="18">
        <v>1.8525E-4</v>
      </c>
      <c r="S409" s="18">
        <v>5.1869999999999999E-2</v>
      </c>
      <c r="T409" s="18">
        <v>0.2223</v>
      </c>
      <c r="U409" s="18">
        <v>0.11115</v>
      </c>
      <c r="V409" s="18">
        <v>1.42272</v>
      </c>
      <c r="W409" s="18">
        <v>1.3338000000000001</v>
      </c>
      <c r="X409" s="18">
        <v>0.88919999999999999</v>
      </c>
      <c r="Y409" s="18">
        <v>3.952E-2</v>
      </c>
      <c r="Z409" s="18">
        <v>0.17537</v>
      </c>
      <c r="AA409" s="18">
        <v>0.25688</v>
      </c>
      <c r="AB409" s="18">
        <v>0.45694999999999997</v>
      </c>
      <c r="AC409" s="18">
        <v>0.14079</v>
      </c>
      <c r="AD409" s="18">
        <v>0.74099999999999999</v>
      </c>
    </row>
    <row r="410" spans="2:30" x14ac:dyDescent="0.25">
      <c r="B410" t="s">
        <v>269</v>
      </c>
      <c r="C410" t="s">
        <v>326</v>
      </c>
      <c r="D410" t="s">
        <v>752</v>
      </c>
      <c r="E410" s="35">
        <v>0.9</v>
      </c>
      <c r="F410" s="35">
        <v>6.6</v>
      </c>
      <c r="G410" s="36">
        <v>2.47E-3</v>
      </c>
      <c r="H410" s="18">
        <v>4.4452980000000002</v>
      </c>
      <c r="I410" s="16" t="s">
        <v>746</v>
      </c>
      <c r="J410" s="16"/>
      <c r="K410" s="16"/>
      <c r="L410" s="37"/>
      <c r="M410" s="37"/>
      <c r="N410" s="37"/>
      <c r="O410" s="37"/>
      <c r="P410" s="37"/>
      <c r="Q410" s="18">
        <v>2.717E-2</v>
      </c>
      <c r="R410" s="18">
        <v>1.8525E-4</v>
      </c>
      <c r="S410" s="18">
        <v>5.1869999999999999E-2</v>
      </c>
      <c r="T410" s="18">
        <v>0.2223</v>
      </c>
      <c r="U410" s="18">
        <v>0.11115</v>
      </c>
      <c r="V410" s="18">
        <v>1.42272</v>
      </c>
      <c r="W410" s="18">
        <v>1.3338000000000001</v>
      </c>
      <c r="X410" s="18">
        <v>0.88919999999999999</v>
      </c>
      <c r="Y410" s="18">
        <v>3.952E-2</v>
      </c>
      <c r="Z410" s="18">
        <v>0.17537</v>
      </c>
      <c r="AA410" s="18">
        <v>0.25688</v>
      </c>
      <c r="AB410" s="18">
        <v>0.45694999999999997</v>
      </c>
      <c r="AC410" s="18">
        <v>0.14079</v>
      </c>
      <c r="AD410" s="18">
        <v>0.74099999999999999</v>
      </c>
    </row>
    <row r="411" spans="2:30" x14ac:dyDescent="0.25">
      <c r="B411" t="s">
        <v>269</v>
      </c>
      <c r="C411" t="s">
        <v>326</v>
      </c>
      <c r="D411" t="s">
        <v>752</v>
      </c>
      <c r="E411" s="35">
        <v>0.9</v>
      </c>
      <c r="F411" s="35">
        <v>6.6</v>
      </c>
      <c r="G411" s="36">
        <v>2.47E-3</v>
      </c>
      <c r="H411" s="18">
        <v>4.4452980000000002</v>
      </c>
      <c r="I411" s="16" t="s">
        <v>746</v>
      </c>
      <c r="J411" s="16"/>
      <c r="K411" s="16"/>
      <c r="L411" s="37"/>
      <c r="M411" s="37"/>
      <c r="N411" s="37"/>
      <c r="O411" s="37"/>
      <c r="P411" s="37"/>
      <c r="Q411" s="18">
        <v>2.717E-2</v>
      </c>
      <c r="R411" s="18">
        <v>1.8525E-4</v>
      </c>
      <c r="S411" s="18">
        <v>5.1869999999999999E-2</v>
      </c>
      <c r="T411" s="18">
        <v>0.2223</v>
      </c>
      <c r="U411" s="18">
        <v>0.11115</v>
      </c>
      <c r="V411" s="18">
        <v>1.42272</v>
      </c>
      <c r="W411" s="18">
        <v>1.3338000000000001</v>
      </c>
      <c r="X411" s="18">
        <v>0.88919999999999999</v>
      </c>
      <c r="Y411" s="18">
        <v>3.952E-2</v>
      </c>
      <c r="Z411" s="18">
        <v>0.17537</v>
      </c>
      <c r="AA411" s="18">
        <v>0.25688</v>
      </c>
      <c r="AB411" s="18">
        <v>0.45694999999999997</v>
      </c>
      <c r="AC411" s="18">
        <v>0.14079</v>
      </c>
      <c r="AD411" s="18">
        <v>0.74099999999999999</v>
      </c>
    </row>
    <row r="412" spans="2:30" x14ac:dyDescent="0.25">
      <c r="B412" t="s">
        <v>269</v>
      </c>
      <c r="C412" t="s">
        <v>326</v>
      </c>
      <c r="D412" t="s">
        <v>752</v>
      </c>
      <c r="E412" s="35">
        <v>0.9</v>
      </c>
      <c r="F412" s="35">
        <v>6.6</v>
      </c>
      <c r="G412" s="36">
        <v>2.47E-3</v>
      </c>
      <c r="H412" s="18">
        <v>4.4452980000000002</v>
      </c>
      <c r="I412" s="16" t="s">
        <v>746</v>
      </c>
      <c r="J412" s="16"/>
      <c r="K412" s="16"/>
      <c r="L412" s="37"/>
      <c r="M412" s="37"/>
      <c r="N412" s="37"/>
      <c r="O412" s="37"/>
      <c r="P412" s="37"/>
      <c r="Q412" s="18">
        <v>2.717E-2</v>
      </c>
      <c r="R412" s="18">
        <v>1.8525E-4</v>
      </c>
      <c r="S412" s="18">
        <v>5.1869999999999999E-2</v>
      </c>
      <c r="T412" s="18">
        <v>0.2223</v>
      </c>
      <c r="U412" s="18">
        <v>0.11115</v>
      </c>
      <c r="V412" s="18">
        <v>1.42272</v>
      </c>
      <c r="W412" s="18">
        <v>1.3338000000000001</v>
      </c>
      <c r="X412" s="18">
        <v>0.88919999999999999</v>
      </c>
      <c r="Y412" s="18">
        <v>3.952E-2</v>
      </c>
      <c r="Z412" s="18">
        <v>0.17537</v>
      </c>
      <c r="AA412" s="18">
        <v>0.25688</v>
      </c>
      <c r="AB412" s="18">
        <v>0.45694999999999997</v>
      </c>
      <c r="AC412" s="18">
        <v>0.14079</v>
      </c>
      <c r="AD412" s="18">
        <v>0.74099999999999999</v>
      </c>
    </row>
    <row r="413" spans="2:30" x14ac:dyDescent="0.25">
      <c r="B413" t="s">
        <v>269</v>
      </c>
      <c r="C413" t="s">
        <v>326</v>
      </c>
      <c r="D413" t="s">
        <v>752</v>
      </c>
      <c r="E413" s="35">
        <v>0.9</v>
      </c>
      <c r="F413" s="35">
        <v>6.6</v>
      </c>
      <c r="G413" s="36">
        <v>2.47E-3</v>
      </c>
      <c r="H413" s="18">
        <v>4.4452980000000002</v>
      </c>
      <c r="I413" s="16" t="s">
        <v>746</v>
      </c>
      <c r="J413" s="16"/>
      <c r="K413" s="16"/>
      <c r="L413" s="37"/>
      <c r="M413" s="37"/>
      <c r="N413" s="37"/>
      <c r="O413" s="37"/>
      <c r="P413" s="37"/>
      <c r="Q413" s="18">
        <v>2.717E-2</v>
      </c>
      <c r="R413" s="18">
        <v>1.8525E-4</v>
      </c>
      <c r="S413" s="18">
        <v>5.1869999999999999E-2</v>
      </c>
      <c r="T413" s="18">
        <v>0.2223</v>
      </c>
      <c r="U413" s="18">
        <v>0.11115</v>
      </c>
      <c r="V413" s="18">
        <v>1.42272</v>
      </c>
      <c r="W413" s="18">
        <v>1.3338000000000001</v>
      </c>
      <c r="X413" s="18">
        <v>0.88919999999999999</v>
      </c>
      <c r="Y413" s="18">
        <v>3.952E-2</v>
      </c>
      <c r="Z413" s="18">
        <v>0.17537</v>
      </c>
      <c r="AA413" s="18">
        <v>0.25688</v>
      </c>
      <c r="AB413" s="18">
        <v>0.45694999999999997</v>
      </c>
      <c r="AC413" s="18">
        <v>0.14079</v>
      </c>
      <c r="AD413" s="18">
        <v>0.74099999999999999</v>
      </c>
    </row>
    <row r="414" spans="2:30" x14ac:dyDescent="0.25">
      <c r="B414" t="s">
        <v>269</v>
      </c>
      <c r="C414" t="s">
        <v>326</v>
      </c>
      <c r="D414" t="s">
        <v>752</v>
      </c>
      <c r="E414" s="35">
        <v>0.9</v>
      </c>
      <c r="F414" s="35">
        <v>6.6</v>
      </c>
      <c r="G414" s="36">
        <v>2.47E-3</v>
      </c>
      <c r="H414" s="18">
        <v>4.4452980000000002</v>
      </c>
      <c r="I414" s="16" t="s">
        <v>746</v>
      </c>
      <c r="J414" s="16"/>
      <c r="K414" s="16"/>
      <c r="L414" s="37"/>
      <c r="M414" s="37"/>
      <c r="N414" s="37"/>
      <c r="O414" s="37"/>
      <c r="P414" s="37"/>
      <c r="Q414" s="18">
        <v>2.717E-2</v>
      </c>
      <c r="R414" s="18">
        <v>1.8525E-4</v>
      </c>
      <c r="S414" s="18">
        <v>5.1869999999999999E-2</v>
      </c>
      <c r="T414" s="18">
        <v>0.2223</v>
      </c>
      <c r="U414" s="18">
        <v>0.11115</v>
      </c>
      <c r="V414" s="18">
        <v>1.42272</v>
      </c>
      <c r="W414" s="18">
        <v>1.3338000000000001</v>
      </c>
      <c r="X414" s="18">
        <v>0.88919999999999999</v>
      </c>
      <c r="Y414" s="18">
        <v>3.952E-2</v>
      </c>
      <c r="Z414" s="18">
        <v>0.17537</v>
      </c>
      <c r="AA414" s="18">
        <v>0.25688</v>
      </c>
      <c r="AB414" s="18">
        <v>0.45694999999999997</v>
      </c>
      <c r="AC414" s="18">
        <v>0.14079</v>
      </c>
      <c r="AD414" s="18">
        <v>0.74099999999999999</v>
      </c>
    </row>
    <row r="415" spans="2:30" x14ac:dyDescent="0.25">
      <c r="B415" t="s">
        <v>269</v>
      </c>
      <c r="C415" t="s">
        <v>326</v>
      </c>
      <c r="D415" t="s">
        <v>752</v>
      </c>
      <c r="E415" s="35">
        <v>0.9</v>
      </c>
      <c r="F415" s="35">
        <v>6.6</v>
      </c>
      <c r="G415" s="36">
        <v>2.47E-3</v>
      </c>
      <c r="H415" s="18">
        <v>4.4452980000000002</v>
      </c>
      <c r="I415" s="16" t="s">
        <v>746</v>
      </c>
      <c r="J415" s="16"/>
      <c r="K415" s="16"/>
      <c r="L415" s="37"/>
      <c r="M415" s="37"/>
      <c r="N415" s="37"/>
      <c r="O415" s="37"/>
      <c r="P415" s="37"/>
      <c r="Q415" s="18">
        <v>2.717E-2</v>
      </c>
      <c r="R415" s="18">
        <v>1.8525E-4</v>
      </c>
      <c r="S415" s="18">
        <v>5.1869999999999999E-2</v>
      </c>
      <c r="T415" s="18">
        <v>0.2223</v>
      </c>
      <c r="U415" s="18">
        <v>0.11115</v>
      </c>
      <c r="V415" s="18">
        <v>1.42272</v>
      </c>
      <c r="W415" s="18">
        <v>1.3338000000000001</v>
      </c>
      <c r="X415" s="18">
        <v>0.88919999999999999</v>
      </c>
      <c r="Y415" s="18">
        <v>3.952E-2</v>
      </c>
      <c r="Z415" s="18">
        <v>0.17537</v>
      </c>
      <c r="AA415" s="18">
        <v>0.25688</v>
      </c>
      <c r="AB415" s="18">
        <v>0.45694999999999997</v>
      </c>
      <c r="AC415" s="18">
        <v>0.14079</v>
      </c>
      <c r="AD415" s="18">
        <v>0.74099999999999999</v>
      </c>
    </row>
    <row r="416" spans="2:30" x14ac:dyDescent="0.25">
      <c r="B416" t="s">
        <v>269</v>
      </c>
      <c r="C416" t="s">
        <v>326</v>
      </c>
      <c r="D416" t="s">
        <v>752</v>
      </c>
      <c r="E416" s="35">
        <v>0.9</v>
      </c>
      <c r="F416" s="35">
        <v>6.6</v>
      </c>
      <c r="G416" s="36">
        <v>2.47E-3</v>
      </c>
      <c r="H416" s="18">
        <v>4.4452980000000002</v>
      </c>
      <c r="I416" s="16" t="s">
        <v>746</v>
      </c>
      <c r="J416" s="16"/>
      <c r="K416" s="16"/>
      <c r="L416" s="37"/>
      <c r="M416" s="37"/>
      <c r="N416" s="37"/>
      <c r="O416" s="37"/>
      <c r="P416" s="37"/>
      <c r="Q416" s="18">
        <v>2.717E-2</v>
      </c>
      <c r="R416" s="18">
        <v>1.8525E-4</v>
      </c>
      <c r="S416" s="18">
        <v>5.1869999999999999E-2</v>
      </c>
      <c r="T416" s="18">
        <v>0.2223</v>
      </c>
      <c r="U416" s="18">
        <v>0.11115</v>
      </c>
      <c r="V416" s="18">
        <v>1.42272</v>
      </c>
      <c r="W416" s="18">
        <v>1.3338000000000001</v>
      </c>
      <c r="X416" s="18">
        <v>0.88919999999999999</v>
      </c>
      <c r="Y416" s="18">
        <v>3.952E-2</v>
      </c>
      <c r="Z416" s="18">
        <v>0.17537</v>
      </c>
      <c r="AA416" s="18">
        <v>0.25688</v>
      </c>
      <c r="AB416" s="18">
        <v>0.45694999999999997</v>
      </c>
      <c r="AC416" s="18">
        <v>0.14079</v>
      </c>
      <c r="AD416" s="18">
        <v>0.74099999999999999</v>
      </c>
    </row>
    <row r="417" spans="2:30" x14ac:dyDescent="0.25">
      <c r="B417" t="s">
        <v>269</v>
      </c>
      <c r="C417" t="s">
        <v>326</v>
      </c>
      <c r="D417" t="s">
        <v>752</v>
      </c>
      <c r="E417" s="35">
        <v>0.9</v>
      </c>
      <c r="F417" s="35">
        <v>6.6</v>
      </c>
      <c r="G417" s="36">
        <v>2.47E-3</v>
      </c>
      <c r="H417" s="18">
        <v>4.4452980000000002</v>
      </c>
      <c r="I417" s="16" t="s">
        <v>746</v>
      </c>
      <c r="J417" s="16"/>
      <c r="K417" s="16"/>
      <c r="L417" s="37"/>
      <c r="M417" s="37"/>
      <c r="N417" s="37"/>
      <c r="O417" s="37"/>
      <c r="P417" s="37"/>
      <c r="Q417" s="18">
        <v>2.717E-2</v>
      </c>
      <c r="R417" s="18">
        <v>1.8525E-4</v>
      </c>
      <c r="S417" s="18">
        <v>5.1869999999999999E-2</v>
      </c>
      <c r="T417" s="18">
        <v>0.2223</v>
      </c>
      <c r="U417" s="18">
        <v>0.11115</v>
      </c>
      <c r="V417" s="18">
        <v>1.42272</v>
      </c>
      <c r="W417" s="18">
        <v>1.3338000000000001</v>
      </c>
      <c r="X417" s="18">
        <v>0.88919999999999999</v>
      </c>
      <c r="Y417" s="18">
        <v>3.952E-2</v>
      </c>
      <c r="Z417" s="18">
        <v>0.17537</v>
      </c>
      <c r="AA417" s="18">
        <v>0.25688</v>
      </c>
      <c r="AB417" s="18">
        <v>0.45694999999999997</v>
      </c>
      <c r="AC417" s="18">
        <v>0.14079</v>
      </c>
      <c r="AD417" s="18">
        <v>0.74099999999999999</v>
      </c>
    </row>
    <row r="418" spans="2:30" x14ac:dyDescent="0.25">
      <c r="B418" t="s">
        <v>269</v>
      </c>
      <c r="C418" t="s">
        <v>326</v>
      </c>
      <c r="D418" t="s">
        <v>752</v>
      </c>
      <c r="E418" s="35">
        <v>0.9</v>
      </c>
      <c r="F418" s="35">
        <v>6.6</v>
      </c>
      <c r="G418" s="36">
        <v>2.47E-3</v>
      </c>
      <c r="H418" s="18">
        <v>4.4452980000000002</v>
      </c>
      <c r="I418" s="16" t="s">
        <v>746</v>
      </c>
      <c r="J418" s="16"/>
      <c r="K418" s="16"/>
      <c r="L418" s="37"/>
      <c r="M418" s="37"/>
      <c r="N418" s="37"/>
      <c r="O418" s="37"/>
      <c r="P418" s="37"/>
      <c r="Q418" s="18">
        <v>2.717E-2</v>
      </c>
      <c r="R418" s="18">
        <v>1.8525E-4</v>
      </c>
      <c r="S418" s="18">
        <v>5.1869999999999999E-2</v>
      </c>
      <c r="T418" s="18">
        <v>0.2223</v>
      </c>
      <c r="U418" s="18">
        <v>0.11115</v>
      </c>
      <c r="V418" s="18">
        <v>1.42272</v>
      </c>
      <c r="W418" s="18">
        <v>1.3338000000000001</v>
      </c>
      <c r="X418" s="18">
        <v>0.88919999999999999</v>
      </c>
      <c r="Y418" s="18">
        <v>3.952E-2</v>
      </c>
      <c r="Z418" s="18">
        <v>0.17537</v>
      </c>
      <c r="AA418" s="18">
        <v>0.25688</v>
      </c>
      <c r="AB418" s="18">
        <v>0.45694999999999997</v>
      </c>
      <c r="AC418" s="18">
        <v>0.14079</v>
      </c>
      <c r="AD418" s="18">
        <v>0.74099999999999999</v>
      </c>
    </row>
    <row r="419" spans="2:30" x14ac:dyDescent="0.25">
      <c r="B419" t="s">
        <v>269</v>
      </c>
      <c r="C419" t="s">
        <v>326</v>
      </c>
      <c r="D419" t="s">
        <v>752</v>
      </c>
      <c r="E419" s="35">
        <v>0.9</v>
      </c>
      <c r="F419" s="35">
        <v>6.6</v>
      </c>
      <c r="G419" s="36">
        <v>2.47E-3</v>
      </c>
      <c r="H419" s="18">
        <v>4.4452980000000002</v>
      </c>
      <c r="I419" s="16" t="s">
        <v>746</v>
      </c>
      <c r="J419" s="16"/>
      <c r="K419" s="16"/>
      <c r="L419" s="37"/>
      <c r="M419" s="37"/>
      <c r="N419" s="37"/>
      <c r="O419" s="37"/>
      <c r="P419" s="37"/>
      <c r="Q419" s="18">
        <v>2.717E-2</v>
      </c>
      <c r="R419" s="18">
        <v>1.8525E-4</v>
      </c>
      <c r="S419" s="18">
        <v>5.1869999999999999E-2</v>
      </c>
      <c r="T419" s="18">
        <v>0.2223</v>
      </c>
      <c r="U419" s="18">
        <v>0.11115</v>
      </c>
      <c r="V419" s="18">
        <v>1.42272</v>
      </c>
      <c r="W419" s="18">
        <v>1.3338000000000001</v>
      </c>
      <c r="X419" s="18">
        <v>0.88919999999999999</v>
      </c>
      <c r="Y419" s="18">
        <v>3.952E-2</v>
      </c>
      <c r="Z419" s="18">
        <v>0.17537</v>
      </c>
      <c r="AA419" s="18">
        <v>0.25688</v>
      </c>
      <c r="AB419" s="18">
        <v>0.45694999999999997</v>
      </c>
      <c r="AC419" s="18">
        <v>0.14079</v>
      </c>
      <c r="AD419" s="18">
        <v>0.74099999999999999</v>
      </c>
    </row>
    <row r="420" spans="2:30" x14ac:dyDescent="0.25">
      <c r="B420" t="s">
        <v>269</v>
      </c>
      <c r="C420" t="s">
        <v>326</v>
      </c>
      <c r="D420" t="s">
        <v>752</v>
      </c>
      <c r="E420" s="35">
        <v>0.9</v>
      </c>
      <c r="F420" s="35">
        <v>6.6</v>
      </c>
      <c r="G420" s="36">
        <v>2.47E-3</v>
      </c>
      <c r="H420" s="18">
        <v>4.4452980000000002</v>
      </c>
      <c r="I420" s="16" t="s">
        <v>746</v>
      </c>
      <c r="J420" s="16"/>
      <c r="K420" s="16"/>
      <c r="L420" s="37"/>
      <c r="M420" s="37"/>
      <c r="N420" s="37"/>
      <c r="O420" s="37"/>
      <c r="P420" s="37"/>
      <c r="Q420" s="18">
        <v>2.717E-2</v>
      </c>
      <c r="R420" s="18">
        <v>1.8525E-4</v>
      </c>
      <c r="S420" s="18">
        <v>5.1869999999999999E-2</v>
      </c>
      <c r="T420" s="18">
        <v>0.2223</v>
      </c>
      <c r="U420" s="18">
        <v>0.11115</v>
      </c>
      <c r="V420" s="18">
        <v>1.42272</v>
      </c>
      <c r="W420" s="18">
        <v>1.3338000000000001</v>
      </c>
      <c r="X420" s="18">
        <v>0.88919999999999999</v>
      </c>
      <c r="Y420" s="18">
        <v>3.952E-2</v>
      </c>
      <c r="Z420" s="18">
        <v>0.17537</v>
      </c>
      <c r="AA420" s="18">
        <v>0.25688</v>
      </c>
      <c r="AB420" s="18">
        <v>0.45694999999999997</v>
      </c>
      <c r="AC420" s="18">
        <v>0.14079</v>
      </c>
      <c r="AD420" s="18">
        <v>0.74099999999999999</v>
      </c>
    </row>
    <row r="421" spans="2:30" x14ac:dyDescent="0.25">
      <c r="B421" t="s">
        <v>269</v>
      </c>
      <c r="C421" t="s">
        <v>326</v>
      </c>
      <c r="D421" t="s">
        <v>752</v>
      </c>
      <c r="E421" s="35">
        <v>0.9</v>
      </c>
      <c r="F421" s="35">
        <v>6.6</v>
      </c>
      <c r="G421" s="36">
        <v>2.47E-3</v>
      </c>
      <c r="H421" s="18">
        <v>4.4452980000000002</v>
      </c>
      <c r="I421" s="16" t="s">
        <v>746</v>
      </c>
      <c r="J421" s="16"/>
      <c r="K421" s="16"/>
      <c r="L421" s="37"/>
      <c r="M421" s="37"/>
      <c r="N421" s="37"/>
      <c r="O421" s="37"/>
      <c r="P421" s="37"/>
      <c r="Q421" s="18">
        <v>2.717E-2</v>
      </c>
      <c r="R421" s="18">
        <v>1.8525E-4</v>
      </c>
      <c r="S421" s="18">
        <v>5.1869999999999999E-2</v>
      </c>
      <c r="T421" s="18">
        <v>0.2223</v>
      </c>
      <c r="U421" s="18">
        <v>0.11115</v>
      </c>
      <c r="V421" s="18">
        <v>1.42272</v>
      </c>
      <c r="W421" s="18">
        <v>1.3338000000000001</v>
      </c>
      <c r="X421" s="18">
        <v>0.88919999999999999</v>
      </c>
      <c r="Y421" s="18">
        <v>3.952E-2</v>
      </c>
      <c r="Z421" s="18">
        <v>0.17537</v>
      </c>
      <c r="AA421" s="18">
        <v>0.25688</v>
      </c>
      <c r="AB421" s="18">
        <v>0.45694999999999997</v>
      </c>
      <c r="AC421" s="18">
        <v>0.14079</v>
      </c>
      <c r="AD421" s="18">
        <v>0.74099999999999999</v>
      </c>
    </row>
    <row r="422" spans="2:30" x14ac:dyDescent="0.25">
      <c r="B422" t="s">
        <v>269</v>
      </c>
      <c r="C422" t="s">
        <v>326</v>
      </c>
      <c r="D422" t="s">
        <v>752</v>
      </c>
      <c r="E422" s="35">
        <v>0.9</v>
      </c>
      <c r="F422" s="35">
        <v>6.6</v>
      </c>
      <c r="G422" s="36">
        <v>2.47E-3</v>
      </c>
      <c r="H422" s="18">
        <v>4.4452980000000002</v>
      </c>
      <c r="I422" s="16" t="s">
        <v>746</v>
      </c>
      <c r="J422" s="16"/>
      <c r="K422" s="16"/>
      <c r="L422" s="37"/>
      <c r="M422" s="37"/>
      <c r="N422" s="37"/>
      <c r="O422" s="37"/>
      <c r="P422" s="37"/>
      <c r="Q422" s="18">
        <v>2.717E-2</v>
      </c>
      <c r="R422" s="18">
        <v>1.8525E-4</v>
      </c>
      <c r="S422" s="18">
        <v>5.1869999999999999E-2</v>
      </c>
      <c r="T422" s="18">
        <v>0.2223</v>
      </c>
      <c r="U422" s="18">
        <v>0.11115</v>
      </c>
      <c r="V422" s="18">
        <v>1.42272</v>
      </c>
      <c r="W422" s="18">
        <v>1.3338000000000001</v>
      </c>
      <c r="X422" s="18">
        <v>0.88919999999999999</v>
      </c>
      <c r="Y422" s="18">
        <v>3.952E-2</v>
      </c>
      <c r="Z422" s="18">
        <v>0.17537</v>
      </c>
      <c r="AA422" s="18">
        <v>0.25688</v>
      </c>
      <c r="AB422" s="18">
        <v>0.45694999999999997</v>
      </c>
      <c r="AC422" s="18">
        <v>0.14079</v>
      </c>
      <c r="AD422" s="18">
        <v>0.74099999999999999</v>
      </c>
    </row>
    <row r="423" spans="2:30" x14ac:dyDescent="0.25">
      <c r="B423" t="s">
        <v>269</v>
      </c>
      <c r="C423" t="s">
        <v>326</v>
      </c>
      <c r="D423" t="s">
        <v>752</v>
      </c>
      <c r="E423" s="35">
        <v>0.9</v>
      </c>
      <c r="F423" s="35">
        <v>6.6</v>
      </c>
      <c r="G423" s="36">
        <v>2.47E-3</v>
      </c>
      <c r="H423" s="18">
        <v>4.4452980000000002</v>
      </c>
      <c r="I423" s="16" t="s">
        <v>746</v>
      </c>
      <c r="J423" s="16"/>
      <c r="K423" s="16"/>
      <c r="L423" s="37"/>
      <c r="M423" s="37"/>
      <c r="N423" s="37"/>
      <c r="O423" s="37"/>
      <c r="P423" s="37"/>
      <c r="Q423" s="18">
        <v>2.717E-2</v>
      </c>
      <c r="R423" s="18">
        <v>1.8525E-4</v>
      </c>
      <c r="S423" s="18">
        <v>5.1869999999999999E-2</v>
      </c>
      <c r="T423" s="18">
        <v>0.2223</v>
      </c>
      <c r="U423" s="18">
        <v>0.11115</v>
      </c>
      <c r="V423" s="18">
        <v>1.42272</v>
      </c>
      <c r="W423" s="18">
        <v>1.3338000000000001</v>
      </c>
      <c r="X423" s="18">
        <v>0.88919999999999999</v>
      </c>
      <c r="Y423" s="18">
        <v>3.952E-2</v>
      </c>
      <c r="Z423" s="18">
        <v>0.17537</v>
      </c>
      <c r="AA423" s="18">
        <v>0.25688</v>
      </c>
      <c r="AB423" s="18">
        <v>0.45694999999999997</v>
      </c>
      <c r="AC423" s="18">
        <v>0.14079</v>
      </c>
      <c r="AD423" s="18">
        <v>0.74099999999999999</v>
      </c>
    </row>
    <row r="424" spans="2:30" x14ac:dyDescent="0.25">
      <c r="B424" t="s">
        <v>269</v>
      </c>
      <c r="C424" t="s">
        <v>326</v>
      </c>
      <c r="D424" t="s">
        <v>752</v>
      </c>
      <c r="E424" s="35">
        <v>0.9</v>
      </c>
      <c r="F424" s="35">
        <v>6.6</v>
      </c>
      <c r="G424" s="36">
        <v>2.47E-3</v>
      </c>
      <c r="H424" s="18">
        <v>4.4452980000000002</v>
      </c>
      <c r="I424" s="16" t="s">
        <v>746</v>
      </c>
      <c r="J424" s="16"/>
      <c r="K424" s="16"/>
      <c r="L424" s="37"/>
      <c r="M424" s="37"/>
      <c r="N424" s="37"/>
      <c r="O424" s="37"/>
      <c r="P424" s="37"/>
      <c r="Q424" s="18">
        <v>2.717E-2</v>
      </c>
      <c r="R424" s="18">
        <v>1.8525E-4</v>
      </c>
      <c r="S424" s="18">
        <v>5.1869999999999999E-2</v>
      </c>
      <c r="T424" s="18">
        <v>0.2223</v>
      </c>
      <c r="U424" s="18">
        <v>0.11115</v>
      </c>
      <c r="V424" s="18">
        <v>1.42272</v>
      </c>
      <c r="W424" s="18">
        <v>1.3338000000000001</v>
      </c>
      <c r="X424" s="18">
        <v>0.88919999999999999</v>
      </c>
      <c r="Y424" s="18">
        <v>3.952E-2</v>
      </c>
      <c r="Z424" s="18">
        <v>0.17537</v>
      </c>
      <c r="AA424" s="18">
        <v>0.25688</v>
      </c>
      <c r="AB424" s="18">
        <v>0.45694999999999997</v>
      </c>
      <c r="AC424" s="18">
        <v>0.14079</v>
      </c>
      <c r="AD424" s="18">
        <v>0.74099999999999999</v>
      </c>
    </row>
    <row r="425" spans="2:30" x14ac:dyDescent="0.25">
      <c r="B425" t="s">
        <v>269</v>
      </c>
      <c r="C425" t="s">
        <v>326</v>
      </c>
      <c r="D425" t="s">
        <v>752</v>
      </c>
      <c r="E425" s="35">
        <v>0.9</v>
      </c>
      <c r="F425" s="35">
        <v>6.6</v>
      </c>
      <c r="G425" s="36">
        <v>2.47E-3</v>
      </c>
      <c r="H425" s="18">
        <v>4.4452980000000002</v>
      </c>
      <c r="I425" s="16" t="s">
        <v>746</v>
      </c>
      <c r="J425" s="16"/>
      <c r="K425" s="16"/>
      <c r="L425" s="37"/>
      <c r="M425" s="37"/>
      <c r="N425" s="37"/>
      <c r="O425" s="37"/>
      <c r="P425" s="37"/>
      <c r="Q425" s="18">
        <v>2.717E-2</v>
      </c>
      <c r="R425" s="18">
        <v>1.8525E-4</v>
      </c>
      <c r="S425" s="18">
        <v>5.1869999999999999E-2</v>
      </c>
      <c r="T425" s="18">
        <v>0.2223</v>
      </c>
      <c r="U425" s="18">
        <v>0.11115</v>
      </c>
      <c r="V425" s="18">
        <v>1.42272</v>
      </c>
      <c r="W425" s="18">
        <v>1.3338000000000001</v>
      </c>
      <c r="X425" s="18">
        <v>0.88919999999999999</v>
      </c>
      <c r="Y425" s="18">
        <v>3.952E-2</v>
      </c>
      <c r="Z425" s="18">
        <v>0.17537</v>
      </c>
      <c r="AA425" s="18">
        <v>0.25688</v>
      </c>
      <c r="AB425" s="18">
        <v>0.45694999999999997</v>
      </c>
      <c r="AC425" s="18">
        <v>0.14079</v>
      </c>
      <c r="AD425" s="18">
        <v>0.74099999999999999</v>
      </c>
    </row>
    <row r="426" spans="2:30" x14ac:dyDescent="0.25">
      <c r="B426" t="s">
        <v>269</v>
      </c>
      <c r="C426" t="s">
        <v>326</v>
      </c>
      <c r="D426" t="s">
        <v>752</v>
      </c>
      <c r="E426" s="35">
        <v>0.9</v>
      </c>
      <c r="F426" s="35">
        <v>6.6</v>
      </c>
      <c r="G426" s="36">
        <v>2.47E-3</v>
      </c>
      <c r="H426" s="18">
        <v>4.4452980000000002</v>
      </c>
      <c r="I426" s="16" t="s">
        <v>746</v>
      </c>
      <c r="J426" s="16"/>
      <c r="K426" s="16"/>
      <c r="L426" s="37"/>
      <c r="M426" s="37"/>
      <c r="N426" s="37"/>
      <c r="O426" s="37"/>
      <c r="P426" s="37"/>
      <c r="Q426" s="18">
        <v>2.717E-2</v>
      </c>
      <c r="R426" s="18">
        <v>1.8525E-4</v>
      </c>
      <c r="S426" s="18">
        <v>5.1869999999999999E-2</v>
      </c>
      <c r="T426" s="18">
        <v>0.2223</v>
      </c>
      <c r="U426" s="18">
        <v>0.11115</v>
      </c>
      <c r="V426" s="18">
        <v>1.42272</v>
      </c>
      <c r="W426" s="18">
        <v>1.3338000000000001</v>
      </c>
      <c r="X426" s="18">
        <v>0.88919999999999999</v>
      </c>
      <c r="Y426" s="18">
        <v>3.952E-2</v>
      </c>
      <c r="Z426" s="18">
        <v>0.17537</v>
      </c>
      <c r="AA426" s="18">
        <v>0.25688</v>
      </c>
      <c r="AB426" s="18">
        <v>0.45694999999999997</v>
      </c>
      <c r="AC426" s="18">
        <v>0.14079</v>
      </c>
      <c r="AD426" s="18">
        <v>0.74099999999999999</v>
      </c>
    </row>
    <row r="427" spans="2:30" x14ac:dyDescent="0.25">
      <c r="B427" t="s">
        <v>269</v>
      </c>
      <c r="C427" t="s">
        <v>326</v>
      </c>
      <c r="D427" t="s">
        <v>752</v>
      </c>
      <c r="E427" s="35">
        <v>0.9</v>
      </c>
      <c r="F427" s="35">
        <v>6.6</v>
      </c>
      <c r="G427" s="36">
        <v>2.47E-3</v>
      </c>
      <c r="H427" s="18">
        <v>4.4452980000000002</v>
      </c>
      <c r="I427" s="16" t="s">
        <v>746</v>
      </c>
      <c r="J427" s="16"/>
      <c r="K427" s="16"/>
      <c r="L427" s="37"/>
      <c r="M427" s="37"/>
      <c r="N427" s="37"/>
      <c r="O427" s="37"/>
      <c r="P427" s="37"/>
      <c r="Q427" s="18">
        <v>2.717E-2</v>
      </c>
      <c r="R427" s="18">
        <v>1.8525E-4</v>
      </c>
      <c r="S427" s="18">
        <v>5.1869999999999999E-2</v>
      </c>
      <c r="T427" s="18">
        <v>0.2223</v>
      </c>
      <c r="U427" s="18">
        <v>0.11115</v>
      </c>
      <c r="V427" s="18">
        <v>1.42272</v>
      </c>
      <c r="W427" s="18">
        <v>1.3338000000000001</v>
      </c>
      <c r="X427" s="18">
        <v>0.88919999999999999</v>
      </c>
      <c r="Y427" s="18">
        <v>3.952E-2</v>
      </c>
      <c r="Z427" s="18">
        <v>0.17537</v>
      </c>
      <c r="AA427" s="18">
        <v>0.25688</v>
      </c>
      <c r="AB427" s="18">
        <v>0.45694999999999997</v>
      </c>
      <c r="AC427" s="18">
        <v>0.14079</v>
      </c>
      <c r="AD427" s="18">
        <v>0.74099999999999999</v>
      </c>
    </row>
    <row r="428" spans="2:30" x14ac:dyDescent="0.25">
      <c r="B428" t="s">
        <v>269</v>
      </c>
      <c r="C428" t="s">
        <v>326</v>
      </c>
      <c r="D428" t="s">
        <v>752</v>
      </c>
      <c r="E428" s="35">
        <v>0.9</v>
      </c>
      <c r="F428" s="35">
        <v>6.6</v>
      </c>
      <c r="G428" s="36">
        <v>2.47E-3</v>
      </c>
      <c r="H428" s="18">
        <v>4.4452980000000002</v>
      </c>
      <c r="I428" s="16" t="s">
        <v>746</v>
      </c>
      <c r="J428" s="16"/>
      <c r="K428" s="16"/>
      <c r="L428" s="37"/>
      <c r="M428" s="37"/>
      <c r="N428" s="37"/>
      <c r="O428" s="37"/>
      <c r="P428" s="37"/>
      <c r="Q428" s="18">
        <v>2.717E-2</v>
      </c>
      <c r="R428" s="18">
        <v>1.8525E-4</v>
      </c>
      <c r="S428" s="18">
        <v>5.1869999999999999E-2</v>
      </c>
      <c r="T428" s="18">
        <v>0.2223</v>
      </c>
      <c r="U428" s="18">
        <v>0.11115</v>
      </c>
      <c r="V428" s="18">
        <v>1.42272</v>
      </c>
      <c r="W428" s="18">
        <v>1.3338000000000001</v>
      </c>
      <c r="X428" s="18">
        <v>0.88919999999999999</v>
      </c>
      <c r="Y428" s="18">
        <v>3.952E-2</v>
      </c>
      <c r="Z428" s="18">
        <v>0.17537</v>
      </c>
      <c r="AA428" s="18">
        <v>0.25688</v>
      </c>
      <c r="AB428" s="18">
        <v>0.45694999999999997</v>
      </c>
      <c r="AC428" s="18">
        <v>0.14079</v>
      </c>
      <c r="AD428" s="18">
        <v>0.74099999999999999</v>
      </c>
    </row>
    <row r="429" spans="2:30" x14ac:dyDescent="0.25">
      <c r="B429" t="s">
        <v>269</v>
      </c>
      <c r="C429" t="s">
        <v>326</v>
      </c>
      <c r="D429" t="s">
        <v>752</v>
      </c>
      <c r="E429" s="35">
        <v>0.9</v>
      </c>
      <c r="F429" s="35">
        <v>6.6</v>
      </c>
      <c r="G429" s="36">
        <v>2.47E-3</v>
      </c>
      <c r="H429" s="18">
        <v>4.4452980000000002</v>
      </c>
      <c r="I429" s="16" t="s">
        <v>746</v>
      </c>
      <c r="J429" s="16"/>
      <c r="K429" s="16"/>
      <c r="L429" s="37"/>
      <c r="M429" s="37"/>
      <c r="N429" s="37"/>
      <c r="O429" s="37"/>
      <c r="P429" s="37"/>
      <c r="Q429" s="18">
        <v>2.717E-2</v>
      </c>
      <c r="R429" s="18">
        <v>1.8525E-4</v>
      </c>
      <c r="S429" s="18">
        <v>5.1869999999999999E-2</v>
      </c>
      <c r="T429" s="18">
        <v>0.2223</v>
      </c>
      <c r="U429" s="18">
        <v>0.11115</v>
      </c>
      <c r="V429" s="18">
        <v>1.42272</v>
      </c>
      <c r="W429" s="18">
        <v>1.3338000000000001</v>
      </c>
      <c r="X429" s="18">
        <v>0.88919999999999999</v>
      </c>
      <c r="Y429" s="18">
        <v>3.952E-2</v>
      </c>
      <c r="Z429" s="18">
        <v>0.17537</v>
      </c>
      <c r="AA429" s="18">
        <v>0.25688</v>
      </c>
      <c r="AB429" s="18">
        <v>0.45694999999999997</v>
      </c>
      <c r="AC429" s="18">
        <v>0.14079</v>
      </c>
      <c r="AD429" s="18">
        <v>0.74099999999999999</v>
      </c>
    </row>
    <row r="430" spans="2:30" x14ac:dyDescent="0.25">
      <c r="B430" t="s">
        <v>269</v>
      </c>
      <c r="C430" t="s">
        <v>326</v>
      </c>
      <c r="D430" t="s">
        <v>752</v>
      </c>
      <c r="E430" s="35">
        <v>0.9</v>
      </c>
      <c r="F430" s="35">
        <v>6.6</v>
      </c>
      <c r="G430" s="36">
        <v>2.47E-3</v>
      </c>
      <c r="H430" s="18">
        <v>4.4452980000000002</v>
      </c>
      <c r="I430" s="16" t="s">
        <v>746</v>
      </c>
      <c r="J430" s="16"/>
      <c r="K430" s="16"/>
      <c r="L430" s="37"/>
      <c r="M430" s="37"/>
      <c r="N430" s="37"/>
      <c r="O430" s="37"/>
      <c r="P430" s="37"/>
      <c r="Q430" s="18">
        <v>2.717E-2</v>
      </c>
      <c r="R430" s="18">
        <v>1.8525E-4</v>
      </c>
      <c r="S430" s="18">
        <v>5.1869999999999999E-2</v>
      </c>
      <c r="T430" s="18">
        <v>0.2223</v>
      </c>
      <c r="U430" s="18">
        <v>0.11115</v>
      </c>
      <c r="V430" s="18">
        <v>1.42272</v>
      </c>
      <c r="W430" s="18">
        <v>1.3338000000000001</v>
      </c>
      <c r="X430" s="18">
        <v>0.88919999999999999</v>
      </c>
      <c r="Y430" s="18">
        <v>3.952E-2</v>
      </c>
      <c r="Z430" s="18">
        <v>0.17537</v>
      </c>
      <c r="AA430" s="18">
        <v>0.25688</v>
      </c>
      <c r="AB430" s="18">
        <v>0.45694999999999997</v>
      </c>
      <c r="AC430" s="18">
        <v>0.14079</v>
      </c>
      <c r="AD430" s="18">
        <v>0.74099999999999999</v>
      </c>
    </row>
    <row r="431" spans="2:30" x14ac:dyDescent="0.25">
      <c r="B431" t="s">
        <v>269</v>
      </c>
      <c r="C431" t="s">
        <v>326</v>
      </c>
      <c r="D431" t="s">
        <v>752</v>
      </c>
      <c r="E431" s="35">
        <v>0.9</v>
      </c>
      <c r="F431" s="35">
        <v>6.6</v>
      </c>
      <c r="G431" s="36">
        <v>2.47E-3</v>
      </c>
      <c r="H431" s="18">
        <v>4.4452980000000002</v>
      </c>
      <c r="I431" s="16" t="s">
        <v>746</v>
      </c>
      <c r="J431" s="16"/>
      <c r="K431" s="16"/>
      <c r="L431" s="37"/>
      <c r="M431" s="37"/>
      <c r="N431" s="37"/>
      <c r="O431" s="37"/>
      <c r="P431" s="37"/>
      <c r="Q431" s="18">
        <v>2.717E-2</v>
      </c>
      <c r="R431" s="18">
        <v>1.8525E-4</v>
      </c>
      <c r="S431" s="18">
        <v>5.1869999999999999E-2</v>
      </c>
      <c r="T431" s="18">
        <v>0.2223</v>
      </c>
      <c r="U431" s="18">
        <v>0.11115</v>
      </c>
      <c r="V431" s="18">
        <v>1.42272</v>
      </c>
      <c r="W431" s="18">
        <v>1.3338000000000001</v>
      </c>
      <c r="X431" s="18">
        <v>0.88919999999999999</v>
      </c>
      <c r="Y431" s="18">
        <v>3.952E-2</v>
      </c>
      <c r="Z431" s="18">
        <v>0.17537</v>
      </c>
      <c r="AA431" s="18">
        <v>0.25688</v>
      </c>
      <c r="AB431" s="18">
        <v>0.45694999999999997</v>
      </c>
      <c r="AC431" s="18">
        <v>0.14079</v>
      </c>
      <c r="AD431" s="18">
        <v>0.74099999999999999</v>
      </c>
    </row>
    <row r="432" spans="2:30" x14ac:dyDescent="0.25">
      <c r="B432" t="s">
        <v>269</v>
      </c>
      <c r="C432" t="s">
        <v>326</v>
      </c>
      <c r="D432" t="s">
        <v>752</v>
      </c>
      <c r="E432" s="35">
        <v>0.9</v>
      </c>
      <c r="F432" s="35">
        <v>6.6</v>
      </c>
      <c r="G432" s="36">
        <v>2.47E-3</v>
      </c>
      <c r="H432" s="18">
        <v>4.4452980000000002</v>
      </c>
      <c r="I432" s="16" t="s">
        <v>746</v>
      </c>
      <c r="J432" s="16"/>
      <c r="K432" s="16"/>
      <c r="L432" s="37"/>
      <c r="M432" s="37"/>
      <c r="N432" s="37"/>
      <c r="O432" s="37"/>
      <c r="P432" s="37"/>
      <c r="Q432" s="18">
        <v>2.717E-2</v>
      </c>
      <c r="R432" s="18">
        <v>1.8525E-4</v>
      </c>
      <c r="S432" s="18">
        <v>5.1869999999999999E-2</v>
      </c>
      <c r="T432" s="18">
        <v>0.2223</v>
      </c>
      <c r="U432" s="18">
        <v>0.11115</v>
      </c>
      <c r="V432" s="18">
        <v>1.42272</v>
      </c>
      <c r="W432" s="18">
        <v>1.3338000000000001</v>
      </c>
      <c r="X432" s="18">
        <v>0.88919999999999999</v>
      </c>
      <c r="Y432" s="18">
        <v>3.952E-2</v>
      </c>
      <c r="Z432" s="18">
        <v>0.17537</v>
      </c>
      <c r="AA432" s="18">
        <v>0.25688</v>
      </c>
      <c r="AB432" s="18">
        <v>0.45694999999999997</v>
      </c>
      <c r="AC432" s="18">
        <v>0.14079</v>
      </c>
      <c r="AD432" s="18">
        <v>0.74099999999999999</v>
      </c>
    </row>
    <row r="433" spans="2:30" x14ac:dyDescent="0.25">
      <c r="B433" t="s">
        <v>269</v>
      </c>
      <c r="C433" t="s">
        <v>326</v>
      </c>
      <c r="D433" t="s">
        <v>752</v>
      </c>
      <c r="E433" s="35">
        <v>0.9</v>
      </c>
      <c r="F433" s="35">
        <v>6.6</v>
      </c>
      <c r="G433" s="36">
        <v>2.47E-3</v>
      </c>
      <c r="H433" s="18">
        <v>4.4452980000000002</v>
      </c>
      <c r="I433" s="16" t="s">
        <v>746</v>
      </c>
      <c r="J433" s="16"/>
      <c r="K433" s="16"/>
      <c r="L433" s="37"/>
      <c r="M433" s="37"/>
      <c r="N433" s="37"/>
      <c r="O433" s="37"/>
      <c r="P433" s="37"/>
      <c r="Q433" s="18">
        <v>2.717E-2</v>
      </c>
      <c r="R433" s="18">
        <v>1.8525E-4</v>
      </c>
      <c r="S433" s="18">
        <v>5.1869999999999999E-2</v>
      </c>
      <c r="T433" s="18">
        <v>0.2223</v>
      </c>
      <c r="U433" s="18">
        <v>0.11115</v>
      </c>
      <c r="V433" s="18">
        <v>1.42272</v>
      </c>
      <c r="W433" s="18">
        <v>1.3338000000000001</v>
      </c>
      <c r="X433" s="18">
        <v>0.88919999999999999</v>
      </c>
      <c r="Y433" s="18">
        <v>3.952E-2</v>
      </c>
      <c r="Z433" s="18">
        <v>0.17537</v>
      </c>
      <c r="AA433" s="18">
        <v>0.25688</v>
      </c>
      <c r="AB433" s="18">
        <v>0.45694999999999997</v>
      </c>
      <c r="AC433" s="18">
        <v>0.14079</v>
      </c>
      <c r="AD433" s="18">
        <v>0.74099999999999999</v>
      </c>
    </row>
    <row r="434" spans="2:30" x14ac:dyDescent="0.25">
      <c r="B434" t="s">
        <v>269</v>
      </c>
      <c r="C434" t="s">
        <v>326</v>
      </c>
      <c r="D434" t="s">
        <v>752</v>
      </c>
      <c r="E434" s="35">
        <v>0.9</v>
      </c>
      <c r="F434" s="35">
        <v>6.6</v>
      </c>
      <c r="G434" s="36">
        <v>2.47E-3</v>
      </c>
      <c r="H434" s="18">
        <v>4.4452980000000002</v>
      </c>
      <c r="I434" s="16" t="s">
        <v>746</v>
      </c>
      <c r="J434" s="16"/>
      <c r="K434" s="16"/>
      <c r="L434" s="37"/>
      <c r="M434" s="37"/>
      <c r="N434" s="37"/>
      <c r="O434" s="37"/>
      <c r="P434" s="37"/>
      <c r="Q434" s="18">
        <v>2.717E-2</v>
      </c>
      <c r="R434" s="18">
        <v>1.8525E-4</v>
      </c>
      <c r="S434" s="18">
        <v>5.1869999999999999E-2</v>
      </c>
      <c r="T434" s="18">
        <v>0.2223</v>
      </c>
      <c r="U434" s="18">
        <v>0.11115</v>
      </c>
      <c r="V434" s="18">
        <v>1.42272</v>
      </c>
      <c r="W434" s="18">
        <v>1.3338000000000001</v>
      </c>
      <c r="X434" s="18">
        <v>0.88919999999999999</v>
      </c>
      <c r="Y434" s="18">
        <v>3.952E-2</v>
      </c>
      <c r="Z434" s="18">
        <v>0.17537</v>
      </c>
      <c r="AA434" s="18">
        <v>0.25688</v>
      </c>
      <c r="AB434" s="18">
        <v>0.45694999999999997</v>
      </c>
      <c r="AC434" s="18">
        <v>0.14079</v>
      </c>
      <c r="AD434" s="18">
        <v>0.74099999999999999</v>
      </c>
    </row>
    <row r="435" spans="2:30" x14ac:dyDescent="0.25">
      <c r="B435" t="s">
        <v>269</v>
      </c>
      <c r="C435" t="s">
        <v>326</v>
      </c>
      <c r="D435" t="s">
        <v>752</v>
      </c>
      <c r="E435" s="35">
        <v>0.9</v>
      </c>
      <c r="F435" s="35">
        <v>6.6</v>
      </c>
      <c r="G435" s="36">
        <v>2.47E-3</v>
      </c>
      <c r="H435" s="18">
        <v>4.4452980000000002</v>
      </c>
      <c r="I435" s="16" t="s">
        <v>746</v>
      </c>
      <c r="J435" s="16"/>
      <c r="K435" s="16"/>
      <c r="L435" s="37"/>
      <c r="M435" s="37"/>
      <c r="N435" s="37"/>
      <c r="O435" s="37"/>
      <c r="P435" s="37"/>
      <c r="Q435" s="18">
        <v>2.717E-2</v>
      </c>
      <c r="R435" s="18">
        <v>1.8525E-4</v>
      </c>
      <c r="S435" s="18">
        <v>5.1869999999999999E-2</v>
      </c>
      <c r="T435" s="18">
        <v>0.2223</v>
      </c>
      <c r="U435" s="18">
        <v>0.11115</v>
      </c>
      <c r="V435" s="18">
        <v>1.42272</v>
      </c>
      <c r="W435" s="18">
        <v>1.3338000000000001</v>
      </c>
      <c r="X435" s="18">
        <v>0.88919999999999999</v>
      </c>
      <c r="Y435" s="18">
        <v>3.952E-2</v>
      </c>
      <c r="Z435" s="18">
        <v>0.17537</v>
      </c>
      <c r="AA435" s="18">
        <v>0.25688</v>
      </c>
      <c r="AB435" s="18">
        <v>0.45694999999999997</v>
      </c>
      <c r="AC435" s="18">
        <v>0.14079</v>
      </c>
      <c r="AD435" s="18">
        <v>0.74099999999999999</v>
      </c>
    </row>
    <row r="436" spans="2:30" x14ac:dyDescent="0.25">
      <c r="B436" t="s">
        <v>269</v>
      </c>
      <c r="C436" t="s">
        <v>326</v>
      </c>
      <c r="D436" t="s">
        <v>752</v>
      </c>
      <c r="E436" s="35">
        <v>0.9</v>
      </c>
      <c r="F436" s="35">
        <v>6.6</v>
      </c>
      <c r="G436" s="36">
        <v>2.47E-3</v>
      </c>
      <c r="H436" s="18">
        <v>4.4452980000000002</v>
      </c>
      <c r="I436" s="16" t="s">
        <v>746</v>
      </c>
      <c r="J436" s="16"/>
      <c r="K436" s="16"/>
      <c r="L436" s="37"/>
      <c r="M436" s="37"/>
      <c r="N436" s="37"/>
      <c r="O436" s="37"/>
      <c r="P436" s="37"/>
      <c r="Q436" s="18">
        <v>2.717E-2</v>
      </c>
      <c r="R436" s="18">
        <v>1.8525E-4</v>
      </c>
      <c r="S436" s="18">
        <v>5.1869999999999999E-2</v>
      </c>
      <c r="T436" s="18">
        <v>0.2223</v>
      </c>
      <c r="U436" s="18">
        <v>0.11115</v>
      </c>
      <c r="V436" s="18">
        <v>1.42272</v>
      </c>
      <c r="W436" s="18">
        <v>1.3338000000000001</v>
      </c>
      <c r="X436" s="18">
        <v>0.88919999999999999</v>
      </c>
      <c r="Y436" s="18">
        <v>3.952E-2</v>
      </c>
      <c r="Z436" s="18">
        <v>0.17537</v>
      </c>
      <c r="AA436" s="18">
        <v>0.25688</v>
      </c>
      <c r="AB436" s="18">
        <v>0.45694999999999997</v>
      </c>
      <c r="AC436" s="18">
        <v>0.14079</v>
      </c>
      <c r="AD436" s="18">
        <v>0.74099999999999999</v>
      </c>
    </row>
    <row r="437" spans="2:30" x14ac:dyDescent="0.25">
      <c r="B437" t="s">
        <v>269</v>
      </c>
      <c r="C437" t="s">
        <v>326</v>
      </c>
      <c r="D437" t="s">
        <v>752</v>
      </c>
      <c r="E437" s="35">
        <v>0.9</v>
      </c>
      <c r="F437" s="35">
        <v>6.6</v>
      </c>
      <c r="G437" s="36">
        <v>2.47E-3</v>
      </c>
      <c r="H437" s="18">
        <v>4.4452980000000002</v>
      </c>
      <c r="I437" s="16" t="s">
        <v>746</v>
      </c>
      <c r="J437" s="16"/>
      <c r="K437" s="16"/>
      <c r="L437" s="37"/>
      <c r="M437" s="37"/>
      <c r="N437" s="37"/>
      <c r="O437" s="37"/>
      <c r="P437" s="37"/>
      <c r="Q437" s="18">
        <v>2.717E-2</v>
      </c>
      <c r="R437" s="18">
        <v>1.8525E-4</v>
      </c>
      <c r="S437" s="18">
        <v>5.1869999999999999E-2</v>
      </c>
      <c r="T437" s="18">
        <v>0.2223</v>
      </c>
      <c r="U437" s="18">
        <v>0.11115</v>
      </c>
      <c r="V437" s="18">
        <v>1.42272</v>
      </c>
      <c r="W437" s="18">
        <v>1.3338000000000001</v>
      </c>
      <c r="X437" s="18">
        <v>0.88919999999999999</v>
      </c>
      <c r="Y437" s="18">
        <v>3.952E-2</v>
      </c>
      <c r="Z437" s="18">
        <v>0.17537</v>
      </c>
      <c r="AA437" s="18">
        <v>0.25688</v>
      </c>
      <c r="AB437" s="18">
        <v>0.45694999999999997</v>
      </c>
      <c r="AC437" s="18">
        <v>0.14079</v>
      </c>
      <c r="AD437" s="18">
        <v>0.74099999999999999</v>
      </c>
    </row>
    <row r="438" spans="2:30" x14ac:dyDescent="0.25">
      <c r="B438" t="s">
        <v>269</v>
      </c>
      <c r="C438" t="s">
        <v>326</v>
      </c>
      <c r="D438" t="s">
        <v>752</v>
      </c>
      <c r="E438" s="35">
        <v>0.9</v>
      </c>
      <c r="F438" s="35">
        <v>6.6</v>
      </c>
      <c r="G438" s="36">
        <v>2.47E-3</v>
      </c>
      <c r="H438" s="18">
        <v>4.4452980000000002</v>
      </c>
      <c r="I438" s="16" t="s">
        <v>746</v>
      </c>
      <c r="J438" s="16"/>
      <c r="K438" s="16"/>
      <c r="L438" s="37"/>
      <c r="M438" s="37"/>
      <c r="N438" s="37"/>
      <c r="O438" s="37"/>
      <c r="P438" s="37"/>
      <c r="Q438" s="18">
        <v>2.717E-2</v>
      </c>
      <c r="R438" s="18">
        <v>1.8525E-4</v>
      </c>
      <c r="S438" s="18">
        <v>5.1869999999999999E-2</v>
      </c>
      <c r="T438" s="18">
        <v>0.2223</v>
      </c>
      <c r="U438" s="18">
        <v>0.11115</v>
      </c>
      <c r="V438" s="18">
        <v>1.42272</v>
      </c>
      <c r="W438" s="18">
        <v>1.3338000000000001</v>
      </c>
      <c r="X438" s="18">
        <v>0.88919999999999999</v>
      </c>
      <c r="Y438" s="18">
        <v>3.952E-2</v>
      </c>
      <c r="Z438" s="18">
        <v>0.17537</v>
      </c>
      <c r="AA438" s="18">
        <v>0.25688</v>
      </c>
      <c r="AB438" s="18">
        <v>0.45694999999999997</v>
      </c>
      <c r="AC438" s="18">
        <v>0.14079</v>
      </c>
      <c r="AD438" s="18">
        <v>0.74099999999999999</v>
      </c>
    </row>
    <row r="439" spans="2:30" x14ac:dyDescent="0.25">
      <c r="B439" t="s">
        <v>269</v>
      </c>
      <c r="C439" t="s">
        <v>326</v>
      </c>
      <c r="D439" t="s">
        <v>752</v>
      </c>
      <c r="E439" s="35">
        <v>0.9</v>
      </c>
      <c r="F439" s="35">
        <v>6.6</v>
      </c>
      <c r="G439" s="36">
        <v>2.47E-3</v>
      </c>
      <c r="H439" s="18">
        <v>4.4452980000000002</v>
      </c>
      <c r="I439" s="16" t="s">
        <v>746</v>
      </c>
      <c r="J439" s="16"/>
      <c r="K439" s="16"/>
      <c r="L439" s="37"/>
      <c r="M439" s="37"/>
      <c r="N439" s="37"/>
      <c r="O439" s="37"/>
      <c r="P439" s="37"/>
      <c r="Q439" s="18">
        <v>2.717E-2</v>
      </c>
      <c r="R439" s="18">
        <v>1.8525E-4</v>
      </c>
      <c r="S439" s="18">
        <v>5.1869999999999999E-2</v>
      </c>
      <c r="T439" s="18">
        <v>0.2223</v>
      </c>
      <c r="U439" s="18">
        <v>0.11115</v>
      </c>
      <c r="V439" s="18">
        <v>1.42272</v>
      </c>
      <c r="W439" s="18">
        <v>1.3338000000000001</v>
      </c>
      <c r="X439" s="18">
        <v>0.88919999999999999</v>
      </c>
      <c r="Y439" s="18">
        <v>3.952E-2</v>
      </c>
      <c r="Z439" s="18">
        <v>0.17537</v>
      </c>
      <c r="AA439" s="18">
        <v>0.25688</v>
      </c>
      <c r="AB439" s="18">
        <v>0.45694999999999997</v>
      </c>
      <c r="AC439" s="18">
        <v>0.14079</v>
      </c>
      <c r="AD439" s="18">
        <v>0.74099999999999999</v>
      </c>
    </row>
    <row r="440" spans="2:30" x14ac:dyDescent="0.25">
      <c r="B440" t="s">
        <v>269</v>
      </c>
      <c r="C440" t="s">
        <v>326</v>
      </c>
      <c r="D440" t="s">
        <v>752</v>
      </c>
      <c r="E440" s="35">
        <v>0.9</v>
      </c>
      <c r="F440" s="35">
        <v>6.6</v>
      </c>
      <c r="G440" s="36">
        <v>2.47E-3</v>
      </c>
      <c r="H440" s="18">
        <v>4.4452980000000002</v>
      </c>
      <c r="I440" s="16" t="s">
        <v>746</v>
      </c>
      <c r="J440" s="16"/>
      <c r="K440" s="16"/>
      <c r="L440" s="37"/>
      <c r="M440" s="37"/>
      <c r="N440" s="37"/>
      <c r="O440" s="37"/>
      <c r="P440" s="37"/>
      <c r="Q440" s="18">
        <v>2.717E-2</v>
      </c>
      <c r="R440" s="18">
        <v>1.8525E-4</v>
      </c>
      <c r="S440" s="18">
        <v>5.1869999999999999E-2</v>
      </c>
      <c r="T440" s="18">
        <v>0.2223</v>
      </c>
      <c r="U440" s="18">
        <v>0.11115</v>
      </c>
      <c r="V440" s="18">
        <v>1.42272</v>
      </c>
      <c r="W440" s="18">
        <v>1.3338000000000001</v>
      </c>
      <c r="X440" s="18">
        <v>0.88919999999999999</v>
      </c>
      <c r="Y440" s="18">
        <v>3.952E-2</v>
      </c>
      <c r="Z440" s="18">
        <v>0.17537</v>
      </c>
      <c r="AA440" s="18">
        <v>0.25688</v>
      </c>
      <c r="AB440" s="18">
        <v>0.45694999999999997</v>
      </c>
      <c r="AC440" s="18">
        <v>0.14079</v>
      </c>
      <c r="AD440" s="18">
        <v>0.74099999999999999</v>
      </c>
    </row>
    <row r="441" spans="2:30" x14ac:dyDescent="0.25">
      <c r="B441" t="s">
        <v>269</v>
      </c>
      <c r="C441" t="s">
        <v>326</v>
      </c>
      <c r="D441" t="s">
        <v>745</v>
      </c>
      <c r="E441" s="35">
        <v>0.9</v>
      </c>
      <c r="F441" s="35">
        <v>6.6</v>
      </c>
      <c r="G441" s="36">
        <v>2.1719999999999999E-3</v>
      </c>
      <c r="H441" s="18">
        <v>3.9099249999999999</v>
      </c>
      <c r="I441" s="16" t="s">
        <v>746</v>
      </c>
      <c r="J441" s="16"/>
      <c r="K441" s="16"/>
      <c r="L441" s="37"/>
      <c r="M441" s="37"/>
      <c r="N441" s="37"/>
      <c r="O441" s="37"/>
      <c r="P441" s="37"/>
      <c r="Q441" s="18">
        <v>2.3892E-2</v>
      </c>
      <c r="R441" s="18">
        <v>1.6289999999999998E-4</v>
      </c>
      <c r="S441" s="18">
        <v>4.5612E-2</v>
      </c>
      <c r="T441" s="18">
        <v>0.19547999999999999</v>
      </c>
      <c r="U441" s="18">
        <v>9.7739999999999994E-2</v>
      </c>
      <c r="V441" s="18">
        <v>1.251072</v>
      </c>
      <c r="W441" s="18">
        <v>1.1728799999999999</v>
      </c>
      <c r="X441" s="18">
        <v>0.78191999999999995</v>
      </c>
      <c r="Y441" s="18">
        <v>3.4751999999999998E-2</v>
      </c>
      <c r="Z441" s="18">
        <v>0.15421199999999999</v>
      </c>
      <c r="AA441" s="18">
        <v>0.22588799999999998</v>
      </c>
      <c r="AB441" s="18">
        <v>0.40181999999999995</v>
      </c>
      <c r="AC441" s="18">
        <v>0.123804</v>
      </c>
      <c r="AD441" s="18">
        <v>0.65159999999999996</v>
      </c>
    </row>
    <row r="442" spans="2:30" x14ac:dyDescent="0.25">
      <c r="B442" t="s">
        <v>269</v>
      </c>
      <c r="C442" t="s">
        <v>105</v>
      </c>
      <c r="D442" t="s">
        <v>747</v>
      </c>
      <c r="E442" s="35">
        <v>0.9</v>
      </c>
      <c r="F442" s="35">
        <v>6.6</v>
      </c>
      <c r="G442" s="36">
        <v>4.9449999999999997E-3</v>
      </c>
      <c r="H442" s="18">
        <v>8.9002979999999994</v>
      </c>
      <c r="I442" s="16" t="s">
        <v>746</v>
      </c>
      <c r="J442" s="16"/>
      <c r="K442" s="16"/>
      <c r="L442" s="37"/>
      <c r="M442" s="37"/>
      <c r="N442" s="37"/>
      <c r="O442" s="37"/>
      <c r="P442" s="37"/>
      <c r="Q442" s="18">
        <v>5.4394999999999999E-2</v>
      </c>
      <c r="R442" s="18">
        <v>3.7087499999999995E-4</v>
      </c>
      <c r="S442" s="18">
        <v>0.10384499999999999</v>
      </c>
      <c r="T442" s="18">
        <v>0.44505</v>
      </c>
      <c r="U442" s="18">
        <v>0.222525</v>
      </c>
      <c r="V442" s="18">
        <v>2.8483199999999997</v>
      </c>
      <c r="W442" s="18">
        <v>2.6702999999999997</v>
      </c>
      <c r="X442" s="18">
        <v>1.7802</v>
      </c>
      <c r="Y442" s="18">
        <v>7.9119999999999996E-2</v>
      </c>
      <c r="Z442" s="18">
        <v>0.35109499999999999</v>
      </c>
      <c r="AA442" s="18">
        <v>0.51427999999999996</v>
      </c>
      <c r="AB442" s="18">
        <v>0.914825</v>
      </c>
      <c r="AC442" s="18">
        <v>0.28186499999999998</v>
      </c>
      <c r="AD442" s="18">
        <v>1.4834999999999998</v>
      </c>
    </row>
    <row r="443" spans="2:30" x14ac:dyDescent="0.25">
      <c r="B443" t="s">
        <v>269</v>
      </c>
      <c r="C443" t="s">
        <v>105</v>
      </c>
      <c r="D443" t="s">
        <v>748</v>
      </c>
      <c r="E443" s="35">
        <v>0.9</v>
      </c>
      <c r="F443" s="35">
        <v>6.6</v>
      </c>
      <c r="G443" s="36">
        <v>4.1200000000000004E-3</v>
      </c>
      <c r="H443" s="18">
        <v>7.4152979999999999</v>
      </c>
      <c r="I443" s="16" t="s">
        <v>746</v>
      </c>
      <c r="J443" s="16"/>
      <c r="K443" s="16"/>
      <c r="L443" s="37"/>
      <c r="M443" s="37"/>
      <c r="N443" s="37"/>
      <c r="O443" s="37"/>
      <c r="P443" s="37"/>
      <c r="Q443" s="18">
        <v>4.5320000000000006E-2</v>
      </c>
      <c r="R443" s="18">
        <v>3.0900000000000003E-4</v>
      </c>
      <c r="S443" s="18">
        <v>8.6520000000000014E-2</v>
      </c>
      <c r="T443" s="18">
        <v>0.37080000000000002</v>
      </c>
      <c r="U443" s="18">
        <v>0.18540000000000001</v>
      </c>
      <c r="V443" s="18">
        <v>2.3731200000000001</v>
      </c>
      <c r="W443" s="18">
        <v>2.2248000000000001</v>
      </c>
      <c r="X443" s="18">
        <v>1.4832000000000001</v>
      </c>
      <c r="Y443" s="18">
        <v>6.5920000000000006E-2</v>
      </c>
      <c r="Z443" s="18">
        <v>0.29252</v>
      </c>
      <c r="AA443" s="18">
        <v>0.42848000000000003</v>
      </c>
      <c r="AB443" s="18">
        <v>0.7622000000000001</v>
      </c>
      <c r="AC443" s="18">
        <v>0.23484000000000002</v>
      </c>
      <c r="AD443" s="18">
        <v>1.2360000000000002</v>
      </c>
    </row>
    <row r="444" spans="2:30" x14ac:dyDescent="0.25">
      <c r="B444" t="s">
        <v>269</v>
      </c>
      <c r="C444" t="s">
        <v>105</v>
      </c>
      <c r="D444" t="s">
        <v>748</v>
      </c>
      <c r="E444" s="35">
        <v>0.9</v>
      </c>
      <c r="F444" s="35">
        <v>6.6</v>
      </c>
      <c r="G444" s="36">
        <v>4.1200000000000004E-3</v>
      </c>
      <c r="H444" s="18">
        <v>7.4152979999999999</v>
      </c>
      <c r="I444" s="16" t="s">
        <v>746</v>
      </c>
      <c r="J444" s="16"/>
      <c r="K444" s="16"/>
      <c r="L444" s="37"/>
      <c r="M444" s="37"/>
      <c r="N444" s="37"/>
      <c r="O444" s="37"/>
      <c r="P444" s="37"/>
      <c r="Q444" s="18">
        <v>4.5320000000000006E-2</v>
      </c>
      <c r="R444" s="18">
        <v>3.0900000000000003E-4</v>
      </c>
      <c r="S444" s="18">
        <v>8.6520000000000014E-2</v>
      </c>
      <c r="T444" s="18">
        <v>0.37080000000000002</v>
      </c>
      <c r="U444" s="18">
        <v>0.18540000000000001</v>
      </c>
      <c r="V444" s="18">
        <v>2.3731200000000001</v>
      </c>
      <c r="W444" s="18">
        <v>2.2248000000000001</v>
      </c>
      <c r="X444" s="18">
        <v>1.4832000000000001</v>
      </c>
      <c r="Y444" s="18">
        <v>6.5920000000000006E-2</v>
      </c>
      <c r="Z444" s="18">
        <v>0.29252</v>
      </c>
      <c r="AA444" s="18">
        <v>0.42848000000000003</v>
      </c>
      <c r="AB444" s="18">
        <v>0.7622000000000001</v>
      </c>
      <c r="AC444" s="18">
        <v>0.23484000000000002</v>
      </c>
      <c r="AD444" s="18">
        <v>1.2360000000000002</v>
      </c>
    </row>
    <row r="445" spans="2:30" x14ac:dyDescent="0.25">
      <c r="B445" t="s">
        <v>269</v>
      </c>
      <c r="C445" t="s">
        <v>105</v>
      </c>
      <c r="D445" t="s">
        <v>747</v>
      </c>
      <c r="E445" s="35">
        <v>0.9</v>
      </c>
      <c r="F445" s="35">
        <v>6.6</v>
      </c>
      <c r="G445" s="36">
        <v>4.9449999999999997E-3</v>
      </c>
      <c r="H445" s="18">
        <v>8.9002979999999994</v>
      </c>
      <c r="I445" s="16" t="s">
        <v>746</v>
      </c>
      <c r="J445" s="16"/>
      <c r="K445" s="16"/>
      <c r="L445" s="37"/>
      <c r="M445" s="37"/>
      <c r="N445" s="37"/>
      <c r="O445" s="37"/>
      <c r="P445" s="37"/>
      <c r="Q445" s="18">
        <v>5.4394999999999999E-2</v>
      </c>
      <c r="R445" s="18">
        <v>3.7087499999999995E-4</v>
      </c>
      <c r="S445" s="18">
        <v>0.10384499999999999</v>
      </c>
      <c r="T445" s="18">
        <v>0.44505</v>
      </c>
      <c r="U445" s="18">
        <v>0.222525</v>
      </c>
      <c r="V445" s="18">
        <v>2.8483199999999997</v>
      </c>
      <c r="W445" s="18">
        <v>2.6702999999999997</v>
      </c>
      <c r="X445" s="18">
        <v>1.7802</v>
      </c>
      <c r="Y445" s="18">
        <v>7.9119999999999996E-2</v>
      </c>
      <c r="Z445" s="18">
        <v>0.35109499999999999</v>
      </c>
      <c r="AA445" s="18">
        <v>0.51427999999999996</v>
      </c>
      <c r="AB445" s="18">
        <v>0.914825</v>
      </c>
      <c r="AC445" s="18">
        <v>0.28186499999999998</v>
      </c>
      <c r="AD445" s="18">
        <v>1.4834999999999998</v>
      </c>
    </row>
    <row r="446" spans="2:30" x14ac:dyDescent="0.25">
      <c r="B446" t="s">
        <v>269</v>
      </c>
      <c r="C446" t="s">
        <v>105</v>
      </c>
      <c r="D446" t="s">
        <v>748</v>
      </c>
      <c r="E446" s="35">
        <v>0.9</v>
      </c>
      <c r="F446" s="35">
        <v>6.6</v>
      </c>
      <c r="G446" s="36">
        <v>4.1200000000000004E-3</v>
      </c>
      <c r="H446" s="18">
        <v>7.4152979999999999</v>
      </c>
      <c r="I446" s="16" t="s">
        <v>746</v>
      </c>
      <c r="J446" s="16"/>
      <c r="K446" s="16"/>
      <c r="L446" s="37"/>
      <c r="M446" s="37"/>
      <c r="N446" s="37"/>
      <c r="O446" s="37"/>
      <c r="P446" s="37"/>
      <c r="Q446" s="18">
        <v>4.5320000000000006E-2</v>
      </c>
      <c r="R446" s="18">
        <v>3.0900000000000003E-4</v>
      </c>
      <c r="S446" s="18">
        <v>8.6520000000000014E-2</v>
      </c>
      <c r="T446" s="18">
        <v>0.37080000000000002</v>
      </c>
      <c r="U446" s="18">
        <v>0.18540000000000001</v>
      </c>
      <c r="V446" s="18">
        <v>2.3731200000000001</v>
      </c>
      <c r="W446" s="18">
        <v>2.2248000000000001</v>
      </c>
      <c r="X446" s="18">
        <v>1.4832000000000001</v>
      </c>
      <c r="Y446" s="18">
        <v>6.5920000000000006E-2</v>
      </c>
      <c r="Z446" s="18">
        <v>0.29252</v>
      </c>
      <c r="AA446" s="18">
        <v>0.42848000000000003</v>
      </c>
      <c r="AB446" s="18">
        <v>0.7622000000000001</v>
      </c>
      <c r="AC446" s="18">
        <v>0.23484000000000002</v>
      </c>
      <c r="AD446" s="18">
        <v>1.2360000000000002</v>
      </c>
    </row>
    <row r="447" spans="2:30" x14ac:dyDescent="0.25">
      <c r="B447" t="s">
        <v>269</v>
      </c>
      <c r="C447" t="s">
        <v>105</v>
      </c>
      <c r="D447" t="s">
        <v>747</v>
      </c>
      <c r="E447" s="35">
        <v>0.9</v>
      </c>
      <c r="F447" s="35">
        <v>6.6</v>
      </c>
      <c r="G447" s="36">
        <v>4.9449999999999997E-3</v>
      </c>
      <c r="H447" s="18">
        <v>8.9002979999999994</v>
      </c>
      <c r="I447" s="16" t="s">
        <v>746</v>
      </c>
      <c r="J447" s="16"/>
      <c r="K447" s="16"/>
      <c r="L447" s="37"/>
      <c r="M447" s="37"/>
      <c r="N447" s="37"/>
      <c r="O447" s="37"/>
      <c r="P447" s="37"/>
      <c r="Q447" s="18">
        <v>5.4394999999999999E-2</v>
      </c>
      <c r="R447" s="18">
        <v>3.7087499999999995E-4</v>
      </c>
      <c r="S447" s="18">
        <v>0.10384499999999999</v>
      </c>
      <c r="T447" s="18">
        <v>0.44505</v>
      </c>
      <c r="U447" s="18">
        <v>0.222525</v>
      </c>
      <c r="V447" s="18">
        <v>2.8483199999999997</v>
      </c>
      <c r="W447" s="18">
        <v>2.6702999999999997</v>
      </c>
      <c r="X447" s="18">
        <v>1.7802</v>
      </c>
      <c r="Y447" s="18">
        <v>7.9119999999999996E-2</v>
      </c>
      <c r="Z447" s="18">
        <v>0.35109499999999999</v>
      </c>
      <c r="AA447" s="18">
        <v>0.51427999999999996</v>
      </c>
      <c r="AB447" s="18">
        <v>0.914825</v>
      </c>
      <c r="AC447" s="18">
        <v>0.28186499999999998</v>
      </c>
      <c r="AD447" s="18">
        <v>1.4834999999999998</v>
      </c>
    </row>
    <row r="448" spans="2:30" x14ac:dyDescent="0.25">
      <c r="B448" t="s">
        <v>269</v>
      </c>
      <c r="C448" t="s">
        <v>105</v>
      </c>
      <c r="D448" t="s">
        <v>747</v>
      </c>
      <c r="E448" s="35">
        <v>0.9</v>
      </c>
      <c r="F448" s="35">
        <v>6.6</v>
      </c>
      <c r="G448" s="36">
        <v>4.9449999999999997E-3</v>
      </c>
      <c r="H448" s="18">
        <v>8.9002979999999994</v>
      </c>
      <c r="I448" s="16" t="s">
        <v>746</v>
      </c>
      <c r="J448" s="16"/>
      <c r="K448" s="16"/>
      <c r="L448" s="37"/>
      <c r="M448" s="37"/>
      <c r="N448" s="37"/>
      <c r="O448" s="37"/>
      <c r="P448" s="37"/>
      <c r="Q448" s="18">
        <v>5.4394999999999999E-2</v>
      </c>
      <c r="R448" s="18">
        <v>3.7087499999999995E-4</v>
      </c>
      <c r="S448" s="18">
        <v>0.10384499999999999</v>
      </c>
      <c r="T448" s="18">
        <v>0.44505</v>
      </c>
      <c r="U448" s="18">
        <v>0.222525</v>
      </c>
      <c r="V448" s="18">
        <v>2.8483199999999997</v>
      </c>
      <c r="W448" s="18">
        <v>2.6702999999999997</v>
      </c>
      <c r="X448" s="18">
        <v>1.7802</v>
      </c>
      <c r="Y448" s="18">
        <v>7.9119999999999996E-2</v>
      </c>
      <c r="Z448" s="18">
        <v>0.35109499999999999</v>
      </c>
      <c r="AA448" s="18">
        <v>0.51427999999999996</v>
      </c>
      <c r="AB448" s="18">
        <v>0.914825</v>
      </c>
      <c r="AC448" s="18">
        <v>0.28186499999999998</v>
      </c>
      <c r="AD448" s="18">
        <v>1.4834999999999998</v>
      </c>
    </row>
    <row r="449" spans="2:30" x14ac:dyDescent="0.25">
      <c r="B449" t="s">
        <v>269</v>
      </c>
      <c r="C449" t="s">
        <v>105</v>
      </c>
      <c r="D449" t="s">
        <v>748</v>
      </c>
      <c r="E449" s="35">
        <v>0.9</v>
      </c>
      <c r="F449" s="35">
        <v>6.6</v>
      </c>
      <c r="G449" s="36">
        <v>4.1200000000000004E-3</v>
      </c>
      <c r="H449" s="18">
        <v>7.4152979999999999</v>
      </c>
      <c r="I449" s="16" t="s">
        <v>746</v>
      </c>
      <c r="J449" s="16"/>
      <c r="K449" s="16"/>
      <c r="L449" s="37"/>
      <c r="M449" s="37"/>
      <c r="N449" s="37"/>
      <c r="O449" s="37"/>
      <c r="P449" s="37"/>
      <c r="Q449" s="18">
        <v>4.5320000000000006E-2</v>
      </c>
      <c r="R449" s="18">
        <v>3.0900000000000003E-4</v>
      </c>
      <c r="S449" s="18">
        <v>8.6520000000000014E-2</v>
      </c>
      <c r="T449" s="18">
        <v>0.37080000000000002</v>
      </c>
      <c r="U449" s="18">
        <v>0.18540000000000001</v>
      </c>
      <c r="V449" s="18">
        <v>2.3731200000000001</v>
      </c>
      <c r="W449" s="18">
        <v>2.2248000000000001</v>
      </c>
      <c r="X449" s="18">
        <v>1.4832000000000001</v>
      </c>
      <c r="Y449" s="18">
        <v>6.5920000000000006E-2</v>
      </c>
      <c r="Z449" s="18">
        <v>0.29252</v>
      </c>
      <c r="AA449" s="18">
        <v>0.42848000000000003</v>
      </c>
      <c r="AB449" s="18">
        <v>0.7622000000000001</v>
      </c>
      <c r="AC449" s="18">
        <v>0.23484000000000002</v>
      </c>
      <c r="AD449" s="18">
        <v>1.2360000000000002</v>
      </c>
    </row>
    <row r="450" spans="2:30" x14ac:dyDescent="0.25">
      <c r="B450" t="s">
        <v>269</v>
      </c>
      <c r="C450" t="s">
        <v>105</v>
      </c>
      <c r="D450" t="s">
        <v>747</v>
      </c>
      <c r="E450" s="35">
        <v>0.9</v>
      </c>
      <c r="F450" s="35">
        <v>6.6</v>
      </c>
      <c r="G450" s="36">
        <v>4.9449999999999997E-3</v>
      </c>
      <c r="H450" s="18">
        <v>8.9002979999999994</v>
      </c>
      <c r="I450" s="16" t="s">
        <v>746</v>
      </c>
      <c r="J450" s="16"/>
      <c r="K450" s="16"/>
      <c r="L450" s="37"/>
      <c r="M450" s="37"/>
      <c r="N450" s="37"/>
      <c r="O450" s="37"/>
      <c r="P450" s="37"/>
      <c r="Q450" s="18">
        <v>5.4394999999999999E-2</v>
      </c>
      <c r="R450" s="18">
        <v>3.7087499999999995E-4</v>
      </c>
      <c r="S450" s="18">
        <v>0.10384499999999999</v>
      </c>
      <c r="T450" s="18">
        <v>0.44505</v>
      </c>
      <c r="U450" s="18">
        <v>0.222525</v>
      </c>
      <c r="V450" s="18">
        <v>2.8483199999999997</v>
      </c>
      <c r="W450" s="18">
        <v>2.6702999999999997</v>
      </c>
      <c r="X450" s="18">
        <v>1.7802</v>
      </c>
      <c r="Y450" s="18">
        <v>7.9119999999999996E-2</v>
      </c>
      <c r="Z450" s="18">
        <v>0.35109499999999999</v>
      </c>
      <c r="AA450" s="18">
        <v>0.51427999999999996</v>
      </c>
      <c r="AB450" s="18">
        <v>0.914825</v>
      </c>
      <c r="AC450" s="18">
        <v>0.28186499999999998</v>
      </c>
      <c r="AD450" s="18">
        <v>1.4834999999999998</v>
      </c>
    </row>
    <row r="451" spans="2:30" x14ac:dyDescent="0.25">
      <c r="B451" t="s">
        <v>269</v>
      </c>
      <c r="C451" t="s">
        <v>105</v>
      </c>
      <c r="D451" t="s">
        <v>749</v>
      </c>
      <c r="E451" s="35">
        <v>0.9</v>
      </c>
      <c r="F451" s="35">
        <v>6.6</v>
      </c>
      <c r="G451" s="36">
        <v>3.5699999999999998E-3</v>
      </c>
      <c r="H451" s="18">
        <v>6.4252979999999997</v>
      </c>
      <c r="I451" s="16" t="s">
        <v>746</v>
      </c>
      <c r="J451" s="16"/>
      <c r="K451" s="16"/>
      <c r="L451" s="37"/>
      <c r="M451" s="37"/>
      <c r="N451" s="37"/>
      <c r="O451" s="37"/>
      <c r="P451" s="37"/>
      <c r="Q451" s="18">
        <v>3.9269999999999999E-2</v>
      </c>
      <c r="R451" s="18">
        <v>2.6774999999999998E-4</v>
      </c>
      <c r="S451" s="18">
        <v>7.4969999999999995E-2</v>
      </c>
      <c r="T451" s="18">
        <v>0.32129999999999997</v>
      </c>
      <c r="U451" s="18">
        <v>0.16064999999999999</v>
      </c>
      <c r="V451" s="18">
        <v>2.0563199999999999</v>
      </c>
      <c r="W451" s="18">
        <v>1.9278</v>
      </c>
      <c r="X451" s="18">
        <v>1.2851999999999999</v>
      </c>
      <c r="Y451" s="18">
        <v>5.7119999999999997E-2</v>
      </c>
      <c r="Z451" s="18">
        <v>0.25346999999999997</v>
      </c>
      <c r="AA451" s="18">
        <v>0.37128</v>
      </c>
      <c r="AB451" s="18">
        <v>0.66044999999999998</v>
      </c>
      <c r="AC451" s="18">
        <v>0.20348999999999998</v>
      </c>
      <c r="AD451" s="18">
        <v>1.071</v>
      </c>
    </row>
    <row r="452" spans="2:30" x14ac:dyDescent="0.25">
      <c r="B452" t="s">
        <v>269</v>
      </c>
      <c r="C452" t="s">
        <v>105</v>
      </c>
      <c r="D452" t="s">
        <v>750</v>
      </c>
      <c r="E452" s="35">
        <v>0.9</v>
      </c>
      <c r="F452" s="35">
        <v>6.6</v>
      </c>
      <c r="G452" s="36">
        <v>3.0200000000000001E-3</v>
      </c>
      <c r="H452" s="18">
        <v>5.4352980000000004</v>
      </c>
      <c r="I452" s="16" t="s">
        <v>746</v>
      </c>
      <c r="J452" s="16"/>
      <c r="K452" s="16"/>
      <c r="L452" s="37"/>
      <c r="M452" s="37"/>
      <c r="N452" s="37"/>
      <c r="O452" s="37"/>
      <c r="P452" s="37"/>
      <c r="Q452" s="18">
        <v>3.322E-2</v>
      </c>
      <c r="R452" s="18">
        <v>2.265E-4</v>
      </c>
      <c r="S452" s="18">
        <v>6.3420000000000004E-2</v>
      </c>
      <c r="T452" s="18">
        <v>0.27179999999999999</v>
      </c>
      <c r="U452" s="18">
        <v>0.13589999999999999</v>
      </c>
      <c r="V452" s="18">
        <v>1.7395200000000002</v>
      </c>
      <c r="W452" s="18">
        <v>1.6308</v>
      </c>
      <c r="X452" s="18">
        <v>1.0871999999999999</v>
      </c>
      <c r="Y452" s="18">
        <v>4.8320000000000002E-2</v>
      </c>
      <c r="Z452" s="18">
        <v>0.21442</v>
      </c>
      <c r="AA452" s="18">
        <v>0.31408000000000003</v>
      </c>
      <c r="AB452" s="18">
        <v>0.55869999999999997</v>
      </c>
      <c r="AC452" s="18">
        <v>0.17214000000000002</v>
      </c>
      <c r="AD452" s="18">
        <v>0.90600000000000003</v>
      </c>
    </row>
    <row r="453" spans="2:30" x14ac:dyDescent="0.25">
      <c r="B453" t="s">
        <v>269</v>
      </c>
      <c r="C453" t="s">
        <v>105</v>
      </c>
      <c r="D453" t="s">
        <v>750</v>
      </c>
      <c r="E453" s="35">
        <v>0.9</v>
      </c>
      <c r="F453" s="35">
        <v>6.6</v>
      </c>
      <c r="G453" s="36">
        <v>3.0200000000000001E-3</v>
      </c>
      <c r="H453" s="18">
        <v>5.4352980000000004</v>
      </c>
      <c r="I453" s="16" t="s">
        <v>746</v>
      </c>
      <c r="J453" s="16"/>
      <c r="K453" s="16"/>
      <c r="L453" s="37"/>
      <c r="M453" s="37"/>
      <c r="N453" s="37"/>
      <c r="O453" s="37"/>
      <c r="P453" s="37"/>
      <c r="Q453" s="18">
        <v>3.322E-2</v>
      </c>
      <c r="R453" s="18">
        <v>2.265E-4</v>
      </c>
      <c r="S453" s="18">
        <v>6.3420000000000004E-2</v>
      </c>
      <c r="T453" s="18">
        <v>0.27179999999999999</v>
      </c>
      <c r="U453" s="18">
        <v>0.13589999999999999</v>
      </c>
      <c r="V453" s="18">
        <v>1.7395200000000002</v>
      </c>
      <c r="W453" s="18">
        <v>1.6308</v>
      </c>
      <c r="X453" s="18">
        <v>1.0871999999999999</v>
      </c>
      <c r="Y453" s="18">
        <v>4.8320000000000002E-2</v>
      </c>
      <c r="Z453" s="18">
        <v>0.21442</v>
      </c>
      <c r="AA453" s="18">
        <v>0.31408000000000003</v>
      </c>
      <c r="AB453" s="18">
        <v>0.55869999999999997</v>
      </c>
      <c r="AC453" s="18">
        <v>0.17214000000000002</v>
      </c>
      <c r="AD453" s="18">
        <v>0.90600000000000003</v>
      </c>
    </row>
    <row r="454" spans="2:30" x14ac:dyDescent="0.25">
      <c r="B454" t="s">
        <v>269</v>
      </c>
      <c r="C454" t="s">
        <v>105</v>
      </c>
      <c r="D454" t="s">
        <v>749</v>
      </c>
      <c r="E454" s="35">
        <v>0.9</v>
      </c>
      <c r="F454" s="35">
        <v>6.6</v>
      </c>
      <c r="G454" s="36">
        <v>3.5699999999999998E-3</v>
      </c>
      <c r="H454" s="18">
        <v>6.4252979999999997</v>
      </c>
      <c r="I454" s="16" t="s">
        <v>746</v>
      </c>
      <c r="J454" s="16"/>
      <c r="K454" s="16"/>
      <c r="L454" s="37"/>
      <c r="M454" s="37"/>
      <c r="N454" s="37"/>
      <c r="O454" s="37"/>
      <c r="P454" s="37"/>
      <c r="Q454" s="18">
        <v>3.9269999999999999E-2</v>
      </c>
      <c r="R454" s="18">
        <v>2.6774999999999998E-4</v>
      </c>
      <c r="S454" s="18">
        <v>7.4969999999999995E-2</v>
      </c>
      <c r="T454" s="18">
        <v>0.32129999999999997</v>
      </c>
      <c r="U454" s="18">
        <v>0.16064999999999999</v>
      </c>
      <c r="V454" s="18">
        <v>2.0563199999999999</v>
      </c>
      <c r="W454" s="18">
        <v>1.9278</v>
      </c>
      <c r="X454" s="18">
        <v>1.2851999999999999</v>
      </c>
      <c r="Y454" s="18">
        <v>5.7119999999999997E-2</v>
      </c>
      <c r="Z454" s="18">
        <v>0.25346999999999997</v>
      </c>
      <c r="AA454" s="18">
        <v>0.37128</v>
      </c>
      <c r="AB454" s="18">
        <v>0.66044999999999998</v>
      </c>
      <c r="AC454" s="18">
        <v>0.20348999999999998</v>
      </c>
      <c r="AD454" s="18">
        <v>1.071</v>
      </c>
    </row>
    <row r="455" spans="2:30" x14ac:dyDescent="0.25">
      <c r="B455" t="s">
        <v>269</v>
      </c>
      <c r="C455" t="s">
        <v>105</v>
      </c>
      <c r="D455" t="s">
        <v>751</v>
      </c>
      <c r="E455" s="35">
        <v>0.9</v>
      </c>
      <c r="F455" s="35">
        <v>6.6</v>
      </c>
      <c r="G455" s="36">
        <v>2.7910000000000001E-3</v>
      </c>
      <c r="H455" s="18">
        <v>5.0236749999999999</v>
      </c>
      <c r="I455" s="16" t="s">
        <v>746</v>
      </c>
      <c r="J455" s="16"/>
      <c r="K455" s="16"/>
      <c r="L455" s="37"/>
      <c r="M455" s="37"/>
      <c r="N455" s="37"/>
      <c r="O455" s="37"/>
      <c r="P455" s="37"/>
      <c r="Q455" s="18">
        <v>3.0700999999999999E-2</v>
      </c>
      <c r="R455" s="18">
        <v>2.0932500000000001E-4</v>
      </c>
      <c r="S455" s="18">
        <v>5.8611000000000003E-2</v>
      </c>
      <c r="T455" s="18">
        <v>0.25119000000000002</v>
      </c>
      <c r="U455" s="18">
        <v>0.12559500000000001</v>
      </c>
      <c r="V455" s="18">
        <v>1.6076160000000002</v>
      </c>
      <c r="W455" s="18">
        <v>1.5071400000000001</v>
      </c>
      <c r="X455" s="18">
        <v>1.0047600000000001</v>
      </c>
      <c r="Y455" s="18">
        <v>4.4656000000000001E-2</v>
      </c>
      <c r="Z455" s="18">
        <v>0.198161</v>
      </c>
      <c r="AA455" s="18">
        <v>0.29026400000000002</v>
      </c>
      <c r="AB455" s="18">
        <v>0.51633499999999999</v>
      </c>
      <c r="AC455" s="18">
        <v>0.15908700000000001</v>
      </c>
      <c r="AD455" s="18">
        <v>0.83730000000000004</v>
      </c>
    </row>
    <row r="456" spans="2:30" x14ac:dyDescent="0.25">
      <c r="B456" t="s">
        <v>269</v>
      </c>
      <c r="C456" t="s">
        <v>105</v>
      </c>
      <c r="D456" t="s">
        <v>748</v>
      </c>
      <c r="E456" s="35">
        <v>0.9</v>
      </c>
      <c r="F456" s="35">
        <v>6.6</v>
      </c>
      <c r="G456" s="36">
        <v>4.1200000000000004E-3</v>
      </c>
      <c r="H456" s="18">
        <v>7.4152979999999999</v>
      </c>
      <c r="I456" s="16" t="s">
        <v>746</v>
      </c>
      <c r="J456" s="16"/>
      <c r="K456" s="16"/>
      <c r="L456" s="37"/>
      <c r="M456" s="37"/>
      <c r="N456" s="37"/>
      <c r="O456" s="37"/>
      <c r="P456" s="37"/>
      <c r="Q456" s="18">
        <v>4.5320000000000006E-2</v>
      </c>
      <c r="R456" s="18">
        <v>3.0900000000000003E-4</v>
      </c>
      <c r="S456" s="18">
        <v>8.6520000000000014E-2</v>
      </c>
      <c r="T456" s="18">
        <v>0.37080000000000002</v>
      </c>
      <c r="U456" s="18">
        <v>0.18540000000000001</v>
      </c>
      <c r="V456" s="18">
        <v>2.3731200000000001</v>
      </c>
      <c r="W456" s="18">
        <v>2.2248000000000001</v>
      </c>
      <c r="X456" s="18">
        <v>1.4832000000000001</v>
      </c>
      <c r="Y456" s="18">
        <v>6.5920000000000006E-2</v>
      </c>
      <c r="Z456" s="18">
        <v>0.29252</v>
      </c>
      <c r="AA456" s="18">
        <v>0.42848000000000003</v>
      </c>
      <c r="AB456" s="18">
        <v>0.7622000000000001</v>
      </c>
      <c r="AC456" s="18">
        <v>0.23484000000000002</v>
      </c>
      <c r="AD456" s="18">
        <v>1.2360000000000002</v>
      </c>
    </row>
    <row r="457" spans="2:30" x14ac:dyDescent="0.25">
      <c r="B457" t="s">
        <v>269</v>
      </c>
      <c r="C457" t="s">
        <v>105</v>
      </c>
      <c r="D457" t="s">
        <v>748</v>
      </c>
      <c r="E457" s="35">
        <v>0.9</v>
      </c>
      <c r="F457" s="35">
        <v>6.6</v>
      </c>
      <c r="G457" s="36">
        <v>4.1200000000000004E-3</v>
      </c>
      <c r="H457" s="18">
        <v>7.4152979999999999</v>
      </c>
      <c r="I457" s="16" t="s">
        <v>746</v>
      </c>
      <c r="J457" s="16"/>
      <c r="K457" s="16"/>
      <c r="L457" s="37"/>
      <c r="M457" s="37"/>
      <c r="N457" s="37"/>
      <c r="O457" s="37"/>
      <c r="P457" s="37"/>
      <c r="Q457" s="18">
        <v>4.5320000000000006E-2</v>
      </c>
      <c r="R457" s="18">
        <v>3.0900000000000003E-4</v>
      </c>
      <c r="S457" s="18">
        <v>8.6520000000000014E-2</v>
      </c>
      <c r="T457" s="18">
        <v>0.37080000000000002</v>
      </c>
      <c r="U457" s="18">
        <v>0.18540000000000001</v>
      </c>
      <c r="V457" s="18">
        <v>2.3731200000000001</v>
      </c>
      <c r="W457" s="18">
        <v>2.2248000000000001</v>
      </c>
      <c r="X457" s="18">
        <v>1.4832000000000001</v>
      </c>
      <c r="Y457" s="18">
        <v>6.5920000000000006E-2</v>
      </c>
      <c r="Z457" s="18">
        <v>0.29252</v>
      </c>
      <c r="AA457" s="18">
        <v>0.42848000000000003</v>
      </c>
      <c r="AB457" s="18">
        <v>0.7622000000000001</v>
      </c>
      <c r="AC457" s="18">
        <v>0.23484000000000002</v>
      </c>
      <c r="AD457" s="18">
        <v>1.2360000000000002</v>
      </c>
    </row>
    <row r="458" spans="2:30" x14ac:dyDescent="0.25">
      <c r="B458" t="s">
        <v>269</v>
      </c>
      <c r="C458" t="s">
        <v>105</v>
      </c>
      <c r="D458" t="s">
        <v>749</v>
      </c>
      <c r="E458" s="35">
        <v>0.9</v>
      </c>
      <c r="F458" s="35">
        <v>6.6</v>
      </c>
      <c r="G458" s="36">
        <v>3.5699999999999998E-3</v>
      </c>
      <c r="H458" s="18">
        <v>6.4252979999999997</v>
      </c>
      <c r="I458" s="16" t="s">
        <v>746</v>
      </c>
      <c r="J458" s="16"/>
      <c r="K458" s="16"/>
      <c r="L458" s="37"/>
      <c r="M458" s="37"/>
      <c r="N458" s="37"/>
      <c r="O458" s="37"/>
      <c r="P458" s="37"/>
      <c r="Q458" s="18">
        <v>3.9269999999999999E-2</v>
      </c>
      <c r="R458" s="18">
        <v>2.6774999999999998E-4</v>
      </c>
      <c r="S458" s="18">
        <v>7.4969999999999995E-2</v>
      </c>
      <c r="T458" s="18">
        <v>0.32129999999999997</v>
      </c>
      <c r="U458" s="18">
        <v>0.16064999999999999</v>
      </c>
      <c r="V458" s="18">
        <v>2.0563199999999999</v>
      </c>
      <c r="W458" s="18">
        <v>1.9278</v>
      </c>
      <c r="X458" s="18">
        <v>1.2851999999999999</v>
      </c>
      <c r="Y458" s="18">
        <v>5.7119999999999997E-2</v>
      </c>
      <c r="Z458" s="18">
        <v>0.25346999999999997</v>
      </c>
      <c r="AA458" s="18">
        <v>0.37128</v>
      </c>
      <c r="AB458" s="18">
        <v>0.66044999999999998</v>
      </c>
      <c r="AC458" s="18">
        <v>0.20348999999999998</v>
      </c>
      <c r="AD458" s="18">
        <v>1.071</v>
      </c>
    </row>
    <row r="459" spans="2:30" x14ac:dyDescent="0.25">
      <c r="B459" t="s">
        <v>269</v>
      </c>
      <c r="C459" t="s">
        <v>105</v>
      </c>
      <c r="D459" t="s">
        <v>748</v>
      </c>
      <c r="E459" s="35">
        <v>0.9</v>
      </c>
      <c r="F459" s="35">
        <v>6.6</v>
      </c>
      <c r="G459" s="36">
        <v>4.1200000000000004E-3</v>
      </c>
      <c r="H459" s="18">
        <v>7.4152979999999999</v>
      </c>
      <c r="I459" s="16" t="s">
        <v>746</v>
      </c>
      <c r="J459" s="16"/>
      <c r="K459" s="16"/>
      <c r="L459" s="37"/>
      <c r="M459" s="37"/>
      <c r="N459" s="37"/>
      <c r="O459" s="37"/>
      <c r="P459" s="37"/>
      <c r="Q459" s="18">
        <v>4.5320000000000006E-2</v>
      </c>
      <c r="R459" s="18">
        <v>3.0900000000000003E-4</v>
      </c>
      <c r="S459" s="18">
        <v>8.6520000000000014E-2</v>
      </c>
      <c r="T459" s="18">
        <v>0.37080000000000002</v>
      </c>
      <c r="U459" s="18">
        <v>0.18540000000000001</v>
      </c>
      <c r="V459" s="18">
        <v>2.3731200000000001</v>
      </c>
      <c r="W459" s="18">
        <v>2.2248000000000001</v>
      </c>
      <c r="X459" s="18">
        <v>1.4832000000000001</v>
      </c>
      <c r="Y459" s="18">
        <v>6.5920000000000006E-2</v>
      </c>
      <c r="Z459" s="18">
        <v>0.29252</v>
      </c>
      <c r="AA459" s="18">
        <v>0.42848000000000003</v>
      </c>
      <c r="AB459" s="18">
        <v>0.7622000000000001</v>
      </c>
      <c r="AC459" s="18">
        <v>0.23484000000000002</v>
      </c>
      <c r="AD459" s="18">
        <v>1.2360000000000002</v>
      </c>
    </row>
    <row r="460" spans="2:30" x14ac:dyDescent="0.25">
      <c r="B460" t="s">
        <v>269</v>
      </c>
      <c r="C460" t="s">
        <v>105</v>
      </c>
      <c r="D460" t="s">
        <v>751</v>
      </c>
      <c r="E460" s="35">
        <v>0.9</v>
      </c>
      <c r="F460" s="35">
        <v>6.6</v>
      </c>
      <c r="G460" s="36">
        <v>2.7910000000000001E-3</v>
      </c>
      <c r="H460" s="18">
        <v>5.0236749999999999</v>
      </c>
      <c r="I460" s="16" t="s">
        <v>746</v>
      </c>
      <c r="J460" s="16"/>
      <c r="K460" s="16"/>
      <c r="L460" s="37"/>
      <c r="M460" s="37"/>
      <c r="N460" s="37"/>
      <c r="O460" s="37"/>
      <c r="P460" s="37"/>
      <c r="Q460" s="18">
        <v>3.0700999999999999E-2</v>
      </c>
      <c r="R460" s="18">
        <v>2.0932500000000001E-4</v>
      </c>
      <c r="S460" s="18">
        <v>5.8611000000000003E-2</v>
      </c>
      <c r="T460" s="18">
        <v>0.25119000000000002</v>
      </c>
      <c r="U460" s="18">
        <v>0.12559500000000001</v>
      </c>
      <c r="V460" s="18">
        <v>1.6076160000000002</v>
      </c>
      <c r="W460" s="18">
        <v>1.5071400000000001</v>
      </c>
      <c r="X460" s="18">
        <v>1.0047600000000001</v>
      </c>
      <c r="Y460" s="18">
        <v>4.4656000000000001E-2</v>
      </c>
      <c r="Z460" s="18">
        <v>0.198161</v>
      </c>
      <c r="AA460" s="18">
        <v>0.29026400000000002</v>
      </c>
      <c r="AB460" s="18">
        <v>0.51633499999999999</v>
      </c>
      <c r="AC460" s="18">
        <v>0.15908700000000001</v>
      </c>
      <c r="AD460" s="18">
        <v>0.83730000000000004</v>
      </c>
    </row>
    <row r="461" spans="2:30" x14ac:dyDescent="0.25">
      <c r="B461" t="s">
        <v>269</v>
      </c>
      <c r="C461" t="s">
        <v>105</v>
      </c>
      <c r="D461" t="s">
        <v>748</v>
      </c>
      <c r="E461" s="35">
        <v>0.9</v>
      </c>
      <c r="F461" s="35">
        <v>6.6</v>
      </c>
      <c r="G461" s="36">
        <v>4.1200000000000004E-3</v>
      </c>
      <c r="H461" s="18">
        <v>7.4152979999999999</v>
      </c>
      <c r="I461" s="16" t="s">
        <v>746</v>
      </c>
      <c r="J461" s="16"/>
      <c r="K461" s="16"/>
      <c r="L461" s="37"/>
      <c r="M461" s="37"/>
      <c r="N461" s="37"/>
      <c r="O461" s="37"/>
      <c r="P461" s="37"/>
      <c r="Q461" s="18">
        <v>4.5320000000000006E-2</v>
      </c>
      <c r="R461" s="18">
        <v>3.0900000000000003E-4</v>
      </c>
      <c r="S461" s="18">
        <v>8.6520000000000014E-2</v>
      </c>
      <c r="T461" s="18">
        <v>0.37080000000000002</v>
      </c>
      <c r="U461" s="18">
        <v>0.18540000000000001</v>
      </c>
      <c r="V461" s="18">
        <v>2.3731200000000001</v>
      </c>
      <c r="W461" s="18">
        <v>2.2248000000000001</v>
      </c>
      <c r="X461" s="18">
        <v>1.4832000000000001</v>
      </c>
      <c r="Y461" s="18">
        <v>6.5920000000000006E-2</v>
      </c>
      <c r="Z461" s="18">
        <v>0.29252</v>
      </c>
      <c r="AA461" s="18">
        <v>0.42848000000000003</v>
      </c>
      <c r="AB461" s="18">
        <v>0.7622000000000001</v>
      </c>
      <c r="AC461" s="18">
        <v>0.23484000000000002</v>
      </c>
      <c r="AD461" s="18">
        <v>1.2360000000000002</v>
      </c>
    </row>
    <row r="462" spans="2:30" x14ac:dyDescent="0.25">
      <c r="B462" t="s">
        <v>269</v>
      </c>
      <c r="C462" t="s">
        <v>105</v>
      </c>
      <c r="D462" t="s">
        <v>748</v>
      </c>
      <c r="E462" s="35">
        <v>0.9</v>
      </c>
      <c r="F462" s="35">
        <v>6.6</v>
      </c>
      <c r="G462" s="36">
        <v>4.1200000000000004E-3</v>
      </c>
      <c r="H462" s="18">
        <v>7.4152979999999999</v>
      </c>
      <c r="I462" s="16" t="s">
        <v>746</v>
      </c>
      <c r="J462" s="16"/>
      <c r="K462" s="16"/>
      <c r="L462" s="37"/>
      <c r="M462" s="37"/>
      <c r="N462" s="37"/>
      <c r="O462" s="37"/>
      <c r="P462" s="37"/>
      <c r="Q462" s="18">
        <v>4.5320000000000006E-2</v>
      </c>
      <c r="R462" s="18">
        <v>3.0900000000000003E-4</v>
      </c>
      <c r="S462" s="18">
        <v>8.6520000000000014E-2</v>
      </c>
      <c r="T462" s="18">
        <v>0.37080000000000002</v>
      </c>
      <c r="U462" s="18">
        <v>0.18540000000000001</v>
      </c>
      <c r="V462" s="18">
        <v>2.3731200000000001</v>
      </c>
      <c r="W462" s="18">
        <v>2.2248000000000001</v>
      </c>
      <c r="X462" s="18">
        <v>1.4832000000000001</v>
      </c>
      <c r="Y462" s="18">
        <v>6.5920000000000006E-2</v>
      </c>
      <c r="Z462" s="18">
        <v>0.29252</v>
      </c>
      <c r="AA462" s="18">
        <v>0.42848000000000003</v>
      </c>
      <c r="AB462" s="18">
        <v>0.7622000000000001</v>
      </c>
      <c r="AC462" s="18">
        <v>0.23484000000000002</v>
      </c>
      <c r="AD462" s="18">
        <v>1.2360000000000002</v>
      </c>
    </row>
    <row r="463" spans="2:30" x14ac:dyDescent="0.25">
      <c r="B463" t="s">
        <v>269</v>
      </c>
      <c r="C463" t="s">
        <v>105</v>
      </c>
      <c r="D463" t="s">
        <v>748</v>
      </c>
      <c r="E463" s="35">
        <v>0.9</v>
      </c>
      <c r="F463" s="35">
        <v>6.6</v>
      </c>
      <c r="G463" s="36">
        <v>4.1200000000000004E-3</v>
      </c>
      <c r="H463" s="18">
        <v>7.4152979999999999</v>
      </c>
      <c r="I463" s="16" t="s">
        <v>746</v>
      </c>
      <c r="J463" s="16"/>
      <c r="K463" s="16"/>
      <c r="L463" s="37"/>
      <c r="M463" s="37"/>
      <c r="N463" s="37"/>
      <c r="O463" s="37"/>
      <c r="P463" s="37"/>
      <c r="Q463" s="18">
        <v>4.5320000000000006E-2</v>
      </c>
      <c r="R463" s="18">
        <v>3.0900000000000003E-4</v>
      </c>
      <c r="S463" s="18">
        <v>8.6520000000000014E-2</v>
      </c>
      <c r="T463" s="18">
        <v>0.37080000000000002</v>
      </c>
      <c r="U463" s="18">
        <v>0.18540000000000001</v>
      </c>
      <c r="V463" s="18">
        <v>2.3731200000000001</v>
      </c>
      <c r="W463" s="18">
        <v>2.2248000000000001</v>
      </c>
      <c r="X463" s="18">
        <v>1.4832000000000001</v>
      </c>
      <c r="Y463" s="18">
        <v>6.5920000000000006E-2</v>
      </c>
      <c r="Z463" s="18">
        <v>0.29252</v>
      </c>
      <c r="AA463" s="18">
        <v>0.42848000000000003</v>
      </c>
      <c r="AB463" s="18">
        <v>0.7622000000000001</v>
      </c>
      <c r="AC463" s="18">
        <v>0.23484000000000002</v>
      </c>
      <c r="AD463" s="18">
        <v>1.2360000000000002</v>
      </c>
    </row>
    <row r="464" spans="2:30" x14ac:dyDescent="0.25">
      <c r="B464" t="s">
        <v>269</v>
      </c>
      <c r="C464" t="s">
        <v>105</v>
      </c>
      <c r="D464" t="s">
        <v>749</v>
      </c>
      <c r="E464" s="35">
        <v>0.9</v>
      </c>
      <c r="F464" s="35">
        <v>6.6</v>
      </c>
      <c r="G464" s="36">
        <v>3.5699999999999998E-3</v>
      </c>
      <c r="H464" s="18">
        <v>6.4252979999999997</v>
      </c>
      <c r="I464" s="16" t="s">
        <v>746</v>
      </c>
      <c r="J464" s="16"/>
      <c r="K464" s="16"/>
      <c r="L464" s="37"/>
      <c r="M464" s="37"/>
      <c r="N464" s="37"/>
      <c r="O464" s="37"/>
      <c r="P464" s="37"/>
      <c r="Q464" s="18">
        <v>3.9269999999999999E-2</v>
      </c>
      <c r="R464" s="18">
        <v>2.6774999999999998E-4</v>
      </c>
      <c r="S464" s="18">
        <v>7.4969999999999995E-2</v>
      </c>
      <c r="T464" s="18">
        <v>0.32129999999999997</v>
      </c>
      <c r="U464" s="18">
        <v>0.16064999999999999</v>
      </c>
      <c r="V464" s="18">
        <v>2.0563199999999999</v>
      </c>
      <c r="W464" s="18">
        <v>1.9278</v>
      </c>
      <c r="X464" s="18">
        <v>1.2851999999999999</v>
      </c>
      <c r="Y464" s="18">
        <v>5.7119999999999997E-2</v>
      </c>
      <c r="Z464" s="18">
        <v>0.25346999999999997</v>
      </c>
      <c r="AA464" s="18">
        <v>0.37128</v>
      </c>
      <c r="AB464" s="18">
        <v>0.66044999999999998</v>
      </c>
      <c r="AC464" s="18">
        <v>0.20348999999999998</v>
      </c>
      <c r="AD464" s="18">
        <v>1.071</v>
      </c>
    </row>
    <row r="465" spans="2:30" x14ac:dyDescent="0.25">
      <c r="B465" t="s">
        <v>269</v>
      </c>
      <c r="C465" t="s">
        <v>105</v>
      </c>
      <c r="D465" t="s">
        <v>750</v>
      </c>
      <c r="E465" s="35">
        <v>0.9</v>
      </c>
      <c r="F465" s="35">
        <v>6.6</v>
      </c>
      <c r="G465" s="36">
        <v>3.0200000000000001E-3</v>
      </c>
      <c r="H465" s="18">
        <v>5.4352980000000004</v>
      </c>
      <c r="I465" s="16" t="s">
        <v>746</v>
      </c>
      <c r="J465" s="16"/>
      <c r="K465" s="16"/>
      <c r="L465" s="37"/>
      <c r="M465" s="37"/>
      <c r="N465" s="37"/>
      <c r="O465" s="37"/>
      <c r="P465" s="37"/>
      <c r="Q465" s="18">
        <v>3.322E-2</v>
      </c>
      <c r="R465" s="18">
        <v>2.265E-4</v>
      </c>
      <c r="S465" s="18">
        <v>6.3420000000000004E-2</v>
      </c>
      <c r="T465" s="18">
        <v>0.27179999999999999</v>
      </c>
      <c r="U465" s="18">
        <v>0.13589999999999999</v>
      </c>
      <c r="V465" s="18">
        <v>1.7395200000000002</v>
      </c>
      <c r="W465" s="18">
        <v>1.6308</v>
      </c>
      <c r="X465" s="18">
        <v>1.0871999999999999</v>
      </c>
      <c r="Y465" s="18">
        <v>4.8320000000000002E-2</v>
      </c>
      <c r="Z465" s="18">
        <v>0.21442</v>
      </c>
      <c r="AA465" s="18">
        <v>0.31408000000000003</v>
      </c>
      <c r="AB465" s="18">
        <v>0.55869999999999997</v>
      </c>
      <c r="AC465" s="18">
        <v>0.17214000000000002</v>
      </c>
      <c r="AD465" s="18">
        <v>0.90600000000000003</v>
      </c>
    </row>
    <row r="466" spans="2:30" x14ac:dyDescent="0.25">
      <c r="B466" t="s">
        <v>269</v>
      </c>
      <c r="C466" t="s">
        <v>105</v>
      </c>
      <c r="D466" t="s">
        <v>748</v>
      </c>
      <c r="E466" s="35">
        <v>0.9</v>
      </c>
      <c r="F466" s="35">
        <v>6.6</v>
      </c>
      <c r="G466" s="36">
        <v>4.1200000000000004E-3</v>
      </c>
      <c r="H466" s="18">
        <v>7.4152979999999999</v>
      </c>
      <c r="I466" s="16" t="s">
        <v>746</v>
      </c>
      <c r="J466" s="16"/>
      <c r="K466" s="16"/>
      <c r="L466" s="37"/>
      <c r="M466" s="37"/>
      <c r="N466" s="37"/>
      <c r="O466" s="37"/>
      <c r="P466" s="37"/>
      <c r="Q466" s="18">
        <v>4.5320000000000006E-2</v>
      </c>
      <c r="R466" s="18">
        <v>3.0900000000000003E-4</v>
      </c>
      <c r="S466" s="18">
        <v>8.6520000000000014E-2</v>
      </c>
      <c r="T466" s="18">
        <v>0.37080000000000002</v>
      </c>
      <c r="U466" s="18">
        <v>0.18540000000000001</v>
      </c>
      <c r="V466" s="18">
        <v>2.3731200000000001</v>
      </c>
      <c r="W466" s="18">
        <v>2.2248000000000001</v>
      </c>
      <c r="X466" s="18">
        <v>1.4832000000000001</v>
      </c>
      <c r="Y466" s="18">
        <v>6.5920000000000006E-2</v>
      </c>
      <c r="Z466" s="18">
        <v>0.29252</v>
      </c>
      <c r="AA466" s="18">
        <v>0.42848000000000003</v>
      </c>
      <c r="AB466" s="18">
        <v>0.7622000000000001</v>
      </c>
      <c r="AC466" s="18">
        <v>0.23484000000000002</v>
      </c>
      <c r="AD466" s="18">
        <v>1.2360000000000002</v>
      </c>
    </row>
    <row r="467" spans="2:30" x14ac:dyDescent="0.25">
      <c r="B467" t="s">
        <v>269</v>
      </c>
      <c r="C467" t="s">
        <v>105</v>
      </c>
      <c r="D467" t="s">
        <v>748</v>
      </c>
      <c r="E467" s="35">
        <v>0.9</v>
      </c>
      <c r="F467" s="35">
        <v>6.6</v>
      </c>
      <c r="G467" s="36">
        <v>4.1200000000000004E-3</v>
      </c>
      <c r="H467" s="18">
        <v>7.4152979999999999</v>
      </c>
      <c r="I467" s="16" t="s">
        <v>746</v>
      </c>
      <c r="J467" s="16"/>
      <c r="K467" s="16"/>
      <c r="L467" s="37"/>
      <c r="M467" s="37"/>
      <c r="N467" s="37"/>
      <c r="O467" s="37"/>
      <c r="P467" s="37"/>
      <c r="Q467" s="18">
        <v>4.5320000000000006E-2</v>
      </c>
      <c r="R467" s="18">
        <v>3.0900000000000003E-4</v>
      </c>
      <c r="S467" s="18">
        <v>8.6520000000000014E-2</v>
      </c>
      <c r="T467" s="18">
        <v>0.37080000000000002</v>
      </c>
      <c r="U467" s="18">
        <v>0.18540000000000001</v>
      </c>
      <c r="V467" s="18">
        <v>2.3731200000000001</v>
      </c>
      <c r="W467" s="18">
        <v>2.2248000000000001</v>
      </c>
      <c r="X467" s="18">
        <v>1.4832000000000001</v>
      </c>
      <c r="Y467" s="18">
        <v>6.5920000000000006E-2</v>
      </c>
      <c r="Z467" s="18">
        <v>0.29252</v>
      </c>
      <c r="AA467" s="18">
        <v>0.42848000000000003</v>
      </c>
      <c r="AB467" s="18">
        <v>0.7622000000000001</v>
      </c>
      <c r="AC467" s="18">
        <v>0.23484000000000002</v>
      </c>
      <c r="AD467" s="18">
        <v>1.2360000000000002</v>
      </c>
    </row>
    <row r="468" spans="2:30" x14ac:dyDescent="0.25">
      <c r="B468" t="s">
        <v>269</v>
      </c>
      <c r="C468" t="s">
        <v>105</v>
      </c>
      <c r="D468" t="s">
        <v>748</v>
      </c>
      <c r="E468" s="35">
        <v>0.9</v>
      </c>
      <c r="F468" s="35">
        <v>6.6</v>
      </c>
      <c r="G468" s="36">
        <v>4.1200000000000004E-3</v>
      </c>
      <c r="H468" s="18">
        <v>7.4152979999999999</v>
      </c>
      <c r="I468" s="16" t="s">
        <v>746</v>
      </c>
      <c r="J468" s="16"/>
      <c r="K468" s="16"/>
      <c r="L468" s="37"/>
      <c r="M468" s="37"/>
      <c r="N468" s="37"/>
      <c r="O468" s="37"/>
      <c r="P468" s="37"/>
      <c r="Q468" s="18">
        <v>4.5320000000000006E-2</v>
      </c>
      <c r="R468" s="18">
        <v>3.0900000000000003E-4</v>
      </c>
      <c r="S468" s="18">
        <v>8.6520000000000014E-2</v>
      </c>
      <c r="T468" s="18">
        <v>0.37080000000000002</v>
      </c>
      <c r="U468" s="18">
        <v>0.18540000000000001</v>
      </c>
      <c r="V468" s="18">
        <v>2.3731200000000001</v>
      </c>
      <c r="W468" s="18">
        <v>2.2248000000000001</v>
      </c>
      <c r="X468" s="18">
        <v>1.4832000000000001</v>
      </c>
      <c r="Y468" s="18">
        <v>6.5920000000000006E-2</v>
      </c>
      <c r="Z468" s="18">
        <v>0.29252</v>
      </c>
      <c r="AA468" s="18">
        <v>0.42848000000000003</v>
      </c>
      <c r="AB468" s="18">
        <v>0.7622000000000001</v>
      </c>
      <c r="AC468" s="18">
        <v>0.23484000000000002</v>
      </c>
      <c r="AD468" s="18">
        <v>1.2360000000000002</v>
      </c>
    </row>
    <row r="469" spans="2:30" x14ac:dyDescent="0.25">
      <c r="B469" t="s">
        <v>269</v>
      </c>
      <c r="C469" t="s">
        <v>105</v>
      </c>
      <c r="D469" t="s">
        <v>749</v>
      </c>
      <c r="E469" s="35">
        <v>0.9</v>
      </c>
      <c r="F469" s="35">
        <v>6.6</v>
      </c>
      <c r="G469" s="36">
        <v>3.5699999999999998E-3</v>
      </c>
      <c r="H469" s="18">
        <v>6.4252979999999997</v>
      </c>
      <c r="I469" s="16" t="s">
        <v>746</v>
      </c>
      <c r="J469" s="16"/>
      <c r="K469" s="16"/>
      <c r="L469" s="37"/>
      <c r="M469" s="37"/>
      <c r="N469" s="37"/>
      <c r="O469" s="37"/>
      <c r="P469" s="37"/>
      <c r="Q469" s="18">
        <v>3.9269999999999999E-2</v>
      </c>
      <c r="R469" s="18">
        <v>2.6774999999999998E-4</v>
      </c>
      <c r="S469" s="18">
        <v>7.4969999999999995E-2</v>
      </c>
      <c r="T469" s="18">
        <v>0.32129999999999997</v>
      </c>
      <c r="U469" s="18">
        <v>0.16064999999999999</v>
      </c>
      <c r="V469" s="18">
        <v>2.0563199999999999</v>
      </c>
      <c r="W469" s="18">
        <v>1.9278</v>
      </c>
      <c r="X469" s="18">
        <v>1.2851999999999999</v>
      </c>
      <c r="Y469" s="18">
        <v>5.7119999999999997E-2</v>
      </c>
      <c r="Z469" s="18">
        <v>0.25346999999999997</v>
      </c>
      <c r="AA469" s="18">
        <v>0.37128</v>
      </c>
      <c r="AB469" s="18">
        <v>0.66044999999999998</v>
      </c>
      <c r="AC469" s="18">
        <v>0.20348999999999998</v>
      </c>
      <c r="AD469" s="18">
        <v>1.071</v>
      </c>
    </row>
    <row r="470" spans="2:30" x14ac:dyDescent="0.25">
      <c r="B470" t="s">
        <v>269</v>
      </c>
      <c r="C470" t="s">
        <v>105</v>
      </c>
      <c r="D470" t="s">
        <v>751</v>
      </c>
      <c r="E470" s="35">
        <v>0.9</v>
      </c>
      <c r="F470" s="35">
        <v>6.6</v>
      </c>
      <c r="G470" s="36">
        <v>2.7910000000000001E-3</v>
      </c>
      <c r="H470" s="18">
        <v>5.0236749999999999</v>
      </c>
      <c r="I470" s="16" t="s">
        <v>746</v>
      </c>
      <c r="J470" s="16"/>
      <c r="K470" s="16"/>
      <c r="L470" s="37"/>
      <c r="M470" s="37"/>
      <c r="N470" s="37"/>
      <c r="O470" s="37"/>
      <c r="P470" s="37"/>
      <c r="Q470" s="18">
        <v>3.0700999999999999E-2</v>
      </c>
      <c r="R470" s="18">
        <v>2.0932500000000001E-4</v>
      </c>
      <c r="S470" s="18">
        <v>5.8611000000000003E-2</v>
      </c>
      <c r="T470" s="18">
        <v>0.25119000000000002</v>
      </c>
      <c r="U470" s="18">
        <v>0.12559500000000001</v>
      </c>
      <c r="V470" s="18">
        <v>1.6076160000000002</v>
      </c>
      <c r="W470" s="18">
        <v>1.5071400000000001</v>
      </c>
      <c r="X470" s="18">
        <v>1.0047600000000001</v>
      </c>
      <c r="Y470" s="18">
        <v>4.4656000000000001E-2</v>
      </c>
      <c r="Z470" s="18">
        <v>0.198161</v>
      </c>
      <c r="AA470" s="18">
        <v>0.29026400000000002</v>
      </c>
      <c r="AB470" s="18">
        <v>0.51633499999999999</v>
      </c>
      <c r="AC470" s="18">
        <v>0.15908700000000001</v>
      </c>
      <c r="AD470" s="18">
        <v>0.83730000000000004</v>
      </c>
    </row>
    <row r="471" spans="2:30" x14ac:dyDescent="0.25">
      <c r="B471" t="s">
        <v>269</v>
      </c>
      <c r="C471" t="s">
        <v>105</v>
      </c>
      <c r="D471" t="s">
        <v>749</v>
      </c>
      <c r="E471" s="35">
        <v>0.9</v>
      </c>
      <c r="F471" s="35">
        <v>6.6</v>
      </c>
      <c r="G471" s="36">
        <v>3.5699999999999998E-3</v>
      </c>
      <c r="H471" s="18">
        <v>6.4252979999999997</v>
      </c>
      <c r="I471" s="16" t="s">
        <v>746</v>
      </c>
      <c r="J471" s="16"/>
      <c r="K471" s="16"/>
      <c r="L471" s="37"/>
      <c r="M471" s="37"/>
      <c r="N471" s="37"/>
      <c r="O471" s="37"/>
      <c r="P471" s="37"/>
      <c r="Q471" s="18">
        <v>3.9269999999999999E-2</v>
      </c>
      <c r="R471" s="18">
        <v>2.6774999999999998E-4</v>
      </c>
      <c r="S471" s="18">
        <v>7.4969999999999995E-2</v>
      </c>
      <c r="T471" s="18">
        <v>0.32129999999999997</v>
      </c>
      <c r="U471" s="18">
        <v>0.16064999999999999</v>
      </c>
      <c r="V471" s="18">
        <v>2.0563199999999999</v>
      </c>
      <c r="W471" s="18">
        <v>1.9278</v>
      </c>
      <c r="X471" s="18">
        <v>1.2851999999999999</v>
      </c>
      <c r="Y471" s="18">
        <v>5.7119999999999997E-2</v>
      </c>
      <c r="Z471" s="18">
        <v>0.25346999999999997</v>
      </c>
      <c r="AA471" s="18">
        <v>0.37128</v>
      </c>
      <c r="AB471" s="18">
        <v>0.66044999999999998</v>
      </c>
      <c r="AC471" s="18">
        <v>0.20348999999999998</v>
      </c>
      <c r="AD471" s="18">
        <v>1.071</v>
      </c>
    </row>
    <row r="472" spans="2:30" x14ac:dyDescent="0.25">
      <c r="B472" t="s">
        <v>269</v>
      </c>
      <c r="C472" t="s">
        <v>105</v>
      </c>
      <c r="D472" t="s">
        <v>748</v>
      </c>
      <c r="E472" s="35">
        <v>0.9</v>
      </c>
      <c r="F472" s="35">
        <v>6.6</v>
      </c>
      <c r="G472" s="36">
        <v>4.1200000000000004E-3</v>
      </c>
      <c r="H472" s="18">
        <v>7.4152979999999999</v>
      </c>
      <c r="I472" s="16" t="s">
        <v>746</v>
      </c>
      <c r="J472" s="16"/>
      <c r="K472" s="16"/>
      <c r="L472" s="37"/>
      <c r="M472" s="37"/>
      <c r="N472" s="37"/>
      <c r="O472" s="37"/>
      <c r="P472" s="37"/>
      <c r="Q472" s="18">
        <v>4.5320000000000006E-2</v>
      </c>
      <c r="R472" s="18">
        <v>3.0900000000000003E-4</v>
      </c>
      <c r="S472" s="18">
        <v>8.6520000000000014E-2</v>
      </c>
      <c r="T472" s="18">
        <v>0.37080000000000002</v>
      </c>
      <c r="U472" s="18">
        <v>0.18540000000000001</v>
      </c>
      <c r="V472" s="18">
        <v>2.3731200000000001</v>
      </c>
      <c r="W472" s="18">
        <v>2.2248000000000001</v>
      </c>
      <c r="X472" s="18">
        <v>1.4832000000000001</v>
      </c>
      <c r="Y472" s="18">
        <v>6.5920000000000006E-2</v>
      </c>
      <c r="Z472" s="18">
        <v>0.29252</v>
      </c>
      <c r="AA472" s="18">
        <v>0.42848000000000003</v>
      </c>
      <c r="AB472" s="18">
        <v>0.7622000000000001</v>
      </c>
      <c r="AC472" s="18">
        <v>0.23484000000000002</v>
      </c>
      <c r="AD472" s="18">
        <v>1.2360000000000002</v>
      </c>
    </row>
    <row r="473" spans="2:30" x14ac:dyDescent="0.25">
      <c r="B473" t="s">
        <v>269</v>
      </c>
      <c r="C473" t="s">
        <v>105</v>
      </c>
      <c r="D473" t="s">
        <v>750</v>
      </c>
      <c r="E473" s="35">
        <v>0.9</v>
      </c>
      <c r="F473" s="35">
        <v>6.6</v>
      </c>
      <c r="G473" s="36">
        <v>3.0200000000000001E-3</v>
      </c>
      <c r="H473" s="18">
        <v>5.4352980000000004</v>
      </c>
      <c r="I473" s="16" t="s">
        <v>746</v>
      </c>
      <c r="J473" s="16"/>
      <c r="K473" s="16"/>
      <c r="L473" s="37"/>
      <c r="M473" s="37"/>
      <c r="N473" s="37"/>
      <c r="O473" s="37"/>
      <c r="P473" s="37"/>
      <c r="Q473" s="18">
        <v>3.322E-2</v>
      </c>
      <c r="R473" s="18">
        <v>2.265E-4</v>
      </c>
      <c r="S473" s="18">
        <v>6.3420000000000004E-2</v>
      </c>
      <c r="T473" s="18">
        <v>0.27179999999999999</v>
      </c>
      <c r="U473" s="18">
        <v>0.13589999999999999</v>
      </c>
      <c r="V473" s="18">
        <v>1.7395200000000002</v>
      </c>
      <c r="W473" s="18">
        <v>1.6308</v>
      </c>
      <c r="X473" s="18">
        <v>1.0871999999999999</v>
      </c>
      <c r="Y473" s="18">
        <v>4.8320000000000002E-2</v>
      </c>
      <c r="Z473" s="18">
        <v>0.21442</v>
      </c>
      <c r="AA473" s="18">
        <v>0.31408000000000003</v>
      </c>
      <c r="AB473" s="18">
        <v>0.55869999999999997</v>
      </c>
      <c r="AC473" s="18">
        <v>0.17214000000000002</v>
      </c>
      <c r="AD473" s="18">
        <v>0.90600000000000003</v>
      </c>
    </row>
    <row r="474" spans="2:30" x14ac:dyDescent="0.25">
      <c r="B474" t="s">
        <v>269</v>
      </c>
      <c r="C474" t="s">
        <v>105</v>
      </c>
      <c r="D474" t="s">
        <v>748</v>
      </c>
      <c r="E474" s="35">
        <v>0.9</v>
      </c>
      <c r="F474" s="35">
        <v>6.6</v>
      </c>
      <c r="G474" s="36">
        <v>4.1200000000000004E-3</v>
      </c>
      <c r="H474" s="18">
        <v>7.4152979999999999</v>
      </c>
      <c r="I474" s="16" t="s">
        <v>746</v>
      </c>
      <c r="J474" s="16"/>
      <c r="K474" s="16"/>
      <c r="L474" s="37"/>
      <c r="M474" s="37"/>
      <c r="N474" s="37"/>
      <c r="O474" s="37"/>
      <c r="P474" s="37"/>
      <c r="Q474" s="18">
        <v>4.5320000000000006E-2</v>
      </c>
      <c r="R474" s="18">
        <v>3.0900000000000003E-4</v>
      </c>
      <c r="S474" s="18">
        <v>8.6520000000000014E-2</v>
      </c>
      <c r="T474" s="18">
        <v>0.37080000000000002</v>
      </c>
      <c r="U474" s="18">
        <v>0.18540000000000001</v>
      </c>
      <c r="V474" s="18">
        <v>2.3731200000000001</v>
      </c>
      <c r="W474" s="18">
        <v>2.2248000000000001</v>
      </c>
      <c r="X474" s="18">
        <v>1.4832000000000001</v>
      </c>
      <c r="Y474" s="18">
        <v>6.5920000000000006E-2</v>
      </c>
      <c r="Z474" s="18">
        <v>0.29252</v>
      </c>
      <c r="AA474" s="18">
        <v>0.42848000000000003</v>
      </c>
      <c r="AB474" s="18">
        <v>0.7622000000000001</v>
      </c>
      <c r="AC474" s="18">
        <v>0.23484000000000002</v>
      </c>
      <c r="AD474" s="18">
        <v>1.2360000000000002</v>
      </c>
    </row>
    <row r="475" spans="2:30" x14ac:dyDescent="0.25">
      <c r="B475" t="s">
        <v>269</v>
      </c>
      <c r="C475" t="s">
        <v>105</v>
      </c>
      <c r="D475" t="s">
        <v>749</v>
      </c>
      <c r="E475" s="35">
        <v>0.9</v>
      </c>
      <c r="F475" s="35">
        <v>6.6</v>
      </c>
      <c r="G475" s="36">
        <v>3.5699999999999998E-3</v>
      </c>
      <c r="H475" s="18">
        <v>6.4252979999999997</v>
      </c>
      <c r="I475" s="16" t="s">
        <v>746</v>
      </c>
      <c r="J475" s="16"/>
      <c r="K475" s="16"/>
      <c r="L475" s="37"/>
      <c r="M475" s="37"/>
      <c r="N475" s="37"/>
      <c r="O475" s="37"/>
      <c r="P475" s="37"/>
      <c r="Q475" s="18">
        <v>3.9269999999999999E-2</v>
      </c>
      <c r="R475" s="18">
        <v>2.6774999999999998E-4</v>
      </c>
      <c r="S475" s="18">
        <v>7.4969999999999995E-2</v>
      </c>
      <c r="T475" s="18">
        <v>0.32129999999999997</v>
      </c>
      <c r="U475" s="18">
        <v>0.16064999999999999</v>
      </c>
      <c r="V475" s="18">
        <v>2.0563199999999999</v>
      </c>
      <c r="W475" s="18">
        <v>1.9278</v>
      </c>
      <c r="X475" s="18">
        <v>1.2851999999999999</v>
      </c>
      <c r="Y475" s="18">
        <v>5.7119999999999997E-2</v>
      </c>
      <c r="Z475" s="18">
        <v>0.25346999999999997</v>
      </c>
      <c r="AA475" s="18">
        <v>0.37128</v>
      </c>
      <c r="AB475" s="18">
        <v>0.66044999999999998</v>
      </c>
      <c r="AC475" s="18">
        <v>0.20348999999999998</v>
      </c>
      <c r="AD475" s="18">
        <v>1.071</v>
      </c>
    </row>
    <row r="476" spans="2:30" x14ac:dyDescent="0.25">
      <c r="B476" t="s">
        <v>269</v>
      </c>
      <c r="C476" t="s">
        <v>105</v>
      </c>
      <c r="D476" t="s">
        <v>750</v>
      </c>
      <c r="E476" s="35">
        <v>0.9</v>
      </c>
      <c r="F476" s="35">
        <v>6.6</v>
      </c>
      <c r="G476" s="36">
        <v>3.0200000000000001E-3</v>
      </c>
      <c r="H476" s="18">
        <v>5.4352980000000004</v>
      </c>
      <c r="I476" s="16" t="s">
        <v>746</v>
      </c>
      <c r="J476" s="16"/>
      <c r="K476" s="16"/>
      <c r="L476" s="37"/>
      <c r="M476" s="37"/>
      <c r="N476" s="37"/>
      <c r="O476" s="37"/>
      <c r="P476" s="37"/>
      <c r="Q476" s="18">
        <v>3.322E-2</v>
      </c>
      <c r="R476" s="18">
        <v>2.265E-4</v>
      </c>
      <c r="S476" s="18">
        <v>6.3420000000000004E-2</v>
      </c>
      <c r="T476" s="18">
        <v>0.27179999999999999</v>
      </c>
      <c r="U476" s="18">
        <v>0.13589999999999999</v>
      </c>
      <c r="V476" s="18">
        <v>1.7395200000000002</v>
      </c>
      <c r="W476" s="18">
        <v>1.6308</v>
      </c>
      <c r="X476" s="18">
        <v>1.0871999999999999</v>
      </c>
      <c r="Y476" s="18">
        <v>4.8320000000000002E-2</v>
      </c>
      <c r="Z476" s="18">
        <v>0.21442</v>
      </c>
      <c r="AA476" s="18">
        <v>0.31408000000000003</v>
      </c>
      <c r="AB476" s="18">
        <v>0.55869999999999997</v>
      </c>
      <c r="AC476" s="18">
        <v>0.17214000000000002</v>
      </c>
      <c r="AD476" s="18">
        <v>0.90600000000000003</v>
      </c>
    </row>
    <row r="477" spans="2:30" x14ac:dyDescent="0.25">
      <c r="B477" t="s">
        <v>269</v>
      </c>
      <c r="C477" t="s">
        <v>105</v>
      </c>
      <c r="D477" t="s">
        <v>748</v>
      </c>
      <c r="E477" s="35">
        <v>0.9</v>
      </c>
      <c r="F477" s="35">
        <v>6.6</v>
      </c>
      <c r="G477" s="36">
        <v>4.1200000000000004E-3</v>
      </c>
      <c r="H477" s="18">
        <v>7.4152979999999999</v>
      </c>
      <c r="I477" s="16" t="s">
        <v>746</v>
      </c>
      <c r="J477" s="16"/>
      <c r="K477" s="16"/>
      <c r="L477" s="37"/>
      <c r="M477" s="37"/>
      <c r="N477" s="37"/>
      <c r="O477" s="37"/>
      <c r="P477" s="37"/>
      <c r="Q477" s="18">
        <v>4.5320000000000006E-2</v>
      </c>
      <c r="R477" s="18">
        <v>3.0900000000000003E-4</v>
      </c>
      <c r="S477" s="18">
        <v>8.6520000000000014E-2</v>
      </c>
      <c r="T477" s="18">
        <v>0.37080000000000002</v>
      </c>
      <c r="U477" s="18">
        <v>0.18540000000000001</v>
      </c>
      <c r="V477" s="18">
        <v>2.3731200000000001</v>
      </c>
      <c r="W477" s="18">
        <v>2.2248000000000001</v>
      </c>
      <c r="X477" s="18">
        <v>1.4832000000000001</v>
      </c>
      <c r="Y477" s="18">
        <v>6.5920000000000006E-2</v>
      </c>
      <c r="Z477" s="18">
        <v>0.29252</v>
      </c>
      <c r="AA477" s="18">
        <v>0.42848000000000003</v>
      </c>
      <c r="AB477" s="18">
        <v>0.7622000000000001</v>
      </c>
      <c r="AC477" s="18">
        <v>0.23484000000000002</v>
      </c>
      <c r="AD477" s="18">
        <v>1.2360000000000002</v>
      </c>
    </row>
    <row r="478" spans="2:30" x14ac:dyDescent="0.25">
      <c r="B478" t="s">
        <v>269</v>
      </c>
      <c r="C478" t="s">
        <v>105</v>
      </c>
      <c r="D478" t="s">
        <v>748</v>
      </c>
      <c r="E478" s="35">
        <v>0.9</v>
      </c>
      <c r="F478" s="35">
        <v>6.6</v>
      </c>
      <c r="G478" s="36">
        <v>4.1200000000000004E-3</v>
      </c>
      <c r="H478" s="18">
        <v>7.4152979999999999</v>
      </c>
      <c r="I478" s="16" t="s">
        <v>746</v>
      </c>
      <c r="J478" s="16"/>
      <c r="K478" s="16"/>
      <c r="L478" s="37"/>
      <c r="M478" s="37"/>
      <c r="N478" s="37"/>
      <c r="O478" s="37"/>
      <c r="P478" s="37"/>
      <c r="Q478" s="18">
        <v>4.5320000000000006E-2</v>
      </c>
      <c r="R478" s="18">
        <v>3.0900000000000003E-4</v>
      </c>
      <c r="S478" s="18">
        <v>8.6520000000000014E-2</v>
      </c>
      <c r="T478" s="18">
        <v>0.37080000000000002</v>
      </c>
      <c r="U478" s="18">
        <v>0.18540000000000001</v>
      </c>
      <c r="V478" s="18">
        <v>2.3731200000000001</v>
      </c>
      <c r="W478" s="18">
        <v>2.2248000000000001</v>
      </c>
      <c r="X478" s="18">
        <v>1.4832000000000001</v>
      </c>
      <c r="Y478" s="18">
        <v>6.5920000000000006E-2</v>
      </c>
      <c r="Z478" s="18">
        <v>0.29252</v>
      </c>
      <c r="AA478" s="18">
        <v>0.42848000000000003</v>
      </c>
      <c r="AB478" s="18">
        <v>0.7622000000000001</v>
      </c>
      <c r="AC478" s="18">
        <v>0.23484000000000002</v>
      </c>
      <c r="AD478" s="18">
        <v>1.2360000000000002</v>
      </c>
    </row>
    <row r="479" spans="2:30" x14ac:dyDescent="0.25">
      <c r="B479" t="s">
        <v>269</v>
      </c>
      <c r="C479" t="s">
        <v>105</v>
      </c>
      <c r="D479" t="s">
        <v>748</v>
      </c>
      <c r="E479" s="35">
        <v>0.9</v>
      </c>
      <c r="F479" s="35">
        <v>6.6</v>
      </c>
      <c r="G479" s="36">
        <v>4.1200000000000004E-3</v>
      </c>
      <c r="H479" s="18">
        <v>7.4152979999999999</v>
      </c>
      <c r="I479" s="16" t="s">
        <v>746</v>
      </c>
      <c r="J479" s="16"/>
      <c r="K479" s="16"/>
      <c r="L479" s="37"/>
      <c r="M479" s="37"/>
      <c r="N479" s="37"/>
      <c r="O479" s="37"/>
      <c r="P479" s="37"/>
      <c r="Q479" s="18">
        <v>4.5320000000000006E-2</v>
      </c>
      <c r="R479" s="18">
        <v>3.0900000000000003E-4</v>
      </c>
      <c r="S479" s="18">
        <v>8.6520000000000014E-2</v>
      </c>
      <c r="T479" s="18">
        <v>0.37080000000000002</v>
      </c>
      <c r="U479" s="18">
        <v>0.18540000000000001</v>
      </c>
      <c r="V479" s="18">
        <v>2.3731200000000001</v>
      </c>
      <c r="W479" s="18">
        <v>2.2248000000000001</v>
      </c>
      <c r="X479" s="18">
        <v>1.4832000000000001</v>
      </c>
      <c r="Y479" s="18">
        <v>6.5920000000000006E-2</v>
      </c>
      <c r="Z479" s="18">
        <v>0.29252</v>
      </c>
      <c r="AA479" s="18">
        <v>0.42848000000000003</v>
      </c>
      <c r="AB479" s="18">
        <v>0.7622000000000001</v>
      </c>
      <c r="AC479" s="18">
        <v>0.23484000000000002</v>
      </c>
      <c r="AD479" s="18">
        <v>1.2360000000000002</v>
      </c>
    </row>
    <row r="480" spans="2:30" x14ac:dyDescent="0.25">
      <c r="B480" t="s">
        <v>269</v>
      </c>
      <c r="C480" t="s">
        <v>105</v>
      </c>
      <c r="D480" t="s">
        <v>748</v>
      </c>
      <c r="E480" s="35">
        <v>0.9</v>
      </c>
      <c r="F480" s="35">
        <v>6.6</v>
      </c>
      <c r="G480" s="36">
        <v>4.1200000000000004E-3</v>
      </c>
      <c r="H480" s="18">
        <v>7.4152979999999999</v>
      </c>
      <c r="I480" s="16" t="s">
        <v>746</v>
      </c>
      <c r="J480" s="16"/>
      <c r="K480" s="16"/>
      <c r="L480" s="37"/>
      <c r="M480" s="37"/>
      <c r="N480" s="37"/>
      <c r="O480" s="37"/>
      <c r="P480" s="37"/>
      <c r="Q480" s="18">
        <v>4.5320000000000006E-2</v>
      </c>
      <c r="R480" s="18">
        <v>3.0900000000000003E-4</v>
      </c>
      <c r="S480" s="18">
        <v>8.6520000000000014E-2</v>
      </c>
      <c r="T480" s="18">
        <v>0.37080000000000002</v>
      </c>
      <c r="U480" s="18">
        <v>0.18540000000000001</v>
      </c>
      <c r="V480" s="18">
        <v>2.3731200000000001</v>
      </c>
      <c r="W480" s="18">
        <v>2.2248000000000001</v>
      </c>
      <c r="X480" s="18">
        <v>1.4832000000000001</v>
      </c>
      <c r="Y480" s="18">
        <v>6.5920000000000006E-2</v>
      </c>
      <c r="Z480" s="18">
        <v>0.29252</v>
      </c>
      <c r="AA480" s="18">
        <v>0.42848000000000003</v>
      </c>
      <c r="AB480" s="18">
        <v>0.7622000000000001</v>
      </c>
      <c r="AC480" s="18">
        <v>0.23484000000000002</v>
      </c>
      <c r="AD480" s="18">
        <v>1.2360000000000002</v>
      </c>
    </row>
    <row r="481" spans="2:30" x14ac:dyDescent="0.25">
      <c r="B481" t="s">
        <v>269</v>
      </c>
      <c r="C481" t="s">
        <v>105</v>
      </c>
      <c r="D481" t="s">
        <v>748</v>
      </c>
      <c r="E481" s="35">
        <v>0.9</v>
      </c>
      <c r="F481" s="35">
        <v>6.6</v>
      </c>
      <c r="G481" s="36">
        <v>4.1200000000000004E-3</v>
      </c>
      <c r="H481" s="18">
        <v>7.4152979999999999</v>
      </c>
      <c r="I481" s="16" t="s">
        <v>746</v>
      </c>
      <c r="J481" s="16"/>
      <c r="K481" s="16"/>
      <c r="L481" s="37"/>
      <c r="M481" s="37"/>
      <c r="N481" s="37"/>
      <c r="O481" s="37"/>
      <c r="P481" s="37"/>
      <c r="Q481" s="18">
        <v>4.5320000000000006E-2</v>
      </c>
      <c r="R481" s="18">
        <v>3.0900000000000003E-4</v>
      </c>
      <c r="S481" s="18">
        <v>8.6520000000000014E-2</v>
      </c>
      <c r="T481" s="18">
        <v>0.37080000000000002</v>
      </c>
      <c r="U481" s="18">
        <v>0.18540000000000001</v>
      </c>
      <c r="V481" s="18">
        <v>2.3731200000000001</v>
      </c>
      <c r="W481" s="18">
        <v>2.2248000000000001</v>
      </c>
      <c r="X481" s="18">
        <v>1.4832000000000001</v>
      </c>
      <c r="Y481" s="18">
        <v>6.5920000000000006E-2</v>
      </c>
      <c r="Z481" s="18">
        <v>0.29252</v>
      </c>
      <c r="AA481" s="18">
        <v>0.42848000000000003</v>
      </c>
      <c r="AB481" s="18">
        <v>0.7622000000000001</v>
      </c>
      <c r="AC481" s="18">
        <v>0.23484000000000002</v>
      </c>
      <c r="AD481" s="18">
        <v>1.2360000000000002</v>
      </c>
    </row>
    <row r="482" spans="2:30" x14ac:dyDescent="0.25">
      <c r="B482" t="s">
        <v>269</v>
      </c>
      <c r="C482" t="s">
        <v>105</v>
      </c>
      <c r="D482" t="s">
        <v>748</v>
      </c>
      <c r="E482" s="35">
        <v>0.9</v>
      </c>
      <c r="F482" s="35">
        <v>6.6</v>
      </c>
      <c r="G482" s="36">
        <v>4.1200000000000004E-3</v>
      </c>
      <c r="H482" s="18">
        <v>7.4152979999999999</v>
      </c>
      <c r="I482" s="16" t="s">
        <v>746</v>
      </c>
      <c r="J482" s="16"/>
      <c r="K482" s="16"/>
      <c r="L482" s="37"/>
      <c r="M482" s="37"/>
      <c r="N482" s="37"/>
      <c r="O482" s="37"/>
      <c r="P482" s="37"/>
      <c r="Q482" s="18">
        <v>4.5320000000000006E-2</v>
      </c>
      <c r="R482" s="18">
        <v>3.0900000000000003E-4</v>
      </c>
      <c r="S482" s="18">
        <v>8.6520000000000014E-2</v>
      </c>
      <c r="T482" s="18">
        <v>0.37080000000000002</v>
      </c>
      <c r="U482" s="18">
        <v>0.18540000000000001</v>
      </c>
      <c r="V482" s="18">
        <v>2.3731200000000001</v>
      </c>
      <c r="W482" s="18">
        <v>2.2248000000000001</v>
      </c>
      <c r="X482" s="18">
        <v>1.4832000000000001</v>
      </c>
      <c r="Y482" s="18">
        <v>6.5920000000000006E-2</v>
      </c>
      <c r="Z482" s="18">
        <v>0.29252</v>
      </c>
      <c r="AA482" s="18">
        <v>0.42848000000000003</v>
      </c>
      <c r="AB482" s="18">
        <v>0.7622000000000001</v>
      </c>
      <c r="AC482" s="18">
        <v>0.23484000000000002</v>
      </c>
      <c r="AD482" s="18">
        <v>1.2360000000000002</v>
      </c>
    </row>
    <row r="483" spans="2:30" x14ac:dyDescent="0.25">
      <c r="B483" t="s">
        <v>269</v>
      </c>
      <c r="C483" t="s">
        <v>105</v>
      </c>
      <c r="D483" t="s">
        <v>748</v>
      </c>
      <c r="E483" s="35">
        <v>0.9</v>
      </c>
      <c r="F483" s="35">
        <v>6.6</v>
      </c>
      <c r="G483" s="36">
        <v>4.1200000000000004E-3</v>
      </c>
      <c r="H483" s="18">
        <v>7.4152979999999999</v>
      </c>
      <c r="I483" s="16" t="s">
        <v>746</v>
      </c>
      <c r="J483" s="16"/>
      <c r="K483" s="16"/>
      <c r="L483" s="37"/>
      <c r="M483" s="37"/>
      <c r="N483" s="37"/>
      <c r="O483" s="37"/>
      <c r="P483" s="37"/>
      <c r="Q483" s="18">
        <v>4.5320000000000006E-2</v>
      </c>
      <c r="R483" s="18">
        <v>3.0900000000000003E-4</v>
      </c>
      <c r="S483" s="18">
        <v>8.6520000000000014E-2</v>
      </c>
      <c r="T483" s="18">
        <v>0.37080000000000002</v>
      </c>
      <c r="U483" s="18">
        <v>0.18540000000000001</v>
      </c>
      <c r="V483" s="18">
        <v>2.3731200000000001</v>
      </c>
      <c r="W483" s="18">
        <v>2.2248000000000001</v>
      </c>
      <c r="X483" s="18">
        <v>1.4832000000000001</v>
      </c>
      <c r="Y483" s="18">
        <v>6.5920000000000006E-2</v>
      </c>
      <c r="Z483" s="18">
        <v>0.29252</v>
      </c>
      <c r="AA483" s="18">
        <v>0.42848000000000003</v>
      </c>
      <c r="AB483" s="18">
        <v>0.7622000000000001</v>
      </c>
      <c r="AC483" s="18">
        <v>0.23484000000000002</v>
      </c>
      <c r="AD483" s="18">
        <v>1.2360000000000002</v>
      </c>
    </row>
    <row r="484" spans="2:30" x14ac:dyDescent="0.25">
      <c r="B484" t="s">
        <v>269</v>
      </c>
      <c r="C484" t="s">
        <v>105</v>
      </c>
      <c r="D484" t="s">
        <v>748</v>
      </c>
      <c r="E484" s="35">
        <v>0.9</v>
      </c>
      <c r="F484" s="35">
        <v>6.6</v>
      </c>
      <c r="G484" s="36">
        <v>4.1200000000000004E-3</v>
      </c>
      <c r="H484" s="18">
        <v>7.4152979999999999</v>
      </c>
      <c r="I484" s="16" t="s">
        <v>746</v>
      </c>
      <c r="J484" s="16"/>
      <c r="K484" s="16"/>
      <c r="L484" s="37"/>
      <c r="M484" s="37"/>
      <c r="N484" s="37"/>
      <c r="O484" s="37"/>
      <c r="P484" s="37"/>
      <c r="Q484" s="18">
        <v>4.5320000000000006E-2</v>
      </c>
      <c r="R484" s="18">
        <v>3.0900000000000003E-4</v>
      </c>
      <c r="S484" s="18">
        <v>8.6520000000000014E-2</v>
      </c>
      <c r="T484" s="18">
        <v>0.37080000000000002</v>
      </c>
      <c r="U484" s="18">
        <v>0.18540000000000001</v>
      </c>
      <c r="V484" s="18">
        <v>2.3731200000000001</v>
      </c>
      <c r="W484" s="18">
        <v>2.2248000000000001</v>
      </c>
      <c r="X484" s="18">
        <v>1.4832000000000001</v>
      </c>
      <c r="Y484" s="18">
        <v>6.5920000000000006E-2</v>
      </c>
      <c r="Z484" s="18">
        <v>0.29252</v>
      </c>
      <c r="AA484" s="18">
        <v>0.42848000000000003</v>
      </c>
      <c r="AB484" s="18">
        <v>0.7622000000000001</v>
      </c>
      <c r="AC484" s="18">
        <v>0.23484000000000002</v>
      </c>
      <c r="AD484" s="18">
        <v>1.2360000000000002</v>
      </c>
    </row>
    <row r="485" spans="2:30" x14ac:dyDescent="0.25">
      <c r="B485" t="s">
        <v>269</v>
      </c>
      <c r="C485" t="s">
        <v>105</v>
      </c>
      <c r="D485" t="s">
        <v>748</v>
      </c>
      <c r="E485" s="35">
        <v>0.9</v>
      </c>
      <c r="F485" s="35">
        <v>6.6</v>
      </c>
      <c r="G485" s="36">
        <v>4.1200000000000004E-3</v>
      </c>
      <c r="H485" s="18">
        <v>7.4152979999999999</v>
      </c>
      <c r="I485" s="16" t="s">
        <v>746</v>
      </c>
      <c r="J485" s="16"/>
      <c r="K485" s="16"/>
      <c r="L485" s="37"/>
      <c r="M485" s="37"/>
      <c r="N485" s="37"/>
      <c r="O485" s="37"/>
      <c r="P485" s="37"/>
      <c r="Q485" s="18">
        <v>4.5320000000000006E-2</v>
      </c>
      <c r="R485" s="18">
        <v>3.0900000000000003E-4</v>
      </c>
      <c r="S485" s="18">
        <v>8.6520000000000014E-2</v>
      </c>
      <c r="T485" s="18">
        <v>0.37080000000000002</v>
      </c>
      <c r="U485" s="18">
        <v>0.18540000000000001</v>
      </c>
      <c r="V485" s="18">
        <v>2.3731200000000001</v>
      </c>
      <c r="W485" s="18">
        <v>2.2248000000000001</v>
      </c>
      <c r="X485" s="18">
        <v>1.4832000000000001</v>
      </c>
      <c r="Y485" s="18">
        <v>6.5920000000000006E-2</v>
      </c>
      <c r="Z485" s="18">
        <v>0.29252</v>
      </c>
      <c r="AA485" s="18">
        <v>0.42848000000000003</v>
      </c>
      <c r="AB485" s="18">
        <v>0.7622000000000001</v>
      </c>
      <c r="AC485" s="18">
        <v>0.23484000000000002</v>
      </c>
      <c r="AD485" s="18">
        <v>1.2360000000000002</v>
      </c>
    </row>
    <row r="486" spans="2:30" x14ac:dyDescent="0.25">
      <c r="B486" t="s">
        <v>269</v>
      </c>
      <c r="C486" t="s">
        <v>105</v>
      </c>
      <c r="D486" t="s">
        <v>748</v>
      </c>
      <c r="E486" s="35">
        <v>0.9</v>
      </c>
      <c r="F486" s="35">
        <v>6.6</v>
      </c>
      <c r="G486" s="36">
        <v>4.1200000000000004E-3</v>
      </c>
      <c r="H486" s="18">
        <v>7.4152979999999999</v>
      </c>
      <c r="I486" s="16" t="s">
        <v>746</v>
      </c>
      <c r="J486" s="16"/>
      <c r="K486" s="16"/>
      <c r="L486" s="37"/>
      <c r="M486" s="37"/>
      <c r="N486" s="37"/>
      <c r="O486" s="37"/>
      <c r="P486" s="37"/>
      <c r="Q486" s="18">
        <v>4.5320000000000006E-2</v>
      </c>
      <c r="R486" s="18">
        <v>3.0900000000000003E-4</v>
      </c>
      <c r="S486" s="18">
        <v>8.6520000000000014E-2</v>
      </c>
      <c r="T486" s="18">
        <v>0.37080000000000002</v>
      </c>
      <c r="U486" s="18">
        <v>0.18540000000000001</v>
      </c>
      <c r="V486" s="18">
        <v>2.3731200000000001</v>
      </c>
      <c r="W486" s="18">
        <v>2.2248000000000001</v>
      </c>
      <c r="X486" s="18">
        <v>1.4832000000000001</v>
      </c>
      <c r="Y486" s="18">
        <v>6.5920000000000006E-2</v>
      </c>
      <c r="Z486" s="18">
        <v>0.29252</v>
      </c>
      <c r="AA486" s="18">
        <v>0.42848000000000003</v>
      </c>
      <c r="AB486" s="18">
        <v>0.7622000000000001</v>
      </c>
      <c r="AC486" s="18">
        <v>0.23484000000000002</v>
      </c>
      <c r="AD486" s="18">
        <v>1.2360000000000002</v>
      </c>
    </row>
    <row r="487" spans="2:30" x14ac:dyDescent="0.25">
      <c r="B487" t="s">
        <v>269</v>
      </c>
      <c r="C487" t="s">
        <v>105</v>
      </c>
      <c r="D487" t="s">
        <v>748</v>
      </c>
      <c r="E487" s="35">
        <v>0.9</v>
      </c>
      <c r="F487" s="35">
        <v>6.6</v>
      </c>
      <c r="G487" s="36">
        <v>4.1200000000000004E-3</v>
      </c>
      <c r="H487" s="18">
        <v>7.4152979999999999</v>
      </c>
      <c r="I487" s="16" t="s">
        <v>746</v>
      </c>
      <c r="J487" s="16"/>
      <c r="K487" s="16"/>
      <c r="L487" s="37"/>
      <c r="M487" s="37"/>
      <c r="N487" s="37"/>
      <c r="O487" s="37"/>
      <c r="P487" s="37"/>
      <c r="Q487" s="18">
        <v>4.5320000000000006E-2</v>
      </c>
      <c r="R487" s="18">
        <v>3.0900000000000003E-4</v>
      </c>
      <c r="S487" s="18">
        <v>8.6520000000000014E-2</v>
      </c>
      <c r="T487" s="18">
        <v>0.37080000000000002</v>
      </c>
      <c r="U487" s="18">
        <v>0.18540000000000001</v>
      </c>
      <c r="V487" s="18">
        <v>2.3731200000000001</v>
      </c>
      <c r="W487" s="18">
        <v>2.2248000000000001</v>
      </c>
      <c r="X487" s="18">
        <v>1.4832000000000001</v>
      </c>
      <c r="Y487" s="18">
        <v>6.5920000000000006E-2</v>
      </c>
      <c r="Z487" s="18">
        <v>0.29252</v>
      </c>
      <c r="AA487" s="18">
        <v>0.42848000000000003</v>
      </c>
      <c r="AB487" s="18">
        <v>0.7622000000000001</v>
      </c>
      <c r="AC487" s="18">
        <v>0.23484000000000002</v>
      </c>
      <c r="AD487" s="18">
        <v>1.2360000000000002</v>
      </c>
    </row>
    <row r="488" spans="2:30" x14ac:dyDescent="0.25">
      <c r="B488" t="s">
        <v>269</v>
      </c>
      <c r="C488" t="s">
        <v>326</v>
      </c>
      <c r="D488" t="s">
        <v>748</v>
      </c>
      <c r="E488" s="35">
        <v>0.9</v>
      </c>
      <c r="F488" s="35">
        <v>6.6</v>
      </c>
      <c r="G488" s="36">
        <v>4.1200000000000004E-3</v>
      </c>
      <c r="H488" s="18">
        <v>7.4152979999999999</v>
      </c>
      <c r="I488" s="16" t="s">
        <v>746</v>
      </c>
      <c r="J488" s="16"/>
      <c r="K488" s="16"/>
      <c r="L488" s="37"/>
      <c r="M488" s="37"/>
      <c r="N488" s="37"/>
      <c r="O488" s="37"/>
      <c r="P488" s="37"/>
      <c r="Q488" s="18">
        <v>4.5320000000000006E-2</v>
      </c>
      <c r="R488" s="18">
        <v>3.0900000000000003E-4</v>
      </c>
      <c r="S488" s="18">
        <v>8.6520000000000014E-2</v>
      </c>
      <c r="T488" s="18">
        <v>0.37080000000000002</v>
      </c>
      <c r="U488" s="18">
        <v>0.18540000000000001</v>
      </c>
      <c r="V488" s="18">
        <v>2.3731200000000001</v>
      </c>
      <c r="W488" s="18">
        <v>2.2248000000000001</v>
      </c>
      <c r="X488" s="18">
        <v>1.4832000000000001</v>
      </c>
      <c r="Y488" s="18">
        <v>6.5920000000000006E-2</v>
      </c>
      <c r="Z488" s="18">
        <v>0.29252</v>
      </c>
      <c r="AA488" s="18">
        <v>0.42848000000000003</v>
      </c>
      <c r="AB488" s="18">
        <v>0.7622000000000001</v>
      </c>
      <c r="AC488" s="18">
        <v>0.23484000000000002</v>
      </c>
      <c r="AD488" s="18">
        <v>1.2360000000000002</v>
      </c>
    </row>
    <row r="489" spans="2:30" x14ac:dyDescent="0.25">
      <c r="B489" t="s">
        <v>269</v>
      </c>
      <c r="C489" t="s">
        <v>326</v>
      </c>
      <c r="D489" t="s">
        <v>748</v>
      </c>
      <c r="E489" s="35">
        <v>0.9</v>
      </c>
      <c r="F489" s="35">
        <v>6.6</v>
      </c>
      <c r="G489" s="36">
        <v>4.1200000000000004E-3</v>
      </c>
      <c r="H489" s="18">
        <v>7.4152979999999999</v>
      </c>
      <c r="I489" s="16" t="s">
        <v>746</v>
      </c>
      <c r="J489" s="16"/>
      <c r="K489" s="16"/>
      <c r="L489" s="37"/>
      <c r="M489" s="37"/>
      <c r="N489" s="37"/>
      <c r="O489" s="37"/>
      <c r="P489" s="37"/>
      <c r="Q489" s="18">
        <v>4.5320000000000006E-2</v>
      </c>
      <c r="R489" s="18">
        <v>3.0900000000000003E-4</v>
      </c>
      <c r="S489" s="18">
        <v>8.6520000000000014E-2</v>
      </c>
      <c r="T489" s="18">
        <v>0.37080000000000002</v>
      </c>
      <c r="U489" s="18">
        <v>0.18540000000000001</v>
      </c>
      <c r="V489" s="18">
        <v>2.3731200000000001</v>
      </c>
      <c r="W489" s="18">
        <v>2.2248000000000001</v>
      </c>
      <c r="X489" s="18">
        <v>1.4832000000000001</v>
      </c>
      <c r="Y489" s="18">
        <v>6.5920000000000006E-2</v>
      </c>
      <c r="Z489" s="18">
        <v>0.29252</v>
      </c>
      <c r="AA489" s="18">
        <v>0.42848000000000003</v>
      </c>
      <c r="AB489" s="18">
        <v>0.7622000000000001</v>
      </c>
      <c r="AC489" s="18">
        <v>0.23484000000000002</v>
      </c>
      <c r="AD489" s="18">
        <v>1.2360000000000002</v>
      </c>
    </row>
    <row r="490" spans="2:30" x14ac:dyDescent="0.25">
      <c r="B490" t="s">
        <v>269</v>
      </c>
      <c r="C490" t="s">
        <v>326</v>
      </c>
      <c r="D490" t="s">
        <v>752</v>
      </c>
      <c r="E490" s="35">
        <v>0.9</v>
      </c>
      <c r="F490" s="35">
        <v>6.6</v>
      </c>
      <c r="G490" s="36">
        <v>2.47E-3</v>
      </c>
      <c r="H490" s="18">
        <v>4.4452980000000002</v>
      </c>
      <c r="I490" s="16" t="s">
        <v>746</v>
      </c>
      <c r="J490" s="16"/>
      <c r="K490" s="16"/>
      <c r="L490" s="37"/>
      <c r="M490" s="37"/>
      <c r="N490" s="37"/>
      <c r="O490" s="37"/>
      <c r="P490" s="37"/>
      <c r="Q490" s="18">
        <v>2.717E-2</v>
      </c>
      <c r="R490" s="18">
        <v>1.8525E-4</v>
      </c>
      <c r="S490" s="18">
        <v>5.1869999999999999E-2</v>
      </c>
      <c r="T490" s="18">
        <v>0.2223</v>
      </c>
      <c r="U490" s="18">
        <v>0.11115</v>
      </c>
      <c r="V490" s="18">
        <v>1.42272</v>
      </c>
      <c r="W490" s="18">
        <v>1.3338000000000001</v>
      </c>
      <c r="X490" s="18">
        <v>0.88919999999999999</v>
      </c>
      <c r="Y490" s="18">
        <v>3.952E-2</v>
      </c>
      <c r="Z490" s="18">
        <v>0.17537</v>
      </c>
      <c r="AA490" s="18">
        <v>0.25688</v>
      </c>
      <c r="AB490" s="18">
        <v>0.45694999999999997</v>
      </c>
      <c r="AC490" s="18">
        <v>0.14079</v>
      </c>
      <c r="AD490" s="18">
        <v>0.74099999999999999</v>
      </c>
    </row>
    <row r="491" spans="2:30" x14ac:dyDescent="0.25">
      <c r="B491" t="s">
        <v>269</v>
      </c>
      <c r="C491" t="s">
        <v>326</v>
      </c>
      <c r="D491" t="s">
        <v>750</v>
      </c>
      <c r="E491" s="35">
        <v>0.9</v>
      </c>
      <c r="F491" s="35">
        <v>6.6</v>
      </c>
      <c r="G491" s="36">
        <v>3.0200000000000001E-3</v>
      </c>
      <c r="H491" s="18">
        <v>5.4352980000000004</v>
      </c>
      <c r="I491" s="16" t="s">
        <v>746</v>
      </c>
      <c r="J491" s="16"/>
      <c r="K491" s="16"/>
      <c r="L491" s="37"/>
      <c r="M491" s="37"/>
      <c r="N491" s="37"/>
      <c r="O491" s="37"/>
      <c r="P491" s="37"/>
      <c r="Q491" s="18">
        <v>3.322E-2</v>
      </c>
      <c r="R491" s="18">
        <v>2.265E-4</v>
      </c>
      <c r="S491" s="18">
        <v>6.3420000000000004E-2</v>
      </c>
      <c r="T491" s="18">
        <v>0.27179999999999999</v>
      </c>
      <c r="U491" s="18">
        <v>0.13589999999999999</v>
      </c>
      <c r="V491" s="18">
        <v>1.7395200000000002</v>
      </c>
      <c r="W491" s="18">
        <v>1.6308</v>
      </c>
      <c r="X491" s="18">
        <v>1.0871999999999999</v>
      </c>
      <c r="Y491" s="18">
        <v>4.8320000000000002E-2</v>
      </c>
      <c r="Z491" s="18">
        <v>0.21442</v>
      </c>
      <c r="AA491" s="18">
        <v>0.31408000000000003</v>
      </c>
      <c r="AB491" s="18">
        <v>0.55869999999999997</v>
      </c>
      <c r="AC491" s="18">
        <v>0.17214000000000002</v>
      </c>
      <c r="AD491" s="18">
        <v>0.90600000000000003</v>
      </c>
    </row>
    <row r="492" spans="2:30" x14ac:dyDescent="0.25">
      <c r="B492" t="s">
        <v>269</v>
      </c>
      <c r="C492" t="s">
        <v>326</v>
      </c>
      <c r="D492" t="s">
        <v>751</v>
      </c>
      <c r="E492" s="35">
        <v>0.9</v>
      </c>
      <c r="F492" s="35">
        <v>6.6</v>
      </c>
      <c r="G492" s="36">
        <v>2.7910000000000001E-3</v>
      </c>
      <c r="H492" s="18">
        <v>5.0236749999999999</v>
      </c>
      <c r="I492" s="16" t="s">
        <v>746</v>
      </c>
      <c r="J492" s="16"/>
      <c r="K492" s="16"/>
      <c r="L492" s="37"/>
      <c r="M492" s="37"/>
      <c r="N492" s="37"/>
      <c r="O492" s="37"/>
      <c r="P492" s="37"/>
      <c r="Q492" s="18">
        <v>3.0700999999999999E-2</v>
      </c>
      <c r="R492" s="18">
        <v>2.0932500000000001E-4</v>
      </c>
      <c r="S492" s="18">
        <v>5.8611000000000003E-2</v>
      </c>
      <c r="T492" s="18">
        <v>0.25119000000000002</v>
      </c>
      <c r="U492" s="18">
        <v>0.12559500000000001</v>
      </c>
      <c r="V492" s="18">
        <v>1.6076160000000002</v>
      </c>
      <c r="W492" s="18">
        <v>1.5071400000000001</v>
      </c>
      <c r="X492" s="18">
        <v>1.0047600000000001</v>
      </c>
      <c r="Y492" s="18">
        <v>4.4656000000000001E-2</v>
      </c>
      <c r="Z492" s="18">
        <v>0.198161</v>
      </c>
      <c r="AA492" s="18">
        <v>0.29026400000000002</v>
      </c>
      <c r="AB492" s="18">
        <v>0.51633499999999999</v>
      </c>
      <c r="AC492" s="18">
        <v>0.15908700000000001</v>
      </c>
      <c r="AD492" s="18">
        <v>0.83730000000000004</v>
      </c>
    </row>
    <row r="493" spans="2:30" x14ac:dyDescent="0.25">
      <c r="B493" t="s">
        <v>269</v>
      </c>
      <c r="C493" t="s">
        <v>326</v>
      </c>
      <c r="D493" t="s">
        <v>747</v>
      </c>
      <c r="E493" s="35">
        <v>0.9</v>
      </c>
      <c r="F493" s="35">
        <v>6.6</v>
      </c>
      <c r="G493" s="36">
        <v>4.9449999999999997E-3</v>
      </c>
      <c r="H493" s="18">
        <v>8.9002979999999994</v>
      </c>
      <c r="I493" s="16" t="s">
        <v>746</v>
      </c>
      <c r="J493" s="16"/>
      <c r="K493" s="16"/>
      <c r="L493" s="37"/>
      <c r="M493" s="37"/>
      <c r="N493" s="37"/>
      <c r="O493" s="37"/>
      <c r="P493" s="37"/>
      <c r="Q493" s="18">
        <v>5.4394999999999999E-2</v>
      </c>
      <c r="R493" s="18">
        <v>3.7087499999999995E-4</v>
      </c>
      <c r="S493" s="18">
        <v>0.10384499999999999</v>
      </c>
      <c r="T493" s="18">
        <v>0.44505</v>
      </c>
      <c r="U493" s="18">
        <v>0.222525</v>
      </c>
      <c r="V493" s="18">
        <v>2.8483199999999997</v>
      </c>
      <c r="W493" s="18">
        <v>2.6702999999999997</v>
      </c>
      <c r="X493" s="18">
        <v>1.7802</v>
      </c>
      <c r="Y493" s="18">
        <v>7.9119999999999996E-2</v>
      </c>
      <c r="Z493" s="18">
        <v>0.35109499999999999</v>
      </c>
      <c r="AA493" s="18">
        <v>0.51427999999999996</v>
      </c>
      <c r="AB493" s="18">
        <v>0.914825</v>
      </c>
      <c r="AC493" s="18">
        <v>0.28186499999999998</v>
      </c>
      <c r="AD493" s="18">
        <v>1.4834999999999998</v>
      </c>
    </row>
    <row r="494" spans="2:30" x14ac:dyDescent="0.25">
      <c r="B494" t="s">
        <v>269</v>
      </c>
      <c r="C494" t="s">
        <v>326</v>
      </c>
      <c r="D494" t="s">
        <v>748</v>
      </c>
      <c r="E494" s="35">
        <v>0.9</v>
      </c>
      <c r="F494" s="35">
        <v>6.6</v>
      </c>
      <c r="G494" s="36">
        <v>4.1200000000000004E-3</v>
      </c>
      <c r="H494" s="18">
        <v>7.4152979999999999</v>
      </c>
      <c r="I494" s="16" t="s">
        <v>746</v>
      </c>
      <c r="J494" s="16"/>
      <c r="K494" s="16"/>
      <c r="L494" s="37"/>
      <c r="M494" s="37"/>
      <c r="N494" s="37"/>
      <c r="O494" s="37"/>
      <c r="P494" s="37"/>
      <c r="Q494" s="18">
        <v>4.5320000000000006E-2</v>
      </c>
      <c r="R494" s="18">
        <v>3.0900000000000003E-4</v>
      </c>
      <c r="S494" s="18">
        <v>8.6520000000000014E-2</v>
      </c>
      <c r="T494" s="18">
        <v>0.37080000000000002</v>
      </c>
      <c r="U494" s="18">
        <v>0.18540000000000001</v>
      </c>
      <c r="V494" s="18">
        <v>2.3731200000000001</v>
      </c>
      <c r="W494" s="18">
        <v>2.2248000000000001</v>
      </c>
      <c r="X494" s="18">
        <v>1.4832000000000001</v>
      </c>
      <c r="Y494" s="18">
        <v>6.5920000000000006E-2</v>
      </c>
      <c r="Z494" s="18">
        <v>0.29252</v>
      </c>
      <c r="AA494" s="18">
        <v>0.42848000000000003</v>
      </c>
      <c r="AB494" s="18">
        <v>0.7622000000000001</v>
      </c>
      <c r="AC494" s="18">
        <v>0.23484000000000002</v>
      </c>
      <c r="AD494" s="18">
        <v>1.2360000000000002</v>
      </c>
    </row>
    <row r="495" spans="2:30" x14ac:dyDescent="0.25">
      <c r="B495" t="s">
        <v>269</v>
      </c>
      <c r="C495" t="s">
        <v>326</v>
      </c>
      <c r="D495" t="s">
        <v>753</v>
      </c>
      <c r="E495" s="35">
        <v>0.9</v>
      </c>
      <c r="F495" s="35">
        <v>6.6</v>
      </c>
      <c r="G495" s="36">
        <v>5.77E-3</v>
      </c>
      <c r="H495" s="18">
        <v>10.385298000000001</v>
      </c>
      <c r="I495" s="16" t="s">
        <v>746</v>
      </c>
      <c r="J495" s="16"/>
      <c r="K495" s="16"/>
      <c r="L495" s="37"/>
      <c r="M495" s="37"/>
      <c r="N495" s="37"/>
      <c r="O495" s="37"/>
      <c r="P495" s="37"/>
      <c r="Q495" s="18">
        <v>6.3469999999999999E-2</v>
      </c>
      <c r="R495" s="18">
        <v>4.3274999999999997E-4</v>
      </c>
      <c r="S495" s="18">
        <v>0.12117</v>
      </c>
      <c r="T495" s="18">
        <v>0.51929999999999998</v>
      </c>
      <c r="U495" s="18">
        <v>0.25964999999999999</v>
      </c>
      <c r="V495" s="18">
        <v>3.3235199999999998</v>
      </c>
      <c r="W495" s="18">
        <v>3.1158000000000001</v>
      </c>
      <c r="X495" s="18">
        <v>2.0771999999999999</v>
      </c>
      <c r="Y495" s="18">
        <v>9.2319999999999999E-2</v>
      </c>
      <c r="Z495" s="18">
        <v>0.40966999999999998</v>
      </c>
      <c r="AA495" s="18">
        <v>0.60007999999999995</v>
      </c>
      <c r="AB495" s="18">
        <v>1.06745</v>
      </c>
      <c r="AC495" s="18">
        <v>0.32889000000000002</v>
      </c>
      <c r="AD495" s="18">
        <v>1.7310000000000001</v>
      </c>
    </row>
    <row r="496" spans="2:30" x14ac:dyDescent="0.25">
      <c r="B496" t="s">
        <v>269</v>
      </c>
      <c r="C496" t="s">
        <v>326</v>
      </c>
      <c r="D496" t="s">
        <v>748</v>
      </c>
      <c r="E496" s="35">
        <v>0.9</v>
      </c>
      <c r="F496" s="35">
        <v>6.6</v>
      </c>
      <c r="G496" s="36">
        <v>4.1200000000000004E-3</v>
      </c>
      <c r="H496" s="18">
        <v>7.4152979999999999</v>
      </c>
      <c r="I496" s="16" t="s">
        <v>746</v>
      </c>
      <c r="J496" s="16"/>
      <c r="K496" s="16"/>
      <c r="L496" s="37"/>
      <c r="M496" s="37"/>
      <c r="N496" s="37"/>
      <c r="O496" s="37"/>
      <c r="P496" s="37"/>
      <c r="Q496" s="18">
        <v>4.5320000000000006E-2</v>
      </c>
      <c r="R496" s="18">
        <v>3.0900000000000003E-4</v>
      </c>
      <c r="S496" s="18">
        <v>8.6520000000000014E-2</v>
      </c>
      <c r="T496" s="18">
        <v>0.37080000000000002</v>
      </c>
      <c r="U496" s="18">
        <v>0.18540000000000001</v>
      </c>
      <c r="V496" s="18">
        <v>2.3731200000000001</v>
      </c>
      <c r="W496" s="18">
        <v>2.2248000000000001</v>
      </c>
      <c r="X496" s="18">
        <v>1.4832000000000001</v>
      </c>
      <c r="Y496" s="18">
        <v>6.5920000000000006E-2</v>
      </c>
      <c r="Z496" s="18">
        <v>0.29252</v>
      </c>
      <c r="AA496" s="18">
        <v>0.42848000000000003</v>
      </c>
      <c r="AB496" s="18">
        <v>0.7622000000000001</v>
      </c>
      <c r="AC496" s="18">
        <v>0.23484000000000002</v>
      </c>
      <c r="AD496" s="18">
        <v>1.2360000000000002</v>
      </c>
    </row>
    <row r="497" spans="2:30" x14ac:dyDescent="0.25">
      <c r="B497" t="s">
        <v>269</v>
      </c>
      <c r="C497" t="s">
        <v>326</v>
      </c>
      <c r="D497" t="s">
        <v>747</v>
      </c>
      <c r="E497" s="35">
        <v>0.9</v>
      </c>
      <c r="F497" s="35">
        <v>6.6</v>
      </c>
      <c r="G497" s="36">
        <v>4.9449999999999997E-3</v>
      </c>
      <c r="H497" s="18">
        <v>8.9002979999999994</v>
      </c>
      <c r="I497" s="16" t="s">
        <v>746</v>
      </c>
      <c r="J497" s="16"/>
      <c r="K497" s="16"/>
      <c r="L497" s="37"/>
      <c r="M497" s="37"/>
      <c r="N497" s="37"/>
      <c r="O497" s="37"/>
      <c r="P497" s="37"/>
      <c r="Q497" s="18">
        <v>5.4394999999999999E-2</v>
      </c>
      <c r="R497" s="18">
        <v>3.7087499999999995E-4</v>
      </c>
      <c r="S497" s="18">
        <v>0.10384499999999999</v>
      </c>
      <c r="T497" s="18">
        <v>0.44505</v>
      </c>
      <c r="U497" s="18">
        <v>0.222525</v>
      </c>
      <c r="V497" s="18">
        <v>2.8483199999999997</v>
      </c>
      <c r="W497" s="18">
        <v>2.6702999999999997</v>
      </c>
      <c r="X497" s="18">
        <v>1.7802</v>
      </c>
      <c r="Y497" s="18">
        <v>7.9119999999999996E-2</v>
      </c>
      <c r="Z497" s="18">
        <v>0.35109499999999999</v>
      </c>
      <c r="AA497" s="18">
        <v>0.51427999999999996</v>
      </c>
      <c r="AB497" s="18">
        <v>0.914825</v>
      </c>
      <c r="AC497" s="18">
        <v>0.28186499999999998</v>
      </c>
      <c r="AD497" s="18">
        <v>1.4834999999999998</v>
      </c>
    </row>
    <row r="498" spans="2:30" x14ac:dyDescent="0.25">
      <c r="B498" t="s">
        <v>269</v>
      </c>
      <c r="C498" t="s">
        <v>326</v>
      </c>
      <c r="D498" t="s">
        <v>750</v>
      </c>
      <c r="E498" s="35">
        <v>0.9</v>
      </c>
      <c r="F498" s="35">
        <v>6.6</v>
      </c>
      <c r="G498" s="36">
        <v>3.0200000000000001E-3</v>
      </c>
      <c r="H498" s="18">
        <v>5.4352980000000004</v>
      </c>
      <c r="I498" s="16" t="s">
        <v>746</v>
      </c>
      <c r="J498" s="16"/>
      <c r="K498" s="16"/>
      <c r="L498" s="37"/>
      <c r="M498" s="37"/>
      <c r="N498" s="37"/>
      <c r="O498" s="37"/>
      <c r="P498" s="37"/>
      <c r="Q498" s="18">
        <v>3.322E-2</v>
      </c>
      <c r="R498" s="18">
        <v>2.265E-4</v>
      </c>
      <c r="S498" s="18">
        <v>6.3420000000000004E-2</v>
      </c>
      <c r="T498" s="18">
        <v>0.27179999999999999</v>
      </c>
      <c r="U498" s="18">
        <v>0.13589999999999999</v>
      </c>
      <c r="V498" s="18">
        <v>1.7395200000000002</v>
      </c>
      <c r="W498" s="18">
        <v>1.6308</v>
      </c>
      <c r="X498" s="18">
        <v>1.0871999999999999</v>
      </c>
      <c r="Y498" s="18">
        <v>4.8320000000000002E-2</v>
      </c>
      <c r="Z498" s="18">
        <v>0.21442</v>
      </c>
      <c r="AA498" s="18">
        <v>0.31408000000000003</v>
      </c>
      <c r="AB498" s="18">
        <v>0.55869999999999997</v>
      </c>
      <c r="AC498" s="18">
        <v>0.17214000000000002</v>
      </c>
      <c r="AD498" s="18">
        <v>0.90600000000000003</v>
      </c>
    </row>
    <row r="499" spans="2:30" x14ac:dyDescent="0.25">
      <c r="B499" t="s">
        <v>269</v>
      </c>
      <c r="C499" t="s">
        <v>326</v>
      </c>
      <c r="D499" t="s">
        <v>749</v>
      </c>
      <c r="E499" s="35">
        <v>0.9</v>
      </c>
      <c r="F499" s="35">
        <v>6.6</v>
      </c>
      <c r="G499" s="36">
        <v>3.5699999999999998E-3</v>
      </c>
      <c r="H499" s="18">
        <v>6.4252979999999997</v>
      </c>
      <c r="I499" s="16" t="s">
        <v>746</v>
      </c>
      <c r="J499" s="16"/>
      <c r="K499" s="16"/>
      <c r="L499" s="37"/>
      <c r="M499" s="37"/>
      <c r="N499" s="37"/>
      <c r="O499" s="37"/>
      <c r="P499" s="37"/>
      <c r="Q499" s="18">
        <v>3.9269999999999999E-2</v>
      </c>
      <c r="R499" s="18">
        <v>2.6774999999999998E-4</v>
      </c>
      <c r="S499" s="18">
        <v>7.4969999999999995E-2</v>
      </c>
      <c r="T499" s="18">
        <v>0.32129999999999997</v>
      </c>
      <c r="U499" s="18">
        <v>0.16064999999999999</v>
      </c>
      <c r="V499" s="18">
        <v>2.0563199999999999</v>
      </c>
      <c r="W499" s="18">
        <v>1.9278</v>
      </c>
      <c r="X499" s="18">
        <v>1.2851999999999999</v>
      </c>
      <c r="Y499" s="18">
        <v>5.7119999999999997E-2</v>
      </c>
      <c r="Z499" s="18">
        <v>0.25346999999999997</v>
      </c>
      <c r="AA499" s="18">
        <v>0.37128</v>
      </c>
      <c r="AB499" s="18">
        <v>0.66044999999999998</v>
      </c>
      <c r="AC499" s="18">
        <v>0.20348999999999998</v>
      </c>
      <c r="AD499" s="18">
        <v>1.071</v>
      </c>
    </row>
    <row r="500" spans="2:30" x14ac:dyDescent="0.25">
      <c r="B500" t="s">
        <v>269</v>
      </c>
      <c r="C500" t="s">
        <v>326</v>
      </c>
      <c r="D500" t="s">
        <v>751</v>
      </c>
      <c r="E500" s="35">
        <v>0.9</v>
      </c>
      <c r="F500" s="35">
        <v>6.6</v>
      </c>
      <c r="G500" s="36">
        <v>2.7910000000000001E-3</v>
      </c>
      <c r="H500" s="18">
        <v>5.0236749999999999</v>
      </c>
      <c r="I500" s="16" t="s">
        <v>746</v>
      </c>
      <c r="J500" s="16"/>
      <c r="K500" s="16"/>
      <c r="L500" s="37"/>
      <c r="M500" s="37"/>
      <c r="N500" s="37"/>
      <c r="O500" s="37"/>
      <c r="P500" s="37"/>
      <c r="Q500" s="18">
        <v>3.0700999999999999E-2</v>
      </c>
      <c r="R500" s="18">
        <v>2.0932500000000001E-4</v>
      </c>
      <c r="S500" s="18">
        <v>5.8611000000000003E-2</v>
      </c>
      <c r="T500" s="18">
        <v>0.25119000000000002</v>
      </c>
      <c r="U500" s="18">
        <v>0.12559500000000001</v>
      </c>
      <c r="V500" s="18">
        <v>1.6076160000000002</v>
      </c>
      <c r="W500" s="18">
        <v>1.5071400000000001</v>
      </c>
      <c r="X500" s="18">
        <v>1.0047600000000001</v>
      </c>
      <c r="Y500" s="18">
        <v>4.4656000000000001E-2</v>
      </c>
      <c r="Z500" s="18">
        <v>0.198161</v>
      </c>
      <c r="AA500" s="18">
        <v>0.29026400000000002</v>
      </c>
      <c r="AB500" s="18">
        <v>0.51633499999999999</v>
      </c>
      <c r="AC500" s="18">
        <v>0.15908700000000001</v>
      </c>
      <c r="AD500" s="18">
        <v>0.83730000000000004</v>
      </c>
    </row>
    <row r="501" spans="2:30" x14ac:dyDescent="0.25">
      <c r="B501" t="s">
        <v>269</v>
      </c>
      <c r="C501" t="s">
        <v>326</v>
      </c>
      <c r="D501" t="s">
        <v>748</v>
      </c>
      <c r="E501" s="35">
        <v>0.9</v>
      </c>
      <c r="F501" s="35">
        <v>6.6</v>
      </c>
      <c r="G501" s="36">
        <v>4.1200000000000004E-3</v>
      </c>
      <c r="H501" s="18">
        <v>7.4152979999999999</v>
      </c>
      <c r="I501" s="16" t="s">
        <v>746</v>
      </c>
      <c r="J501" s="16"/>
      <c r="K501" s="16"/>
      <c r="L501" s="37"/>
      <c r="M501" s="37"/>
      <c r="N501" s="37"/>
      <c r="O501" s="37"/>
      <c r="P501" s="37"/>
      <c r="Q501" s="18">
        <v>4.5320000000000006E-2</v>
      </c>
      <c r="R501" s="18">
        <v>3.0900000000000003E-4</v>
      </c>
      <c r="S501" s="18">
        <v>8.6520000000000014E-2</v>
      </c>
      <c r="T501" s="18">
        <v>0.37080000000000002</v>
      </c>
      <c r="U501" s="18">
        <v>0.18540000000000001</v>
      </c>
      <c r="V501" s="18">
        <v>2.3731200000000001</v>
      </c>
      <c r="W501" s="18">
        <v>2.2248000000000001</v>
      </c>
      <c r="X501" s="18">
        <v>1.4832000000000001</v>
      </c>
      <c r="Y501" s="18">
        <v>6.5920000000000006E-2</v>
      </c>
      <c r="Z501" s="18">
        <v>0.29252</v>
      </c>
      <c r="AA501" s="18">
        <v>0.42848000000000003</v>
      </c>
      <c r="AB501" s="18">
        <v>0.7622000000000001</v>
      </c>
      <c r="AC501" s="18">
        <v>0.23484000000000002</v>
      </c>
      <c r="AD501" s="18">
        <v>1.2360000000000002</v>
      </c>
    </row>
    <row r="502" spans="2:30" x14ac:dyDescent="0.25">
      <c r="B502" t="s">
        <v>269</v>
      </c>
      <c r="C502" t="s">
        <v>326</v>
      </c>
      <c r="D502" t="s">
        <v>749</v>
      </c>
      <c r="E502" s="35">
        <v>0.9</v>
      </c>
      <c r="F502" s="35">
        <v>6.6</v>
      </c>
      <c r="G502" s="36">
        <v>3.5699999999999998E-3</v>
      </c>
      <c r="H502" s="18">
        <v>6.4252979999999997</v>
      </c>
      <c r="I502" s="16" t="s">
        <v>746</v>
      </c>
      <c r="J502" s="16"/>
      <c r="K502" s="16"/>
      <c r="L502" s="37"/>
      <c r="M502" s="37"/>
      <c r="N502" s="37"/>
      <c r="O502" s="37"/>
      <c r="P502" s="37"/>
      <c r="Q502" s="18">
        <v>3.9269999999999999E-2</v>
      </c>
      <c r="R502" s="18">
        <v>2.6774999999999998E-4</v>
      </c>
      <c r="S502" s="18">
        <v>7.4969999999999995E-2</v>
      </c>
      <c r="T502" s="18">
        <v>0.32129999999999997</v>
      </c>
      <c r="U502" s="18">
        <v>0.16064999999999999</v>
      </c>
      <c r="V502" s="18">
        <v>2.0563199999999999</v>
      </c>
      <c r="W502" s="18">
        <v>1.9278</v>
      </c>
      <c r="X502" s="18">
        <v>1.2851999999999999</v>
      </c>
      <c r="Y502" s="18">
        <v>5.7119999999999997E-2</v>
      </c>
      <c r="Z502" s="18">
        <v>0.25346999999999997</v>
      </c>
      <c r="AA502" s="18">
        <v>0.37128</v>
      </c>
      <c r="AB502" s="18">
        <v>0.66044999999999998</v>
      </c>
      <c r="AC502" s="18">
        <v>0.20348999999999998</v>
      </c>
      <c r="AD502" s="18">
        <v>1.071</v>
      </c>
    </row>
    <row r="503" spans="2:30" x14ac:dyDescent="0.25">
      <c r="B503" t="s">
        <v>269</v>
      </c>
      <c r="C503" t="s">
        <v>326</v>
      </c>
      <c r="D503" t="s">
        <v>754</v>
      </c>
      <c r="E503" s="35">
        <v>0.9</v>
      </c>
      <c r="F503" s="35">
        <v>6.6</v>
      </c>
      <c r="G503" s="36">
        <v>6.5950000000000002E-3</v>
      </c>
      <c r="H503" s="18">
        <v>11.870298</v>
      </c>
      <c r="I503" s="16" t="s">
        <v>746</v>
      </c>
      <c r="J503" s="16"/>
      <c r="K503" s="16"/>
      <c r="L503" s="37"/>
      <c r="M503" s="37"/>
      <c r="N503" s="37"/>
      <c r="O503" s="37"/>
      <c r="P503" s="37"/>
      <c r="Q503" s="18">
        <v>7.2544999999999998E-2</v>
      </c>
      <c r="R503" s="18">
        <v>4.9462499999999995E-4</v>
      </c>
      <c r="S503" s="18">
        <v>0.13849500000000001</v>
      </c>
      <c r="T503" s="18">
        <v>0.59355000000000002</v>
      </c>
      <c r="U503" s="18">
        <v>0.29677500000000001</v>
      </c>
      <c r="V503" s="18">
        <v>3.7987200000000003</v>
      </c>
      <c r="W503" s="18">
        <v>3.5613000000000001</v>
      </c>
      <c r="X503" s="18">
        <v>2.3742000000000001</v>
      </c>
      <c r="Y503" s="18">
        <v>0.10552</v>
      </c>
      <c r="Z503" s="18">
        <v>0.46824500000000002</v>
      </c>
      <c r="AA503" s="18">
        <v>0.68588000000000005</v>
      </c>
      <c r="AB503" s="18">
        <v>1.220075</v>
      </c>
      <c r="AC503" s="18">
        <v>0.375915</v>
      </c>
      <c r="AD503" s="18">
        <v>1.9785000000000001</v>
      </c>
    </row>
    <row r="504" spans="2:30" x14ac:dyDescent="0.25">
      <c r="B504" t="s">
        <v>269</v>
      </c>
      <c r="C504" t="s">
        <v>326</v>
      </c>
      <c r="D504" t="s">
        <v>754</v>
      </c>
      <c r="E504" s="35">
        <v>0.9</v>
      </c>
      <c r="F504" s="35">
        <v>6.6</v>
      </c>
      <c r="G504" s="36">
        <v>6.5950000000000002E-3</v>
      </c>
      <c r="H504" s="18">
        <v>11.870298</v>
      </c>
      <c r="I504" s="16" t="s">
        <v>746</v>
      </c>
      <c r="J504" s="16"/>
      <c r="K504" s="16"/>
      <c r="L504" s="37"/>
      <c r="M504" s="37"/>
      <c r="N504" s="37"/>
      <c r="O504" s="37"/>
      <c r="P504" s="37"/>
      <c r="Q504" s="18">
        <v>7.2544999999999998E-2</v>
      </c>
      <c r="R504" s="18">
        <v>4.9462499999999995E-4</v>
      </c>
      <c r="S504" s="18">
        <v>0.13849500000000001</v>
      </c>
      <c r="T504" s="18">
        <v>0.59355000000000002</v>
      </c>
      <c r="U504" s="18">
        <v>0.29677500000000001</v>
      </c>
      <c r="V504" s="18">
        <v>3.7987200000000003</v>
      </c>
      <c r="W504" s="18">
        <v>3.5613000000000001</v>
      </c>
      <c r="X504" s="18">
        <v>2.3742000000000001</v>
      </c>
      <c r="Y504" s="18">
        <v>0.10552</v>
      </c>
      <c r="Z504" s="18">
        <v>0.46824500000000002</v>
      </c>
      <c r="AA504" s="18">
        <v>0.68588000000000005</v>
      </c>
      <c r="AB504" s="18">
        <v>1.220075</v>
      </c>
      <c r="AC504" s="18">
        <v>0.375915</v>
      </c>
      <c r="AD504" s="18">
        <v>1.9785000000000001</v>
      </c>
    </row>
    <row r="505" spans="2:30" x14ac:dyDescent="0.25">
      <c r="B505" t="s">
        <v>269</v>
      </c>
      <c r="C505" t="s">
        <v>326</v>
      </c>
      <c r="D505" t="s">
        <v>748</v>
      </c>
      <c r="E505" s="35">
        <v>0.9</v>
      </c>
      <c r="F505" s="35">
        <v>6.6</v>
      </c>
      <c r="G505" s="36">
        <v>4.1200000000000004E-3</v>
      </c>
      <c r="H505" s="18">
        <v>7.4152979999999999</v>
      </c>
      <c r="I505" s="16" t="s">
        <v>746</v>
      </c>
      <c r="J505" s="16"/>
      <c r="K505" s="16"/>
      <c r="L505" s="37"/>
      <c r="M505" s="37"/>
      <c r="N505" s="37"/>
      <c r="O505" s="37"/>
      <c r="P505" s="37"/>
      <c r="Q505" s="18">
        <v>4.5320000000000006E-2</v>
      </c>
      <c r="R505" s="18">
        <v>3.0900000000000003E-4</v>
      </c>
      <c r="S505" s="18">
        <v>8.6520000000000014E-2</v>
      </c>
      <c r="T505" s="18">
        <v>0.37080000000000002</v>
      </c>
      <c r="U505" s="18">
        <v>0.18540000000000001</v>
      </c>
      <c r="V505" s="18">
        <v>2.3731200000000001</v>
      </c>
      <c r="W505" s="18">
        <v>2.2248000000000001</v>
      </c>
      <c r="X505" s="18">
        <v>1.4832000000000001</v>
      </c>
      <c r="Y505" s="18">
        <v>6.5920000000000006E-2</v>
      </c>
      <c r="Z505" s="18">
        <v>0.29252</v>
      </c>
      <c r="AA505" s="18">
        <v>0.42848000000000003</v>
      </c>
      <c r="AB505" s="18">
        <v>0.7622000000000001</v>
      </c>
      <c r="AC505" s="18">
        <v>0.23484000000000002</v>
      </c>
      <c r="AD505" s="18">
        <v>1.2360000000000002</v>
      </c>
    </row>
    <row r="506" spans="2:30" x14ac:dyDescent="0.25">
      <c r="B506" t="s">
        <v>269</v>
      </c>
      <c r="C506" t="s">
        <v>326</v>
      </c>
      <c r="D506" t="s">
        <v>747</v>
      </c>
      <c r="E506" s="35">
        <v>0.9</v>
      </c>
      <c r="F506" s="35">
        <v>6.6</v>
      </c>
      <c r="G506" s="36">
        <v>4.9449999999999997E-3</v>
      </c>
      <c r="H506" s="18">
        <v>8.9002979999999994</v>
      </c>
      <c r="I506" s="16" t="s">
        <v>746</v>
      </c>
      <c r="J506" s="16"/>
      <c r="K506" s="16"/>
      <c r="L506" s="37"/>
      <c r="M506" s="37"/>
      <c r="N506" s="37"/>
      <c r="O506" s="37"/>
      <c r="P506" s="37"/>
      <c r="Q506" s="18">
        <v>5.4394999999999999E-2</v>
      </c>
      <c r="R506" s="18">
        <v>3.7087499999999995E-4</v>
      </c>
      <c r="S506" s="18">
        <v>0.10384499999999999</v>
      </c>
      <c r="T506" s="18">
        <v>0.44505</v>
      </c>
      <c r="U506" s="18">
        <v>0.222525</v>
      </c>
      <c r="V506" s="18">
        <v>2.8483199999999997</v>
      </c>
      <c r="W506" s="18">
        <v>2.6702999999999997</v>
      </c>
      <c r="X506" s="18">
        <v>1.7802</v>
      </c>
      <c r="Y506" s="18">
        <v>7.9119999999999996E-2</v>
      </c>
      <c r="Z506" s="18">
        <v>0.35109499999999999</v>
      </c>
      <c r="AA506" s="18">
        <v>0.51427999999999996</v>
      </c>
      <c r="AB506" s="18">
        <v>0.914825</v>
      </c>
      <c r="AC506" s="18">
        <v>0.28186499999999998</v>
      </c>
      <c r="AD506" s="18">
        <v>1.4834999999999998</v>
      </c>
    </row>
    <row r="507" spans="2:30" x14ac:dyDescent="0.25">
      <c r="B507" t="s">
        <v>269</v>
      </c>
      <c r="C507" t="s">
        <v>326</v>
      </c>
      <c r="D507" t="s">
        <v>748</v>
      </c>
      <c r="E507" s="35">
        <v>0.9</v>
      </c>
      <c r="F507" s="35">
        <v>6.6</v>
      </c>
      <c r="G507" s="36">
        <v>4.1200000000000004E-3</v>
      </c>
      <c r="H507" s="18">
        <v>7.4152979999999999</v>
      </c>
      <c r="I507" s="16" t="s">
        <v>746</v>
      </c>
      <c r="J507" s="16"/>
      <c r="K507" s="16"/>
      <c r="L507" s="37"/>
      <c r="M507" s="37"/>
      <c r="N507" s="37"/>
      <c r="O507" s="37"/>
      <c r="P507" s="37"/>
      <c r="Q507" s="18">
        <v>4.5320000000000006E-2</v>
      </c>
      <c r="R507" s="18">
        <v>3.0900000000000003E-4</v>
      </c>
      <c r="S507" s="18">
        <v>8.6520000000000014E-2</v>
      </c>
      <c r="T507" s="18">
        <v>0.37080000000000002</v>
      </c>
      <c r="U507" s="18">
        <v>0.18540000000000001</v>
      </c>
      <c r="V507" s="18">
        <v>2.3731200000000001</v>
      </c>
      <c r="W507" s="18">
        <v>2.2248000000000001</v>
      </c>
      <c r="X507" s="18">
        <v>1.4832000000000001</v>
      </c>
      <c r="Y507" s="18">
        <v>6.5920000000000006E-2</v>
      </c>
      <c r="Z507" s="18">
        <v>0.29252</v>
      </c>
      <c r="AA507" s="18">
        <v>0.42848000000000003</v>
      </c>
      <c r="AB507" s="18">
        <v>0.7622000000000001</v>
      </c>
      <c r="AC507" s="18">
        <v>0.23484000000000002</v>
      </c>
      <c r="AD507" s="18">
        <v>1.2360000000000002</v>
      </c>
    </row>
    <row r="508" spans="2:30" x14ac:dyDescent="0.25">
      <c r="B508" t="s">
        <v>269</v>
      </c>
      <c r="C508" t="s">
        <v>326</v>
      </c>
      <c r="D508" t="s">
        <v>748</v>
      </c>
      <c r="E508" s="35">
        <v>0.9</v>
      </c>
      <c r="F508" s="35">
        <v>6.6</v>
      </c>
      <c r="G508" s="36">
        <v>4.1200000000000004E-3</v>
      </c>
      <c r="H508" s="18">
        <v>7.4152979999999999</v>
      </c>
      <c r="I508" s="16" t="s">
        <v>746</v>
      </c>
      <c r="J508" s="16"/>
      <c r="K508" s="16"/>
      <c r="L508" s="37"/>
      <c r="M508" s="37"/>
      <c r="N508" s="37"/>
      <c r="O508" s="37"/>
      <c r="P508" s="37"/>
      <c r="Q508" s="18">
        <v>4.5320000000000006E-2</v>
      </c>
      <c r="R508" s="18">
        <v>3.0900000000000003E-4</v>
      </c>
      <c r="S508" s="18">
        <v>8.6520000000000014E-2</v>
      </c>
      <c r="T508" s="18">
        <v>0.37080000000000002</v>
      </c>
      <c r="U508" s="18">
        <v>0.18540000000000001</v>
      </c>
      <c r="V508" s="18">
        <v>2.3731200000000001</v>
      </c>
      <c r="W508" s="18">
        <v>2.2248000000000001</v>
      </c>
      <c r="X508" s="18">
        <v>1.4832000000000001</v>
      </c>
      <c r="Y508" s="18">
        <v>6.5920000000000006E-2</v>
      </c>
      <c r="Z508" s="18">
        <v>0.29252</v>
      </c>
      <c r="AA508" s="18">
        <v>0.42848000000000003</v>
      </c>
      <c r="AB508" s="18">
        <v>0.7622000000000001</v>
      </c>
      <c r="AC508" s="18">
        <v>0.23484000000000002</v>
      </c>
      <c r="AD508" s="18">
        <v>1.2360000000000002</v>
      </c>
    </row>
    <row r="509" spans="2:30" x14ac:dyDescent="0.25">
      <c r="B509" t="s">
        <v>269</v>
      </c>
      <c r="C509" t="s">
        <v>326</v>
      </c>
      <c r="D509" t="s">
        <v>747</v>
      </c>
      <c r="E509" s="35">
        <v>0.9</v>
      </c>
      <c r="F509" s="35">
        <v>6.6</v>
      </c>
      <c r="G509" s="36">
        <v>4.9449999999999997E-3</v>
      </c>
      <c r="H509" s="18">
        <v>8.9002979999999994</v>
      </c>
      <c r="I509" s="16" t="s">
        <v>746</v>
      </c>
      <c r="J509" s="16"/>
      <c r="K509" s="16"/>
      <c r="L509" s="37"/>
      <c r="M509" s="37"/>
      <c r="N509" s="37"/>
      <c r="O509" s="37"/>
      <c r="P509" s="37"/>
      <c r="Q509" s="18">
        <v>5.4394999999999999E-2</v>
      </c>
      <c r="R509" s="18">
        <v>3.7087499999999995E-4</v>
      </c>
      <c r="S509" s="18">
        <v>0.10384499999999999</v>
      </c>
      <c r="T509" s="18">
        <v>0.44505</v>
      </c>
      <c r="U509" s="18">
        <v>0.222525</v>
      </c>
      <c r="V509" s="18">
        <v>2.8483199999999997</v>
      </c>
      <c r="W509" s="18">
        <v>2.6702999999999997</v>
      </c>
      <c r="X509" s="18">
        <v>1.7802</v>
      </c>
      <c r="Y509" s="18">
        <v>7.9119999999999996E-2</v>
      </c>
      <c r="Z509" s="18">
        <v>0.35109499999999999</v>
      </c>
      <c r="AA509" s="18">
        <v>0.51427999999999996</v>
      </c>
      <c r="AB509" s="18">
        <v>0.914825</v>
      </c>
      <c r="AC509" s="18">
        <v>0.28186499999999998</v>
      </c>
      <c r="AD509" s="18">
        <v>1.4834999999999998</v>
      </c>
    </row>
    <row r="510" spans="2:30" x14ac:dyDescent="0.25">
      <c r="B510" t="s">
        <v>269</v>
      </c>
      <c r="C510" t="s">
        <v>326</v>
      </c>
      <c r="D510" t="s">
        <v>748</v>
      </c>
      <c r="E510" s="35">
        <v>0.9</v>
      </c>
      <c r="F510" s="35">
        <v>6.6</v>
      </c>
      <c r="G510" s="36">
        <v>4.1200000000000004E-3</v>
      </c>
      <c r="H510" s="18">
        <v>7.4152979999999999</v>
      </c>
      <c r="I510" s="16" t="s">
        <v>746</v>
      </c>
      <c r="J510" s="16"/>
      <c r="K510" s="16"/>
      <c r="L510" s="37"/>
      <c r="M510" s="37"/>
      <c r="N510" s="37"/>
      <c r="O510" s="37"/>
      <c r="P510" s="37"/>
      <c r="Q510" s="18">
        <v>4.5320000000000006E-2</v>
      </c>
      <c r="R510" s="18">
        <v>3.0900000000000003E-4</v>
      </c>
      <c r="S510" s="18">
        <v>8.6520000000000014E-2</v>
      </c>
      <c r="T510" s="18">
        <v>0.37080000000000002</v>
      </c>
      <c r="U510" s="18">
        <v>0.18540000000000001</v>
      </c>
      <c r="V510" s="18">
        <v>2.3731200000000001</v>
      </c>
      <c r="W510" s="18">
        <v>2.2248000000000001</v>
      </c>
      <c r="X510" s="18">
        <v>1.4832000000000001</v>
      </c>
      <c r="Y510" s="18">
        <v>6.5920000000000006E-2</v>
      </c>
      <c r="Z510" s="18">
        <v>0.29252</v>
      </c>
      <c r="AA510" s="18">
        <v>0.42848000000000003</v>
      </c>
      <c r="AB510" s="18">
        <v>0.7622000000000001</v>
      </c>
      <c r="AC510" s="18">
        <v>0.23484000000000002</v>
      </c>
      <c r="AD510" s="18">
        <v>1.2360000000000002</v>
      </c>
    </row>
    <row r="511" spans="2:30" x14ac:dyDescent="0.25">
      <c r="B511" t="s">
        <v>269</v>
      </c>
      <c r="C511" t="s">
        <v>326</v>
      </c>
      <c r="D511" t="s">
        <v>747</v>
      </c>
      <c r="E511" s="35">
        <v>0.9</v>
      </c>
      <c r="F511" s="35">
        <v>6.6</v>
      </c>
      <c r="G511" s="36">
        <v>4.9449999999999997E-3</v>
      </c>
      <c r="H511" s="18">
        <v>8.9002979999999994</v>
      </c>
      <c r="I511" s="16" t="s">
        <v>746</v>
      </c>
      <c r="J511" s="16"/>
      <c r="K511" s="16"/>
      <c r="L511" s="37"/>
      <c r="M511" s="37"/>
      <c r="N511" s="37"/>
      <c r="O511" s="37"/>
      <c r="P511" s="37"/>
      <c r="Q511" s="18">
        <v>5.4394999999999999E-2</v>
      </c>
      <c r="R511" s="18">
        <v>3.7087499999999995E-4</v>
      </c>
      <c r="S511" s="18">
        <v>0.10384499999999999</v>
      </c>
      <c r="T511" s="18">
        <v>0.44505</v>
      </c>
      <c r="U511" s="18">
        <v>0.222525</v>
      </c>
      <c r="V511" s="18">
        <v>2.8483199999999997</v>
      </c>
      <c r="W511" s="18">
        <v>2.6702999999999997</v>
      </c>
      <c r="X511" s="18">
        <v>1.7802</v>
      </c>
      <c r="Y511" s="18">
        <v>7.9119999999999996E-2</v>
      </c>
      <c r="Z511" s="18">
        <v>0.35109499999999999</v>
      </c>
      <c r="AA511" s="18">
        <v>0.51427999999999996</v>
      </c>
      <c r="AB511" s="18">
        <v>0.914825</v>
      </c>
      <c r="AC511" s="18">
        <v>0.28186499999999998</v>
      </c>
      <c r="AD511" s="18">
        <v>1.4834999999999998</v>
      </c>
    </row>
    <row r="512" spans="2:30" x14ac:dyDescent="0.25">
      <c r="B512" t="s">
        <v>269</v>
      </c>
      <c r="C512" t="s">
        <v>326</v>
      </c>
      <c r="D512" t="s">
        <v>748</v>
      </c>
      <c r="E512" s="35">
        <v>0.9</v>
      </c>
      <c r="F512" s="35">
        <v>6.6</v>
      </c>
      <c r="G512" s="36">
        <v>4.1200000000000004E-3</v>
      </c>
      <c r="H512" s="18">
        <v>7.4152979999999999</v>
      </c>
      <c r="I512" s="16" t="s">
        <v>746</v>
      </c>
      <c r="J512" s="16"/>
      <c r="K512" s="16"/>
      <c r="L512" s="37"/>
      <c r="M512" s="37"/>
      <c r="N512" s="37"/>
      <c r="O512" s="37"/>
      <c r="P512" s="37"/>
      <c r="Q512" s="18">
        <v>4.5320000000000006E-2</v>
      </c>
      <c r="R512" s="18">
        <v>3.0900000000000003E-4</v>
      </c>
      <c r="S512" s="18">
        <v>8.6520000000000014E-2</v>
      </c>
      <c r="T512" s="18">
        <v>0.37080000000000002</v>
      </c>
      <c r="U512" s="18">
        <v>0.18540000000000001</v>
      </c>
      <c r="V512" s="18">
        <v>2.3731200000000001</v>
      </c>
      <c r="W512" s="18">
        <v>2.2248000000000001</v>
      </c>
      <c r="X512" s="18">
        <v>1.4832000000000001</v>
      </c>
      <c r="Y512" s="18">
        <v>6.5920000000000006E-2</v>
      </c>
      <c r="Z512" s="18">
        <v>0.29252</v>
      </c>
      <c r="AA512" s="18">
        <v>0.42848000000000003</v>
      </c>
      <c r="AB512" s="18">
        <v>0.7622000000000001</v>
      </c>
      <c r="AC512" s="18">
        <v>0.23484000000000002</v>
      </c>
      <c r="AD512" s="18">
        <v>1.2360000000000002</v>
      </c>
    </row>
    <row r="513" spans="2:30" x14ac:dyDescent="0.25">
      <c r="B513" t="s">
        <v>269</v>
      </c>
      <c r="C513" t="s">
        <v>326</v>
      </c>
      <c r="D513" t="s">
        <v>747</v>
      </c>
      <c r="E513" s="35">
        <v>0.9</v>
      </c>
      <c r="F513" s="35">
        <v>6.6</v>
      </c>
      <c r="G513" s="36">
        <v>4.9449999999999997E-3</v>
      </c>
      <c r="H513" s="18">
        <v>8.9002979999999994</v>
      </c>
      <c r="I513" s="16" t="s">
        <v>746</v>
      </c>
      <c r="J513" s="16"/>
      <c r="K513" s="16"/>
      <c r="L513" s="37"/>
      <c r="M513" s="37"/>
      <c r="N513" s="37"/>
      <c r="O513" s="37"/>
      <c r="P513" s="37"/>
      <c r="Q513" s="18">
        <v>5.4394999999999999E-2</v>
      </c>
      <c r="R513" s="18">
        <v>3.7087499999999995E-4</v>
      </c>
      <c r="S513" s="18">
        <v>0.10384499999999999</v>
      </c>
      <c r="T513" s="18">
        <v>0.44505</v>
      </c>
      <c r="U513" s="18">
        <v>0.222525</v>
      </c>
      <c r="V513" s="18">
        <v>2.8483199999999997</v>
      </c>
      <c r="W513" s="18">
        <v>2.6702999999999997</v>
      </c>
      <c r="X513" s="18">
        <v>1.7802</v>
      </c>
      <c r="Y513" s="18">
        <v>7.9119999999999996E-2</v>
      </c>
      <c r="Z513" s="18">
        <v>0.35109499999999999</v>
      </c>
      <c r="AA513" s="18">
        <v>0.51427999999999996</v>
      </c>
      <c r="AB513" s="18">
        <v>0.914825</v>
      </c>
      <c r="AC513" s="18">
        <v>0.28186499999999998</v>
      </c>
      <c r="AD513" s="18">
        <v>1.4834999999999998</v>
      </c>
    </row>
    <row r="514" spans="2:30" x14ac:dyDescent="0.25">
      <c r="B514" t="s">
        <v>269</v>
      </c>
      <c r="C514" t="s">
        <v>326</v>
      </c>
      <c r="D514" t="s">
        <v>748</v>
      </c>
      <c r="E514" s="35">
        <v>0.9</v>
      </c>
      <c r="F514" s="35">
        <v>6.6</v>
      </c>
      <c r="G514" s="36">
        <v>4.1200000000000004E-3</v>
      </c>
      <c r="H514" s="18">
        <v>7.4152979999999999</v>
      </c>
      <c r="I514" s="16" t="s">
        <v>746</v>
      </c>
      <c r="J514" s="16"/>
      <c r="K514" s="16"/>
      <c r="L514" s="37"/>
      <c r="M514" s="37"/>
      <c r="N514" s="37"/>
      <c r="O514" s="37"/>
      <c r="P514" s="37"/>
      <c r="Q514" s="18">
        <v>4.5320000000000006E-2</v>
      </c>
      <c r="R514" s="18">
        <v>3.0900000000000003E-4</v>
      </c>
      <c r="S514" s="18">
        <v>8.6520000000000014E-2</v>
      </c>
      <c r="T514" s="18">
        <v>0.37080000000000002</v>
      </c>
      <c r="U514" s="18">
        <v>0.18540000000000001</v>
      </c>
      <c r="V514" s="18">
        <v>2.3731200000000001</v>
      </c>
      <c r="W514" s="18">
        <v>2.2248000000000001</v>
      </c>
      <c r="X514" s="18">
        <v>1.4832000000000001</v>
      </c>
      <c r="Y514" s="18">
        <v>6.5920000000000006E-2</v>
      </c>
      <c r="Z514" s="18">
        <v>0.29252</v>
      </c>
      <c r="AA514" s="18">
        <v>0.42848000000000003</v>
      </c>
      <c r="AB514" s="18">
        <v>0.7622000000000001</v>
      </c>
      <c r="AC514" s="18">
        <v>0.23484000000000002</v>
      </c>
      <c r="AD514" s="18">
        <v>1.2360000000000002</v>
      </c>
    </row>
    <row r="515" spans="2:30" x14ac:dyDescent="0.25">
      <c r="B515" t="s">
        <v>269</v>
      </c>
      <c r="C515" t="s">
        <v>326</v>
      </c>
      <c r="D515" t="s">
        <v>747</v>
      </c>
      <c r="E515" s="35">
        <v>0.9</v>
      </c>
      <c r="F515" s="35">
        <v>6.6</v>
      </c>
      <c r="G515" s="36">
        <v>4.9449999999999997E-3</v>
      </c>
      <c r="H515" s="18">
        <v>8.9002979999999994</v>
      </c>
      <c r="I515" s="16" t="s">
        <v>746</v>
      </c>
      <c r="J515" s="16"/>
      <c r="K515" s="16"/>
      <c r="L515" s="37"/>
      <c r="M515" s="37"/>
      <c r="N515" s="37"/>
      <c r="O515" s="37"/>
      <c r="P515" s="37"/>
      <c r="Q515" s="18">
        <v>5.4394999999999999E-2</v>
      </c>
      <c r="R515" s="18">
        <v>3.7087499999999995E-4</v>
      </c>
      <c r="S515" s="18">
        <v>0.10384499999999999</v>
      </c>
      <c r="T515" s="18">
        <v>0.44505</v>
      </c>
      <c r="U515" s="18">
        <v>0.222525</v>
      </c>
      <c r="V515" s="18">
        <v>2.8483199999999997</v>
      </c>
      <c r="W515" s="18">
        <v>2.6702999999999997</v>
      </c>
      <c r="X515" s="18">
        <v>1.7802</v>
      </c>
      <c r="Y515" s="18">
        <v>7.9119999999999996E-2</v>
      </c>
      <c r="Z515" s="18">
        <v>0.35109499999999999</v>
      </c>
      <c r="AA515" s="18">
        <v>0.51427999999999996</v>
      </c>
      <c r="AB515" s="18">
        <v>0.914825</v>
      </c>
      <c r="AC515" s="18">
        <v>0.28186499999999998</v>
      </c>
      <c r="AD515" s="18">
        <v>1.4834999999999998</v>
      </c>
    </row>
    <row r="516" spans="2:30" x14ac:dyDescent="0.25">
      <c r="B516" t="s">
        <v>269</v>
      </c>
      <c r="C516" t="s">
        <v>326</v>
      </c>
      <c r="D516" t="s">
        <v>752</v>
      </c>
      <c r="E516" s="35">
        <v>0.9</v>
      </c>
      <c r="F516" s="35">
        <v>6.6</v>
      </c>
      <c r="G516" s="36">
        <v>2.47E-3</v>
      </c>
      <c r="H516" s="18">
        <v>4.4452980000000002</v>
      </c>
      <c r="I516" s="16" t="s">
        <v>746</v>
      </c>
      <c r="J516" s="16"/>
      <c r="K516" s="16"/>
      <c r="L516" s="37"/>
      <c r="M516" s="37"/>
      <c r="N516" s="37"/>
      <c r="O516" s="37"/>
      <c r="P516" s="37"/>
      <c r="Q516" s="18">
        <v>2.717E-2</v>
      </c>
      <c r="R516" s="18">
        <v>1.8525E-4</v>
      </c>
      <c r="S516" s="18">
        <v>5.1869999999999999E-2</v>
      </c>
      <c r="T516" s="18">
        <v>0.2223</v>
      </c>
      <c r="U516" s="18">
        <v>0.11115</v>
      </c>
      <c r="V516" s="18">
        <v>1.42272</v>
      </c>
      <c r="W516" s="18">
        <v>1.3338000000000001</v>
      </c>
      <c r="X516" s="18">
        <v>0.88919999999999999</v>
      </c>
      <c r="Y516" s="18">
        <v>3.952E-2</v>
      </c>
      <c r="Z516" s="18">
        <v>0.17537</v>
      </c>
      <c r="AA516" s="18">
        <v>0.25688</v>
      </c>
      <c r="AB516" s="18">
        <v>0.45694999999999997</v>
      </c>
      <c r="AC516" s="18">
        <v>0.14079</v>
      </c>
      <c r="AD516" s="18">
        <v>0.74099999999999999</v>
      </c>
    </row>
    <row r="517" spans="2:30" x14ac:dyDescent="0.25">
      <c r="B517" t="s">
        <v>269</v>
      </c>
      <c r="C517" t="s">
        <v>105</v>
      </c>
      <c r="D517" t="s">
        <v>753</v>
      </c>
      <c r="E517" s="35">
        <v>0.9</v>
      </c>
      <c r="F517" s="35">
        <v>6.6</v>
      </c>
      <c r="G517" s="36">
        <v>5.77E-3</v>
      </c>
      <c r="H517" s="18">
        <v>10.385298000000001</v>
      </c>
      <c r="I517" s="16" t="s">
        <v>746</v>
      </c>
      <c r="J517" s="16"/>
      <c r="K517" s="16"/>
      <c r="L517" s="37"/>
      <c r="M517" s="37"/>
      <c r="N517" s="37"/>
      <c r="O517" s="37"/>
      <c r="P517" s="37"/>
      <c r="Q517" s="18">
        <v>6.3469999999999999E-2</v>
      </c>
      <c r="R517" s="18">
        <v>4.3274999999999997E-4</v>
      </c>
      <c r="S517" s="18">
        <v>0.12117</v>
      </c>
      <c r="T517" s="18">
        <v>0.51929999999999998</v>
      </c>
      <c r="U517" s="18">
        <v>0.25964999999999999</v>
      </c>
      <c r="V517" s="18">
        <v>3.3235199999999998</v>
      </c>
      <c r="W517" s="18">
        <v>3.1158000000000001</v>
      </c>
      <c r="X517" s="18">
        <v>2.0771999999999999</v>
      </c>
      <c r="Y517" s="18">
        <v>9.2319999999999999E-2</v>
      </c>
      <c r="Z517" s="18">
        <v>0.40966999999999998</v>
      </c>
      <c r="AA517" s="18">
        <v>0.60007999999999995</v>
      </c>
      <c r="AB517" s="18">
        <v>1.06745</v>
      </c>
      <c r="AC517" s="18">
        <v>0.32889000000000002</v>
      </c>
      <c r="AD517" s="18">
        <v>1.7310000000000001</v>
      </c>
    </row>
    <row r="518" spans="2:30" x14ac:dyDescent="0.25">
      <c r="B518" t="s">
        <v>269</v>
      </c>
      <c r="C518" t="s">
        <v>105</v>
      </c>
      <c r="D518" t="s">
        <v>750</v>
      </c>
      <c r="E518" s="35">
        <v>0.9</v>
      </c>
      <c r="F518" s="35">
        <v>6.6</v>
      </c>
      <c r="G518" s="36">
        <v>3.0200000000000001E-3</v>
      </c>
      <c r="H518" s="18">
        <v>5.4352980000000004</v>
      </c>
      <c r="I518" s="16" t="s">
        <v>746</v>
      </c>
      <c r="J518" s="16"/>
      <c r="K518" s="16"/>
      <c r="L518" s="37"/>
      <c r="M518" s="37"/>
      <c r="N518" s="37"/>
      <c r="O518" s="37"/>
      <c r="P518" s="37"/>
      <c r="Q518" s="18">
        <v>3.322E-2</v>
      </c>
      <c r="R518" s="18">
        <v>2.265E-4</v>
      </c>
      <c r="S518" s="18">
        <v>6.3420000000000004E-2</v>
      </c>
      <c r="T518" s="18">
        <v>0.27179999999999999</v>
      </c>
      <c r="U518" s="18">
        <v>0.13589999999999999</v>
      </c>
      <c r="V518" s="18">
        <v>1.7395200000000002</v>
      </c>
      <c r="W518" s="18">
        <v>1.6308</v>
      </c>
      <c r="X518" s="18">
        <v>1.0871999999999999</v>
      </c>
      <c r="Y518" s="18">
        <v>4.8320000000000002E-2</v>
      </c>
      <c r="Z518" s="18">
        <v>0.21442</v>
      </c>
      <c r="AA518" s="18">
        <v>0.31408000000000003</v>
      </c>
      <c r="AB518" s="18">
        <v>0.55869999999999997</v>
      </c>
      <c r="AC518" s="18">
        <v>0.17214000000000002</v>
      </c>
      <c r="AD518" s="18">
        <v>0.90600000000000003</v>
      </c>
    </row>
    <row r="519" spans="2:30" x14ac:dyDescent="0.25">
      <c r="B519" t="s">
        <v>269</v>
      </c>
      <c r="C519" t="s">
        <v>105</v>
      </c>
      <c r="D519" t="s">
        <v>748</v>
      </c>
      <c r="E519" s="35">
        <v>0.9</v>
      </c>
      <c r="F519" s="35">
        <v>6.6</v>
      </c>
      <c r="G519" s="36">
        <v>4.1200000000000004E-3</v>
      </c>
      <c r="H519" s="18">
        <v>7.4152979999999999</v>
      </c>
      <c r="I519" s="16" t="s">
        <v>746</v>
      </c>
      <c r="J519" s="16"/>
      <c r="K519" s="16"/>
      <c r="L519" s="37"/>
      <c r="M519" s="37"/>
      <c r="N519" s="37"/>
      <c r="O519" s="37"/>
      <c r="P519" s="37"/>
      <c r="Q519" s="18">
        <v>4.5320000000000006E-2</v>
      </c>
      <c r="R519" s="18">
        <v>3.0900000000000003E-4</v>
      </c>
      <c r="S519" s="18">
        <v>8.6520000000000014E-2</v>
      </c>
      <c r="T519" s="18">
        <v>0.37080000000000002</v>
      </c>
      <c r="U519" s="18">
        <v>0.18540000000000001</v>
      </c>
      <c r="V519" s="18">
        <v>2.3731200000000001</v>
      </c>
      <c r="W519" s="18">
        <v>2.2248000000000001</v>
      </c>
      <c r="X519" s="18">
        <v>1.4832000000000001</v>
      </c>
      <c r="Y519" s="18">
        <v>6.5920000000000006E-2</v>
      </c>
      <c r="Z519" s="18">
        <v>0.29252</v>
      </c>
      <c r="AA519" s="18">
        <v>0.42848000000000003</v>
      </c>
      <c r="AB519" s="18">
        <v>0.7622000000000001</v>
      </c>
      <c r="AC519" s="18">
        <v>0.23484000000000002</v>
      </c>
      <c r="AD519" s="18">
        <v>1.2360000000000002</v>
      </c>
    </row>
    <row r="520" spans="2:30" x14ac:dyDescent="0.25">
      <c r="B520" t="s">
        <v>269</v>
      </c>
      <c r="C520" t="s">
        <v>105</v>
      </c>
      <c r="D520" t="s">
        <v>752</v>
      </c>
      <c r="E520" s="35">
        <v>0.9</v>
      </c>
      <c r="F520" s="35">
        <v>6.6</v>
      </c>
      <c r="G520" s="36">
        <v>2.47E-3</v>
      </c>
      <c r="H520" s="18">
        <v>4.4452980000000002</v>
      </c>
      <c r="I520" s="16" t="s">
        <v>746</v>
      </c>
      <c r="J520" s="16"/>
      <c r="K520" s="16"/>
      <c r="L520" s="37"/>
      <c r="M520" s="37"/>
      <c r="N520" s="37"/>
      <c r="O520" s="37"/>
      <c r="P520" s="37"/>
      <c r="Q520" s="18">
        <v>2.717E-2</v>
      </c>
      <c r="R520" s="18">
        <v>1.8525E-4</v>
      </c>
      <c r="S520" s="18">
        <v>5.1869999999999999E-2</v>
      </c>
      <c r="T520" s="18">
        <v>0.2223</v>
      </c>
      <c r="U520" s="18">
        <v>0.11115</v>
      </c>
      <c r="V520" s="18">
        <v>1.42272</v>
      </c>
      <c r="W520" s="18">
        <v>1.3338000000000001</v>
      </c>
      <c r="X520" s="18">
        <v>0.88919999999999999</v>
      </c>
      <c r="Y520" s="18">
        <v>3.952E-2</v>
      </c>
      <c r="Z520" s="18">
        <v>0.17537</v>
      </c>
      <c r="AA520" s="18">
        <v>0.25688</v>
      </c>
      <c r="AB520" s="18">
        <v>0.45694999999999997</v>
      </c>
      <c r="AC520" s="18">
        <v>0.14079</v>
      </c>
      <c r="AD520" s="18">
        <v>0.74099999999999999</v>
      </c>
    </row>
    <row r="521" spans="2:30" x14ac:dyDescent="0.25">
      <c r="B521" t="s">
        <v>269</v>
      </c>
      <c r="C521" t="s">
        <v>105</v>
      </c>
      <c r="D521" t="s">
        <v>748</v>
      </c>
      <c r="E521" s="35">
        <v>0.9</v>
      </c>
      <c r="F521" s="35">
        <v>6.6</v>
      </c>
      <c r="G521" s="36">
        <v>4.1200000000000004E-3</v>
      </c>
      <c r="H521" s="18">
        <v>7.4152979999999999</v>
      </c>
      <c r="I521" s="16" t="s">
        <v>746</v>
      </c>
      <c r="J521" s="16"/>
      <c r="K521" s="16"/>
      <c r="L521" s="37"/>
      <c r="M521" s="37"/>
      <c r="N521" s="37"/>
      <c r="O521" s="37"/>
      <c r="P521" s="37"/>
      <c r="Q521" s="18">
        <v>4.5320000000000006E-2</v>
      </c>
      <c r="R521" s="18">
        <v>3.0900000000000003E-4</v>
      </c>
      <c r="S521" s="18">
        <v>8.6520000000000014E-2</v>
      </c>
      <c r="T521" s="18">
        <v>0.37080000000000002</v>
      </c>
      <c r="U521" s="18">
        <v>0.18540000000000001</v>
      </c>
      <c r="V521" s="18">
        <v>2.3731200000000001</v>
      </c>
      <c r="W521" s="18">
        <v>2.2248000000000001</v>
      </c>
      <c r="X521" s="18">
        <v>1.4832000000000001</v>
      </c>
      <c r="Y521" s="18">
        <v>6.5920000000000006E-2</v>
      </c>
      <c r="Z521" s="18">
        <v>0.29252</v>
      </c>
      <c r="AA521" s="18">
        <v>0.42848000000000003</v>
      </c>
      <c r="AB521" s="18">
        <v>0.7622000000000001</v>
      </c>
      <c r="AC521" s="18">
        <v>0.23484000000000002</v>
      </c>
      <c r="AD521" s="18">
        <v>1.2360000000000002</v>
      </c>
    </row>
    <row r="522" spans="2:30" x14ac:dyDescent="0.25">
      <c r="B522" t="s">
        <v>269</v>
      </c>
      <c r="C522" t="s">
        <v>105</v>
      </c>
      <c r="D522" t="s">
        <v>748</v>
      </c>
      <c r="E522" s="35">
        <v>0.9</v>
      </c>
      <c r="F522" s="35">
        <v>6.6</v>
      </c>
      <c r="G522" s="36">
        <v>4.1200000000000004E-3</v>
      </c>
      <c r="H522" s="18">
        <v>7.4152979999999999</v>
      </c>
      <c r="I522" s="16" t="s">
        <v>746</v>
      </c>
      <c r="J522" s="16"/>
      <c r="K522" s="16"/>
      <c r="L522" s="37"/>
      <c r="M522" s="37"/>
      <c r="N522" s="37"/>
      <c r="O522" s="37"/>
      <c r="P522" s="37"/>
      <c r="Q522" s="18">
        <v>4.5320000000000006E-2</v>
      </c>
      <c r="R522" s="18">
        <v>3.0900000000000003E-4</v>
      </c>
      <c r="S522" s="18">
        <v>8.6520000000000014E-2</v>
      </c>
      <c r="T522" s="18">
        <v>0.37080000000000002</v>
      </c>
      <c r="U522" s="18">
        <v>0.18540000000000001</v>
      </c>
      <c r="V522" s="18">
        <v>2.3731200000000001</v>
      </c>
      <c r="W522" s="18">
        <v>2.2248000000000001</v>
      </c>
      <c r="X522" s="18">
        <v>1.4832000000000001</v>
      </c>
      <c r="Y522" s="18">
        <v>6.5920000000000006E-2</v>
      </c>
      <c r="Z522" s="18">
        <v>0.29252</v>
      </c>
      <c r="AA522" s="18">
        <v>0.42848000000000003</v>
      </c>
      <c r="AB522" s="18">
        <v>0.7622000000000001</v>
      </c>
      <c r="AC522" s="18">
        <v>0.23484000000000002</v>
      </c>
      <c r="AD522" s="18">
        <v>1.2360000000000002</v>
      </c>
    </row>
    <row r="523" spans="2:30" x14ac:dyDescent="0.25">
      <c r="B523" t="s">
        <v>269</v>
      </c>
      <c r="C523" t="s">
        <v>105</v>
      </c>
      <c r="D523" t="s">
        <v>748</v>
      </c>
      <c r="E523" s="35">
        <v>0.9</v>
      </c>
      <c r="F523" s="35">
        <v>6.6</v>
      </c>
      <c r="G523" s="36">
        <v>4.1200000000000004E-3</v>
      </c>
      <c r="H523" s="18">
        <v>7.4152979999999999</v>
      </c>
      <c r="I523" s="16" t="s">
        <v>746</v>
      </c>
      <c r="J523" s="16"/>
      <c r="K523" s="16"/>
      <c r="L523" s="37"/>
      <c r="M523" s="37"/>
      <c r="N523" s="37"/>
      <c r="O523" s="37"/>
      <c r="P523" s="37"/>
      <c r="Q523" s="18">
        <v>4.5320000000000006E-2</v>
      </c>
      <c r="R523" s="18">
        <v>3.0900000000000003E-4</v>
      </c>
      <c r="S523" s="18">
        <v>8.6520000000000014E-2</v>
      </c>
      <c r="T523" s="18">
        <v>0.37080000000000002</v>
      </c>
      <c r="U523" s="18">
        <v>0.18540000000000001</v>
      </c>
      <c r="V523" s="18">
        <v>2.3731200000000001</v>
      </c>
      <c r="W523" s="18">
        <v>2.2248000000000001</v>
      </c>
      <c r="X523" s="18">
        <v>1.4832000000000001</v>
      </c>
      <c r="Y523" s="18">
        <v>6.5920000000000006E-2</v>
      </c>
      <c r="Z523" s="18">
        <v>0.29252</v>
      </c>
      <c r="AA523" s="18">
        <v>0.42848000000000003</v>
      </c>
      <c r="AB523" s="18">
        <v>0.7622000000000001</v>
      </c>
      <c r="AC523" s="18">
        <v>0.23484000000000002</v>
      </c>
      <c r="AD523" s="18">
        <v>1.2360000000000002</v>
      </c>
    </row>
    <row r="524" spans="2:30" x14ac:dyDescent="0.25">
      <c r="B524" t="s">
        <v>269</v>
      </c>
      <c r="C524" t="s">
        <v>105</v>
      </c>
      <c r="D524" t="s">
        <v>748</v>
      </c>
      <c r="E524" s="35">
        <v>0.9</v>
      </c>
      <c r="F524" s="35">
        <v>6.6</v>
      </c>
      <c r="G524" s="36">
        <v>4.1200000000000004E-3</v>
      </c>
      <c r="H524" s="18">
        <v>7.4152979999999999</v>
      </c>
      <c r="I524" s="16" t="s">
        <v>746</v>
      </c>
      <c r="J524" s="16"/>
      <c r="K524" s="16"/>
      <c r="L524" s="37"/>
      <c r="M524" s="37"/>
      <c r="N524" s="37"/>
      <c r="O524" s="37"/>
      <c r="P524" s="37"/>
      <c r="Q524" s="18">
        <v>4.5320000000000006E-2</v>
      </c>
      <c r="R524" s="18">
        <v>3.0900000000000003E-4</v>
      </c>
      <c r="S524" s="18">
        <v>8.6520000000000014E-2</v>
      </c>
      <c r="T524" s="18">
        <v>0.37080000000000002</v>
      </c>
      <c r="U524" s="18">
        <v>0.18540000000000001</v>
      </c>
      <c r="V524" s="18">
        <v>2.3731200000000001</v>
      </c>
      <c r="W524" s="18">
        <v>2.2248000000000001</v>
      </c>
      <c r="X524" s="18">
        <v>1.4832000000000001</v>
      </c>
      <c r="Y524" s="18">
        <v>6.5920000000000006E-2</v>
      </c>
      <c r="Z524" s="18">
        <v>0.29252</v>
      </c>
      <c r="AA524" s="18">
        <v>0.42848000000000003</v>
      </c>
      <c r="AB524" s="18">
        <v>0.7622000000000001</v>
      </c>
      <c r="AC524" s="18">
        <v>0.23484000000000002</v>
      </c>
      <c r="AD524" s="18">
        <v>1.2360000000000002</v>
      </c>
    </row>
    <row r="525" spans="2:30" x14ac:dyDescent="0.25">
      <c r="B525" t="s">
        <v>269</v>
      </c>
      <c r="C525" t="s">
        <v>105</v>
      </c>
      <c r="D525" t="s">
        <v>748</v>
      </c>
      <c r="E525" s="35">
        <v>0.9</v>
      </c>
      <c r="F525" s="35">
        <v>6.6</v>
      </c>
      <c r="G525" s="36">
        <v>4.1200000000000004E-3</v>
      </c>
      <c r="H525" s="18">
        <v>7.4152979999999999</v>
      </c>
      <c r="I525" s="16" t="s">
        <v>746</v>
      </c>
      <c r="J525" s="16"/>
      <c r="K525" s="16"/>
      <c r="L525" s="37"/>
      <c r="M525" s="37"/>
      <c r="N525" s="37"/>
      <c r="O525" s="37"/>
      <c r="P525" s="37"/>
      <c r="Q525" s="18">
        <v>4.5320000000000006E-2</v>
      </c>
      <c r="R525" s="18">
        <v>3.0900000000000003E-4</v>
      </c>
      <c r="S525" s="18">
        <v>8.6520000000000014E-2</v>
      </c>
      <c r="T525" s="18">
        <v>0.37080000000000002</v>
      </c>
      <c r="U525" s="18">
        <v>0.18540000000000001</v>
      </c>
      <c r="V525" s="18">
        <v>2.3731200000000001</v>
      </c>
      <c r="W525" s="18">
        <v>2.2248000000000001</v>
      </c>
      <c r="X525" s="18">
        <v>1.4832000000000001</v>
      </c>
      <c r="Y525" s="18">
        <v>6.5920000000000006E-2</v>
      </c>
      <c r="Z525" s="18">
        <v>0.29252</v>
      </c>
      <c r="AA525" s="18">
        <v>0.42848000000000003</v>
      </c>
      <c r="AB525" s="18">
        <v>0.7622000000000001</v>
      </c>
      <c r="AC525" s="18">
        <v>0.23484000000000002</v>
      </c>
      <c r="AD525" s="18">
        <v>1.2360000000000002</v>
      </c>
    </row>
    <row r="526" spans="2:30" x14ac:dyDescent="0.25">
      <c r="B526" t="s">
        <v>269</v>
      </c>
      <c r="C526" t="s">
        <v>105</v>
      </c>
      <c r="D526" t="s">
        <v>748</v>
      </c>
      <c r="E526" s="35">
        <v>0.9</v>
      </c>
      <c r="F526" s="35">
        <v>6.6</v>
      </c>
      <c r="G526" s="36">
        <v>4.1200000000000004E-3</v>
      </c>
      <c r="H526" s="18">
        <v>7.4152979999999999</v>
      </c>
      <c r="I526" s="16" t="s">
        <v>746</v>
      </c>
      <c r="J526" s="16"/>
      <c r="K526" s="16"/>
      <c r="L526" s="37"/>
      <c r="M526" s="37"/>
      <c r="N526" s="37"/>
      <c r="O526" s="37"/>
      <c r="P526" s="37"/>
      <c r="Q526" s="18">
        <v>4.5320000000000006E-2</v>
      </c>
      <c r="R526" s="18">
        <v>3.0900000000000003E-4</v>
      </c>
      <c r="S526" s="18">
        <v>8.6520000000000014E-2</v>
      </c>
      <c r="T526" s="18">
        <v>0.37080000000000002</v>
      </c>
      <c r="U526" s="18">
        <v>0.18540000000000001</v>
      </c>
      <c r="V526" s="18">
        <v>2.3731200000000001</v>
      </c>
      <c r="W526" s="18">
        <v>2.2248000000000001</v>
      </c>
      <c r="X526" s="18">
        <v>1.4832000000000001</v>
      </c>
      <c r="Y526" s="18">
        <v>6.5920000000000006E-2</v>
      </c>
      <c r="Z526" s="18">
        <v>0.29252</v>
      </c>
      <c r="AA526" s="18">
        <v>0.42848000000000003</v>
      </c>
      <c r="AB526" s="18">
        <v>0.7622000000000001</v>
      </c>
      <c r="AC526" s="18">
        <v>0.23484000000000002</v>
      </c>
      <c r="AD526" s="18">
        <v>1.2360000000000002</v>
      </c>
    </row>
    <row r="527" spans="2:30" x14ac:dyDescent="0.25">
      <c r="B527" t="s">
        <v>269</v>
      </c>
      <c r="C527" t="s">
        <v>105</v>
      </c>
      <c r="D527" t="s">
        <v>748</v>
      </c>
      <c r="E527" s="35">
        <v>0.9</v>
      </c>
      <c r="F527" s="35">
        <v>6.6</v>
      </c>
      <c r="G527" s="36">
        <v>4.1200000000000004E-3</v>
      </c>
      <c r="H527" s="18">
        <v>7.4152979999999999</v>
      </c>
      <c r="I527" s="16" t="s">
        <v>746</v>
      </c>
      <c r="J527" s="16"/>
      <c r="K527" s="16"/>
      <c r="L527" s="37"/>
      <c r="M527" s="37"/>
      <c r="N527" s="37"/>
      <c r="O527" s="37"/>
      <c r="P527" s="37"/>
      <c r="Q527" s="18">
        <v>4.5320000000000006E-2</v>
      </c>
      <c r="R527" s="18">
        <v>3.0900000000000003E-4</v>
      </c>
      <c r="S527" s="18">
        <v>8.6520000000000014E-2</v>
      </c>
      <c r="T527" s="18">
        <v>0.37080000000000002</v>
      </c>
      <c r="U527" s="18">
        <v>0.18540000000000001</v>
      </c>
      <c r="V527" s="18">
        <v>2.3731200000000001</v>
      </c>
      <c r="W527" s="18">
        <v>2.2248000000000001</v>
      </c>
      <c r="X527" s="18">
        <v>1.4832000000000001</v>
      </c>
      <c r="Y527" s="18">
        <v>6.5920000000000006E-2</v>
      </c>
      <c r="Z527" s="18">
        <v>0.29252</v>
      </c>
      <c r="AA527" s="18">
        <v>0.42848000000000003</v>
      </c>
      <c r="AB527" s="18">
        <v>0.7622000000000001</v>
      </c>
      <c r="AC527" s="18">
        <v>0.23484000000000002</v>
      </c>
      <c r="AD527" s="18">
        <v>1.2360000000000002</v>
      </c>
    </row>
    <row r="528" spans="2:30" x14ac:dyDescent="0.25">
      <c r="B528" t="s">
        <v>269</v>
      </c>
      <c r="C528" t="s">
        <v>105</v>
      </c>
      <c r="D528" t="s">
        <v>748</v>
      </c>
      <c r="E528" s="35">
        <v>0.9</v>
      </c>
      <c r="F528" s="35">
        <v>6.6</v>
      </c>
      <c r="G528" s="36">
        <v>4.1200000000000004E-3</v>
      </c>
      <c r="H528" s="18">
        <v>7.4152979999999999</v>
      </c>
      <c r="I528" s="16" t="s">
        <v>746</v>
      </c>
      <c r="J528" s="16"/>
      <c r="K528" s="16"/>
      <c r="L528" s="37"/>
      <c r="M528" s="37"/>
      <c r="N528" s="37"/>
      <c r="O528" s="37"/>
      <c r="P528" s="37"/>
      <c r="Q528" s="18">
        <v>4.5320000000000006E-2</v>
      </c>
      <c r="R528" s="18">
        <v>3.0900000000000003E-4</v>
      </c>
      <c r="S528" s="18">
        <v>8.6520000000000014E-2</v>
      </c>
      <c r="T528" s="18">
        <v>0.37080000000000002</v>
      </c>
      <c r="U528" s="18">
        <v>0.18540000000000001</v>
      </c>
      <c r="V528" s="18">
        <v>2.3731200000000001</v>
      </c>
      <c r="W528" s="18">
        <v>2.2248000000000001</v>
      </c>
      <c r="X528" s="18">
        <v>1.4832000000000001</v>
      </c>
      <c r="Y528" s="18">
        <v>6.5920000000000006E-2</v>
      </c>
      <c r="Z528" s="18">
        <v>0.29252</v>
      </c>
      <c r="AA528" s="18">
        <v>0.42848000000000003</v>
      </c>
      <c r="AB528" s="18">
        <v>0.7622000000000001</v>
      </c>
      <c r="AC528" s="18">
        <v>0.23484000000000002</v>
      </c>
      <c r="AD528" s="18">
        <v>1.2360000000000002</v>
      </c>
    </row>
    <row r="529" spans="2:30" x14ac:dyDescent="0.25">
      <c r="B529" t="s">
        <v>269</v>
      </c>
      <c r="C529" t="s">
        <v>105</v>
      </c>
      <c r="D529" t="s">
        <v>748</v>
      </c>
      <c r="E529" s="35">
        <v>0.9</v>
      </c>
      <c r="F529" s="35">
        <v>6.6</v>
      </c>
      <c r="G529" s="36">
        <v>4.1200000000000004E-3</v>
      </c>
      <c r="H529" s="18">
        <v>7.4152979999999999</v>
      </c>
      <c r="I529" s="16" t="s">
        <v>746</v>
      </c>
      <c r="J529" s="16"/>
      <c r="K529" s="16"/>
      <c r="L529" s="37"/>
      <c r="M529" s="37"/>
      <c r="N529" s="37"/>
      <c r="O529" s="37"/>
      <c r="P529" s="37"/>
      <c r="Q529" s="18">
        <v>4.5320000000000006E-2</v>
      </c>
      <c r="R529" s="18">
        <v>3.0900000000000003E-4</v>
      </c>
      <c r="S529" s="18">
        <v>8.6520000000000014E-2</v>
      </c>
      <c r="T529" s="18">
        <v>0.37080000000000002</v>
      </c>
      <c r="U529" s="18">
        <v>0.18540000000000001</v>
      </c>
      <c r="V529" s="18">
        <v>2.3731200000000001</v>
      </c>
      <c r="W529" s="18">
        <v>2.2248000000000001</v>
      </c>
      <c r="X529" s="18">
        <v>1.4832000000000001</v>
      </c>
      <c r="Y529" s="18">
        <v>6.5920000000000006E-2</v>
      </c>
      <c r="Z529" s="18">
        <v>0.29252</v>
      </c>
      <c r="AA529" s="18">
        <v>0.42848000000000003</v>
      </c>
      <c r="AB529" s="18">
        <v>0.7622000000000001</v>
      </c>
      <c r="AC529" s="18">
        <v>0.23484000000000002</v>
      </c>
      <c r="AD529" s="18">
        <v>1.2360000000000002</v>
      </c>
    </row>
    <row r="530" spans="2:30" x14ac:dyDescent="0.25">
      <c r="B530" t="s">
        <v>269</v>
      </c>
      <c r="C530" t="s">
        <v>105</v>
      </c>
      <c r="D530" t="s">
        <v>748</v>
      </c>
      <c r="E530" s="35">
        <v>0.9</v>
      </c>
      <c r="F530" s="35">
        <v>6.6</v>
      </c>
      <c r="G530" s="36">
        <v>4.1200000000000004E-3</v>
      </c>
      <c r="H530" s="18">
        <v>7.4152979999999999</v>
      </c>
      <c r="I530" s="16" t="s">
        <v>746</v>
      </c>
      <c r="J530" s="16"/>
      <c r="K530" s="16"/>
      <c r="L530" s="37"/>
      <c r="M530" s="37"/>
      <c r="N530" s="37"/>
      <c r="O530" s="37"/>
      <c r="P530" s="37"/>
      <c r="Q530" s="18">
        <v>4.5320000000000006E-2</v>
      </c>
      <c r="R530" s="18">
        <v>3.0900000000000003E-4</v>
      </c>
      <c r="S530" s="18">
        <v>8.6520000000000014E-2</v>
      </c>
      <c r="T530" s="18">
        <v>0.37080000000000002</v>
      </c>
      <c r="U530" s="18">
        <v>0.18540000000000001</v>
      </c>
      <c r="V530" s="18">
        <v>2.3731200000000001</v>
      </c>
      <c r="W530" s="18">
        <v>2.2248000000000001</v>
      </c>
      <c r="X530" s="18">
        <v>1.4832000000000001</v>
      </c>
      <c r="Y530" s="18">
        <v>6.5920000000000006E-2</v>
      </c>
      <c r="Z530" s="18">
        <v>0.29252</v>
      </c>
      <c r="AA530" s="18">
        <v>0.42848000000000003</v>
      </c>
      <c r="AB530" s="18">
        <v>0.7622000000000001</v>
      </c>
      <c r="AC530" s="18">
        <v>0.23484000000000002</v>
      </c>
      <c r="AD530" s="18">
        <v>1.2360000000000002</v>
      </c>
    </row>
    <row r="531" spans="2:30" x14ac:dyDescent="0.25">
      <c r="B531" t="s">
        <v>269</v>
      </c>
      <c r="C531" t="s">
        <v>105</v>
      </c>
      <c r="D531" t="s">
        <v>748</v>
      </c>
      <c r="E531" s="35">
        <v>0.9</v>
      </c>
      <c r="F531" s="35">
        <v>6.6</v>
      </c>
      <c r="G531" s="36">
        <v>4.1200000000000004E-3</v>
      </c>
      <c r="H531" s="18">
        <v>7.4152979999999999</v>
      </c>
      <c r="I531" s="16" t="s">
        <v>746</v>
      </c>
      <c r="J531" s="16"/>
      <c r="K531" s="16"/>
      <c r="L531" s="37"/>
      <c r="M531" s="37"/>
      <c r="N531" s="37"/>
      <c r="O531" s="37"/>
      <c r="P531" s="37"/>
      <c r="Q531" s="18">
        <v>4.5320000000000006E-2</v>
      </c>
      <c r="R531" s="18">
        <v>3.0900000000000003E-4</v>
      </c>
      <c r="S531" s="18">
        <v>8.6520000000000014E-2</v>
      </c>
      <c r="T531" s="18">
        <v>0.37080000000000002</v>
      </c>
      <c r="U531" s="18">
        <v>0.18540000000000001</v>
      </c>
      <c r="V531" s="18">
        <v>2.3731200000000001</v>
      </c>
      <c r="W531" s="18">
        <v>2.2248000000000001</v>
      </c>
      <c r="X531" s="18">
        <v>1.4832000000000001</v>
      </c>
      <c r="Y531" s="18">
        <v>6.5920000000000006E-2</v>
      </c>
      <c r="Z531" s="18">
        <v>0.29252</v>
      </c>
      <c r="AA531" s="18">
        <v>0.42848000000000003</v>
      </c>
      <c r="AB531" s="18">
        <v>0.7622000000000001</v>
      </c>
      <c r="AC531" s="18">
        <v>0.23484000000000002</v>
      </c>
      <c r="AD531" s="18">
        <v>1.2360000000000002</v>
      </c>
    </row>
    <row r="532" spans="2:30" x14ac:dyDescent="0.25">
      <c r="B532" t="s">
        <v>269</v>
      </c>
      <c r="C532" t="s">
        <v>105</v>
      </c>
      <c r="D532" t="s">
        <v>748</v>
      </c>
      <c r="E532" s="35">
        <v>0.9</v>
      </c>
      <c r="F532" s="35">
        <v>6.6</v>
      </c>
      <c r="G532" s="36">
        <v>4.1200000000000004E-3</v>
      </c>
      <c r="H532" s="18">
        <v>7.4152979999999999</v>
      </c>
      <c r="I532" s="16" t="s">
        <v>746</v>
      </c>
      <c r="J532" s="16"/>
      <c r="K532" s="16"/>
      <c r="L532" s="37"/>
      <c r="M532" s="37"/>
      <c r="N532" s="37"/>
      <c r="O532" s="37"/>
      <c r="P532" s="37"/>
      <c r="Q532" s="18">
        <v>4.5320000000000006E-2</v>
      </c>
      <c r="R532" s="18">
        <v>3.0900000000000003E-4</v>
      </c>
      <c r="S532" s="18">
        <v>8.6520000000000014E-2</v>
      </c>
      <c r="T532" s="18">
        <v>0.37080000000000002</v>
      </c>
      <c r="U532" s="18">
        <v>0.18540000000000001</v>
      </c>
      <c r="V532" s="18">
        <v>2.3731200000000001</v>
      </c>
      <c r="W532" s="18">
        <v>2.2248000000000001</v>
      </c>
      <c r="X532" s="18">
        <v>1.4832000000000001</v>
      </c>
      <c r="Y532" s="18">
        <v>6.5920000000000006E-2</v>
      </c>
      <c r="Z532" s="18">
        <v>0.29252</v>
      </c>
      <c r="AA532" s="18">
        <v>0.42848000000000003</v>
      </c>
      <c r="AB532" s="18">
        <v>0.7622000000000001</v>
      </c>
      <c r="AC532" s="18">
        <v>0.23484000000000002</v>
      </c>
      <c r="AD532" s="18">
        <v>1.2360000000000002</v>
      </c>
    </row>
    <row r="533" spans="2:30" x14ac:dyDescent="0.25">
      <c r="B533" t="s">
        <v>269</v>
      </c>
      <c r="C533" t="s">
        <v>105</v>
      </c>
      <c r="D533" t="s">
        <v>749</v>
      </c>
      <c r="E533" s="35">
        <v>0.9</v>
      </c>
      <c r="F533" s="35">
        <v>6.6</v>
      </c>
      <c r="G533" s="36">
        <v>3.5699999999999998E-3</v>
      </c>
      <c r="H533" s="18">
        <v>6.4252979999999997</v>
      </c>
      <c r="I533" s="16" t="s">
        <v>746</v>
      </c>
      <c r="J533" s="16"/>
      <c r="K533" s="16"/>
      <c r="L533" s="37"/>
      <c r="M533" s="37"/>
      <c r="N533" s="37"/>
      <c r="O533" s="37"/>
      <c r="P533" s="37"/>
      <c r="Q533" s="18">
        <v>3.9269999999999999E-2</v>
      </c>
      <c r="R533" s="18">
        <v>2.6774999999999998E-4</v>
      </c>
      <c r="S533" s="18">
        <v>7.4969999999999995E-2</v>
      </c>
      <c r="T533" s="18">
        <v>0.32129999999999997</v>
      </c>
      <c r="U533" s="18">
        <v>0.16064999999999999</v>
      </c>
      <c r="V533" s="18">
        <v>2.0563199999999999</v>
      </c>
      <c r="W533" s="18">
        <v>1.9278</v>
      </c>
      <c r="X533" s="18">
        <v>1.2851999999999999</v>
      </c>
      <c r="Y533" s="18">
        <v>5.7119999999999997E-2</v>
      </c>
      <c r="Z533" s="18">
        <v>0.25346999999999997</v>
      </c>
      <c r="AA533" s="18">
        <v>0.37128</v>
      </c>
      <c r="AB533" s="18">
        <v>0.66044999999999998</v>
      </c>
      <c r="AC533" s="18">
        <v>0.20348999999999998</v>
      </c>
      <c r="AD533" s="18">
        <v>1.071</v>
      </c>
    </row>
    <row r="534" spans="2:30" x14ac:dyDescent="0.25">
      <c r="B534" t="s">
        <v>269</v>
      </c>
      <c r="C534" t="s">
        <v>105</v>
      </c>
      <c r="D534" t="s">
        <v>748</v>
      </c>
      <c r="E534" s="35">
        <v>0.9</v>
      </c>
      <c r="F534" s="35">
        <v>6.6</v>
      </c>
      <c r="G534" s="36">
        <v>4.1200000000000004E-3</v>
      </c>
      <c r="H534" s="18">
        <v>7.4152979999999999</v>
      </c>
      <c r="I534" s="16" t="s">
        <v>746</v>
      </c>
      <c r="J534" s="16"/>
      <c r="K534" s="16"/>
      <c r="L534" s="37"/>
      <c r="M534" s="37"/>
      <c r="N534" s="37"/>
      <c r="O534" s="37"/>
      <c r="P534" s="37"/>
      <c r="Q534" s="18">
        <v>4.5320000000000006E-2</v>
      </c>
      <c r="R534" s="18">
        <v>3.0900000000000003E-4</v>
      </c>
      <c r="S534" s="18">
        <v>8.6520000000000014E-2</v>
      </c>
      <c r="T534" s="18">
        <v>0.37080000000000002</v>
      </c>
      <c r="U534" s="18">
        <v>0.18540000000000001</v>
      </c>
      <c r="V534" s="18">
        <v>2.3731200000000001</v>
      </c>
      <c r="W534" s="18">
        <v>2.2248000000000001</v>
      </c>
      <c r="X534" s="18">
        <v>1.4832000000000001</v>
      </c>
      <c r="Y534" s="18">
        <v>6.5920000000000006E-2</v>
      </c>
      <c r="Z534" s="18">
        <v>0.29252</v>
      </c>
      <c r="AA534" s="18">
        <v>0.42848000000000003</v>
      </c>
      <c r="AB534" s="18">
        <v>0.7622000000000001</v>
      </c>
      <c r="AC534" s="18">
        <v>0.23484000000000002</v>
      </c>
      <c r="AD534" s="18">
        <v>1.2360000000000002</v>
      </c>
    </row>
    <row r="535" spans="2:30" x14ac:dyDescent="0.25">
      <c r="B535" t="s">
        <v>269</v>
      </c>
      <c r="C535" t="s">
        <v>105</v>
      </c>
      <c r="D535" t="s">
        <v>749</v>
      </c>
      <c r="E535" s="35">
        <v>0.9</v>
      </c>
      <c r="F535" s="35">
        <v>6.6</v>
      </c>
      <c r="G535" s="36">
        <v>3.5699999999999998E-3</v>
      </c>
      <c r="H535" s="18">
        <v>6.4252979999999997</v>
      </c>
      <c r="I535" s="16" t="s">
        <v>746</v>
      </c>
      <c r="J535" s="16"/>
      <c r="K535" s="16"/>
      <c r="L535" s="37"/>
      <c r="M535" s="37"/>
      <c r="N535" s="37"/>
      <c r="O535" s="37"/>
      <c r="P535" s="37"/>
      <c r="Q535" s="18">
        <v>3.9269999999999999E-2</v>
      </c>
      <c r="R535" s="18">
        <v>2.6774999999999998E-4</v>
      </c>
      <c r="S535" s="18">
        <v>7.4969999999999995E-2</v>
      </c>
      <c r="T535" s="18">
        <v>0.32129999999999997</v>
      </c>
      <c r="U535" s="18">
        <v>0.16064999999999999</v>
      </c>
      <c r="V535" s="18">
        <v>2.0563199999999999</v>
      </c>
      <c r="W535" s="18">
        <v>1.9278</v>
      </c>
      <c r="X535" s="18">
        <v>1.2851999999999999</v>
      </c>
      <c r="Y535" s="18">
        <v>5.7119999999999997E-2</v>
      </c>
      <c r="Z535" s="18">
        <v>0.25346999999999997</v>
      </c>
      <c r="AA535" s="18">
        <v>0.37128</v>
      </c>
      <c r="AB535" s="18">
        <v>0.66044999999999998</v>
      </c>
      <c r="AC535" s="18">
        <v>0.20348999999999998</v>
      </c>
      <c r="AD535" s="18">
        <v>1.071</v>
      </c>
    </row>
    <row r="536" spans="2:30" x14ac:dyDescent="0.25">
      <c r="B536" t="s">
        <v>269</v>
      </c>
      <c r="C536" t="s">
        <v>105</v>
      </c>
      <c r="D536" t="s">
        <v>749</v>
      </c>
      <c r="E536" s="35">
        <v>0.9</v>
      </c>
      <c r="F536" s="35">
        <v>6.6</v>
      </c>
      <c r="G536" s="36">
        <v>3.5699999999999998E-3</v>
      </c>
      <c r="H536" s="18">
        <v>6.4252979999999997</v>
      </c>
      <c r="I536" s="16" t="s">
        <v>746</v>
      </c>
      <c r="J536" s="16"/>
      <c r="K536" s="16"/>
      <c r="L536" s="37"/>
      <c r="M536" s="37"/>
      <c r="N536" s="37"/>
      <c r="O536" s="37"/>
      <c r="P536" s="37"/>
      <c r="Q536" s="18">
        <v>3.9269999999999999E-2</v>
      </c>
      <c r="R536" s="18">
        <v>2.6774999999999998E-4</v>
      </c>
      <c r="S536" s="18">
        <v>7.4969999999999995E-2</v>
      </c>
      <c r="T536" s="18">
        <v>0.32129999999999997</v>
      </c>
      <c r="U536" s="18">
        <v>0.16064999999999999</v>
      </c>
      <c r="V536" s="18">
        <v>2.0563199999999999</v>
      </c>
      <c r="W536" s="18">
        <v>1.9278</v>
      </c>
      <c r="X536" s="18">
        <v>1.2851999999999999</v>
      </c>
      <c r="Y536" s="18">
        <v>5.7119999999999997E-2</v>
      </c>
      <c r="Z536" s="18">
        <v>0.25346999999999997</v>
      </c>
      <c r="AA536" s="18">
        <v>0.37128</v>
      </c>
      <c r="AB536" s="18">
        <v>0.66044999999999998</v>
      </c>
      <c r="AC536" s="18">
        <v>0.20348999999999998</v>
      </c>
      <c r="AD536" s="18">
        <v>1.071</v>
      </c>
    </row>
    <row r="537" spans="2:30" x14ac:dyDescent="0.25">
      <c r="B537" t="s">
        <v>269</v>
      </c>
      <c r="C537" t="s">
        <v>105</v>
      </c>
      <c r="D537" t="s">
        <v>749</v>
      </c>
      <c r="E537" s="35">
        <v>0.9</v>
      </c>
      <c r="F537" s="35">
        <v>6.6</v>
      </c>
      <c r="G537" s="36">
        <v>3.5699999999999998E-3</v>
      </c>
      <c r="H537" s="18">
        <v>6.4252979999999997</v>
      </c>
      <c r="I537" s="16" t="s">
        <v>746</v>
      </c>
      <c r="J537" s="16"/>
      <c r="K537" s="16"/>
      <c r="L537" s="37"/>
      <c r="M537" s="37"/>
      <c r="N537" s="37"/>
      <c r="O537" s="37"/>
      <c r="P537" s="37"/>
      <c r="Q537" s="18">
        <v>3.9269999999999999E-2</v>
      </c>
      <c r="R537" s="18">
        <v>2.6774999999999998E-4</v>
      </c>
      <c r="S537" s="18">
        <v>7.4969999999999995E-2</v>
      </c>
      <c r="T537" s="18">
        <v>0.32129999999999997</v>
      </c>
      <c r="U537" s="18">
        <v>0.16064999999999999</v>
      </c>
      <c r="V537" s="18">
        <v>2.0563199999999999</v>
      </c>
      <c r="W537" s="18">
        <v>1.9278</v>
      </c>
      <c r="X537" s="18">
        <v>1.2851999999999999</v>
      </c>
      <c r="Y537" s="18">
        <v>5.7119999999999997E-2</v>
      </c>
      <c r="Z537" s="18">
        <v>0.25346999999999997</v>
      </c>
      <c r="AA537" s="18">
        <v>0.37128</v>
      </c>
      <c r="AB537" s="18">
        <v>0.66044999999999998</v>
      </c>
      <c r="AC537" s="18">
        <v>0.20348999999999998</v>
      </c>
      <c r="AD537" s="18">
        <v>1.071</v>
      </c>
    </row>
    <row r="538" spans="2:30" x14ac:dyDescent="0.25">
      <c r="B538" t="s">
        <v>269</v>
      </c>
      <c r="C538" t="s">
        <v>105</v>
      </c>
      <c r="D538" t="s">
        <v>749</v>
      </c>
      <c r="E538" s="35">
        <v>0.9</v>
      </c>
      <c r="F538" s="35">
        <v>6.6</v>
      </c>
      <c r="G538" s="36">
        <v>3.5699999999999998E-3</v>
      </c>
      <c r="H538" s="18">
        <v>6.4252979999999997</v>
      </c>
      <c r="I538" s="16" t="s">
        <v>746</v>
      </c>
      <c r="J538" s="16"/>
      <c r="K538" s="16"/>
      <c r="L538" s="37"/>
      <c r="M538" s="37"/>
      <c r="N538" s="37"/>
      <c r="O538" s="37"/>
      <c r="P538" s="37"/>
      <c r="Q538" s="18">
        <v>3.9269999999999999E-2</v>
      </c>
      <c r="R538" s="18">
        <v>2.6774999999999998E-4</v>
      </c>
      <c r="S538" s="18">
        <v>7.4969999999999995E-2</v>
      </c>
      <c r="T538" s="18">
        <v>0.32129999999999997</v>
      </c>
      <c r="U538" s="18">
        <v>0.16064999999999999</v>
      </c>
      <c r="V538" s="18">
        <v>2.0563199999999999</v>
      </c>
      <c r="W538" s="18">
        <v>1.9278</v>
      </c>
      <c r="X538" s="18">
        <v>1.2851999999999999</v>
      </c>
      <c r="Y538" s="18">
        <v>5.7119999999999997E-2</v>
      </c>
      <c r="Z538" s="18">
        <v>0.25346999999999997</v>
      </c>
      <c r="AA538" s="18">
        <v>0.37128</v>
      </c>
      <c r="AB538" s="18">
        <v>0.66044999999999998</v>
      </c>
      <c r="AC538" s="18">
        <v>0.20348999999999998</v>
      </c>
      <c r="AD538" s="18">
        <v>1.071</v>
      </c>
    </row>
    <row r="539" spans="2:30" x14ac:dyDescent="0.25">
      <c r="B539" t="s">
        <v>269</v>
      </c>
      <c r="C539" t="s">
        <v>105</v>
      </c>
      <c r="D539" t="s">
        <v>748</v>
      </c>
      <c r="E539" s="35">
        <v>0.9</v>
      </c>
      <c r="F539" s="35">
        <v>6.6</v>
      </c>
      <c r="G539" s="36">
        <v>4.1200000000000004E-3</v>
      </c>
      <c r="H539" s="18">
        <v>7.4152979999999999</v>
      </c>
      <c r="I539" s="16" t="s">
        <v>746</v>
      </c>
      <c r="J539" s="16"/>
      <c r="K539" s="16"/>
      <c r="L539" s="37"/>
      <c r="M539" s="37"/>
      <c r="N539" s="37"/>
      <c r="O539" s="37"/>
      <c r="P539" s="37"/>
      <c r="Q539" s="18">
        <v>4.5320000000000006E-2</v>
      </c>
      <c r="R539" s="18">
        <v>3.0900000000000003E-4</v>
      </c>
      <c r="S539" s="18">
        <v>8.6520000000000014E-2</v>
      </c>
      <c r="T539" s="18">
        <v>0.37080000000000002</v>
      </c>
      <c r="U539" s="18">
        <v>0.18540000000000001</v>
      </c>
      <c r="V539" s="18">
        <v>2.3731200000000001</v>
      </c>
      <c r="W539" s="18">
        <v>2.2248000000000001</v>
      </c>
      <c r="X539" s="18">
        <v>1.4832000000000001</v>
      </c>
      <c r="Y539" s="18">
        <v>6.5920000000000006E-2</v>
      </c>
      <c r="Z539" s="18">
        <v>0.29252</v>
      </c>
      <c r="AA539" s="18">
        <v>0.42848000000000003</v>
      </c>
      <c r="AB539" s="18">
        <v>0.7622000000000001</v>
      </c>
      <c r="AC539" s="18">
        <v>0.23484000000000002</v>
      </c>
      <c r="AD539" s="18">
        <v>1.2360000000000002</v>
      </c>
    </row>
    <row r="540" spans="2:30" x14ac:dyDescent="0.25">
      <c r="B540" t="s">
        <v>269</v>
      </c>
      <c r="C540" t="s">
        <v>105</v>
      </c>
      <c r="D540" t="s">
        <v>750</v>
      </c>
      <c r="E540" s="35">
        <v>0.9</v>
      </c>
      <c r="F540" s="35">
        <v>6.6</v>
      </c>
      <c r="G540" s="36">
        <v>3.0200000000000001E-3</v>
      </c>
      <c r="H540" s="18">
        <v>5.4352980000000004</v>
      </c>
      <c r="I540" s="16" t="s">
        <v>746</v>
      </c>
      <c r="J540" s="16"/>
      <c r="K540" s="16"/>
      <c r="L540" s="37"/>
      <c r="M540" s="37"/>
      <c r="N540" s="37"/>
      <c r="O540" s="37"/>
      <c r="P540" s="37"/>
      <c r="Q540" s="18">
        <v>3.322E-2</v>
      </c>
      <c r="R540" s="18">
        <v>2.265E-4</v>
      </c>
      <c r="S540" s="18">
        <v>6.3420000000000004E-2</v>
      </c>
      <c r="T540" s="18">
        <v>0.27179999999999999</v>
      </c>
      <c r="U540" s="18">
        <v>0.13589999999999999</v>
      </c>
      <c r="V540" s="18">
        <v>1.7395200000000002</v>
      </c>
      <c r="W540" s="18">
        <v>1.6308</v>
      </c>
      <c r="X540" s="18">
        <v>1.0871999999999999</v>
      </c>
      <c r="Y540" s="18">
        <v>4.8320000000000002E-2</v>
      </c>
      <c r="Z540" s="18">
        <v>0.21442</v>
      </c>
      <c r="AA540" s="18">
        <v>0.31408000000000003</v>
      </c>
      <c r="AB540" s="18">
        <v>0.55869999999999997</v>
      </c>
      <c r="AC540" s="18">
        <v>0.17214000000000002</v>
      </c>
      <c r="AD540" s="18">
        <v>0.90600000000000003</v>
      </c>
    </row>
    <row r="541" spans="2:30" x14ac:dyDescent="0.25">
      <c r="B541" t="s">
        <v>269</v>
      </c>
      <c r="C541" t="s">
        <v>105</v>
      </c>
      <c r="D541" t="s">
        <v>749</v>
      </c>
      <c r="E541" s="35">
        <v>0.9</v>
      </c>
      <c r="F541" s="35">
        <v>6.6</v>
      </c>
      <c r="G541" s="36">
        <v>3.5699999999999998E-3</v>
      </c>
      <c r="H541" s="18">
        <v>6.4252979999999997</v>
      </c>
      <c r="I541" s="16" t="s">
        <v>746</v>
      </c>
      <c r="J541" s="16"/>
      <c r="K541" s="16"/>
      <c r="L541" s="37"/>
      <c r="M541" s="37"/>
      <c r="N541" s="37"/>
      <c r="O541" s="37"/>
      <c r="P541" s="37"/>
      <c r="Q541" s="18">
        <v>3.9269999999999999E-2</v>
      </c>
      <c r="R541" s="18">
        <v>2.6774999999999998E-4</v>
      </c>
      <c r="S541" s="18">
        <v>7.4969999999999995E-2</v>
      </c>
      <c r="T541" s="18">
        <v>0.32129999999999997</v>
      </c>
      <c r="U541" s="18">
        <v>0.16064999999999999</v>
      </c>
      <c r="V541" s="18">
        <v>2.0563199999999999</v>
      </c>
      <c r="W541" s="18">
        <v>1.9278</v>
      </c>
      <c r="X541" s="18">
        <v>1.2851999999999999</v>
      </c>
      <c r="Y541" s="18">
        <v>5.7119999999999997E-2</v>
      </c>
      <c r="Z541" s="18">
        <v>0.25346999999999997</v>
      </c>
      <c r="AA541" s="18">
        <v>0.37128</v>
      </c>
      <c r="AB541" s="18">
        <v>0.66044999999999998</v>
      </c>
      <c r="AC541" s="18">
        <v>0.20348999999999998</v>
      </c>
      <c r="AD541" s="18">
        <v>1.071</v>
      </c>
    </row>
    <row r="542" spans="2:30" x14ac:dyDescent="0.25">
      <c r="B542" t="s">
        <v>269</v>
      </c>
      <c r="C542" t="s">
        <v>105</v>
      </c>
      <c r="D542" t="s">
        <v>749</v>
      </c>
      <c r="E542" s="35">
        <v>0.9</v>
      </c>
      <c r="F542" s="35">
        <v>6.6</v>
      </c>
      <c r="G542" s="36">
        <v>3.5699999999999998E-3</v>
      </c>
      <c r="H542" s="18">
        <v>6.4252979999999997</v>
      </c>
      <c r="I542" s="16" t="s">
        <v>746</v>
      </c>
      <c r="J542" s="16"/>
      <c r="K542" s="16"/>
      <c r="L542" s="37"/>
      <c r="M542" s="37"/>
      <c r="N542" s="37"/>
      <c r="O542" s="37"/>
      <c r="P542" s="37"/>
      <c r="Q542" s="18">
        <v>3.9269999999999999E-2</v>
      </c>
      <c r="R542" s="18">
        <v>2.6774999999999998E-4</v>
      </c>
      <c r="S542" s="18">
        <v>7.4969999999999995E-2</v>
      </c>
      <c r="T542" s="18">
        <v>0.32129999999999997</v>
      </c>
      <c r="U542" s="18">
        <v>0.16064999999999999</v>
      </c>
      <c r="V542" s="18">
        <v>2.0563199999999999</v>
      </c>
      <c r="W542" s="18">
        <v>1.9278</v>
      </c>
      <c r="X542" s="18">
        <v>1.2851999999999999</v>
      </c>
      <c r="Y542" s="18">
        <v>5.7119999999999997E-2</v>
      </c>
      <c r="Z542" s="18">
        <v>0.25346999999999997</v>
      </c>
      <c r="AA542" s="18">
        <v>0.37128</v>
      </c>
      <c r="AB542" s="18">
        <v>0.66044999999999998</v>
      </c>
      <c r="AC542" s="18">
        <v>0.20348999999999998</v>
      </c>
      <c r="AD542" s="18">
        <v>1.071</v>
      </c>
    </row>
    <row r="543" spans="2:30" x14ac:dyDescent="0.25">
      <c r="B543" t="s">
        <v>269</v>
      </c>
      <c r="C543" t="s">
        <v>105</v>
      </c>
      <c r="D543" t="s">
        <v>750</v>
      </c>
      <c r="E543" s="35">
        <v>0.9</v>
      </c>
      <c r="F543" s="35">
        <v>6.6</v>
      </c>
      <c r="G543" s="36">
        <v>3.0200000000000001E-3</v>
      </c>
      <c r="H543" s="18">
        <v>5.4352980000000004</v>
      </c>
      <c r="I543" s="16" t="s">
        <v>746</v>
      </c>
      <c r="J543" s="16"/>
      <c r="K543" s="16"/>
      <c r="L543" s="37"/>
      <c r="M543" s="37"/>
      <c r="N543" s="37"/>
      <c r="O543" s="37"/>
      <c r="P543" s="37"/>
      <c r="Q543" s="18">
        <v>3.322E-2</v>
      </c>
      <c r="R543" s="18">
        <v>2.265E-4</v>
      </c>
      <c r="S543" s="18">
        <v>6.3420000000000004E-2</v>
      </c>
      <c r="T543" s="18">
        <v>0.27179999999999999</v>
      </c>
      <c r="U543" s="18">
        <v>0.13589999999999999</v>
      </c>
      <c r="V543" s="18">
        <v>1.7395200000000002</v>
      </c>
      <c r="W543" s="18">
        <v>1.6308</v>
      </c>
      <c r="X543" s="18">
        <v>1.0871999999999999</v>
      </c>
      <c r="Y543" s="18">
        <v>4.8320000000000002E-2</v>
      </c>
      <c r="Z543" s="18">
        <v>0.21442</v>
      </c>
      <c r="AA543" s="18">
        <v>0.31408000000000003</v>
      </c>
      <c r="AB543" s="18">
        <v>0.55869999999999997</v>
      </c>
      <c r="AC543" s="18">
        <v>0.17214000000000002</v>
      </c>
      <c r="AD543" s="18">
        <v>0.90600000000000003</v>
      </c>
    </row>
    <row r="544" spans="2:30" x14ac:dyDescent="0.25">
      <c r="B544" t="s">
        <v>269</v>
      </c>
      <c r="C544" t="s">
        <v>105</v>
      </c>
      <c r="D544" t="s">
        <v>749</v>
      </c>
      <c r="E544" s="35">
        <v>0.9</v>
      </c>
      <c r="F544" s="35">
        <v>6.6</v>
      </c>
      <c r="G544" s="36">
        <v>3.5699999999999998E-3</v>
      </c>
      <c r="H544" s="18">
        <v>6.4252979999999997</v>
      </c>
      <c r="I544" s="16" t="s">
        <v>746</v>
      </c>
      <c r="J544" s="16"/>
      <c r="K544" s="16"/>
      <c r="L544" s="37"/>
      <c r="M544" s="37"/>
      <c r="N544" s="37"/>
      <c r="O544" s="37"/>
      <c r="P544" s="37"/>
      <c r="Q544" s="18">
        <v>3.9269999999999999E-2</v>
      </c>
      <c r="R544" s="18">
        <v>2.6774999999999998E-4</v>
      </c>
      <c r="S544" s="18">
        <v>7.4969999999999995E-2</v>
      </c>
      <c r="T544" s="18">
        <v>0.32129999999999997</v>
      </c>
      <c r="U544" s="18">
        <v>0.16064999999999999</v>
      </c>
      <c r="V544" s="18">
        <v>2.0563199999999999</v>
      </c>
      <c r="W544" s="18">
        <v>1.9278</v>
      </c>
      <c r="X544" s="18">
        <v>1.2851999999999999</v>
      </c>
      <c r="Y544" s="18">
        <v>5.7119999999999997E-2</v>
      </c>
      <c r="Z544" s="18">
        <v>0.25346999999999997</v>
      </c>
      <c r="AA544" s="18">
        <v>0.37128</v>
      </c>
      <c r="AB544" s="18">
        <v>0.66044999999999998</v>
      </c>
      <c r="AC544" s="18">
        <v>0.20348999999999998</v>
      </c>
      <c r="AD544" s="18">
        <v>1.071</v>
      </c>
    </row>
    <row r="545" spans="2:30" x14ac:dyDescent="0.25">
      <c r="B545" t="s">
        <v>269</v>
      </c>
      <c r="C545" t="s">
        <v>105</v>
      </c>
      <c r="D545" t="s">
        <v>749</v>
      </c>
      <c r="E545" s="35">
        <v>0.9</v>
      </c>
      <c r="F545" s="35">
        <v>6.6</v>
      </c>
      <c r="G545" s="36">
        <v>3.5699999999999998E-3</v>
      </c>
      <c r="H545" s="18">
        <v>6.4252979999999997</v>
      </c>
      <c r="I545" s="16" t="s">
        <v>746</v>
      </c>
      <c r="J545" s="16"/>
      <c r="K545" s="16"/>
      <c r="L545" s="37"/>
      <c r="M545" s="37"/>
      <c r="N545" s="37"/>
      <c r="O545" s="37"/>
      <c r="P545" s="37"/>
      <c r="Q545" s="18">
        <v>3.9269999999999999E-2</v>
      </c>
      <c r="R545" s="18">
        <v>2.6774999999999998E-4</v>
      </c>
      <c r="S545" s="18">
        <v>7.4969999999999995E-2</v>
      </c>
      <c r="T545" s="18">
        <v>0.32129999999999997</v>
      </c>
      <c r="U545" s="18">
        <v>0.16064999999999999</v>
      </c>
      <c r="V545" s="18">
        <v>2.0563199999999999</v>
      </c>
      <c r="W545" s="18">
        <v>1.9278</v>
      </c>
      <c r="X545" s="18">
        <v>1.2851999999999999</v>
      </c>
      <c r="Y545" s="18">
        <v>5.7119999999999997E-2</v>
      </c>
      <c r="Z545" s="18">
        <v>0.25346999999999997</v>
      </c>
      <c r="AA545" s="18">
        <v>0.37128</v>
      </c>
      <c r="AB545" s="18">
        <v>0.66044999999999998</v>
      </c>
      <c r="AC545" s="18">
        <v>0.20348999999999998</v>
      </c>
      <c r="AD545" s="18">
        <v>1.071</v>
      </c>
    </row>
    <row r="546" spans="2:30" x14ac:dyDescent="0.25">
      <c r="B546" t="s">
        <v>269</v>
      </c>
      <c r="C546" t="s">
        <v>105</v>
      </c>
      <c r="D546" t="s">
        <v>749</v>
      </c>
      <c r="E546" s="35">
        <v>0.9</v>
      </c>
      <c r="F546" s="35">
        <v>6.6</v>
      </c>
      <c r="G546" s="36">
        <v>3.5699999999999998E-3</v>
      </c>
      <c r="H546" s="18">
        <v>6.4252979999999997</v>
      </c>
      <c r="I546" s="16" t="s">
        <v>746</v>
      </c>
      <c r="J546" s="16"/>
      <c r="K546" s="16"/>
      <c r="L546" s="37"/>
      <c r="M546" s="37"/>
      <c r="N546" s="37"/>
      <c r="O546" s="37"/>
      <c r="P546" s="37"/>
      <c r="Q546" s="18">
        <v>3.9269999999999999E-2</v>
      </c>
      <c r="R546" s="18">
        <v>2.6774999999999998E-4</v>
      </c>
      <c r="S546" s="18">
        <v>7.4969999999999995E-2</v>
      </c>
      <c r="T546" s="18">
        <v>0.32129999999999997</v>
      </c>
      <c r="U546" s="18">
        <v>0.16064999999999999</v>
      </c>
      <c r="V546" s="18">
        <v>2.0563199999999999</v>
      </c>
      <c r="W546" s="18">
        <v>1.9278</v>
      </c>
      <c r="X546" s="18">
        <v>1.2851999999999999</v>
      </c>
      <c r="Y546" s="18">
        <v>5.7119999999999997E-2</v>
      </c>
      <c r="Z546" s="18">
        <v>0.25346999999999997</v>
      </c>
      <c r="AA546" s="18">
        <v>0.37128</v>
      </c>
      <c r="AB546" s="18">
        <v>0.66044999999999998</v>
      </c>
      <c r="AC546" s="18">
        <v>0.20348999999999998</v>
      </c>
      <c r="AD546" s="18">
        <v>1.071</v>
      </c>
    </row>
    <row r="547" spans="2:30" x14ac:dyDescent="0.25">
      <c r="B547" t="s">
        <v>269</v>
      </c>
      <c r="C547" t="s">
        <v>105</v>
      </c>
      <c r="D547" t="s">
        <v>751</v>
      </c>
      <c r="E547" s="35">
        <v>0.9</v>
      </c>
      <c r="F547" s="35">
        <v>6.6</v>
      </c>
      <c r="G547" s="36">
        <v>2.7910000000000001E-3</v>
      </c>
      <c r="H547" s="18">
        <v>5.0236749999999999</v>
      </c>
      <c r="I547" s="16" t="s">
        <v>746</v>
      </c>
      <c r="J547" s="16"/>
      <c r="K547" s="16"/>
      <c r="L547" s="37"/>
      <c r="M547" s="37"/>
      <c r="N547" s="37"/>
      <c r="O547" s="37"/>
      <c r="P547" s="37"/>
      <c r="Q547" s="18">
        <v>3.0700999999999999E-2</v>
      </c>
      <c r="R547" s="18">
        <v>2.0932500000000001E-4</v>
      </c>
      <c r="S547" s="18">
        <v>5.8611000000000003E-2</v>
      </c>
      <c r="T547" s="18">
        <v>0.25119000000000002</v>
      </c>
      <c r="U547" s="18">
        <v>0.12559500000000001</v>
      </c>
      <c r="V547" s="18">
        <v>1.6076160000000002</v>
      </c>
      <c r="W547" s="18">
        <v>1.5071400000000001</v>
      </c>
      <c r="X547" s="18">
        <v>1.0047600000000001</v>
      </c>
      <c r="Y547" s="18">
        <v>4.4656000000000001E-2</v>
      </c>
      <c r="Z547" s="18">
        <v>0.198161</v>
      </c>
      <c r="AA547" s="18">
        <v>0.29026400000000002</v>
      </c>
      <c r="AB547" s="18">
        <v>0.51633499999999999</v>
      </c>
      <c r="AC547" s="18">
        <v>0.15908700000000001</v>
      </c>
      <c r="AD547" s="18">
        <v>0.83730000000000004</v>
      </c>
    </row>
    <row r="548" spans="2:30" x14ac:dyDescent="0.25">
      <c r="B548" t="s">
        <v>269</v>
      </c>
      <c r="C548" t="s">
        <v>105</v>
      </c>
      <c r="D548" t="s">
        <v>751</v>
      </c>
      <c r="E548" s="35">
        <v>0.9</v>
      </c>
      <c r="F548" s="35">
        <v>6.6</v>
      </c>
      <c r="G548" s="36">
        <v>2.7910000000000001E-3</v>
      </c>
      <c r="H548" s="18">
        <v>5.0236749999999999</v>
      </c>
      <c r="I548" s="16" t="s">
        <v>746</v>
      </c>
      <c r="J548" s="16"/>
      <c r="K548" s="16"/>
      <c r="L548" s="37"/>
      <c r="M548" s="37"/>
      <c r="N548" s="37"/>
      <c r="O548" s="37"/>
      <c r="P548" s="37"/>
      <c r="Q548" s="18">
        <v>3.0700999999999999E-2</v>
      </c>
      <c r="R548" s="18">
        <v>2.0932500000000001E-4</v>
      </c>
      <c r="S548" s="18">
        <v>5.8611000000000003E-2</v>
      </c>
      <c r="T548" s="18">
        <v>0.25119000000000002</v>
      </c>
      <c r="U548" s="18">
        <v>0.12559500000000001</v>
      </c>
      <c r="V548" s="18">
        <v>1.6076160000000002</v>
      </c>
      <c r="W548" s="18">
        <v>1.5071400000000001</v>
      </c>
      <c r="X548" s="18">
        <v>1.0047600000000001</v>
      </c>
      <c r="Y548" s="18">
        <v>4.4656000000000001E-2</v>
      </c>
      <c r="Z548" s="18">
        <v>0.198161</v>
      </c>
      <c r="AA548" s="18">
        <v>0.29026400000000002</v>
      </c>
      <c r="AB548" s="18">
        <v>0.51633499999999999</v>
      </c>
      <c r="AC548" s="18">
        <v>0.15908700000000001</v>
      </c>
      <c r="AD548" s="18">
        <v>0.83730000000000004</v>
      </c>
    </row>
    <row r="549" spans="2:30" x14ac:dyDescent="0.25">
      <c r="B549" t="s">
        <v>269</v>
      </c>
      <c r="C549" t="s">
        <v>105</v>
      </c>
      <c r="D549" t="s">
        <v>749</v>
      </c>
      <c r="E549" s="35">
        <v>0.9</v>
      </c>
      <c r="F549" s="35">
        <v>6.6</v>
      </c>
      <c r="G549" s="36">
        <v>3.5699999999999998E-3</v>
      </c>
      <c r="H549" s="18">
        <v>6.4252979999999997</v>
      </c>
      <c r="I549" s="16" t="s">
        <v>746</v>
      </c>
      <c r="J549" s="16"/>
      <c r="K549" s="16"/>
      <c r="L549" s="37"/>
      <c r="M549" s="37"/>
      <c r="N549" s="37"/>
      <c r="O549" s="37"/>
      <c r="P549" s="37"/>
      <c r="Q549" s="18">
        <v>3.9269999999999999E-2</v>
      </c>
      <c r="R549" s="18">
        <v>2.6774999999999998E-4</v>
      </c>
      <c r="S549" s="18">
        <v>7.4969999999999995E-2</v>
      </c>
      <c r="T549" s="18">
        <v>0.32129999999999997</v>
      </c>
      <c r="U549" s="18">
        <v>0.16064999999999999</v>
      </c>
      <c r="V549" s="18">
        <v>2.0563199999999999</v>
      </c>
      <c r="W549" s="18">
        <v>1.9278</v>
      </c>
      <c r="X549" s="18">
        <v>1.2851999999999999</v>
      </c>
      <c r="Y549" s="18">
        <v>5.7119999999999997E-2</v>
      </c>
      <c r="Z549" s="18">
        <v>0.25346999999999997</v>
      </c>
      <c r="AA549" s="18">
        <v>0.37128</v>
      </c>
      <c r="AB549" s="18">
        <v>0.66044999999999998</v>
      </c>
      <c r="AC549" s="18">
        <v>0.20348999999999998</v>
      </c>
      <c r="AD549" s="18">
        <v>1.071</v>
      </c>
    </row>
    <row r="550" spans="2:30" x14ac:dyDescent="0.25">
      <c r="B550" t="s">
        <v>269</v>
      </c>
      <c r="C550" t="s">
        <v>105</v>
      </c>
      <c r="D550" t="s">
        <v>748</v>
      </c>
      <c r="E550" s="35">
        <v>0.9</v>
      </c>
      <c r="F550" s="35">
        <v>6.6</v>
      </c>
      <c r="G550" s="36">
        <v>4.1200000000000004E-3</v>
      </c>
      <c r="H550" s="18">
        <v>7.4152979999999999</v>
      </c>
      <c r="I550" s="16" t="s">
        <v>746</v>
      </c>
      <c r="J550" s="16"/>
      <c r="K550" s="16"/>
      <c r="L550" s="37"/>
      <c r="M550" s="37"/>
      <c r="N550" s="37"/>
      <c r="O550" s="37"/>
      <c r="P550" s="37"/>
      <c r="Q550" s="18">
        <v>4.5320000000000006E-2</v>
      </c>
      <c r="R550" s="18">
        <v>3.0900000000000003E-4</v>
      </c>
      <c r="S550" s="18">
        <v>8.6520000000000014E-2</v>
      </c>
      <c r="T550" s="18">
        <v>0.37080000000000002</v>
      </c>
      <c r="U550" s="18">
        <v>0.18540000000000001</v>
      </c>
      <c r="V550" s="18">
        <v>2.3731200000000001</v>
      </c>
      <c r="W550" s="18">
        <v>2.2248000000000001</v>
      </c>
      <c r="X550" s="18">
        <v>1.4832000000000001</v>
      </c>
      <c r="Y550" s="18">
        <v>6.5920000000000006E-2</v>
      </c>
      <c r="Z550" s="18">
        <v>0.29252</v>
      </c>
      <c r="AA550" s="18">
        <v>0.42848000000000003</v>
      </c>
      <c r="AB550" s="18">
        <v>0.7622000000000001</v>
      </c>
      <c r="AC550" s="18">
        <v>0.23484000000000002</v>
      </c>
      <c r="AD550" s="18">
        <v>1.2360000000000002</v>
      </c>
    </row>
    <row r="551" spans="2:30" x14ac:dyDescent="0.25">
      <c r="B551" t="s">
        <v>269</v>
      </c>
      <c r="C551" t="s">
        <v>105</v>
      </c>
      <c r="D551" t="s">
        <v>752</v>
      </c>
      <c r="E551" s="35">
        <v>0.9</v>
      </c>
      <c r="F551" s="35">
        <v>6.6</v>
      </c>
      <c r="G551" s="36">
        <v>2.47E-3</v>
      </c>
      <c r="H551" s="18">
        <v>4.4452980000000002</v>
      </c>
      <c r="I551" s="16" t="s">
        <v>746</v>
      </c>
      <c r="J551" s="16"/>
      <c r="K551" s="16"/>
      <c r="L551" s="37"/>
      <c r="M551" s="37"/>
      <c r="N551" s="37"/>
      <c r="O551" s="37"/>
      <c r="P551" s="37"/>
      <c r="Q551" s="18">
        <v>2.717E-2</v>
      </c>
      <c r="R551" s="18">
        <v>1.8525E-4</v>
      </c>
      <c r="S551" s="18">
        <v>5.1869999999999999E-2</v>
      </c>
      <c r="T551" s="18">
        <v>0.2223</v>
      </c>
      <c r="U551" s="18">
        <v>0.11115</v>
      </c>
      <c r="V551" s="18">
        <v>1.42272</v>
      </c>
      <c r="W551" s="18">
        <v>1.3338000000000001</v>
      </c>
      <c r="X551" s="18">
        <v>0.88919999999999999</v>
      </c>
      <c r="Y551" s="18">
        <v>3.952E-2</v>
      </c>
      <c r="Z551" s="18">
        <v>0.17537</v>
      </c>
      <c r="AA551" s="18">
        <v>0.25688</v>
      </c>
      <c r="AB551" s="18">
        <v>0.45694999999999997</v>
      </c>
      <c r="AC551" s="18">
        <v>0.14079</v>
      </c>
      <c r="AD551" s="18">
        <v>0.74099999999999999</v>
      </c>
    </row>
    <row r="552" spans="2:30" x14ac:dyDescent="0.25">
      <c r="B552" t="s">
        <v>269</v>
      </c>
      <c r="C552" t="s">
        <v>105</v>
      </c>
      <c r="D552" t="s">
        <v>748</v>
      </c>
      <c r="E552" s="35">
        <v>0.9</v>
      </c>
      <c r="F552" s="35">
        <v>6.6</v>
      </c>
      <c r="G552" s="36">
        <v>4.1200000000000004E-3</v>
      </c>
      <c r="H552" s="18">
        <v>7.4152979999999999</v>
      </c>
      <c r="I552" s="16" t="s">
        <v>746</v>
      </c>
      <c r="J552" s="16"/>
      <c r="K552" s="16"/>
      <c r="L552" s="37"/>
      <c r="M552" s="37"/>
      <c r="N552" s="37"/>
      <c r="O552" s="37"/>
      <c r="P552" s="37"/>
      <c r="Q552" s="18">
        <v>4.5320000000000006E-2</v>
      </c>
      <c r="R552" s="18">
        <v>3.0900000000000003E-4</v>
      </c>
      <c r="S552" s="18">
        <v>8.6520000000000014E-2</v>
      </c>
      <c r="T552" s="18">
        <v>0.37080000000000002</v>
      </c>
      <c r="U552" s="18">
        <v>0.18540000000000001</v>
      </c>
      <c r="V552" s="18">
        <v>2.3731200000000001</v>
      </c>
      <c r="W552" s="18">
        <v>2.2248000000000001</v>
      </c>
      <c r="X552" s="18">
        <v>1.4832000000000001</v>
      </c>
      <c r="Y552" s="18">
        <v>6.5920000000000006E-2</v>
      </c>
      <c r="Z552" s="18">
        <v>0.29252</v>
      </c>
      <c r="AA552" s="18">
        <v>0.42848000000000003</v>
      </c>
      <c r="AB552" s="18">
        <v>0.7622000000000001</v>
      </c>
      <c r="AC552" s="18">
        <v>0.23484000000000002</v>
      </c>
      <c r="AD552" s="18">
        <v>1.2360000000000002</v>
      </c>
    </row>
    <row r="553" spans="2:30" x14ac:dyDescent="0.25">
      <c r="B553" t="s">
        <v>269</v>
      </c>
      <c r="C553" t="s">
        <v>105</v>
      </c>
      <c r="D553" t="s">
        <v>749</v>
      </c>
      <c r="E553" s="35">
        <v>0.9</v>
      </c>
      <c r="F553" s="35">
        <v>6.6</v>
      </c>
      <c r="G553" s="36">
        <v>3.5699999999999998E-3</v>
      </c>
      <c r="H553" s="18">
        <v>6.4252979999999997</v>
      </c>
      <c r="I553" s="16" t="s">
        <v>746</v>
      </c>
      <c r="J553" s="16"/>
      <c r="K553" s="16"/>
      <c r="L553" s="37"/>
      <c r="M553" s="37"/>
      <c r="N553" s="37"/>
      <c r="O553" s="37"/>
      <c r="P553" s="37"/>
      <c r="Q553" s="18">
        <v>3.9269999999999999E-2</v>
      </c>
      <c r="R553" s="18">
        <v>2.6774999999999998E-4</v>
      </c>
      <c r="S553" s="18">
        <v>7.4969999999999995E-2</v>
      </c>
      <c r="T553" s="18">
        <v>0.32129999999999997</v>
      </c>
      <c r="U553" s="18">
        <v>0.16064999999999999</v>
      </c>
      <c r="V553" s="18">
        <v>2.0563199999999999</v>
      </c>
      <c r="W553" s="18">
        <v>1.9278</v>
      </c>
      <c r="X553" s="18">
        <v>1.2851999999999999</v>
      </c>
      <c r="Y553" s="18">
        <v>5.7119999999999997E-2</v>
      </c>
      <c r="Z553" s="18">
        <v>0.25346999999999997</v>
      </c>
      <c r="AA553" s="18">
        <v>0.37128</v>
      </c>
      <c r="AB553" s="18">
        <v>0.66044999999999998</v>
      </c>
      <c r="AC553" s="18">
        <v>0.20348999999999998</v>
      </c>
      <c r="AD553" s="18">
        <v>1.071</v>
      </c>
    </row>
    <row r="554" spans="2:30" x14ac:dyDescent="0.25">
      <c r="B554" t="s">
        <v>269</v>
      </c>
      <c r="C554" t="s">
        <v>105</v>
      </c>
      <c r="D554" t="s">
        <v>748</v>
      </c>
      <c r="E554" s="35">
        <v>0.9</v>
      </c>
      <c r="F554" s="35">
        <v>6.6</v>
      </c>
      <c r="G554" s="36">
        <v>4.1200000000000004E-3</v>
      </c>
      <c r="H554" s="18">
        <v>7.4152979999999999</v>
      </c>
      <c r="I554" s="16" t="s">
        <v>746</v>
      </c>
      <c r="J554" s="16"/>
      <c r="K554" s="16"/>
      <c r="L554" s="37"/>
      <c r="M554" s="37"/>
      <c r="N554" s="37"/>
      <c r="O554" s="37"/>
      <c r="P554" s="37"/>
      <c r="Q554" s="18">
        <v>4.5320000000000006E-2</v>
      </c>
      <c r="R554" s="18">
        <v>3.0900000000000003E-4</v>
      </c>
      <c r="S554" s="18">
        <v>8.6520000000000014E-2</v>
      </c>
      <c r="T554" s="18">
        <v>0.37080000000000002</v>
      </c>
      <c r="U554" s="18">
        <v>0.18540000000000001</v>
      </c>
      <c r="V554" s="18">
        <v>2.3731200000000001</v>
      </c>
      <c r="W554" s="18">
        <v>2.2248000000000001</v>
      </c>
      <c r="X554" s="18">
        <v>1.4832000000000001</v>
      </c>
      <c r="Y554" s="18">
        <v>6.5920000000000006E-2</v>
      </c>
      <c r="Z554" s="18">
        <v>0.29252</v>
      </c>
      <c r="AA554" s="18">
        <v>0.42848000000000003</v>
      </c>
      <c r="AB554" s="18">
        <v>0.7622000000000001</v>
      </c>
      <c r="AC554" s="18">
        <v>0.23484000000000002</v>
      </c>
      <c r="AD554" s="18">
        <v>1.2360000000000002</v>
      </c>
    </row>
    <row r="555" spans="2:30" x14ac:dyDescent="0.25">
      <c r="B555" t="s">
        <v>269</v>
      </c>
      <c r="C555" t="s">
        <v>105</v>
      </c>
      <c r="D555" t="s">
        <v>749</v>
      </c>
      <c r="E555" s="35">
        <v>0.9</v>
      </c>
      <c r="F555" s="35">
        <v>6.6</v>
      </c>
      <c r="G555" s="36">
        <v>3.5699999999999998E-3</v>
      </c>
      <c r="H555" s="18">
        <v>6.4252979999999997</v>
      </c>
      <c r="I555" s="16" t="s">
        <v>746</v>
      </c>
      <c r="J555" s="16"/>
      <c r="K555" s="16"/>
      <c r="L555" s="37"/>
      <c r="M555" s="37"/>
      <c r="N555" s="37"/>
      <c r="O555" s="37"/>
      <c r="P555" s="37"/>
      <c r="Q555" s="18">
        <v>3.9269999999999999E-2</v>
      </c>
      <c r="R555" s="18">
        <v>2.6774999999999998E-4</v>
      </c>
      <c r="S555" s="18">
        <v>7.4969999999999995E-2</v>
      </c>
      <c r="T555" s="18">
        <v>0.32129999999999997</v>
      </c>
      <c r="U555" s="18">
        <v>0.16064999999999999</v>
      </c>
      <c r="V555" s="18">
        <v>2.0563199999999999</v>
      </c>
      <c r="W555" s="18">
        <v>1.9278</v>
      </c>
      <c r="X555" s="18">
        <v>1.2851999999999999</v>
      </c>
      <c r="Y555" s="18">
        <v>5.7119999999999997E-2</v>
      </c>
      <c r="Z555" s="18">
        <v>0.25346999999999997</v>
      </c>
      <c r="AA555" s="18">
        <v>0.37128</v>
      </c>
      <c r="AB555" s="18">
        <v>0.66044999999999998</v>
      </c>
      <c r="AC555" s="18">
        <v>0.20348999999999998</v>
      </c>
      <c r="AD555" s="18">
        <v>1.071</v>
      </c>
    </row>
    <row r="556" spans="2:30" x14ac:dyDescent="0.25">
      <c r="B556" t="s">
        <v>269</v>
      </c>
      <c r="C556" t="s">
        <v>105</v>
      </c>
      <c r="D556" t="s">
        <v>750</v>
      </c>
      <c r="E556" s="35">
        <v>0.9</v>
      </c>
      <c r="F556" s="35">
        <v>6.6</v>
      </c>
      <c r="G556" s="36">
        <v>3.0200000000000001E-3</v>
      </c>
      <c r="H556" s="18">
        <v>5.4352980000000004</v>
      </c>
      <c r="I556" s="16" t="s">
        <v>746</v>
      </c>
      <c r="J556" s="16"/>
      <c r="K556" s="16"/>
      <c r="L556" s="37"/>
      <c r="M556" s="37"/>
      <c r="N556" s="37"/>
      <c r="O556" s="37"/>
      <c r="P556" s="37"/>
      <c r="Q556" s="18">
        <v>3.322E-2</v>
      </c>
      <c r="R556" s="18">
        <v>2.265E-4</v>
      </c>
      <c r="S556" s="18">
        <v>6.3420000000000004E-2</v>
      </c>
      <c r="T556" s="18">
        <v>0.27179999999999999</v>
      </c>
      <c r="U556" s="18">
        <v>0.13589999999999999</v>
      </c>
      <c r="V556" s="18">
        <v>1.7395200000000002</v>
      </c>
      <c r="W556" s="18">
        <v>1.6308</v>
      </c>
      <c r="X556" s="18">
        <v>1.0871999999999999</v>
      </c>
      <c r="Y556" s="18">
        <v>4.8320000000000002E-2</v>
      </c>
      <c r="Z556" s="18">
        <v>0.21442</v>
      </c>
      <c r="AA556" s="18">
        <v>0.31408000000000003</v>
      </c>
      <c r="AB556" s="18">
        <v>0.55869999999999997</v>
      </c>
      <c r="AC556" s="18">
        <v>0.17214000000000002</v>
      </c>
      <c r="AD556" s="18">
        <v>0.90600000000000003</v>
      </c>
    </row>
    <row r="557" spans="2:30" x14ac:dyDescent="0.25">
      <c r="B557" t="s">
        <v>269</v>
      </c>
      <c r="C557" t="s">
        <v>105</v>
      </c>
      <c r="D557" t="s">
        <v>748</v>
      </c>
      <c r="E557" s="35">
        <v>0.9</v>
      </c>
      <c r="F557" s="35">
        <v>6.6</v>
      </c>
      <c r="G557" s="36">
        <v>4.1200000000000004E-3</v>
      </c>
      <c r="H557" s="18">
        <v>7.4152979999999999</v>
      </c>
      <c r="I557" s="16" t="s">
        <v>746</v>
      </c>
      <c r="J557" s="16"/>
      <c r="K557" s="16"/>
      <c r="L557" s="37"/>
      <c r="M557" s="37"/>
      <c r="N557" s="37"/>
      <c r="O557" s="37"/>
      <c r="P557" s="37"/>
      <c r="Q557" s="18">
        <v>4.5320000000000006E-2</v>
      </c>
      <c r="R557" s="18">
        <v>3.0900000000000003E-4</v>
      </c>
      <c r="S557" s="18">
        <v>8.6520000000000014E-2</v>
      </c>
      <c r="T557" s="18">
        <v>0.37080000000000002</v>
      </c>
      <c r="U557" s="18">
        <v>0.18540000000000001</v>
      </c>
      <c r="V557" s="18">
        <v>2.3731200000000001</v>
      </c>
      <c r="W557" s="18">
        <v>2.2248000000000001</v>
      </c>
      <c r="X557" s="18">
        <v>1.4832000000000001</v>
      </c>
      <c r="Y557" s="18">
        <v>6.5920000000000006E-2</v>
      </c>
      <c r="Z557" s="18">
        <v>0.29252</v>
      </c>
      <c r="AA557" s="18">
        <v>0.42848000000000003</v>
      </c>
      <c r="AB557" s="18">
        <v>0.7622000000000001</v>
      </c>
      <c r="AC557" s="18">
        <v>0.23484000000000002</v>
      </c>
      <c r="AD557" s="18">
        <v>1.2360000000000002</v>
      </c>
    </row>
    <row r="558" spans="2:30" x14ac:dyDescent="0.25">
      <c r="B558" t="s">
        <v>269</v>
      </c>
      <c r="C558" t="s">
        <v>105</v>
      </c>
      <c r="D558" t="s">
        <v>749</v>
      </c>
      <c r="E558" s="35">
        <v>0.9</v>
      </c>
      <c r="F558" s="35">
        <v>6.6</v>
      </c>
      <c r="G558" s="36">
        <v>3.5699999999999998E-3</v>
      </c>
      <c r="H558" s="18">
        <v>6.4252979999999997</v>
      </c>
      <c r="I558" s="16" t="s">
        <v>746</v>
      </c>
      <c r="J558" s="16"/>
      <c r="K558" s="16"/>
      <c r="L558" s="37"/>
      <c r="M558" s="37"/>
      <c r="N558" s="37"/>
      <c r="O558" s="37"/>
      <c r="P558" s="37"/>
      <c r="Q558" s="18">
        <v>3.9269999999999999E-2</v>
      </c>
      <c r="R558" s="18">
        <v>2.6774999999999998E-4</v>
      </c>
      <c r="S558" s="18">
        <v>7.4969999999999995E-2</v>
      </c>
      <c r="T558" s="18">
        <v>0.32129999999999997</v>
      </c>
      <c r="U558" s="18">
        <v>0.16064999999999999</v>
      </c>
      <c r="V558" s="18">
        <v>2.0563199999999999</v>
      </c>
      <c r="W558" s="18">
        <v>1.9278</v>
      </c>
      <c r="X558" s="18">
        <v>1.2851999999999999</v>
      </c>
      <c r="Y558" s="18">
        <v>5.7119999999999997E-2</v>
      </c>
      <c r="Z558" s="18">
        <v>0.25346999999999997</v>
      </c>
      <c r="AA558" s="18">
        <v>0.37128</v>
      </c>
      <c r="AB558" s="18">
        <v>0.66044999999999998</v>
      </c>
      <c r="AC558" s="18">
        <v>0.20348999999999998</v>
      </c>
      <c r="AD558" s="18">
        <v>1.071</v>
      </c>
    </row>
    <row r="559" spans="2:30" x14ac:dyDescent="0.25">
      <c r="B559" t="s">
        <v>269</v>
      </c>
      <c r="C559" t="s">
        <v>105</v>
      </c>
      <c r="D559" t="s">
        <v>749</v>
      </c>
      <c r="E559" s="35">
        <v>0.9</v>
      </c>
      <c r="F559" s="35">
        <v>6.6</v>
      </c>
      <c r="G559" s="36">
        <v>3.5699999999999998E-3</v>
      </c>
      <c r="H559" s="18">
        <v>6.4252979999999997</v>
      </c>
      <c r="I559" s="16" t="s">
        <v>746</v>
      </c>
      <c r="J559" s="16"/>
      <c r="K559" s="16"/>
      <c r="L559" s="37"/>
      <c r="M559" s="37"/>
      <c r="N559" s="37"/>
      <c r="O559" s="37"/>
      <c r="P559" s="37"/>
      <c r="Q559" s="18">
        <v>3.9269999999999999E-2</v>
      </c>
      <c r="R559" s="18">
        <v>2.6774999999999998E-4</v>
      </c>
      <c r="S559" s="18">
        <v>7.4969999999999995E-2</v>
      </c>
      <c r="T559" s="18">
        <v>0.32129999999999997</v>
      </c>
      <c r="U559" s="18">
        <v>0.16064999999999999</v>
      </c>
      <c r="V559" s="18">
        <v>2.0563199999999999</v>
      </c>
      <c r="W559" s="18">
        <v>1.9278</v>
      </c>
      <c r="X559" s="18">
        <v>1.2851999999999999</v>
      </c>
      <c r="Y559" s="18">
        <v>5.7119999999999997E-2</v>
      </c>
      <c r="Z559" s="18">
        <v>0.25346999999999997</v>
      </c>
      <c r="AA559" s="18">
        <v>0.37128</v>
      </c>
      <c r="AB559" s="18">
        <v>0.66044999999999998</v>
      </c>
      <c r="AC559" s="18">
        <v>0.20348999999999998</v>
      </c>
      <c r="AD559" s="18">
        <v>1.071</v>
      </c>
    </row>
    <row r="560" spans="2:30" x14ac:dyDescent="0.25">
      <c r="B560" t="s">
        <v>269</v>
      </c>
      <c r="C560" t="s">
        <v>105</v>
      </c>
      <c r="D560" t="s">
        <v>750</v>
      </c>
      <c r="E560" s="35">
        <v>0.9</v>
      </c>
      <c r="F560" s="35">
        <v>6.6</v>
      </c>
      <c r="G560" s="36">
        <v>3.0200000000000001E-3</v>
      </c>
      <c r="H560" s="18">
        <v>5.4352980000000004</v>
      </c>
      <c r="I560" s="16" t="s">
        <v>746</v>
      </c>
      <c r="J560" s="16"/>
      <c r="K560" s="16"/>
      <c r="L560" s="37"/>
      <c r="M560" s="37"/>
      <c r="N560" s="37"/>
      <c r="O560" s="37"/>
      <c r="P560" s="37"/>
      <c r="Q560" s="18">
        <v>3.322E-2</v>
      </c>
      <c r="R560" s="18">
        <v>2.265E-4</v>
      </c>
      <c r="S560" s="18">
        <v>6.3420000000000004E-2</v>
      </c>
      <c r="T560" s="18">
        <v>0.27179999999999999</v>
      </c>
      <c r="U560" s="18">
        <v>0.13589999999999999</v>
      </c>
      <c r="V560" s="18">
        <v>1.7395200000000002</v>
      </c>
      <c r="W560" s="18">
        <v>1.6308</v>
      </c>
      <c r="X560" s="18">
        <v>1.0871999999999999</v>
      </c>
      <c r="Y560" s="18">
        <v>4.8320000000000002E-2</v>
      </c>
      <c r="Z560" s="18">
        <v>0.21442</v>
      </c>
      <c r="AA560" s="18">
        <v>0.31408000000000003</v>
      </c>
      <c r="AB560" s="18">
        <v>0.55869999999999997</v>
      </c>
      <c r="AC560" s="18">
        <v>0.17214000000000002</v>
      </c>
      <c r="AD560" s="18">
        <v>0.90600000000000003</v>
      </c>
    </row>
    <row r="561" spans="2:30" x14ac:dyDescent="0.25">
      <c r="B561" t="s">
        <v>269</v>
      </c>
      <c r="C561" t="s">
        <v>105</v>
      </c>
      <c r="D561" t="s">
        <v>748</v>
      </c>
      <c r="E561" s="35">
        <v>0.9</v>
      </c>
      <c r="F561" s="35">
        <v>6.6</v>
      </c>
      <c r="G561" s="36">
        <v>4.1200000000000004E-3</v>
      </c>
      <c r="H561" s="18">
        <v>7.4152979999999999</v>
      </c>
      <c r="I561" s="16" t="s">
        <v>746</v>
      </c>
      <c r="J561" s="16"/>
      <c r="K561" s="16"/>
      <c r="L561" s="37"/>
      <c r="M561" s="37"/>
      <c r="N561" s="37"/>
      <c r="O561" s="37"/>
      <c r="P561" s="37"/>
      <c r="Q561" s="18">
        <v>4.5320000000000006E-2</v>
      </c>
      <c r="R561" s="18">
        <v>3.0900000000000003E-4</v>
      </c>
      <c r="S561" s="18">
        <v>8.6520000000000014E-2</v>
      </c>
      <c r="T561" s="18">
        <v>0.37080000000000002</v>
      </c>
      <c r="U561" s="18">
        <v>0.18540000000000001</v>
      </c>
      <c r="V561" s="18">
        <v>2.3731200000000001</v>
      </c>
      <c r="W561" s="18">
        <v>2.2248000000000001</v>
      </c>
      <c r="X561" s="18">
        <v>1.4832000000000001</v>
      </c>
      <c r="Y561" s="18">
        <v>6.5920000000000006E-2</v>
      </c>
      <c r="Z561" s="18">
        <v>0.29252</v>
      </c>
      <c r="AA561" s="18">
        <v>0.42848000000000003</v>
      </c>
      <c r="AB561" s="18">
        <v>0.7622000000000001</v>
      </c>
      <c r="AC561" s="18">
        <v>0.23484000000000002</v>
      </c>
      <c r="AD561" s="18">
        <v>1.2360000000000002</v>
      </c>
    </row>
    <row r="562" spans="2:30" x14ac:dyDescent="0.25">
      <c r="B562" t="s">
        <v>269</v>
      </c>
      <c r="C562" t="s">
        <v>105</v>
      </c>
      <c r="D562" t="s">
        <v>749</v>
      </c>
      <c r="E562" s="35">
        <v>0.9</v>
      </c>
      <c r="F562" s="35">
        <v>6.6</v>
      </c>
      <c r="G562" s="36">
        <v>3.5699999999999998E-3</v>
      </c>
      <c r="H562" s="18">
        <v>6.4252979999999997</v>
      </c>
      <c r="I562" s="16" t="s">
        <v>746</v>
      </c>
      <c r="J562" s="16"/>
      <c r="K562" s="16"/>
      <c r="L562" s="37"/>
      <c r="M562" s="37"/>
      <c r="N562" s="37"/>
      <c r="O562" s="37"/>
      <c r="P562" s="37"/>
      <c r="Q562" s="18">
        <v>3.9269999999999999E-2</v>
      </c>
      <c r="R562" s="18">
        <v>2.6774999999999998E-4</v>
      </c>
      <c r="S562" s="18">
        <v>7.4969999999999995E-2</v>
      </c>
      <c r="T562" s="18">
        <v>0.32129999999999997</v>
      </c>
      <c r="U562" s="18">
        <v>0.16064999999999999</v>
      </c>
      <c r="V562" s="18">
        <v>2.0563199999999999</v>
      </c>
      <c r="W562" s="18">
        <v>1.9278</v>
      </c>
      <c r="X562" s="18">
        <v>1.2851999999999999</v>
      </c>
      <c r="Y562" s="18">
        <v>5.7119999999999997E-2</v>
      </c>
      <c r="Z562" s="18">
        <v>0.25346999999999997</v>
      </c>
      <c r="AA562" s="18">
        <v>0.37128</v>
      </c>
      <c r="AB562" s="18">
        <v>0.66044999999999998</v>
      </c>
      <c r="AC562" s="18">
        <v>0.20348999999999998</v>
      </c>
      <c r="AD562" s="18">
        <v>1.071</v>
      </c>
    </row>
    <row r="563" spans="2:30" x14ac:dyDescent="0.25">
      <c r="B563" t="s">
        <v>269</v>
      </c>
      <c r="C563" t="s">
        <v>105</v>
      </c>
      <c r="D563" t="s">
        <v>749</v>
      </c>
      <c r="E563" s="35">
        <v>0.9</v>
      </c>
      <c r="F563" s="35">
        <v>6.6</v>
      </c>
      <c r="G563" s="36">
        <v>3.5699999999999998E-3</v>
      </c>
      <c r="H563" s="18">
        <v>6.4252979999999997</v>
      </c>
      <c r="I563" s="16" t="s">
        <v>746</v>
      </c>
      <c r="J563" s="16"/>
      <c r="K563" s="16"/>
      <c r="L563" s="37"/>
      <c r="M563" s="37"/>
      <c r="N563" s="37"/>
      <c r="O563" s="37"/>
      <c r="P563" s="37"/>
      <c r="Q563" s="18">
        <v>3.9269999999999999E-2</v>
      </c>
      <c r="R563" s="18">
        <v>2.6774999999999998E-4</v>
      </c>
      <c r="S563" s="18">
        <v>7.4969999999999995E-2</v>
      </c>
      <c r="T563" s="18">
        <v>0.32129999999999997</v>
      </c>
      <c r="U563" s="18">
        <v>0.16064999999999999</v>
      </c>
      <c r="V563" s="18">
        <v>2.0563199999999999</v>
      </c>
      <c r="W563" s="18">
        <v>1.9278</v>
      </c>
      <c r="X563" s="18">
        <v>1.2851999999999999</v>
      </c>
      <c r="Y563" s="18">
        <v>5.7119999999999997E-2</v>
      </c>
      <c r="Z563" s="18">
        <v>0.25346999999999997</v>
      </c>
      <c r="AA563" s="18">
        <v>0.37128</v>
      </c>
      <c r="AB563" s="18">
        <v>0.66044999999999998</v>
      </c>
      <c r="AC563" s="18">
        <v>0.20348999999999998</v>
      </c>
      <c r="AD563" s="18">
        <v>1.071</v>
      </c>
    </row>
    <row r="564" spans="2:30" x14ac:dyDescent="0.25">
      <c r="B564" t="s">
        <v>269</v>
      </c>
      <c r="C564" t="s">
        <v>105</v>
      </c>
      <c r="D564" t="s">
        <v>750</v>
      </c>
      <c r="E564" s="35">
        <v>0.9</v>
      </c>
      <c r="F564" s="35">
        <v>6.6</v>
      </c>
      <c r="G564" s="36">
        <v>3.0200000000000001E-3</v>
      </c>
      <c r="H564" s="18">
        <v>5.4352980000000004</v>
      </c>
      <c r="I564" s="16" t="s">
        <v>746</v>
      </c>
      <c r="J564" s="16"/>
      <c r="K564" s="16"/>
      <c r="L564" s="37"/>
      <c r="M564" s="37"/>
      <c r="N564" s="37"/>
      <c r="O564" s="37"/>
      <c r="P564" s="37"/>
      <c r="Q564" s="18">
        <v>3.322E-2</v>
      </c>
      <c r="R564" s="18">
        <v>2.265E-4</v>
      </c>
      <c r="S564" s="18">
        <v>6.3420000000000004E-2</v>
      </c>
      <c r="T564" s="18">
        <v>0.27179999999999999</v>
      </c>
      <c r="U564" s="18">
        <v>0.13589999999999999</v>
      </c>
      <c r="V564" s="18">
        <v>1.7395200000000002</v>
      </c>
      <c r="W564" s="18">
        <v>1.6308</v>
      </c>
      <c r="X564" s="18">
        <v>1.0871999999999999</v>
      </c>
      <c r="Y564" s="18">
        <v>4.8320000000000002E-2</v>
      </c>
      <c r="Z564" s="18">
        <v>0.21442</v>
      </c>
      <c r="AA564" s="18">
        <v>0.31408000000000003</v>
      </c>
      <c r="AB564" s="18">
        <v>0.55869999999999997</v>
      </c>
      <c r="AC564" s="18">
        <v>0.17214000000000002</v>
      </c>
      <c r="AD564" s="18">
        <v>0.90600000000000003</v>
      </c>
    </row>
    <row r="565" spans="2:30" x14ac:dyDescent="0.25">
      <c r="B565" t="s">
        <v>269</v>
      </c>
      <c r="C565" t="s">
        <v>105</v>
      </c>
      <c r="D565" t="s">
        <v>749</v>
      </c>
      <c r="E565" s="35">
        <v>0.9</v>
      </c>
      <c r="F565" s="35">
        <v>6.6</v>
      </c>
      <c r="G565" s="36">
        <v>3.5699999999999998E-3</v>
      </c>
      <c r="H565" s="18">
        <v>6.4252979999999997</v>
      </c>
      <c r="I565" s="16" t="s">
        <v>746</v>
      </c>
      <c r="J565" s="16"/>
      <c r="K565" s="16"/>
      <c r="L565" s="37"/>
      <c r="M565" s="37"/>
      <c r="N565" s="37"/>
      <c r="O565" s="37"/>
      <c r="P565" s="37"/>
      <c r="Q565" s="18">
        <v>3.9269999999999999E-2</v>
      </c>
      <c r="R565" s="18">
        <v>2.6774999999999998E-4</v>
      </c>
      <c r="S565" s="18">
        <v>7.4969999999999995E-2</v>
      </c>
      <c r="T565" s="18">
        <v>0.32129999999999997</v>
      </c>
      <c r="U565" s="18">
        <v>0.16064999999999999</v>
      </c>
      <c r="V565" s="18">
        <v>2.0563199999999999</v>
      </c>
      <c r="W565" s="18">
        <v>1.9278</v>
      </c>
      <c r="X565" s="18">
        <v>1.2851999999999999</v>
      </c>
      <c r="Y565" s="18">
        <v>5.7119999999999997E-2</v>
      </c>
      <c r="Z565" s="18">
        <v>0.25346999999999997</v>
      </c>
      <c r="AA565" s="18">
        <v>0.37128</v>
      </c>
      <c r="AB565" s="18">
        <v>0.66044999999999998</v>
      </c>
      <c r="AC565" s="18">
        <v>0.20348999999999998</v>
      </c>
      <c r="AD565" s="18">
        <v>1.071</v>
      </c>
    </row>
    <row r="566" spans="2:30" x14ac:dyDescent="0.25">
      <c r="B566" t="s">
        <v>269</v>
      </c>
      <c r="C566" t="s">
        <v>105</v>
      </c>
      <c r="D566" t="s">
        <v>748</v>
      </c>
      <c r="E566" s="35">
        <v>0.9</v>
      </c>
      <c r="F566" s="35">
        <v>6.6</v>
      </c>
      <c r="G566" s="36">
        <v>4.1200000000000004E-3</v>
      </c>
      <c r="H566" s="18">
        <v>7.4152979999999999</v>
      </c>
      <c r="I566" s="16" t="s">
        <v>746</v>
      </c>
      <c r="J566" s="16"/>
      <c r="K566" s="16"/>
      <c r="L566" s="37"/>
      <c r="M566" s="37"/>
      <c r="N566" s="37"/>
      <c r="O566" s="37"/>
      <c r="P566" s="37"/>
      <c r="Q566" s="18">
        <v>4.5320000000000006E-2</v>
      </c>
      <c r="R566" s="18">
        <v>3.0900000000000003E-4</v>
      </c>
      <c r="S566" s="18">
        <v>8.6520000000000014E-2</v>
      </c>
      <c r="T566" s="18">
        <v>0.37080000000000002</v>
      </c>
      <c r="U566" s="18">
        <v>0.18540000000000001</v>
      </c>
      <c r="V566" s="18">
        <v>2.3731200000000001</v>
      </c>
      <c r="W566" s="18">
        <v>2.2248000000000001</v>
      </c>
      <c r="X566" s="18">
        <v>1.4832000000000001</v>
      </c>
      <c r="Y566" s="18">
        <v>6.5920000000000006E-2</v>
      </c>
      <c r="Z566" s="18">
        <v>0.29252</v>
      </c>
      <c r="AA566" s="18">
        <v>0.42848000000000003</v>
      </c>
      <c r="AB566" s="18">
        <v>0.7622000000000001</v>
      </c>
      <c r="AC566" s="18">
        <v>0.23484000000000002</v>
      </c>
      <c r="AD566" s="18">
        <v>1.2360000000000002</v>
      </c>
    </row>
    <row r="567" spans="2:30" x14ac:dyDescent="0.25">
      <c r="B567" t="s">
        <v>269</v>
      </c>
      <c r="C567" t="s">
        <v>105</v>
      </c>
      <c r="D567" t="s">
        <v>750</v>
      </c>
      <c r="E567" s="35">
        <v>0.9</v>
      </c>
      <c r="F567" s="35">
        <v>6.6</v>
      </c>
      <c r="G567" s="36">
        <v>3.0200000000000001E-3</v>
      </c>
      <c r="H567" s="18">
        <v>5.4352980000000004</v>
      </c>
      <c r="I567" s="16" t="s">
        <v>746</v>
      </c>
      <c r="J567" s="16"/>
      <c r="K567" s="16"/>
      <c r="L567" s="37"/>
      <c r="M567" s="37"/>
      <c r="N567" s="37"/>
      <c r="O567" s="37"/>
      <c r="P567" s="37"/>
      <c r="Q567" s="18">
        <v>3.322E-2</v>
      </c>
      <c r="R567" s="18">
        <v>2.265E-4</v>
      </c>
      <c r="S567" s="18">
        <v>6.3420000000000004E-2</v>
      </c>
      <c r="T567" s="18">
        <v>0.27179999999999999</v>
      </c>
      <c r="U567" s="18">
        <v>0.13589999999999999</v>
      </c>
      <c r="V567" s="18">
        <v>1.7395200000000002</v>
      </c>
      <c r="W567" s="18">
        <v>1.6308</v>
      </c>
      <c r="X567" s="18">
        <v>1.0871999999999999</v>
      </c>
      <c r="Y567" s="18">
        <v>4.8320000000000002E-2</v>
      </c>
      <c r="Z567" s="18">
        <v>0.21442</v>
      </c>
      <c r="AA567" s="18">
        <v>0.31408000000000003</v>
      </c>
      <c r="AB567" s="18">
        <v>0.55869999999999997</v>
      </c>
      <c r="AC567" s="18">
        <v>0.17214000000000002</v>
      </c>
      <c r="AD567" s="18">
        <v>0.90600000000000003</v>
      </c>
    </row>
    <row r="568" spans="2:30" x14ac:dyDescent="0.25">
      <c r="B568" t="s">
        <v>269</v>
      </c>
      <c r="C568" t="s">
        <v>105</v>
      </c>
      <c r="D568" t="s">
        <v>749</v>
      </c>
      <c r="E568" s="35">
        <v>0.9</v>
      </c>
      <c r="F568" s="35">
        <v>6.6</v>
      </c>
      <c r="G568" s="36">
        <v>3.5699999999999998E-3</v>
      </c>
      <c r="H568" s="18">
        <v>6.4252979999999997</v>
      </c>
      <c r="I568" s="16" t="s">
        <v>746</v>
      </c>
      <c r="J568" s="16"/>
      <c r="K568" s="16"/>
      <c r="L568" s="37"/>
      <c r="M568" s="37"/>
      <c r="N568" s="37"/>
      <c r="O568" s="37"/>
      <c r="P568" s="37"/>
      <c r="Q568" s="18">
        <v>3.9269999999999999E-2</v>
      </c>
      <c r="R568" s="18">
        <v>2.6774999999999998E-4</v>
      </c>
      <c r="S568" s="18">
        <v>7.4969999999999995E-2</v>
      </c>
      <c r="T568" s="18">
        <v>0.32129999999999997</v>
      </c>
      <c r="U568" s="18">
        <v>0.16064999999999999</v>
      </c>
      <c r="V568" s="18">
        <v>2.0563199999999999</v>
      </c>
      <c r="W568" s="18">
        <v>1.9278</v>
      </c>
      <c r="X568" s="18">
        <v>1.2851999999999999</v>
      </c>
      <c r="Y568" s="18">
        <v>5.7119999999999997E-2</v>
      </c>
      <c r="Z568" s="18">
        <v>0.25346999999999997</v>
      </c>
      <c r="AA568" s="18">
        <v>0.37128</v>
      </c>
      <c r="AB568" s="18">
        <v>0.66044999999999998</v>
      </c>
      <c r="AC568" s="18">
        <v>0.20348999999999998</v>
      </c>
      <c r="AD568" s="18">
        <v>1.071</v>
      </c>
    </row>
    <row r="569" spans="2:30" x14ac:dyDescent="0.25">
      <c r="B569" t="s">
        <v>269</v>
      </c>
      <c r="C569" t="s">
        <v>105</v>
      </c>
      <c r="D569" t="s">
        <v>748</v>
      </c>
      <c r="E569" s="35">
        <v>0.9</v>
      </c>
      <c r="F569" s="35">
        <v>6.6</v>
      </c>
      <c r="G569" s="36">
        <v>4.1200000000000004E-3</v>
      </c>
      <c r="H569" s="18">
        <v>7.4152979999999999</v>
      </c>
      <c r="I569" s="16" t="s">
        <v>746</v>
      </c>
      <c r="J569" s="16"/>
      <c r="K569" s="16"/>
      <c r="L569" s="37"/>
      <c r="M569" s="37"/>
      <c r="N569" s="37"/>
      <c r="O569" s="37"/>
      <c r="P569" s="37"/>
      <c r="Q569" s="18">
        <v>4.5320000000000006E-2</v>
      </c>
      <c r="R569" s="18">
        <v>3.0900000000000003E-4</v>
      </c>
      <c r="S569" s="18">
        <v>8.6520000000000014E-2</v>
      </c>
      <c r="T569" s="18">
        <v>0.37080000000000002</v>
      </c>
      <c r="U569" s="18">
        <v>0.18540000000000001</v>
      </c>
      <c r="V569" s="18">
        <v>2.3731200000000001</v>
      </c>
      <c r="W569" s="18">
        <v>2.2248000000000001</v>
      </c>
      <c r="X569" s="18">
        <v>1.4832000000000001</v>
      </c>
      <c r="Y569" s="18">
        <v>6.5920000000000006E-2</v>
      </c>
      <c r="Z569" s="18">
        <v>0.29252</v>
      </c>
      <c r="AA569" s="18">
        <v>0.42848000000000003</v>
      </c>
      <c r="AB569" s="18">
        <v>0.7622000000000001</v>
      </c>
      <c r="AC569" s="18">
        <v>0.23484000000000002</v>
      </c>
      <c r="AD569" s="18">
        <v>1.2360000000000002</v>
      </c>
    </row>
    <row r="570" spans="2:30" x14ac:dyDescent="0.25">
      <c r="B570" t="s">
        <v>269</v>
      </c>
      <c r="C570" t="s">
        <v>105</v>
      </c>
      <c r="D570" t="s">
        <v>749</v>
      </c>
      <c r="E570" s="35">
        <v>0.9</v>
      </c>
      <c r="F570" s="35">
        <v>6.6</v>
      </c>
      <c r="G570" s="36">
        <v>3.5699999999999998E-3</v>
      </c>
      <c r="H570" s="18">
        <v>6.4252979999999997</v>
      </c>
      <c r="I570" s="16" t="s">
        <v>746</v>
      </c>
      <c r="J570" s="16"/>
      <c r="K570" s="16"/>
      <c r="L570" s="37"/>
      <c r="M570" s="37"/>
      <c r="N570" s="37"/>
      <c r="O570" s="37"/>
      <c r="P570" s="37"/>
      <c r="Q570" s="18">
        <v>3.9269999999999999E-2</v>
      </c>
      <c r="R570" s="18">
        <v>2.6774999999999998E-4</v>
      </c>
      <c r="S570" s="18">
        <v>7.4969999999999995E-2</v>
      </c>
      <c r="T570" s="18">
        <v>0.32129999999999997</v>
      </c>
      <c r="U570" s="18">
        <v>0.16064999999999999</v>
      </c>
      <c r="V570" s="18">
        <v>2.0563199999999999</v>
      </c>
      <c r="W570" s="18">
        <v>1.9278</v>
      </c>
      <c r="X570" s="18">
        <v>1.2851999999999999</v>
      </c>
      <c r="Y570" s="18">
        <v>5.7119999999999997E-2</v>
      </c>
      <c r="Z570" s="18">
        <v>0.25346999999999997</v>
      </c>
      <c r="AA570" s="18">
        <v>0.37128</v>
      </c>
      <c r="AB570" s="18">
        <v>0.66044999999999998</v>
      </c>
      <c r="AC570" s="18">
        <v>0.20348999999999998</v>
      </c>
      <c r="AD570" s="18">
        <v>1.071</v>
      </c>
    </row>
    <row r="571" spans="2:30" x14ac:dyDescent="0.25">
      <c r="B571" t="s">
        <v>269</v>
      </c>
      <c r="C571" t="s">
        <v>105</v>
      </c>
      <c r="D571" t="s">
        <v>750</v>
      </c>
      <c r="E571" s="35">
        <v>0.9</v>
      </c>
      <c r="F571" s="35">
        <v>6.6</v>
      </c>
      <c r="G571" s="36">
        <v>3.0200000000000001E-3</v>
      </c>
      <c r="H571" s="18">
        <v>5.4352980000000004</v>
      </c>
      <c r="I571" s="16" t="s">
        <v>746</v>
      </c>
      <c r="J571" s="16"/>
      <c r="K571" s="16"/>
      <c r="L571" s="37"/>
      <c r="M571" s="37"/>
      <c r="N571" s="37"/>
      <c r="O571" s="37"/>
      <c r="P571" s="37"/>
      <c r="Q571" s="18">
        <v>3.322E-2</v>
      </c>
      <c r="R571" s="18">
        <v>2.265E-4</v>
      </c>
      <c r="S571" s="18">
        <v>6.3420000000000004E-2</v>
      </c>
      <c r="T571" s="18">
        <v>0.27179999999999999</v>
      </c>
      <c r="U571" s="18">
        <v>0.13589999999999999</v>
      </c>
      <c r="V571" s="18">
        <v>1.7395200000000002</v>
      </c>
      <c r="W571" s="18">
        <v>1.6308</v>
      </c>
      <c r="X571" s="18">
        <v>1.0871999999999999</v>
      </c>
      <c r="Y571" s="18">
        <v>4.8320000000000002E-2</v>
      </c>
      <c r="Z571" s="18">
        <v>0.21442</v>
      </c>
      <c r="AA571" s="18">
        <v>0.31408000000000003</v>
      </c>
      <c r="AB571" s="18">
        <v>0.55869999999999997</v>
      </c>
      <c r="AC571" s="18">
        <v>0.17214000000000002</v>
      </c>
      <c r="AD571" s="18">
        <v>0.90600000000000003</v>
      </c>
    </row>
    <row r="572" spans="2:30" x14ac:dyDescent="0.25">
      <c r="B572" t="s">
        <v>269</v>
      </c>
      <c r="C572" t="s">
        <v>105</v>
      </c>
      <c r="D572" t="s">
        <v>749</v>
      </c>
      <c r="E572" s="35">
        <v>0.9</v>
      </c>
      <c r="F572" s="35">
        <v>6.6</v>
      </c>
      <c r="G572" s="36">
        <v>3.5699999999999998E-3</v>
      </c>
      <c r="H572" s="18">
        <v>6.4252979999999997</v>
      </c>
      <c r="I572" s="16" t="s">
        <v>746</v>
      </c>
      <c r="J572" s="16"/>
      <c r="K572" s="16"/>
      <c r="L572" s="37"/>
      <c r="M572" s="37"/>
      <c r="N572" s="37"/>
      <c r="O572" s="37"/>
      <c r="P572" s="37"/>
      <c r="Q572" s="18">
        <v>3.9269999999999999E-2</v>
      </c>
      <c r="R572" s="18">
        <v>2.6774999999999998E-4</v>
      </c>
      <c r="S572" s="18">
        <v>7.4969999999999995E-2</v>
      </c>
      <c r="T572" s="18">
        <v>0.32129999999999997</v>
      </c>
      <c r="U572" s="18">
        <v>0.16064999999999999</v>
      </c>
      <c r="V572" s="18">
        <v>2.0563199999999999</v>
      </c>
      <c r="W572" s="18">
        <v>1.9278</v>
      </c>
      <c r="X572" s="18">
        <v>1.2851999999999999</v>
      </c>
      <c r="Y572" s="18">
        <v>5.7119999999999997E-2</v>
      </c>
      <c r="Z572" s="18">
        <v>0.25346999999999997</v>
      </c>
      <c r="AA572" s="18">
        <v>0.37128</v>
      </c>
      <c r="AB572" s="18">
        <v>0.66044999999999998</v>
      </c>
      <c r="AC572" s="18">
        <v>0.20348999999999998</v>
      </c>
      <c r="AD572" s="18">
        <v>1.071</v>
      </c>
    </row>
    <row r="573" spans="2:30" x14ac:dyDescent="0.25">
      <c r="B573" t="s">
        <v>269</v>
      </c>
      <c r="C573" t="s">
        <v>105</v>
      </c>
      <c r="D573" t="s">
        <v>748</v>
      </c>
      <c r="E573" s="35">
        <v>0.9</v>
      </c>
      <c r="F573" s="35">
        <v>6.6</v>
      </c>
      <c r="G573" s="36">
        <v>4.1200000000000004E-3</v>
      </c>
      <c r="H573" s="18">
        <v>7.4152979999999999</v>
      </c>
      <c r="I573" s="16" t="s">
        <v>746</v>
      </c>
      <c r="J573" s="16"/>
      <c r="K573" s="16"/>
      <c r="L573" s="37"/>
      <c r="M573" s="37"/>
      <c r="N573" s="37"/>
      <c r="O573" s="37"/>
      <c r="P573" s="37"/>
      <c r="Q573" s="18">
        <v>4.5320000000000006E-2</v>
      </c>
      <c r="R573" s="18">
        <v>3.0900000000000003E-4</v>
      </c>
      <c r="S573" s="18">
        <v>8.6520000000000014E-2</v>
      </c>
      <c r="T573" s="18">
        <v>0.37080000000000002</v>
      </c>
      <c r="U573" s="18">
        <v>0.18540000000000001</v>
      </c>
      <c r="V573" s="18">
        <v>2.3731200000000001</v>
      </c>
      <c r="W573" s="18">
        <v>2.2248000000000001</v>
      </c>
      <c r="X573" s="18">
        <v>1.4832000000000001</v>
      </c>
      <c r="Y573" s="18">
        <v>6.5920000000000006E-2</v>
      </c>
      <c r="Z573" s="18">
        <v>0.29252</v>
      </c>
      <c r="AA573" s="18">
        <v>0.42848000000000003</v>
      </c>
      <c r="AB573" s="18">
        <v>0.7622000000000001</v>
      </c>
      <c r="AC573" s="18">
        <v>0.23484000000000002</v>
      </c>
      <c r="AD573" s="18">
        <v>1.2360000000000002</v>
      </c>
    </row>
    <row r="574" spans="2:30" x14ac:dyDescent="0.25">
      <c r="B574" t="s">
        <v>269</v>
      </c>
      <c r="C574" t="s">
        <v>105</v>
      </c>
      <c r="D574" t="s">
        <v>749</v>
      </c>
      <c r="E574" s="35">
        <v>0.9</v>
      </c>
      <c r="F574" s="35">
        <v>6.6</v>
      </c>
      <c r="G574" s="36">
        <v>3.5699999999999998E-3</v>
      </c>
      <c r="H574" s="18">
        <v>6.4252979999999997</v>
      </c>
      <c r="I574" s="16" t="s">
        <v>746</v>
      </c>
      <c r="J574" s="16"/>
      <c r="K574" s="16"/>
      <c r="L574" s="37"/>
      <c r="M574" s="37"/>
      <c r="N574" s="37"/>
      <c r="O574" s="37"/>
      <c r="P574" s="37"/>
      <c r="Q574" s="18">
        <v>3.9269999999999999E-2</v>
      </c>
      <c r="R574" s="18">
        <v>2.6774999999999998E-4</v>
      </c>
      <c r="S574" s="18">
        <v>7.4969999999999995E-2</v>
      </c>
      <c r="T574" s="18">
        <v>0.32129999999999997</v>
      </c>
      <c r="U574" s="18">
        <v>0.16064999999999999</v>
      </c>
      <c r="V574" s="18">
        <v>2.0563199999999999</v>
      </c>
      <c r="W574" s="18">
        <v>1.9278</v>
      </c>
      <c r="X574" s="18">
        <v>1.2851999999999999</v>
      </c>
      <c r="Y574" s="18">
        <v>5.7119999999999997E-2</v>
      </c>
      <c r="Z574" s="18">
        <v>0.25346999999999997</v>
      </c>
      <c r="AA574" s="18">
        <v>0.37128</v>
      </c>
      <c r="AB574" s="18">
        <v>0.66044999999999998</v>
      </c>
      <c r="AC574" s="18">
        <v>0.20348999999999998</v>
      </c>
      <c r="AD574" s="18">
        <v>1.071</v>
      </c>
    </row>
    <row r="575" spans="2:30" x14ac:dyDescent="0.25">
      <c r="B575" t="s">
        <v>269</v>
      </c>
      <c r="C575" t="s">
        <v>105</v>
      </c>
      <c r="D575" t="s">
        <v>750</v>
      </c>
      <c r="E575" s="35">
        <v>0.9</v>
      </c>
      <c r="F575" s="35">
        <v>6.6</v>
      </c>
      <c r="G575" s="36">
        <v>3.0200000000000001E-3</v>
      </c>
      <c r="H575" s="18">
        <v>5.4352980000000004</v>
      </c>
      <c r="I575" s="16" t="s">
        <v>746</v>
      </c>
      <c r="J575" s="16"/>
      <c r="K575" s="16"/>
      <c r="L575" s="37"/>
      <c r="M575" s="37"/>
      <c r="N575" s="37"/>
      <c r="O575" s="37"/>
      <c r="P575" s="37"/>
      <c r="Q575" s="18">
        <v>3.322E-2</v>
      </c>
      <c r="R575" s="18">
        <v>2.265E-4</v>
      </c>
      <c r="S575" s="18">
        <v>6.3420000000000004E-2</v>
      </c>
      <c r="T575" s="18">
        <v>0.27179999999999999</v>
      </c>
      <c r="U575" s="18">
        <v>0.13589999999999999</v>
      </c>
      <c r="V575" s="18">
        <v>1.7395200000000002</v>
      </c>
      <c r="W575" s="18">
        <v>1.6308</v>
      </c>
      <c r="X575" s="18">
        <v>1.0871999999999999</v>
      </c>
      <c r="Y575" s="18">
        <v>4.8320000000000002E-2</v>
      </c>
      <c r="Z575" s="18">
        <v>0.21442</v>
      </c>
      <c r="AA575" s="18">
        <v>0.31408000000000003</v>
      </c>
      <c r="AB575" s="18">
        <v>0.55869999999999997</v>
      </c>
      <c r="AC575" s="18">
        <v>0.17214000000000002</v>
      </c>
      <c r="AD575" s="18">
        <v>0.90600000000000003</v>
      </c>
    </row>
    <row r="576" spans="2:30" x14ac:dyDescent="0.25">
      <c r="B576" t="s">
        <v>269</v>
      </c>
      <c r="C576" t="s">
        <v>105</v>
      </c>
      <c r="D576" t="s">
        <v>749</v>
      </c>
      <c r="E576" s="35">
        <v>0.9</v>
      </c>
      <c r="F576" s="35">
        <v>6.6</v>
      </c>
      <c r="G576" s="36">
        <v>3.5699999999999998E-3</v>
      </c>
      <c r="H576" s="18">
        <v>6.4252979999999997</v>
      </c>
      <c r="I576" s="16" t="s">
        <v>746</v>
      </c>
      <c r="J576" s="16"/>
      <c r="K576" s="16"/>
      <c r="L576" s="37"/>
      <c r="M576" s="37"/>
      <c r="N576" s="37"/>
      <c r="O576" s="37"/>
      <c r="P576" s="37"/>
      <c r="Q576" s="18">
        <v>3.9269999999999999E-2</v>
      </c>
      <c r="R576" s="18">
        <v>2.6774999999999998E-4</v>
      </c>
      <c r="S576" s="18">
        <v>7.4969999999999995E-2</v>
      </c>
      <c r="T576" s="18">
        <v>0.32129999999999997</v>
      </c>
      <c r="U576" s="18">
        <v>0.16064999999999999</v>
      </c>
      <c r="V576" s="18">
        <v>2.0563199999999999</v>
      </c>
      <c r="W576" s="18">
        <v>1.9278</v>
      </c>
      <c r="X576" s="18">
        <v>1.2851999999999999</v>
      </c>
      <c r="Y576" s="18">
        <v>5.7119999999999997E-2</v>
      </c>
      <c r="Z576" s="18">
        <v>0.25346999999999997</v>
      </c>
      <c r="AA576" s="18">
        <v>0.37128</v>
      </c>
      <c r="AB576" s="18">
        <v>0.66044999999999998</v>
      </c>
      <c r="AC576" s="18">
        <v>0.20348999999999998</v>
      </c>
      <c r="AD576" s="18">
        <v>1.071</v>
      </c>
    </row>
    <row r="577" spans="2:30" x14ac:dyDescent="0.25">
      <c r="B577" t="s">
        <v>269</v>
      </c>
      <c r="C577" t="s">
        <v>105</v>
      </c>
      <c r="D577" t="s">
        <v>748</v>
      </c>
      <c r="E577" s="35">
        <v>0.9</v>
      </c>
      <c r="F577" s="35">
        <v>6.6</v>
      </c>
      <c r="G577" s="36">
        <v>4.1200000000000004E-3</v>
      </c>
      <c r="H577" s="18">
        <v>7.4152979999999999</v>
      </c>
      <c r="I577" s="16" t="s">
        <v>746</v>
      </c>
      <c r="J577" s="16"/>
      <c r="K577" s="16"/>
      <c r="L577" s="37"/>
      <c r="M577" s="37"/>
      <c r="N577" s="37"/>
      <c r="O577" s="37"/>
      <c r="P577" s="37"/>
      <c r="Q577" s="18">
        <v>4.5320000000000006E-2</v>
      </c>
      <c r="R577" s="18">
        <v>3.0900000000000003E-4</v>
      </c>
      <c r="S577" s="18">
        <v>8.6520000000000014E-2</v>
      </c>
      <c r="T577" s="18">
        <v>0.37080000000000002</v>
      </c>
      <c r="U577" s="18">
        <v>0.18540000000000001</v>
      </c>
      <c r="V577" s="18">
        <v>2.3731200000000001</v>
      </c>
      <c r="W577" s="18">
        <v>2.2248000000000001</v>
      </c>
      <c r="X577" s="18">
        <v>1.4832000000000001</v>
      </c>
      <c r="Y577" s="18">
        <v>6.5920000000000006E-2</v>
      </c>
      <c r="Z577" s="18">
        <v>0.29252</v>
      </c>
      <c r="AA577" s="18">
        <v>0.42848000000000003</v>
      </c>
      <c r="AB577" s="18">
        <v>0.7622000000000001</v>
      </c>
      <c r="AC577" s="18">
        <v>0.23484000000000002</v>
      </c>
      <c r="AD577" s="18">
        <v>1.2360000000000002</v>
      </c>
    </row>
    <row r="578" spans="2:30" x14ac:dyDescent="0.25">
      <c r="B578" t="s">
        <v>269</v>
      </c>
      <c r="C578" t="s">
        <v>105</v>
      </c>
      <c r="D578" t="s">
        <v>749</v>
      </c>
      <c r="E578" s="35">
        <v>0.9</v>
      </c>
      <c r="F578" s="35">
        <v>6.6</v>
      </c>
      <c r="G578" s="36">
        <v>3.5699999999999998E-3</v>
      </c>
      <c r="H578" s="18">
        <v>6.4252979999999997</v>
      </c>
      <c r="I578" s="16" t="s">
        <v>746</v>
      </c>
      <c r="J578" s="16"/>
      <c r="K578" s="16"/>
      <c r="L578" s="37"/>
      <c r="M578" s="37"/>
      <c r="N578" s="37"/>
      <c r="O578" s="37"/>
      <c r="P578" s="37"/>
      <c r="Q578" s="18">
        <v>3.9269999999999999E-2</v>
      </c>
      <c r="R578" s="18">
        <v>2.6774999999999998E-4</v>
      </c>
      <c r="S578" s="18">
        <v>7.4969999999999995E-2</v>
      </c>
      <c r="T578" s="18">
        <v>0.32129999999999997</v>
      </c>
      <c r="U578" s="18">
        <v>0.16064999999999999</v>
      </c>
      <c r="V578" s="18">
        <v>2.0563199999999999</v>
      </c>
      <c r="W578" s="18">
        <v>1.9278</v>
      </c>
      <c r="X578" s="18">
        <v>1.2851999999999999</v>
      </c>
      <c r="Y578" s="18">
        <v>5.7119999999999997E-2</v>
      </c>
      <c r="Z578" s="18">
        <v>0.25346999999999997</v>
      </c>
      <c r="AA578" s="18">
        <v>0.37128</v>
      </c>
      <c r="AB578" s="18">
        <v>0.66044999999999998</v>
      </c>
      <c r="AC578" s="18">
        <v>0.20348999999999998</v>
      </c>
      <c r="AD578" s="18">
        <v>1.071</v>
      </c>
    </row>
    <row r="579" spans="2:30" x14ac:dyDescent="0.25">
      <c r="B579" t="s">
        <v>269</v>
      </c>
      <c r="C579" t="s">
        <v>105</v>
      </c>
      <c r="D579" t="s">
        <v>749</v>
      </c>
      <c r="E579" s="35">
        <v>0.9</v>
      </c>
      <c r="F579" s="35">
        <v>6.6</v>
      </c>
      <c r="G579" s="36">
        <v>3.5699999999999998E-3</v>
      </c>
      <c r="H579" s="18">
        <v>6.4252979999999997</v>
      </c>
      <c r="I579" s="16" t="s">
        <v>746</v>
      </c>
      <c r="J579" s="16"/>
      <c r="K579" s="16"/>
      <c r="L579" s="37"/>
      <c r="M579" s="37"/>
      <c r="N579" s="37"/>
      <c r="O579" s="37"/>
      <c r="P579" s="37"/>
      <c r="Q579" s="18">
        <v>3.9269999999999999E-2</v>
      </c>
      <c r="R579" s="18">
        <v>2.6774999999999998E-4</v>
      </c>
      <c r="S579" s="18">
        <v>7.4969999999999995E-2</v>
      </c>
      <c r="T579" s="18">
        <v>0.32129999999999997</v>
      </c>
      <c r="U579" s="18">
        <v>0.16064999999999999</v>
      </c>
      <c r="V579" s="18">
        <v>2.0563199999999999</v>
      </c>
      <c r="W579" s="18">
        <v>1.9278</v>
      </c>
      <c r="X579" s="18">
        <v>1.2851999999999999</v>
      </c>
      <c r="Y579" s="18">
        <v>5.7119999999999997E-2</v>
      </c>
      <c r="Z579" s="18">
        <v>0.25346999999999997</v>
      </c>
      <c r="AA579" s="18">
        <v>0.37128</v>
      </c>
      <c r="AB579" s="18">
        <v>0.66044999999999998</v>
      </c>
      <c r="AC579" s="18">
        <v>0.20348999999999998</v>
      </c>
      <c r="AD579" s="18">
        <v>1.071</v>
      </c>
    </row>
    <row r="580" spans="2:30" x14ac:dyDescent="0.25">
      <c r="B580" t="s">
        <v>269</v>
      </c>
      <c r="C580" t="s">
        <v>105</v>
      </c>
      <c r="D580" t="s">
        <v>750</v>
      </c>
      <c r="E580" s="35">
        <v>0.9</v>
      </c>
      <c r="F580" s="35">
        <v>6.6</v>
      </c>
      <c r="G580" s="36">
        <v>3.0200000000000001E-3</v>
      </c>
      <c r="H580" s="18">
        <v>5.4352980000000004</v>
      </c>
      <c r="I580" s="16" t="s">
        <v>746</v>
      </c>
      <c r="J580" s="16"/>
      <c r="K580" s="16"/>
      <c r="L580" s="37"/>
      <c r="M580" s="37"/>
      <c r="N580" s="37"/>
      <c r="O580" s="37"/>
      <c r="P580" s="37"/>
      <c r="Q580" s="18">
        <v>3.322E-2</v>
      </c>
      <c r="R580" s="18">
        <v>2.265E-4</v>
      </c>
      <c r="S580" s="18">
        <v>6.3420000000000004E-2</v>
      </c>
      <c r="T580" s="18">
        <v>0.27179999999999999</v>
      </c>
      <c r="U580" s="18">
        <v>0.13589999999999999</v>
      </c>
      <c r="V580" s="18">
        <v>1.7395200000000002</v>
      </c>
      <c r="W580" s="18">
        <v>1.6308</v>
      </c>
      <c r="X580" s="18">
        <v>1.0871999999999999</v>
      </c>
      <c r="Y580" s="18">
        <v>4.8320000000000002E-2</v>
      </c>
      <c r="Z580" s="18">
        <v>0.21442</v>
      </c>
      <c r="AA580" s="18">
        <v>0.31408000000000003</v>
      </c>
      <c r="AB580" s="18">
        <v>0.55869999999999997</v>
      </c>
      <c r="AC580" s="18">
        <v>0.17214000000000002</v>
      </c>
      <c r="AD580" s="18">
        <v>0.90600000000000003</v>
      </c>
    </row>
    <row r="581" spans="2:30" x14ac:dyDescent="0.25">
      <c r="B581" t="s">
        <v>269</v>
      </c>
      <c r="C581" t="s">
        <v>105</v>
      </c>
      <c r="D581" t="s">
        <v>748</v>
      </c>
      <c r="E581" s="35">
        <v>0.9</v>
      </c>
      <c r="F581" s="35">
        <v>6.6</v>
      </c>
      <c r="G581" s="36">
        <v>4.1200000000000004E-3</v>
      </c>
      <c r="H581" s="18">
        <v>7.4152979999999999</v>
      </c>
      <c r="I581" s="16" t="s">
        <v>746</v>
      </c>
      <c r="J581" s="16"/>
      <c r="K581" s="16"/>
      <c r="L581" s="37"/>
      <c r="M581" s="37"/>
      <c r="N581" s="37"/>
      <c r="O581" s="37"/>
      <c r="P581" s="37"/>
      <c r="Q581" s="18">
        <v>4.5320000000000006E-2</v>
      </c>
      <c r="R581" s="18">
        <v>3.0900000000000003E-4</v>
      </c>
      <c r="S581" s="18">
        <v>8.6520000000000014E-2</v>
      </c>
      <c r="T581" s="18">
        <v>0.37080000000000002</v>
      </c>
      <c r="U581" s="18">
        <v>0.18540000000000001</v>
      </c>
      <c r="V581" s="18">
        <v>2.3731200000000001</v>
      </c>
      <c r="W581" s="18">
        <v>2.2248000000000001</v>
      </c>
      <c r="X581" s="18">
        <v>1.4832000000000001</v>
      </c>
      <c r="Y581" s="18">
        <v>6.5920000000000006E-2</v>
      </c>
      <c r="Z581" s="18">
        <v>0.29252</v>
      </c>
      <c r="AA581" s="18">
        <v>0.42848000000000003</v>
      </c>
      <c r="AB581" s="18">
        <v>0.7622000000000001</v>
      </c>
      <c r="AC581" s="18">
        <v>0.23484000000000002</v>
      </c>
      <c r="AD581" s="18">
        <v>1.2360000000000002</v>
      </c>
    </row>
    <row r="582" spans="2:30" x14ac:dyDescent="0.25">
      <c r="B582" t="s">
        <v>269</v>
      </c>
      <c r="C582" t="s">
        <v>105</v>
      </c>
      <c r="D582" t="s">
        <v>749</v>
      </c>
      <c r="E582" s="35">
        <v>0.9</v>
      </c>
      <c r="F582" s="35">
        <v>6.6</v>
      </c>
      <c r="G582" s="36">
        <v>3.5699999999999998E-3</v>
      </c>
      <c r="H582" s="18">
        <v>6.4252979999999997</v>
      </c>
      <c r="I582" s="16" t="s">
        <v>746</v>
      </c>
      <c r="J582" s="16"/>
      <c r="K582" s="16"/>
      <c r="L582" s="37"/>
      <c r="M582" s="37"/>
      <c r="N582" s="37"/>
      <c r="O582" s="37"/>
      <c r="P582" s="37"/>
      <c r="Q582" s="18">
        <v>3.9269999999999999E-2</v>
      </c>
      <c r="R582" s="18">
        <v>2.6774999999999998E-4</v>
      </c>
      <c r="S582" s="18">
        <v>7.4969999999999995E-2</v>
      </c>
      <c r="T582" s="18">
        <v>0.32129999999999997</v>
      </c>
      <c r="U582" s="18">
        <v>0.16064999999999999</v>
      </c>
      <c r="V582" s="18">
        <v>2.0563199999999999</v>
      </c>
      <c r="W582" s="18">
        <v>1.9278</v>
      </c>
      <c r="X582" s="18">
        <v>1.2851999999999999</v>
      </c>
      <c r="Y582" s="18">
        <v>5.7119999999999997E-2</v>
      </c>
      <c r="Z582" s="18">
        <v>0.25346999999999997</v>
      </c>
      <c r="AA582" s="18">
        <v>0.37128</v>
      </c>
      <c r="AB582" s="18">
        <v>0.66044999999999998</v>
      </c>
      <c r="AC582" s="18">
        <v>0.20348999999999998</v>
      </c>
      <c r="AD582" s="18">
        <v>1.071</v>
      </c>
    </row>
    <row r="583" spans="2:30" x14ac:dyDescent="0.25">
      <c r="B583" t="s">
        <v>269</v>
      </c>
      <c r="C583" t="s">
        <v>105</v>
      </c>
      <c r="D583" t="s">
        <v>749</v>
      </c>
      <c r="E583" s="35">
        <v>0.9</v>
      </c>
      <c r="F583" s="35">
        <v>6.6</v>
      </c>
      <c r="G583" s="36">
        <v>3.5699999999999998E-3</v>
      </c>
      <c r="H583" s="18">
        <v>6.4252979999999997</v>
      </c>
      <c r="I583" s="16" t="s">
        <v>746</v>
      </c>
      <c r="J583" s="16"/>
      <c r="K583" s="16"/>
      <c r="L583" s="37"/>
      <c r="M583" s="37"/>
      <c r="N583" s="37"/>
      <c r="O583" s="37"/>
      <c r="P583" s="37"/>
      <c r="Q583" s="18">
        <v>3.9269999999999999E-2</v>
      </c>
      <c r="R583" s="18">
        <v>2.6774999999999998E-4</v>
      </c>
      <c r="S583" s="18">
        <v>7.4969999999999995E-2</v>
      </c>
      <c r="T583" s="18">
        <v>0.32129999999999997</v>
      </c>
      <c r="U583" s="18">
        <v>0.16064999999999999</v>
      </c>
      <c r="V583" s="18">
        <v>2.0563199999999999</v>
      </c>
      <c r="W583" s="18">
        <v>1.9278</v>
      </c>
      <c r="X583" s="18">
        <v>1.2851999999999999</v>
      </c>
      <c r="Y583" s="18">
        <v>5.7119999999999997E-2</v>
      </c>
      <c r="Z583" s="18">
        <v>0.25346999999999997</v>
      </c>
      <c r="AA583" s="18">
        <v>0.37128</v>
      </c>
      <c r="AB583" s="18">
        <v>0.66044999999999998</v>
      </c>
      <c r="AC583" s="18">
        <v>0.20348999999999998</v>
      </c>
      <c r="AD583" s="18">
        <v>1.071</v>
      </c>
    </row>
    <row r="584" spans="2:30" x14ac:dyDescent="0.25">
      <c r="B584" t="s">
        <v>269</v>
      </c>
      <c r="C584" t="s">
        <v>105</v>
      </c>
      <c r="D584" t="s">
        <v>748</v>
      </c>
      <c r="E584" s="35">
        <v>0.9</v>
      </c>
      <c r="F584" s="35">
        <v>6.6</v>
      </c>
      <c r="G584" s="36">
        <v>4.1200000000000004E-3</v>
      </c>
      <c r="H584" s="18">
        <v>7.4152979999999999</v>
      </c>
      <c r="I584" s="16" t="s">
        <v>746</v>
      </c>
      <c r="J584" s="16"/>
      <c r="K584" s="16"/>
      <c r="L584" s="37"/>
      <c r="M584" s="37"/>
      <c r="N584" s="37"/>
      <c r="O584" s="37"/>
      <c r="P584" s="37"/>
      <c r="Q584" s="18">
        <v>4.5320000000000006E-2</v>
      </c>
      <c r="R584" s="18">
        <v>3.0900000000000003E-4</v>
      </c>
      <c r="S584" s="18">
        <v>8.6520000000000014E-2</v>
      </c>
      <c r="T584" s="18">
        <v>0.37080000000000002</v>
      </c>
      <c r="U584" s="18">
        <v>0.18540000000000001</v>
      </c>
      <c r="V584" s="18">
        <v>2.3731200000000001</v>
      </c>
      <c r="W584" s="18">
        <v>2.2248000000000001</v>
      </c>
      <c r="X584" s="18">
        <v>1.4832000000000001</v>
      </c>
      <c r="Y584" s="18">
        <v>6.5920000000000006E-2</v>
      </c>
      <c r="Z584" s="18">
        <v>0.29252</v>
      </c>
      <c r="AA584" s="18">
        <v>0.42848000000000003</v>
      </c>
      <c r="AB584" s="18">
        <v>0.7622000000000001</v>
      </c>
      <c r="AC584" s="18">
        <v>0.23484000000000002</v>
      </c>
      <c r="AD584" s="18">
        <v>1.2360000000000002</v>
      </c>
    </row>
    <row r="585" spans="2:30" x14ac:dyDescent="0.25">
      <c r="B585" t="s">
        <v>269</v>
      </c>
      <c r="C585" t="s">
        <v>105</v>
      </c>
      <c r="D585" t="s">
        <v>750</v>
      </c>
      <c r="E585" s="35">
        <v>0.9</v>
      </c>
      <c r="F585" s="35">
        <v>6.6</v>
      </c>
      <c r="G585" s="36">
        <v>3.0200000000000001E-3</v>
      </c>
      <c r="H585" s="18">
        <v>5.4352980000000004</v>
      </c>
      <c r="I585" s="16" t="s">
        <v>746</v>
      </c>
      <c r="J585" s="16"/>
      <c r="K585" s="16"/>
      <c r="L585" s="37"/>
      <c r="M585" s="37"/>
      <c r="N585" s="37"/>
      <c r="O585" s="37"/>
      <c r="P585" s="37"/>
      <c r="Q585" s="18">
        <v>3.322E-2</v>
      </c>
      <c r="R585" s="18">
        <v>2.265E-4</v>
      </c>
      <c r="S585" s="18">
        <v>6.3420000000000004E-2</v>
      </c>
      <c r="T585" s="18">
        <v>0.27179999999999999</v>
      </c>
      <c r="U585" s="18">
        <v>0.13589999999999999</v>
      </c>
      <c r="V585" s="18">
        <v>1.7395200000000002</v>
      </c>
      <c r="W585" s="18">
        <v>1.6308</v>
      </c>
      <c r="X585" s="18">
        <v>1.0871999999999999</v>
      </c>
      <c r="Y585" s="18">
        <v>4.8320000000000002E-2</v>
      </c>
      <c r="Z585" s="18">
        <v>0.21442</v>
      </c>
      <c r="AA585" s="18">
        <v>0.31408000000000003</v>
      </c>
      <c r="AB585" s="18">
        <v>0.55869999999999997</v>
      </c>
      <c r="AC585" s="18">
        <v>0.17214000000000002</v>
      </c>
      <c r="AD585" s="18">
        <v>0.90600000000000003</v>
      </c>
    </row>
    <row r="586" spans="2:30" x14ac:dyDescent="0.25">
      <c r="B586" t="s">
        <v>269</v>
      </c>
      <c r="C586" t="s">
        <v>105</v>
      </c>
      <c r="D586" t="s">
        <v>749</v>
      </c>
      <c r="E586" s="35">
        <v>0.9</v>
      </c>
      <c r="F586" s="35">
        <v>6.6</v>
      </c>
      <c r="G586" s="36">
        <v>3.5699999999999998E-3</v>
      </c>
      <c r="H586" s="18">
        <v>6.4252979999999997</v>
      </c>
      <c r="I586" s="16" t="s">
        <v>746</v>
      </c>
      <c r="J586" s="16"/>
      <c r="K586" s="16"/>
      <c r="L586" s="37"/>
      <c r="M586" s="37"/>
      <c r="N586" s="37"/>
      <c r="O586" s="37"/>
      <c r="P586" s="37"/>
      <c r="Q586" s="18">
        <v>3.9269999999999999E-2</v>
      </c>
      <c r="R586" s="18">
        <v>2.6774999999999998E-4</v>
      </c>
      <c r="S586" s="18">
        <v>7.4969999999999995E-2</v>
      </c>
      <c r="T586" s="18">
        <v>0.32129999999999997</v>
      </c>
      <c r="U586" s="18">
        <v>0.16064999999999999</v>
      </c>
      <c r="V586" s="18">
        <v>2.0563199999999999</v>
      </c>
      <c r="W586" s="18">
        <v>1.9278</v>
      </c>
      <c r="X586" s="18">
        <v>1.2851999999999999</v>
      </c>
      <c r="Y586" s="18">
        <v>5.7119999999999997E-2</v>
      </c>
      <c r="Z586" s="18">
        <v>0.25346999999999997</v>
      </c>
      <c r="AA586" s="18">
        <v>0.37128</v>
      </c>
      <c r="AB586" s="18">
        <v>0.66044999999999998</v>
      </c>
      <c r="AC586" s="18">
        <v>0.20348999999999998</v>
      </c>
      <c r="AD586" s="18">
        <v>1.071</v>
      </c>
    </row>
    <row r="587" spans="2:30" x14ac:dyDescent="0.25">
      <c r="B587" t="s">
        <v>269</v>
      </c>
      <c r="C587" t="s">
        <v>105</v>
      </c>
      <c r="D587" t="s">
        <v>749</v>
      </c>
      <c r="E587" s="35">
        <v>0.9</v>
      </c>
      <c r="F587" s="35">
        <v>6.6</v>
      </c>
      <c r="G587" s="36">
        <v>3.5699999999999998E-3</v>
      </c>
      <c r="H587" s="18">
        <v>6.4252979999999997</v>
      </c>
      <c r="I587" s="16" t="s">
        <v>746</v>
      </c>
      <c r="J587" s="16"/>
      <c r="K587" s="16"/>
      <c r="L587" s="37"/>
      <c r="M587" s="37"/>
      <c r="N587" s="37"/>
      <c r="O587" s="37"/>
      <c r="P587" s="37"/>
      <c r="Q587" s="18">
        <v>3.9269999999999999E-2</v>
      </c>
      <c r="R587" s="18">
        <v>2.6774999999999998E-4</v>
      </c>
      <c r="S587" s="18">
        <v>7.4969999999999995E-2</v>
      </c>
      <c r="T587" s="18">
        <v>0.32129999999999997</v>
      </c>
      <c r="U587" s="18">
        <v>0.16064999999999999</v>
      </c>
      <c r="V587" s="18">
        <v>2.0563199999999999</v>
      </c>
      <c r="W587" s="18">
        <v>1.9278</v>
      </c>
      <c r="X587" s="18">
        <v>1.2851999999999999</v>
      </c>
      <c r="Y587" s="18">
        <v>5.7119999999999997E-2</v>
      </c>
      <c r="Z587" s="18">
        <v>0.25346999999999997</v>
      </c>
      <c r="AA587" s="18">
        <v>0.37128</v>
      </c>
      <c r="AB587" s="18">
        <v>0.66044999999999998</v>
      </c>
      <c r="AC587" s="18">
        <v>0.20348999999999998</v>
      </c>
      <c r="AD587" s="18">
        <v>1.071</v>
      </c>
    </row>
    <row r="588" spans="2:30" x14ac:dyDescent="0.25">
      <c r="B588" t="s">
        <v>269</v>
      </c>
      <c r="C588" t="s">
        <v>105</v>
      </c>
      <c r="D588" t="s">
        <v>748</v>
      </c>
      <c r="E588" s="35">
        <v>0.9</v>
      </c>
      <c r="F588" s="35">
        <v>6.6</v>
      </c>
      <c r="G588" s="36">
        <v>4.1200000000000004E-3</v>
      </c>
      <c r="H588" s="18">
        <v>7.4152979999999999</v>
      </c>
      <c r="I588" s="16" t="s">
        <v>746</v>
      </c>
      <c r="J588" s="16"/>
      <c r="K588" s="16"/>
      <c r="L588" s="37"/>
      <c r="M588" s="37"/>
      <c r="N588" s="37"/>
      <c r="O588" s="37"/>
      <c r="P588" s="37"/>
      <c r="Q588" s="18">
        <v>4.5320000000000006E-2</v>
      </c>
      <c r="R588" s="18">
        <v>3.0900000000000003E-4</v>
      </c>
      <c r="S588" s="18">
        <v>8.6520000000000014E-2</v>
      </c>
      <c r="T588" s="18">
        <v>0.37080000000000002</v>
      </c>
      <c r="U588" s="18">
        <v>0.18540000000000001</v>
      </c>
      <c r="V588" s="18">
        <v>2.3731200000000001</v>
      </c>
      <c r="W588" s="18">
        <v>2.2248000000000001</v>
      </c>
      <c r="X588" s="18">
        <v>1.4832000000000001</v>
      </c>
      <c r="Y588" s="18">
        <v>6.5920000000000006E-2</v>
      </c>
      <c r="Z588" s="18">
        <v>0.29252</v>
      </c>
      <c r="AA588" s="18">
        <v>0.42848000000000003</v>
      </c>
      <c r="AB588" s="18">
        <v>0.7622000000000001</v>
      </c>
      <c r="AC588" s="18">
        <v>0.23484000000000002</v>
      </c>
      <c r="AD588" s="18">
        <v>1.2360000000000002</v>
      </c>
    </row>
    <row r="589" spans="2:30" x14ac:dyDescent="0.25">
      <c r="B589" t="s">
        <v>269</v>
      </c>
      <c r="C589" t="s">
        <v>105</v>
      </c>
      <c r="D589" t="s">
        <v>749</v>
      </c>
      <c r="E589" s="35">
        <v>0.9</v>
      </c>
      <c r="F589" s="35">
        <v>6.6</v>
      </c>
      <c r="G589" s="36">
        <v>3.5699999999999998E-3</v>
      </c>
      <c r="H589" s="18">
        <v>6.4252979999999997</v>
      </c>
      <c r="I589" s="16" t="s">
        <v>746</v>
      </c>
      <c r="J589" s="16"/>
      <c r="K589" s="16"/>
      <c r="L589" s="37"/>
      <c r="M589" s="37"/>
      <c r="N589" s="37"/>
      <c r="O589" s="37"/>
      <c r="P589" s="37"/>
      <c r="Q589" s="18">
        <v>3.9269999999999999E-2</v>
      </c>
      <c r="R589" s="18">
        <v>2.6774999999999998E-4</v>
      </c>
      <c r="S589" s="18">
        <v>7.4969999999999995E-2</v>
      </c>
      <c r="T589" s="18">
        <v>0.32129999999999997</v>
      </c>
      <c r="U589" s="18">
        <v>0.16064999999999999</v>
      </c>
      <c r="V589" s="18">
        <v>2.0563199999999999</v>
      </c>
      <c r="W589" s="18">
        <v>1.9278</v>
      </c>
      <c r="X589" s="18">
        <v>1.2851999999999999</v>
      </c>
      <c r="Y589" s="18">
        <v>5.7119999999999997E-2</v>
      </c>
      <c r="Z589" s="18">
        <v>0.25346999999999997</v>
      </c>
      <c r="AA589" s="18">
        <v>0.37128</v>
      </c>
      <c r="AB589" s="18">
        <v>0.66044999999999998</v>
      </c>
      <c r="AC589" s="18">
        <v>0.20348999999999998</v>
      </c>
      <c r="AD589" s="18">
        <v>1.071</v>
      </c>
    </row>
    <row r="590" spans="2:30" x14ac:dyDescent="0.25">
      <c r="B590" t="s">
        <v>269</v>
      </c>
      <c r="C590" t="s">
        <v>105</v>
      </c>
      <c r="D590" t="s">
        <v>748</v>
      </c>
      <c r="E590" s="35">
        <v>0.9</v>
      </c>
      <c r="F590" s="35">
        <v>6.6</v>
      </c>
      <c r="G590" s="36">
        <v>4.1200000000000004E-3</v>
      </c>
      <c r="H590" s="18">
        <v>7.4152979999999999</v>
      </c>
      <c r="I590" s="16" t="s">
        <v>746</v>
      </c>
      <c r="J590" s="16"/>
      <c r="K590" s="16"/>
      <c r="L590" s="37"/>
      <c r="M590" s="37"/>
      <c r="N590" s="37"/>
      <c r="O590" s="37"/>
      <c r="P590" s="37"/>
      <c r="Q590" s="18">
        <v>4.5320000000000006E-2</v>
      </c>
      <c r="R590" s="18">
        <v>3.0900000000000003E-4</v>
      </c>
      <c r="S590" s="18">
        <v>8.6520000000000014E-2</v>
      </c>
      <c r="T590" s="18">
        <v>0.37080000000000002</v>
      </c>
      <c r="U590" s="18">
        <v>0.18540000000000001</v>
      </c>
      <c r="V590" s="18">
        <v>2.3731200000000001</v>
      </c>
      <c r="W590" s="18">
        <v>2.2248000000000001</v>
      </c>
      <c r="X590" s="18">
        <v>1.4832000000000001</v>
      </c>
      <c r="Y590" s="18">
        <v>6.5920000000000006E-2</v>
      </c>
      <c r="Z590" s="18">
        <v>0.29252</v>
      </c>
      <c r="AA590" s="18">
        <v>0.42848000000000003</v>
      </c>
      <c r="AB590" s="18">
        <v>0.7622000000000001</v>
      </c>
      <c r="AC590" s="18">
        <v>0.23484000000000002</v>
      </c>
      <c r="AD590" s="18">
        <v>1.2360000000000002</v>
      </c>
    </row>
    <row r="591" spans="2:30" x14ac:dyDescent="0.25">
      <c r="B591" t="s">
        <v>269</v>
      </c>
      <c r="C591" t="s">
        <v>105</v>
      </c>
      <c r="D591" t="s">
        <v>749</v>
      </c>
      <c r="E591" s="35">
        <v>0.9</v>
      </c>
      <c r="F591" s="35">
        <v>6.6</v>
      </c>
      <c r="G591" s="36">
        <v>3.5699999999999998E-3</v>
      </c>
      <c r="H591" s="18">
        <v>6.4252979999999997</v>
      </c>
      <c r="I591" s="16" t="s">
        <v>746</v>
      </c>
      <c r="J591" s="16"/>
      <c r="K591" s="16"/>
      <c r="L591" s="37"/>
      <c r="M591" s="37"/>
      <c r="N591" s="37"/>
      <c r="O591" s="37"/>
      <c r="P591" s="37"/>
      <c r="Q591" s="18">
        <v>3.9269999999999999E-2</v>
      </c>
      <c r="R591" s="18">
        <v>2.6774999999999998E-4</v>
      </c>
      <c r="S591" s="18">
        <v>7.4969999999999995E-2</v>
      </c>
      <c r="T591" s="18">
        <v>0.32129999999999997</v>
      </c>
      <c r="U591" s="18">
        <v>0.16064999999999999</v>
      </c>
      <c r="V591" s="18">
        <v>2.0563199999999999</v>
      </c>
      <c r="W591" s="18">
        <v>1.9278</v>
      </c>
      <c r="X591" s="18">
        <v>1.2851999999999999</v>
      </c>
      <c r="Y591" s="18">
        <v>5.7119999999999997E-2</v>
      </c>
      <c r="Z591" s="18">
        <v>0.25346999999999997</v>
      </c>
      <c r="AA591" s="18">
        <v>0.37128</v>
      </c>
      <c r="AB591" s="18">
        <v>0.66044999999999998</v>
      </c>
      <c r="AC591" s="18">
        <v>0.20348999999999998</v>
      </c>
      <c r="AD591" s="18">
        <v>1.071</v>
      </c>
    </row>
    <row r="592" spans="2:30" x14ac:dyDescent="0.25">
      <c r="B592" t="s">
        <v>269</v>
      </c>
      <c r="C592" t="s">
        <v>105</v>
      </c>
      <c r="D592" t="s">
        <v>750</v>
      </c>
      <c r="E592" s="35">
        <v>0.9</v>
      </c>
      <c r="F592" s="35">
        <v>6.6</v>
      </c>
      <c r="G592" s="36">
        <v>3.0200000000000001E-3</v>
      </c>
      <c r="H592" s="18">
        <v>5.4352980000000004</v>
      </c>
      <c r="I592" s="16" t="s">
        <v>746</v>
      </c>
      <c r="J592" s="16"/>
      <c r="K592" s="16"/>
      <c r="L592" s="37"/>
      <c r="M592" s="37"/>
      <c r="N592" s="37"/>
      <c r="O592" s="37"/>
      <c r="P592" s="37"/>
      <c r="Q592" s="18">
        <v>3.322E-2</v>
      </c>
      <c r="R592" s="18">
        <v>2.265E-4</v>
      </c>
      <c r="S592" s="18">
        <v>6.3420000000000004E-2</v>
      </c>
      <c r="T592" s="18">
        <v>0.27179999999999999</v>
      </c>
      <c r="U592" s="18">
        <v>0.13589999999999999</v>
      </c>
      <c r="V592" s="18">
        <v>1.7395200000000002</v>
      </c>
      <c r="W592" s="18">
        <v>1.6308</v>
      </c>
      <c r="X592" s="18">
        <v>1.0871999999999999</v>
      </c>
      <c r="Y592" s="18">
        <v>4.8320000000000002E-2</v>
      </c>
      <c r="Z592" s="18">
        <v>0.21442</v>
      </c>
      <c r="AA592" s="18">
        <v>0.31408000000000003</v>
      </c>
      <c r="AB592" s="18">
        <v>0.55869999999999997</v>
      </c>
      <c r="AC592" s="18">
        <v>0.17214000000000002</v>
      </c>
      <c r="AD592" s="18">
        <v>0.90600000000000003</v>
      </c>
    </row>
    <row r="593" spans="2:30" x14ac:dyDescent="0.25">
      <c r="B593" t="s">
        <v>269</v>
      </c>
      <c r="C593" t="s">
        <v>105</v>
      </c>
      <c r="D593" t="s">
        <v>748</v>
      </c>
      <c r="E593" s="35">
        <v>0.9</v>
      </c>
      <c r="F593" s="35">
        <v>6.6</v>
      </c>
      <c r="G593" s="36">
        <v>4.1200000000000004E-3</v>
      </c>
      <c r="H593" s="18">
        <v>7.4152979999999999</v>
      </c>
      <c r="I593" s="16" t="s">
        <v>746</v>
      </c>
      <c r="J593" s="16"/>
      <c r="K593" s="16"/>
      <c r="L593" s="37"/>
      <c r="M593" s="37"/>
      <c r="N593" s="37"/>
      <c r="O593" s="37"/>
      <c r="P593" s="37"/>
      <c r="Q593" s="18">
        <v>4.5320000000000006E-2</v>
      </c>
      <c r="R593" s="18">
        <v>3.0900000000000003E-4</v>
      </c>
      <c r="S593" s="18">
        <v>8.6520000000000014E-2</v>
      </c>
      <c r="T593" s="18">
        <v>0.37080000000000002</v>
      </c>
      <c r="U593" s="18">
        <v>0.18540000000000001</v>
      </c>
      <c r="V593" s="18">
        <v>2.3731200000000001</v>
      </c>
      <c r="W593" s="18">
        <v>2.2248000000000001</v>
      </c>
      <c r="X593" s="18">
        <v>1.4832000000000001</v>
      </c>
      <c r="Y593" s="18">
        <v>6.5920000000000006E-2</v>
      </c>
      <c r="Z593" s="18">
        <v>0.29252</v>
      </c>
      <c r="AA593" s="18">
        <v>0.42848000000000003</v>
      </c>
      <c r="AB593" s="18">
        <v>0.7622000000000001</v>
      </c>
      <c r="AC593" s="18">
        <v>0.23484000000000002</v>
      </c>
      <c r="AD593" s="18">
        <v>1.2360000000000002</v>
      </c>
    </row>
    <row r="594" spans="2:30" x14ac:dyDescent="0.25">
      <c r="B594" t="s">
        <v>269</v>
      </c>
      <c r="C594" t="s">
        <v>105</v>
      </c>
      <c r="D594" t="s">
        <v>749</v>
      </c>
      <c r="E594" s="35">
        <v>0.9</v>
      </c>
      <c r="F594" s="35">
        <v>6.6</v>
      </c>
      <c r="G594" s="36">
        <v>3.5699999999999998E-3</v>
      </c>
      <c r="H594" s="18">
        <v>6.4252979999999997</v>
      </c>
      <c r="I594" s="16" t="s">
        <v>746</v>
      </c>
      <c r="J594" s="16"/>
      <c r="K594" s="16"/>
      <c r="L594" s="37"/>
      <c r="M594" s="37"/>
      <c r="N594" s="37"/>
      <c r="O594" s="37"/>
      <c r="P594" s="37"/>
      <c r="Q594" s="18">
        <v>3.9269999999999999E-2</v>
      </c>
      <c r="R594" s="18">
        <v>2.6774999999999998E-4</v>
      </c>
      <c r="S594" s="18">
        <v>7.4969999999999995E-2</v>
      </c>
      <c r="T594" s="18">
        <v>0.32129999999999997</v>
      </c>
      <c r="U594" s="18">
        <v>0.16064999999999999</v>
      </c>
      <c r="V594" s="18">
        <v>2.0563199999999999</v>
      </c>
      <c r="W594" s="18">
        <v>1.9278</v>
      </c>
      <c r="X594" s="18">
        <v>1.2851999999999999</v>
      </c>
      <c r="Y594" s="18">
        <v>5.7119999999999997E-2</v>
      </c>
      <c r="Z594" s="18">
        <v>0.25346999999999997</v>
      </c>
      <c r="AA594" s="18">
        <v>0.37128</v>
      </c>
      <c r="AB594" s="18">
        <v>0.66044999999999998</v>
      </c>
      <c r="AC594" s="18">
        <v>0.20348999999999998</v>
      </c>
      <c r="AD594" s="18">
        <v>1.071</v>
      </c>
    </row>
    <row r="595" spans="2:30" x14ac:dyDescent="0.25">
      <c r="B595" t="s">
        <v>269</v>
      </c>
      <c r="C595" t="s">
        <v>105</v>
      </c>
      <c r="D595" t="s">
        <v>749</v>
      </c>
      <c r="E595" s="35">
        <v>0.9</v>
      </c>
      <c r="F595" s="35">
        <v>6.6</v>
      </c>
      <c r="G595" s="36">
        <v>3.5699999999999998E-3</v>
      </c>
      <c r="H595" s="18">
        <v>6.4252979999999997</v>
      </c>
      <c r="I595" s="16" t="s">
        <v>746</v>
      </c>
      <c r="J595" s="16"/>
      <c r="K595" s="16"/>
      <c r="L595" s="37"/>
      <c r="M595" s="37"/>
      <c r="N595" s="37"/>
      <c r="O595" s="37"/>
      <c r="P595" s="37"/>
      <c r="Q595" s="18">
        <v>3.9269999999999999E-2</v>
      </c>
      <c r="R595" s="18">
        <v>2.6774999999999998E-4</v>
      </c>
      <c r="S595" s="18">
        <v>7.4969999999999995E-2</v>
      </c>
      <c r="T595" s="18">
        <v>0.32129999999999997</v>
      </c>
      <c r="U595" s="18">
        <v>0.16064999999999999</v>
      </c>
      <c r="V595" s="18">
        <v>2.0563199999999999</v>
      </c>
      <c r="W595" s="18">
        <v>1.9278</v>
      </c>
      <c r="X595" s="18">
        <v>1.2851999999999999</v>
      </c>
      <c r="Y595" s="18">
        <v>5.7119999999999997E-2</v>
      </c>
      <c r="Z595" s="18">
        <v>0.25346999999999997</v>
      </c>
      <c r="AA595" s="18">
        <v>0.37128</v>
      </c>
      <c r="AB595" s="18">
        <v>0.66044999999999998</v>
      </c>
      <c r="AC595" s="18">
        <v>0.20348999999999998</v>
      </c>
      <c r="AD595" s="18">
        <v>1.071</v>
      </c>
    </row>
    <row r="596" spans="2:30" x14ac:dyDescent="0.25">
      <c r="B596" t="s">
        <v>269</v>
      </c>
      <c r="C596" t="s">
        <v>105</v>
      </c>
      <c r="D596" t="s">
        <v>748</v>
      </c>
      <c r="E596" s="35">
        <v>0.9</v>
      </c>
      <c r="F596" s="35">
        <v>6.6</v>
      </c>
      <c r="G596" s="36">
        <v>4.1200000000000004E-3</v>
      </c>
      <c r="H596" s="18">
        <v>7.4152979999999999</v>
      </c>
      <c r="I596" s="16" t="s">
        <v>746</v>
      </c>
      <c r="J596" s="16"/>
      <c r="K596" s="16"/>
      <c r="L596" s="37"/>
      <c r="M596" s="37"/>
      <c r="N596" s="37"/>
      <c r="O596" s="37"/>
      <c r="P596" s="37"/>
      <c r="Q596" s="18">
        <v>4.5320000000000006E-2</v>
      </c>
      <c r="R596" s="18">
        <v>3.0900000000000003E-4</v>
      </c>
      <c r="S596" s="18">
        <v>8.6520000000000014E-2</v>
      </c>
      <c r="T596" s="18">
        <v>0.37080000000000002</v>
      </c>
      <c r="U596" s="18">
        <v>0.18540000000000001</v>
      </c>
      <c r="V596" s="18">
        <v>2.3731200000000001</v>
      </c>
      <c r="W596" s="18">
        <v>2.2248000000000001</v>
      </c>
      <c r="X596" s="18">
        <v>1.4832000000000001</v>
      </c>
      <c r="Y596" s="18">
        <v>6.5920000000000006E-2</v>
      </c>
      <c r="Z596" s="18">
        <v>0.29252</v>
      </c>
      <c r="AA596" s="18">
        <v>0.42848000000000003</v>
      </c>
      <c r="AB596" s="18">
        <v>0.7622000000000001</v>
      </c>
      <c r="AC596" s="18">
        <v>0.23484000000000002</v>
      </c>
      <c r="AD596" s="18">
        <v>1.2360000000000002</v>
      </c>
    </row>
    <row r="597" spans="2:30" x14ac:dyDescent="0.25">
      <c r="B597" t="s">
        <v>269</v>
      </c>
      <c r="C597" t="s">
        <v>105</v>
      </c>
      <c r="D597" t="s">
        <v>749</v>
      </c>
      <c r="E597" s="35">
        <v>0.9</v>
      </c>
      <c r="F597" s="35">
        <v>6.6</v>
      </c>
      <c r="G597" s="36">
        <v>3.5699999999999998E-3</v>
      </c>
      <c r="H597" s="18">
        <v>6.4252979999999997</v>
      </c>
      <c r="I597" s="16" t="s">
        <v>746</v>
      </c>
      <c r="J597" s="16"/>
      <c r="K597" s="16"/>
      <c r="L597" s="37"/>
      <c r="M597" s="37"/>
      <c r="N597" s="37"/>
      <c r="O597" s="37"/>
      <c r="P597" s="37"/>
      <c r="Q597" s="18">
        <v>3.9269999999999999E-2</v>
      </c>
      <c r="R597" s="18">
        <v>2.6774999999999998E-4</v>
      </c>
      <c r="S597" s="18">
        <v>7.4969999999999995E-2</v>
      </c>
      <c r="T597" s="18">
        <v>0.32129999999999997</v>
      </c>
      <c r="U597" s="18">
        <v>0.16064999999999999</v>
      </c>
      <c r="V597" s="18">
        <v>2.0563199999999999</v>
      </c>
      <c r="W597" s="18">
        <v>1.9278</v>
      </c>
      <c r="X597" s="18">
        <v>1.2851999999999999</v>
      </c>
      <c r="Y597" s="18">
        <v>5.7119999999999997E-2</v>
      </c>
      <c r="Z597" s="18">
        <v>0.25346999999999997</v>
      </c>
      <c r="AA597" s="18">
        <v>0.37128</v>
      </c>
      <c r="AB597" s="18">
        <v>0.66044999999999998</v>
      </c>
      <c r="AC597" s="18">
        <v>0.20348999999999998</v>
      </c>
      <c r="AD597" s="18">
        <v>1.071</v>
      </c>
    </row>
    <row r="598" spans="2:30" x14ac:dyDescent="0.25">
      <c r="B598" t="s">
        <v>269</v>
      </c>
      <c r="C598" t="s">
        <v>105</v>
      </c>
      <c r="D598" t="s">
        <v>748</v>
      </c>
      <c r="E598" s="35">
        <v>0.9</v>
      </c>
      <c r="F598" s="35">
        <v>6.6</v>
      </c>
      <c r="G598" s="36">
        <v>4.1200000000000004E-3</v>
      </c>
      <c r="H598" s="18">
        <v>7.4152979999999999</v>
      </c>
      <c r="I598" s="16" t="s">
        <v>746</v>
      </c>
      <c r="J598" s="16"/>
      <c r="K598" s="16"/>
      <c r="L598" s="37"/>
      <c r="M598" s="37"/>
      <c r="N598" s="37"/>
      <c r="O598" s="37"/>
      <c r="P598" s="37"/>
      <c r="Q598" s="18">
        <v>4.5320000000000006E-2</v>
      </c>
      <c r="R598" s="18">
        <v>3.0900000000000003E-4</v>
      </c>
      <c r="S598" s="18">
        <v>8.6520000000000014E-2</v>
      </c>
      <c r="T598" s="18">
        <v>0.37080000000000002</v>
      </c>
      <c r="U598" s="18">
        <v>0.18540000000000001</v>
      </c>
      <c r="V598" s="18">
        <v>2.3731200000000001</v>
      </c>
      <c r="W598" s="18">
        <v>2.2248000000000001</v>
      </c>
      <c r="X598" s="18">
        <v>1.4832000000000001</v>
      </c>
      <c r="Y598" s="18">
        <v>6.5920000000000006E-2</v>
      </c>
      <c r="Z598" s="18">
        <v>0.29252</v>
      </c>
      <c r="AA598" s="18">
        <v>0.42848000000000003</v>
      </c>
      <c r="AB598" s="18">
        <v>0.7622000000000001</v>
      </c>
      <c r="AC598" s="18">
        <v>0.23484000000000002</v>
      </c>
      <c r="AD598" s="18">
        <v>1.2360000000000002</v>
      </c>
    </row>
    <row r="599" spans="2:30" x14ac:dyDescent="0.25">
      <c r="B599" t="s">
        <v>269</v>
      </c>
      <c r="C599" t="s">
        <v>105</v>
      </c>
      <c r="D599" t="s">
        <v>749</v>
      </c>
      <c r="E599" s="35">
        <v>0.9</v>
      </c>
      <c r="F599" s="35">
        <v>6.6</v>
      </c>
      <c r="G599" s="36">
        <v>3.5699999999999998E-3</v>
      </c>
      <c r="H599" s="18">
        <v>6.4252979999999997</v>
      </c>
      <c r="I599" s="16" t="s">
        <v>746</v>
      </c>
      <c r="J599" s="16"/>
      <c r="K599" s="16"/>
      <c r="L599" s="37"/>
      <c r="M599" s="37"/>
      <c r="N599" s="37"/>
      <c r="O599" s="37"/>
      <c r="P599" s="37"/>
      <c r="Q599" s="18">
        <v>3.9269999999999999E-2</v>
      </c>
      <c r="R599" s="18">
        <v>2.6774999999999998E-4</v>
      </c>
      <c r="S599" s="18">
        <v>7.4969999999999995E-2</v>
      </c>
      <c r="T599" s="18">
        <v>0.32129999999999997</v>
      </c>
      <c r="U599" s="18">
        <v>0.16064999999999999</v>
      </c>
      <c r="V599" s="18">
        <v>2.0563199999999999</v>
      </c>
      <c r="W599" s="18">
        <v>1.9278</v>
      </c>
      <c r="X599" s="18">
        <v>1.2851999999999999</v>
      </c>
      <c r="Y599" s="18">
        <v>5.7119999999999997E-2</v>
      </c>
      <c r="Z599" s="18">
        <v>0.25346999999999997</v>
      </c>
      <c r="AA599" s="18">
        <v>0.37128</v>
      </c>
      <c r="AB599" s="18">
        <v>0.66044999999999998</v>
      </c>
      <c r="AC599" s="18">
        <v>0.20348999999999998</v>
      </c>
      <c r="AD599" s="18">
        <v>1.071</v>
      </c>
    </row>
    <row r="600" spans="2:30" x14ac:dyDescent="0.25">
      <c r="B600" t="s">
        <v>269</v>
      </c>
      <c r="C600" t="s">
        <v>105</v>
      </c>
      <c r="D600" t="s">
        <v>747</v>
      </c>
      <c r="E600" s="35">
        <v>0.9</v>
      </c>
      <c r="F600" s="35">
        <v>6.6</v>
      </c>
      <c r="G600" s="36">
        <v>4.9449999999999997E-3</v>
      </c>
      <c r="H600" s="18">
        <v>8.9002979999999994</v>
      </c>
      <c r="I600" s="16" t="s">
        <v>746</v>
      </c>
      <c r="J600" s="16"/>
      <c r="K600" s="16"/>
      <c r="L600" s="37"/>
      <c r="M600" s="37"/>
      <c r="N600" s="37"/>
      <c r="O600" s="37"/>
      <c r="P600" s="37"/>
      <c r="Q600" s="18">
        <v>5.4394999999999999E-2</v>
      </c>
      <c r="R600" s="18">
        <v>3.7087499999999995E-4</v>
      </c>
      <c r="S600" s="18">
        <v>0.10384499999999999</v>
      </c>
      <c r="T600" s="18">
        <v>0.44505</v>
      </c>
      <c r="U600" s="18">
        <v>0.222525</v>
      </c>
      <c r="V600" s="18">
        <v>2.8483199999999997</v>
      </c>
      <c r="W600" s="18">
        <v>2.6702999999999997</v>
      </c>
      <c r="X600" s="18">
        <v>1.7802</v>
      </c>
      <c r="Y600" s="18">
        <v>7.9119999999999996E-2</v>
      </c>
      <c r="Z600" s="18">
        <v>0.35109499999999999</v>
      </c>
      <c r="AA600" s="18">
        <v>0.51427999999999996</v>
      </c>
      <c r="AB600" s="18">
        <v>0.914825</v>
      </c>
      <c r="AC600" s="18">
        <v>0.28186499999999998</v>
      </c>
      <c r="AD600" s="18">
        <v>1.4834999999999998</v>
      </c>
    </row>
    <row r="601" spans="2:30" x14ac:dyDescent="0.25">
      <c r="B601" t="s">
        <v>269</v>
      </c>
      <c r="C601" t="s">
        <v>105</v>
      </c>
      <c r="D601" t="s">
        <v>749</v>
      </c>
      <c r="E601" s="35">
        <v>0.9</v>
      </c>
      <c r="F601" s="35">
        <v>6.6</v>
      </c>
      <c r="G601" s="36">
        <v>3.5699999999999998E-3</v>
      </c>
      <c r="H601" s="18">
        <v>6.4252979999999997</v>
      </c>
      <c r="I601" s="16" t="s">
        <v>746</v>
      </c>
      <c r="J601" s="16"/>
      <c r="K601" s="16"/>
      <c r="L601" s="37"/>
      <c r="M601" s="37"/>
      <c r="N601" s="37"/>
      <c r="O601" s="37"/>
      <c r="P601" s="37"/>
      <c r="Q601" s="18">
        <v>3.9269999999999999E-2</v>
      </c>
      <c r="R601" s="18">
        <v>2.6774999999999998E-4</v>
      </c>
      <c r="S601" s="18">
        <v>7.4969999999999995E-2</v>
      </c>
      <c r="T601" s="18">
        <v>0.32129999999999997</v>
      </c>
      <c r="U601" s="18">
        <v>0.16064999999999999</v>
      </c>
      <c r="V601" s="18">
        <v>2.0563199999999999</v>
      </c>
      <c r="W601" s="18">
        <v>1.9278</v>
      </c>
      <c r="X601" s="18">
        <v>1.2851999999999999</v>
      </c>
      <c r="Y601" s="18">
        <v>5.7119999999999997E-2</v>
      </c>
      <c r="Z601" s="18">
        <v>0.25346999999999997</v>
      </c>
      <c r="AA601" s="18">
        <v>0.37128</v>
      </c>
      <c r="AB601" s="18">
        <v>0.66044999999999998</v>
      </c>
      <c r="AC601" s="18">
        <v>0.20348999999999998</v>
      </c>
      <c r="AD601" s="18">
        <v>1.071</v>
      </c>
    </row>
    <row r="602" spans="2:30" x14ac:dyDescent="0.25">
      <c r="B602" t="s">
        <v>269</v>
      </c>
      <c r="C602" t="s">
        <v>105</v>
      </c>
      <c r="D602" t="s">
        <v>748</v>
      </c>
      <c r="E602" s="35">
        <v>0.9</v>
      </c>
      <c r="F602" s="35">
        <v>6.6</v>
      </c>
      <c r="G602" s="36">
        <v>4.1200000000000004E-3</v>
      </c>
      <c r="H602" s="18">
        <v>7.4152979999999999</v>
      </c>
      <c r="I602" s="16" t="s">
        <v>746</v>
      </c>
      <c r="J602" s="16"/>
      <c r="K602" s="16"/>
      <c r="L602" s="37"/>
      <c r="M602" s="37"/>
      <c r="N602" s="37"/>
      <c r="O602" s="37"/>
      <c r="P602" s="37"/>
      <c r="Q602" s="18">
        <v>4.5320000000000006E-2</v>
      </c>
      <c r="R602" s="18">
        <v>3.0900000000000003E-4</v>
      </c>
      <c r="S602" s="18">
        <v>8.6520000000000014E-2</v>
      </c>
      <c r="T602" s="18">
        <v>0.37080000000000002</v>
      </c>
      <c r="U602" s="18">
        <v>0.18540000000000001</v>
      </c>
      <c r="V602" s="18">
        <v>2.3731200000000001</v>
      </c>
      <c r="W602" s="18">
        <v>2.2248000000000001</v>
      </c>
      <c r="X602" s="18">
        <v>1.4832000000000001</v>
      </c>
      <c r="Y602" s="18">
        <v>6.5920000000000006E-2</v>
      </c>
      <c r="Z602" s="18">
        <v>0.29252</v>
      </c>
      <c r="AA602" s="18">
        <v>0.42848000000000003</v>
      </c>
      <c r="AB602" s="18">
        <v>0.7622000000000001</v>
      </c>
      <c r="AC602" s="18">
        <v>0.23484000000000002</v>
      </c>
      <c r="AD602" s="18">
        <v>1.2360000000000002</v>
      </c>
    </row>
    <row r="603" spans="2:30" x14ac:dyDescent="0.25">
      <c r="B603" t="s">
        <v>269</v>
      </c>
      <c r="C603" t="s">
        <v>105</v>
      </c>
      <c r="D603" t="s">
        <v>749</v>
      </c>
      <c r="E603" s="35">
        <v>0.9</v>
      </c>
      <c r="F603" s="35">
        <v>6.6</v>
      </c>
      <c r="G603" s="36">
        <v>3.5699999999999998E-3</v>
      </c>
      <c r="H603" s="18">
        <v>6.4252979999999997</v>
      </c>
      <c r="I603" s="16" t="s">
        <v>746</v>
      </c>
      <c r="J603" s="16"/>
      <c r="K603" s="16"/>
      <c r="L603" s="37"/>
      <c r="M603" s="37"/>
      <c r="N603" s="37"/>
      <c r="O603" s="37"/>
      <c r="P603" s="37"/>
      <c r="Q603" s="18">
        <v>3.9269999999999999E-2</v>
      </c>
      <c r="R603" s="18">
        <v>2.6774999999999998E-4</v>
      </c>
      <c r="S603" s="18">
        <v>7.4969999999999995E-2</v>
      </c>
      <c r="T603" s="18">
        <v>0.32129999999999997</v>
      </c>
      <c r="U603" s="18">
        <v>0.16064999999999999</v>
      </c>
      <c r="V603" s="18">
        <v>2.0563199999999999</v>
      </c>
      <c r="W603" s="18">
        <v>1.9278</v>
      </c>
      <c r="X603" s="18">
        <v>1.2851999999999999</v>
      </c>
      <c r="Y603" s="18">
        <v>5.7119999999999997E-2</v>
      </c>
      <c r="Z603" s="18">
        <v>0.25346999999999997</v>
      </c>
      <c r="AA603" s="18">
        <v>0.37128</v>
      </c>
      <c r="AB603" s="18">
        <v>0.66044999999999998</v>
      </c>
      <c r="AC603" s="18">
        <v>0.20348999999999998</v>
      </c>
      <c r="AD603" s="18">
        <v>1.071</v>
      </c>
    </row>
    <row r="604" spans="2:30" x14ac:dyDescent="0.25">
      <c r="B604" t="s">
        <v>269</v>
      </c>
      <c r="C604" t="s">
        <v>105</v>
      </c>
      <c r="D604" t="s">
        <v>748</v>
      </c>
      <c r="E604" s="35">
        <v>0.9</v>
      </c>
      <c r="F604" s="35">
        <v>6.6</v>
      </c>
      <c r="G604" s="36">
        <v>4.1200000000000004E-3</v>
      </c>
      <c r="H604" s="18">
        <v>7.4152979999999999</v>
      </c>
      <c r="I604" s="16" t="s">
        <v>746</v>
      </c>
      <c r="J604" s="16"/>
      <c r="K604" s="16"/>
      <c r="L604" s="37"/>
      <c r="M604" s="37"/>
      <c r="N604" s="37"/>
      <c r="O604" s="37"/>
      <c r="P604" s="37"/>
      <c r="Q604" s="18">
        <v>4.5320000000000006E-2</v>
      </c>
      <c r="R604" s="18">
        <v>3.0900000000000003E-4</v>
      </c>
      <c r="S604" s="18">
        <v>8.6520000000000014E-2</v>
      </c>
      <c r="T604" s="18">
        <v>0.37080000000000002</v>
      </c>
      <c r="U604" s="18">
        <v>0.18540000000000001</v>
      </c>
      <c r="V604" s="18">
        <v>2.3731200000000001</v>
      </c>
      <c r="W604" s="18">
        <v>2.2248000000000001</v>
      </c>
      <c r="X604" s="18">
        <v>1.4832000000000001</v>
      </c>
      <c r="Y604" s="18">
        <v>6.5920000000000006E-2</v>
      </c>
      <c r="Z604" s="18">
        <v>0.29252</v>
      </c>
      <c r="AA604" s="18">
        <v>0.42848000000000003</v>
      </c>
      <c r="AB604" s="18">
        <v>0.7622000000000001</v>
      </c>
      <c r="AC604" s="18">
        <v>0.23484000000000002</v>
      </c>
      <c r="AD604" s="18">
        <v>1.2360000000000002</v>
      </c>
    </row>
    <row r="605" spans="2:30" x14ac:dyDescent="0.25">
      <c r="B605" t="s">
        <v>269</v>
      </c>
      <c r="C605" t="s">
        <v>105</v>
      </c>
      <c r="D605" t="s">
        <v>749</v>
      </c>
      <c r="E605" s="35">
        <v>0.9</v>
      </c>
      <c r="F605" s="35">
        <v>6.6</v>
      </c>
      <c r="G605" s="36">
        <v>3.5699999999999998E-3</v>
      </c>
      <c r="H605" s="18">
        <v>6.4252979999999997</v>
      </c>
      <c r="I605" s="16" t="s">
        <v>746</v>
      </c>
      <c r="J605" s="16"/>
      <c r="K605" s="16"/>
      <c r="L605" s="37"/>
      <c r="M605" s="37"/>
      <c r="N605" s="37"/>
      <c r="O605" s="37"/>
      <c r="P605" s="37"/>
      <c r="Q605" s="18">
        <v>3.9269999999999999E-2</v>
      </c>
      <c r="R605" s="18">
        <v>2.6774999999999998E-4</v>
      </c>
      <c r="S605" s="18">
        <v>7.4969999999999995E-2</v>
      </c>
      <c r="T605" s="18">
        <v>0.32129999999999997</v>
      </c>
      <c r="U605" s="18">
        <v>0.16064999999999999</v>
      </c>
      <c r="V605" s="18">
        <v>2.0563199999999999</v>
      </c>
      <c r="W605" s="18">
        <v>1.9278</v>
      </c>
      <c r="X605" s="18">
        <v>1.2851999999999999</v>
      </c>
      <c r="Y605" s="18">
        <v>5.7119999999999997E-2</v>
      </c>
      <c r="Z605" s="18">
        <v>0.25346999999999997</v>
      </c>
      <c r="AA605" s="18">
        <v>0.37128</v>
      </c>
      <c r="AB605" s="18">
        <v>0.66044999999999998</v>
      </c>
      <c r="AC605" s="18">
        <v>0.20348999999999998</v>
      </c>
      <c r="AD605" s="18">
        <v>1.071</v>
      </c>
    </row>
    <row r="606" spans="2:30" x14ac:dyDescent="0.25">
      <c r="B606" t="s">
        <v>269</v>
      </c>
      <c r="C606" t="s">
        <v>105</v>
      </c>
      <c r="D606" t="s">
        <v>748</v>
      </c>
      <c r="E606" s="35">
        <v>0.9</v>
      </c>
      <c r="F606" s="35">
        <v>6.6</v>
      </c>
      <c r="G606" s="36">
        <v>4.1200000000000004E-3</v>
      </c>
      <c r="H606" s="18">
        <v>7.4152979999999999</v>
      </c>
      <c r="I606" s="16" t="s">
        <v>746</v>
      </c>
      <c r="J606" s="16"/>
      <c r="K606" s="16"/>
      <c r="L606" s="37"/>
      <c r="M606" s="37"/>
      <c r="N606" s="37"/>
      <c r="O606" s="37"/>
      <c r="P606" s="37"/>
      <c r="Q606" s="18">
        <v>4.5320000000000006E-2</v>
      </c>
      <c r="R606" s="18">
        <v>3.0900000000000003E-4</v>
      </c>
      <c r="S606" s="18">
        <v>8.6520000000000014E-2</v>
      </c>
      <c r="T606" s="18">
        <v>0.37080000000000002</v>
      </c>
      <c r="U606" s="18">
        <v>0.18540000000000001</v>
      </c>
      <c r="V606" s="18">
        <v>2.3731200000000001</v>
      </c>
      <c r="W606" s="18">
        <v>2.2248000000000001</v>
      </c>
      <c r="X606" s="18">
        <v>1.4832000000000001</v>
      </c>
      <c r="Y606" s="18">
        <v>6.5920000000000006E-2</v>
      </c>
      <c r="Z606" s="18">
        <v>0.29252</v>
      </c>
      <c r="AA606" s="18">
        <v>0.42848000000000003</v>
      </c>
      <c r="AB606" s="18">
        <v>0.7622000000000001</v>
      </c>
      <c r="AC606" s="18">
        <v>0.23484000000000002</v>
      </c>
      <c r="AD606" s="18">
        <v>1.2360000000000002</v>
      </c>
    </row>
    <row r="607" spans="2:30" x14ac:dyDescent="0.25">
      <c r="B607" t="s">
        <v>269</v>
      </c>
      <c r="C607" t="s">
        <v>105</v>
      </c>
      <c r="D607" t="s">
        <v>748</v>
      </c>
      <c r="E607" s="35">
        <v>0.9</v>
      </c>
      <c r="F607" s="35">
        <v>6.6</v>
      </c>
      <c r="G607" s="36">
        <v>4.1200000000000004E-3</v>
      </c>
      <c r="H607" s="18">
        <v>7.4152979999999999</v>
      </c>
      <c r="I607" s="16" t="s">
        <v>746</v>
      </c>
      <c r="J607" s="16"/>
      <c r="K607" s="16"/>
      <c r="L607" s="37"/>
      <c r="M607" s="37"/>
      <c r="N607" s="37"/>
      <c r="O607" s="37"/>
      <c r="P607" s="37"/>
      <c r="Q607" s="18">
        <v>4.5320000000000006E-2</v>
      </c>
      <c r="R607" s="18">
        <v>3.0900000000000003E-4</v>
      </c>
      <c r="S607" s="18">
        <v>8.6520000000000014E-2</v>
      </c>
      <c r="T607" s="18">
        <v>0.37080000000000002</v>
      </c>
      <c r="U607" s="18">
        <v>0.18540000000000001</v>
      </c>
      <c r="V607" s="18">
        <v>2.3731200000000001</v>
      </c>
      <c r="W607" s="18">
        <v>2.2248000000000001</v>
      </c>
      <c r="X607" s="18">
        <v>1.4832000000000001</v>
      </c>
      <c r="Y607" s="18">
        <v>6.5920000000000006E-2</v>
      </c>
      <c r="Z607" s="18">
        <v>0.29252</v>
      </c>
      <c r="AA607" s="18">
        <v>0.42848000000000003</v>
      </c>
      <c r="AB607" s="18">
        <v>0.7622000000000001</v>
      </c>
      <c r="AC607" s="18">
        <v>0.23484000000000002</v>
      </c>
      <c r="AD607" s="18">
        <v>1.2360000000000002</v>
      </c>
    </row>
    <row r="608" spans="2:30" x14ac:dyDescent="0.25">
      <c r="B608" t="s">
        <v>269</v>
      </c>
      <c r="C608" t="s">
        <v>105</v>
      </c>
      <c r="D608" t="s">
        <v>749</v>
      </c>
      <c r="E608" s="35">
        <v>0.9</v>
      </c>
      <c r="F608" s="35">
        <v>6.6</v>
      </c>
      <c r="G608" s="36">
        <v>3.5699999999999998E-3</v>
      </c>
      <c r="H608" s="18">
        <v>6.4252979999999997</v>
      </c>
      <c r="I608" s="16" t="s">
        <v>746</v>
      </c>
      <c r="J608" s="16"/>
      <c r="K608" s="16"/>
      <c r="L608" s="37"/>
      <c r="M608" s="37"/>
      <c r="N608" s="37"/>
      <c r="O608" s="37"/>
      <c r="P608" s="37"/>
      <c r="Q608" s="18">
        <v>3.9269999999999999E-2</v>
      </c>
      <c r="R608" s="18">
        <v>2.6774999999999998E-4</v>
      </c>
      <c r="S608" s="18">
        <v>7.4969999999999995E-2</v>
      </c>
      <c r="T608" s="18">
        <v>0.32129999999999997</v>
      </c>
      <c r="U608" s="18">
        <v>0.16064999999999999</v>
      </c>
      <c r="V608" s="18">
        <v>2.0563199999999999</v>
      </c>
      <c r="W608" s="18">
        <v>1.9278</v>
      </c>
      <c r="X608" s="18">
        <v>1.2851999999999999</v>
      </c>
      <c r="Y608" s="18">
        <v>5.7119999999999997E-2</v>
      </c>
      <c r="Z608" s="18">
        <v>0.25346999999999997</v>
      </c>
      <c r="AA608" s="18">
        <v>0.37128</v>
      </c>
      <c r="AB608" s="18">
        <v>0.66044999999999998</v>
      </c>
      <c r="AC608" s="18">
        <v>0.20348999999999998</v>
      </c>
      <c r="AD608" s="18">
        <v>1.071</v>
      </c>
    </row>
    <row r="609" spans="2:30" x14ac:dyDescent="0.25">
      <c r="B609" t="s">
        <v>269</v>
      </c>
      <c r="C609" t="s">
        <v>105</v>
      </c>
      <c r="D609" t="s">
        <v>750</v>
      </c>
      <c r="E609" s="35">
        <v>0.9</v>
      </c>
      <c r="F609" s="35">
        <v>6.6</v>
      </c>
      <c r="G609" s="36">
        <v>3.0200000000000001E-3</v>
      </c>
      <c r="H609" s="18">
        <v>5.4352980000000004</v>
      </c>
      <c r="I609" s="16" t="s">
        <v>746</v>
      </c>
      <c r="J609" s="16"/>
      <c r="K609" s="16"/>
      <c r="L609" s="37"/>
      <c r="M609" s="37"/>
      <c r="N609" s="37"/>
      <c r="O609" s="37"/>
      <c r="P609" s="37"/>
      <c r="Q609" s="18">
        <v>3.322E-2</v>
      </c>
      <c r="R609" s="18">
        <v>2.265E-4</v>
      </c>
      <c r="S609" s="18">
        <v>6.3420000000000004E-2</v>
      </c>
      <c r="T609" s="18">
        <v>0.27179999999999999</v>
      </c>
      <c r="U609" s="18">
        <v>0.13589999999999999</v>
      </c>
      <c r="V609" s="18">
        <v>1.7395200000000002</v>
      </c>
      <c r="W609" s="18">
        <v>1.6308</v>
      </c>
      <c r="X609" s="18">
        <v>1.0871999999999999</v>
      </c>
      <c r="Y609" s="18">
        <v>4.8320000000000002E-2</v>
      </c>
      <c r="Z609" s="18">
        <v>0.21442</v>
      </c>
      <c r="AA609" s="18">
        <v>0.31408000000000003</v>
      </c>
      <c r="AB609" s="18">
        <v>0.55869999999999997</v>
      </c>
      <c r="AC609" s="18">
        <v>0.17214000000000002</v>
      </c>
      <c r="AD609" s="18">
        <v>0.90600000000000003</v>
      </c>
    </row>
    <row r="610" spans="2:30" x14ac:dyDescent="0.25">
      <c r="B610" t="s">
        <v>269</v>
      </c>
      <c r="C610" t="s">
        <v>105</v>
      </c>
      <c r="D610" t="s">
        <v>749</v>
      </c>
      <c r="E610" s="35">
        <v>0.9</v>
      </c>
      <c r="F610" s="35">
        <v>6.6</v>
      </c>
      <c r="G610" s="36">
        <v>3.5699999999999998E-3</v>
      </c>
      <c r="H610" s="18">
        <v>6.4252979999999997</v>
      </c>
      <c r="I610" s="16" t="s">
        <v>746</v>
      </c>
      <c r="J610" s="16"/>
      <c r="K610" s="16"/>
      <c r="L610" s="37"/>
      <c r="M610" s="37"/>
      <c r="N610" s="37"/>
      <c r="O610" s="37"/>
      <c r="P610" s="37"/>
      <c r="Q610" s="18">
        <v>3.9269999999999999E-2</v>
      </c>
      <c r="R610" s="18">
        <v>2.6774999999999998E-4</v>
      </c>
      <c r="S610" s="18">
        <v>7.4969999999999995E-2</v>
      </c>
      <c r="T610" s="18">
        <v>0.32129999999999997</v>
      </c>
      <c r="U610" s="18">
        <v>0.16064999999999999</v>
      </c>
      <c r="V610" s="18">
        <v>2.0563199999999999</v>
      </c>
      <c r="W610" s="18">
        <v>1.9278</v>
      </c>
      <c r="X610" s="18">
        <v>1.2851999999999999</v>
      </c>
      <c r="Y610" s="18">
        <v>5.7119999999999997E-2</v>
      </c>
      <c r="Z610" s="18">
        <v>0.25346999999999997</v>
      </c>
      <c r="AA610" s="18">
        <v>0.37128</v>
      </c>
      <c r="AB610" s="18">
        <v>0.66044999999999998</v>
      </c>
      <c r="AC610" s="18">
        <v>0.20348999999999998</v>
      </c>
      <c r="AD610" s="18">
        <v>1.071</v>
      </c>
    </row>
    <row r="611" spans="2:30" x14ac:dyDescent="0.25">
      <c r="B611" t="s">
        <v>269</v>
      </c>
      <c r="C611" t="s">
        <v>105</v>
      </c>
      <c r="D611" t="s">
        <v>749</v>
      </c>
      <c r="E611" s="35">
        <v>0.9</v>
      </c>
      <c r="F611" s="35">
        <v>6.6</v>
      </c>
      <c r="G611" s="36">
        <v>3.5699999999999998E-3</v>
      </c>
      <c r="H611" s="18">
        <v>6.4252979999999997</v>
      </c>
      <c r="I611" s="16" t="s">
        <v>746</v>
      </c>
      <c r="J611" s="16"/>
      <c r="K611" s="16"/>
      <c r="L611" s="37"/>
      <c r="M611" s="37"/>
      <c r="N611" s="37"/>
      <c r="O611" s="37"/>
      <c r="P611" s="37"/>
      <c r="Q611" s="18">
        <v>3.9269999999999999E-2</v>
      </c>
      <c r="R611" s="18">
        <v>2.6774999999999998E-4</v>
      </c>
      <c r="S611" s="18">
        <v>7.4969999999999995E-2</v>
      </c>
      <c r="T611" s="18">
        <v>0.32129999999999997</v>
      </c>
      <c r="U611" s="18">
        <v>0.16064999999999999</v>
      </c>
      <c r="V611" s="18">
        <v>2.0563199999999999</v>
      </c>
      <c r="W611" s="18">
        <v>1.9278</v>
      </c>
      <c r="X611" s="18">
        <v>1.2851999999999999</v>
      </c>
      <c r="Y611" s="18">
        <v>5.7119999999999997E-2</v>
      </c>
      <c r="Z611" s="18">
        <v>0.25346999999999997</v>
      </c>
      <c r="AA611" s="18">
        <v>0.37128</v>
      </c>
      <c r="AB611" s="18">
        <v>0.66044999999999998</v>
      </c>
      <c r="AC611" s="18">
        <v>0.20348999999999998</v>
      </c>
      <c r="AD611" s="18">
        <v>1.071</v>
      </c>
    </row>
    <row r="612" spans="2:30" x14ac:dyDescent="0.25">
      <c r="B612" t="s">
        <v>269</v>
      </c>
      <c r="C612" t="s">
        <v>105</v>
      </c>
      <c r="D612" t="s">
        <v>748</v>
      </c>
      <c r="E612" s="35">
        <v>0.9</v>
      </c>
      <c r="F612" s="35">
        <v>6.6</v>
      </c>
      <c r="G612" s="36">
        <v>4.1200000000000004E-3</v>
      </c>
      <c r="H612" s="18">
        <v>7.4152979999999999</v>
      </c>
      <c r="I612" s="16" t="s">
        <v>746</v>
      </c>
      <c r="J612" s="16"/>
      <c r="K612" s="16"/>
      <c r="L612" s="37"/>
      <c r="M612" s="37"/>
      <c r="N612" s="37"/>
      <c r="O612" s="37"/>
      <c r="P612" s="37"/>
      <c r="Q612" s="18">
        <v>4.5320000000000006E-2</v>
      </c>
      <c r="R612" s="18">
        <v>3.0900000000000003E-4</v>
      </c>
      <c r="S612" s="18">
        <v>8.6520000000000014E-2</v>
      </c>
      <c r="T612" s="18">
        <v>0.37080000000000002</v>
      </c>
      <c r="U612" s="18">
        <v>0.18540000000000001</v>
      </c>
      <c r="V612" s="18">
        <v>2.3731200000000001</v>
      </c>
      <c r="W612" s="18">
        <v>2.2248000000000001</v>
      </c>
      <c r="X612" s="18">
        <v>1.4832000000000001</v>
      </c>
      <c r="Y612" s="18">
        <v>6.5920000000000006E-2</v>
      </c>
      <c r="Z612" s="18">
        <v>0.29252</v>
      </c>
      <c r="AA612" s="18">
        <v>0.42848000000000003</v>
      </c>
      <c r="AB612" s="18">
        <v>0.7622000000000001</v>
      </c>
      <c r="AC612" s="18">
        <v>0.23484000000000002</v>
      </c>
      <c r="AD612" s="18">
        <v>1.2360000000000002</v>
      </c>
    </row>
    <row r="613" spans="2:30" x14ac:dyDescent="0.25">
      <c r="B613" t="s">
        <v>269</v>
      </c>
      <c r="C613" t="s">
        <v>326</v>
      </c>
      <c r="D613" t="s">
        <v>748</v>
      </c>
      <c r="E613" s="35">
        <v>0.9</v>
      </c>
      <c r="F613" s="35">
        <v>6.6</v>
      </c>
      <c r="G613" s="36">
        <v>4.1200000000000004E-3</v>
      </c>
      <c r="H613" s="18">
        <v>7.4152979999999999</v>
      </c>
      <c r="I613" s="16" t="s">
        <v>746</v>
      </c>
      <c r="J613" s="16"/>
      <c r="K613" s="16"/>
      <c r="L613" s="37"/>
      <c r="M613" s="37"/>
      <c r="N613" s="37"/>
      <c r="O613" s="37"/>
      <c r="P613" s="37"/>
      <c r="Q613" s="18">
        <v>4.5320000000000006E-2</v>
      </c>
      <c r="R613" s="18">
        <v>3.0900000000000003E-4</v>
      </c>
      <c r="S613" s="18">
        <v>8.6520000000000014E-2</v>
      </c>
      <c r="T613" s="18">
        <v>0.37080000000000002</v>
      </c>
      <c r="U613" s="18">
        <v>0.18540000000000001</v>
      </c>
      <c r="V613" s="18">
        <v>2.3731200000000001</v>
      </c>
      <c r="W613" s="18">
        <v>2.2248000000000001</v>
      </c>
      <c r="X613" s="18">
        <v>1.4832000000000001</v>
      </c>
      <c r="Y613" s="18">
        <v>6.5920000000000006E-2</v>
      </c>
      <c r="Z613" s="18">
        <v>0.29252</v>
      </c>
      <c r="AA613" s="18">
        <v>0.42848000000000003</v>
      </c>
      <c r="AB613" s="18">
        <v>0.7622000000000001</v>
      </c>
      <c r="AC613" s="18">
        <v>0.23484000000000002</v>
      </c>
      <c r="AD613" s="18">
        <v>1.2360000000000002</v>
      </c>
    </row>
    <row r="614" spans="2:30" x14ac:dyDescent="0.25">
      <c r="B614" t="s">
        <v>269</v>
      </c>
      <c r="C614" t="s">
        <v>326</v>
      </c>
      <c r="D614" t="s">
        <v>748</v>
      </c>
      <c r="E614" s="35">
        <v>0.9</v>
      </c>
      <c r="F614" s="35">
        <v>6.6</v>
      </c>
      <c r="G614" s="36">
        <v>4.1200000000000004E-3</v>
      </c>
      <c r="H614" s="18">
        <v>7.4152979999999999</v>
      </c>
      <c r="I614" s="16" t="s">
        <v>746</v>
      </c>
      <c r="J614" s="16"/>
      <c r="K614" s="16"/>
      <c r="L614" s="37"/>
      <c r="M614" s="37"/>
      <c r="N614" s="37"/>
      <c r="O614" s="37"/>
      <c r="P614" s="37"/>
      <c r="Q614" s="18">
        <v>4.5320000000000006E-2</v>
      </c>
      <c r="R614" s="18">
        <v>3.0900000000000003E-4</v>
      </c>
      <c r="S614" s="18">
        <v>8.6520000000000014E-2</v>
      </c>
      <c r="T614" s="18">
        <v>0.37080000000000002</v>
      </c>
      <c r="U614" s="18">
        <v>0.18540000000000001</v>
      </c>
      <c r="V614" s="18">
        <v>2.3731200000000001</v>
      </c>
      <c r="W614" s="18">
        <v>2.2248000000000001</v>
      </c>
      <c r="X614" s="18">
        <v>1.4832000000000001</v>
      </c>
      <c r="Y614" s="18">
        <v>6.5920000000000006E-2</v>
      </c>
      <c r="Z614" s="18">
        <v>0.29252</v>
      </c>
      <c r="AA614" s="18">
        <v>0.42848000000000003</v>
      </c>
      <c r="AB614" s="18">
        <v>0.7622000000000001</v>
      </c>
      <c r="AC614" s="18">
        <v>0.23484000000000002</v>
      </c>
      <c r="AD614" s="18">
        <v>1.2360000000000002</v>
      </c>
    </row>
    <row r="615" spans="2:30" x14ac:dyDescent="0.25">
      <c r="B615" t="s">
        <v>269</v>
      </c>
      <c r="C615" t="s">
        <v>326</v>
      </c>
      <c r="D615" t="s">
        <v>752</v>
      </c>
      <c r="E615" s="35">
        <v>0.9</v>
      </c>
      <c r="F615" s="35">
        <v>6.6</v>
      </c>
      <c r="G615" s="36">
        <v>2.47E-3</v>
      </c>
      <c r="H615" s="18">
        <v>4.4452980000000002</v>
      </c>
      <c r="I615" s="16" t="s">
        <v>746</v>
      </c>
      <c r="J615" s="16"/>
      <c r="K615" s="16"/>
      <c r="L615" s="37"/>
      <c r="M615" s="37"/>
      <c r="N615" s="37"/>
      <c r="O615" s="37"/>
      <c r="P615" s="37"/>
      <c r="Q615" s="18">
        <v>2.717E-2</v>
      </c>
      <c r="R615" s="18">
        <v>1.8525E-4</v>
      </c>
      <c r="S615" s="18">
        <v>5.1869999999999999E-2</v>
      </c>
      <c r="T615" s="18">
        <v>0.2223</v>
      </c>
      <c r="U615" s="18">
        <v>0.11115</v>
      </c>
      <c r="V615" s="18">
        <v>1.42272</v>
      </c>
      <c r="W615" s="18">
        <v>1.3338000000000001</v>
      </c>
      <c r="X615" s="18">
        <v>0.88919999999999999</v>
      </c>
      <c r="Y615" s="18">
        <v>3.952E-2</v>
      </c>
      <c r="Z615" s="18">
        <v>0.17537</v>
      </c>
      <c r="AA615" s="18">
        <v>0.25688</v>
      </c>
      <c r="AB615" s="18">
        <v>0.45694999999999997</v>
      </c>
      <c r="AC615" s="18">
        <v>0.14079</v>
      </c>
      <c r="AD615" s="18">
        <v>0.74099999999999999</v>
      </c>
    </row>
    <row r="616" spans="2:30" x14ac:dyDescent="0.25">
      <c r="B616" t="s">
        <v>269</v>
      </c>
      <c r="C616" t="s">
        <v>326</v>
      </c>
      <c r="D616" t="s">
        <v>748</v>
      </c>
      <c r="E616" s="35">
        <v>0.9</v>
      </c>
      <c r="F616" s="35">
        <v>6.6</v>
      </c>
      <c r="G616" s="36">
        <v>4.1200000000000004E-3</v>
      </c>
      <c r="H616" s="18">
        <v>7.4152979999999999</v>
      </c>
      <c r="I616" s="16" t="s">
        <v>746</v>
      </c>
      <c r="J616" s="16"/>
      <c r="K616" s="16"/>
      <c r="L616" s="37"/>
      <c r="M616" s="37"/>
      <c r="N616" s="37"/>
      <c r="O616" s="37"/>
      <c r="P616" s="37"/>
      <c r="Q616" s="18">
        <v>4.5320000000000006E-2</v>
      </c>
      <c r="R616" s="18">
        <v>3.0900000000000003E-4</v>
      </c>
      <c r="S616" s="18">
        <v>8.6520000000000014E-2</v>
      </c>
      <c r="T616" s="18">
        <v>0.37080000000000002</v>
      </c>
      <c r="U616" s="18">
        <v>0.18540000000000001</v>
      </c>
      <c r="V616" s="18">
        <v>2.3731200000000001</v>
      </c>
      <c r="W616" s="18">
        <v>2.2248000000000001</v>
      </c>
      <c r="X616" s="18">
        <v>1.4832000000000001</v>
      </c>
      <c r="Y616" s="18">
        <v>6.5920000000000006E-2</v>
      </c>
      <c r="Z616" s="18">
        <v>0.29252</v>
      </c>
      <c r="AA616" s="18">
        <v>0.42848000000000003</v>
      </c>
      <c r="AB616" s="18">
        <v>0.7622000000000001</v>
      </c>
      <c r="AC616" s="18">
        <v>0.23484000000000002</v>
      </c>
      <c r="AD616" s="18">
        <v>1.2360000000000002</v>
      </c>
    </row>
    <row r="617" spans="2:30" x14ac:dyDescent="0.25">
      <c r="B617" t="s">
        <v>269</v>
      </c>
      <c r="C617" t="s">
        <v>326</v>
      </c>
      <c r="D617" t="s">
        <v>750</v>
      </c>
      <c r="E617" s="35">
        <v>0.9</v>
      </c>
      <c r="F617" s="35">
        <v>6.6</v>
      </c>
      <c r="G617" s="36">
        <v>3.0200000000000001E-3</v>
      </c>
      <c r="H617" s="18">
        <v>5.4352980000000004</v>
      </c>
      <c r="I617" s="16" t="s">
        <v>746</v>
      </c>
      <c r="J617" s="16"/>
      <c r="K617" s="16"/>
      <c r="L617" s="37"/>
      <c r="M617" s="37"/>
      <c r="N617" s="37"/>
      <c r="O617" s="37"/>
      <c r="P617" s="37"/>
      <c r="Q617" s="18">
        <v>3.322E-2</v>
      </c>
      <c r="R617" s="18">
        <v>2.265E-4</v>
      </c>
      <c r="S617" s="18">
        <v>6.3420000000000004E-2</v>
      </c>
      <c r="T617" s="18">
        <v>0.27179999999999999</v>
      </c>
      <c r="U617" s="18">
        <v>0.13589999999999999</v>
      </c>
      <c r="V617" s="18">
        <v>1.7395200000000002</v>
      </c>
      <c r="W617" s="18">
        <v>1.6308</v>
      </c>
      <c r="X617" s="18">
        <v>1.0871999999999999</v>
      </c>
      <c r="Y617" s="18">
        <v>4.8320000000000002E-2</v>
      </c>
      <c r="Z617" s="18">
        <v>0.21442</v>
      </c>
      <c r="AA617" s="18">
        <v>0.31408000000000003</v>
      </c>
      <c r="AB617" s="18">
        <v>0.55869999999999997</v>
      </c>
      <c r="AC617" s="18">
        <v>0.17214000000000002</v>
      </c>
      <c r="AD617" s="18">
        <v>0.90600000000000003</v>
      </c>
    </row>
    <row r="618" spans="2:30" x14ac:dyDescent="0.25">
      <c r="B618" t="s">
        <v>269</v>
      </c>
      <c r="C618" t="s">
        <v>326</v>
      </c>
      <c r="D618" t="s">
        <v>748</v>
      </c>
      <c r="E618" s="35">
        <v>0.9</v>
      </c>
      <c r="F618" s="35">
        <v>6.6</v>
      </c>
      <c r="G618" s="36">
        <v>4.1200000000000004E-3</v>
      </c>
      <c r="H618" s="18">
        <v>7.4152979999999999</v>
      </c>
      <c r="I618" s="16" t="s">
        <v>746</v>
      </c>
      <c r="J618" s="16"/>
      <c r="K618" s="16"/>
      <c r="L618" s="37"/>
      <c r="M618" s="37"/>
      <c r="N618" s="37"/>
      <c r="O618" s="37"/>
      <c r="P618" s="37"/>
      <c r="Q618" s="18">
        <v>4.5320000000000006E-2</v>
      </c>
      <c r="R618" s="18">
        <v>3.0900000000000003E-4</v>
      </c>
      <c r="S618" s="18">
        <v>8.6520000000000014E-2</v>
      </c>
      <c r="T618" s="18">
        <v>0.37080000000000002</v>
      </c>
      <c r="U618" s="18">
        <v>0.18540000000000001</v>
      </c>
      <c r="V618" s="18">
        <v>2.3731200000000001</v>
      </c>
      <c r="W618" s="18">
        <v>2.2248000000000001</v>
      </c>
      <c r="X618" s="18">
        <v>1.4832000000000001</v>
      </c>
      <c r="Y618" s="18">
        <v>6.5920000000000006E-2</v>
      </c>
      <c r="Z618" s="18">
        <v>0.29252</v>
      </c>
      <c r="AA618" s="18">
        <v>0.42848000000000003</v>
      </c>
      <c r="AB618" s="18">
        <v>0.7622000000000001</v>
      </c>
      <c r="AC618" s="18">
        <v>0.23484000000000002</v>
      </c>
      <c r="AD618" s="18">
        <v>1.2360000000000002</v>
      </c>
    </row>
    <row r="619" spans="2:30" x14ac:dyDescent="0.25">
      <c r="B619" t="s">
        <v>269</v>
      </c>
      <c r="C619" t="s">
        <v>326</v>
      </c>
      <c r="D619" t="s">
        <v>748</v>
      </c>
      <c r="E619" s="35">
        <v>0.9</v>
      </c>
      <c r="F619" s="35">
        <v>6.6</v>
      </c>
      <c r="G619" s="36">
        <v>4.1200000000000004E-3</v>
      </c>
      <c r="H619" s="18">
        <v>7.4152979999999999</v>
      </c>
      <c r="I619" s="16" t="s">
        <v>746</v>
      </c>
      <c r="J619" s="16"/>
      <c r="K619" s="16"/>
      <c r="L619" s="37"/>
      <c r="M619" s="37"/>
      <c r="N619" s="37"/>
      <c r="O619" s="37"/>
      <c r="P619" s="37"/>
      <c r="Q619" s="18">
        <v>4.5320000000000006E-2</v>
      </c>
      <c r="R619" s="18">
        <v>3.0900000000000003E-4</v>
      </c>
      <c r="S619" s="18">
        <v>8.6520000000000014E-2</v>
      </c>
      <c r="T619" s="18">
        <v>0.37080000000000002</v>
      </c>
      <c r="U619" s="18">
        <v>0.18540000000000001</v>
      </c>
      <c r="V619" s="18">
        <v>2.3731200000000001</v>
      </c>
      <c r="W619" s="18">
        <v>2.2248000000000001</v>
      </c>
      <c r="X619" s="18">
        <v>1.4832000000000001</v>
      </c>
      <c r="Y619" s="18">
        <v>6.5920000000000006E-2</v>
      </c>
      <c r="Z619" s="18">
        <v>0.29252</v>
      </c>
      <c r="AA619" s="18">
        <v>0.42848000000000003</v>
      </c>
      <c r="AB619" s="18">
        <v>0.7622000000000001</v>
      </c>
      <c r="AC619" s="18">
        <v>0.23484000000000002</v>
      </c>
      <c r="AD619" s="18">
        <v>1.2360000000000002</v>
      </c>
    </row>
    <row r="620" spans="2:30" x14ac:dyDescent="0.25">
      <c r="B620" t="s">
        <v>269</v>
      </c>
      <c r="C620" t="s">
        <v>326</v>
      </c>
      <c r="D620" t="s">
        <v>753</v>
      </c>
      <c r="E620" s="35">
        <v>0.9</v>
      </c>
      <c r="F620" s="35">
        <v>6.6</v>
      </c>
      <c r="G620" s="36">
        <v>5.77E-3</v>
      </c>
      <c r="H620" s="18">
        <v>10.385298000000001</v>
      </c>
      <c r="I620" s="16" t="s">
        <v>746</v>
      </c>
      <c r="J620" s="16"/>
      <c r="K620" s="16"/>
      <c r="L620" s="37"/>
      <c r="M620" s="37"/>
      <c r="N620" s="37"/>
      <c r="O620" s="37"/>
      <c r="P620" s="37"/>
      <c r="Q620" s="18">
        <v>6.3469999999999999E-2</v>
      </c>
      <c r="R620" s="18">
        <v>4.3274999999999997E-4</v>
      </c>
      <c r="S620" s="18">
        <v>0.12117</v>
      </c>
      <c r="T620" s="18">
        <v>0.51929999999999998</v>
      </c>
      <c r="U620" s="18">
        <v>0.25964999999999999</v>
      </c>
      <c r="V620" s="18">
        <v>3.3235199999999998</v>
      </c>
      <c r="W620" s="18">
        <v>3.1158000000000001</v>
      </c>
      <c r="X620" s="18">
        <v>2.0771999999999999</v>
      </c>
      <c r="Y620" s="18">
        <v>9.2319999999999999E-2</v>
      </c>
      <c r="Z620" s="18">
        <v>0.40966999999999998</v>
      </c>
      <c r="AA620" s="18">
        <v>0.60007999999999995</v>
      </c>
      <c r="AB620" s="18">
        <v>1.06745</v>
      </c>
      <c r="AC620" s="18">
        <v>0.32889000000000002</v>
      </c>
      <c r="AD620" s="18">
        <v>1.7310000000000001</v>
      </c>
    </row>
    <row r="621" spans="2:30" x14ac:dyDescent="0.25">
      <c r="B621" t="s">
        <v>269</v>
      </c>
      <c r="C621" t="s">
        <v>326</v>
      </c>
      <c r="D621" t="s">
        <v>748</v>
      </c>
      <c r="E621" s="35">
        <v>0.9</v>
      </c>
      <c r="F621" s="35">
        <v>6.6</v>
      </c>
      <c r="G621" s="36">
        <v>4.1200000000000004E-3</v>
      </c>
      <c r="H621" s="18">
        <v>7.4152979999999999</v>
      </c>
      <c r="I621" s="16" t="s">
        <v>746</v>
      </c>
      <c r="J621" s="16"/>
      <c r="K621" s="16"/>
      <c r="L621" s="37"/>
      <c r="M621" s="37"/>
      <c r="N621" s="37"/>
      <c r="O621" s="37"/>
      <c r="P621" s="37"/>
      <c r="Q621" s="18">
        <v>4.5320000000000006E-2</v>
      </c>
      <c r="R621" s="18">
        <v>3.0900000000000003E-4</v>
      </c>
      <c r="S621" s="18">
        <v>8.6520000000000014E-2</v>
      </c>
      <c r="T621" s="18">
        <v>0.37080000000000002</v>
      </c>
      <c r="U621" s="18">
        <v>0.18540000000000001</v>
      </c>
      <c r="V621" s="18">
        <v>2.3731200000000001</v>
      </c>
      <c r="W621" s="18">
        <v>2.2248000000000001</v>
      </c>
      <c r="X621" s="18">
        <v>1.4832000000000001</v>
      </c>
      <c r="Y621" s="18">
        <v>6.5920000000000006E-2</v>
      </c>
      <c r="Z621" s="18">
        <v>0.29252</v>
      </c>
      <c r="AA621" s="18">
        <v>0.42848000000000003</v>
      </c>
      <c r="AB621" s="18">
        <v>0.7622000000000001</v>
      </c>
      <c r="AC621" s="18">
        <v>0.23484000000000002</v>
      </c>
      <c r="AD621" s="18">
        <v>1.2360000000000002</v>
      </c>
    </row>
    <row r="622" spans="2:30" x14ac:dyDescent="0.25">
      <c r="B622" t="s">
        <v>269</v>
      </c>
      <c r="C622" t="s">
        <v>326</v>
      </c>
      <c r="D622" t="s">
        <v>748</v>
      </c>
      <c r="E622" s="35">
        <v>0.9</v>
      </c>
      <c r="F622" s="35">
        <v>6.6</v>
      </c>
      <c r="G622" s="36">
        <v>4.1200000000000004E-3</v>
      </c>
      <c r="H622" s="18">
        <v>7.4152979999999999</v>
      </c>
      <c r="I622" s="16" t="s">
        <v>746</v>
      </c>
      <c r="J622" s="16"/>
      <c r="K622" s="16"/>
      <c r="L622" s="37"/>
      <c r="M622" s="37"/>
      <c r="N622" s="37"/>
      <c r="O622" s="37"/>
      <c r="P622" s="37"/>
      <c r="Q622" s="18">
        <v>4.5320000000000006E-2</v>
      </c>
      <c r="R622" s="18">
        <v>3.0900000000000003E-4</v>
      </c>
      <c r="S622" s="18">
        <v>8.6520000000000014E-2</v>
      </c>
      <c r="T622" s="18">
        <v>0.37080000000000002</v>
      </c>
      <c r="U622" s="18">
        <v>0.18540000000000001</v>
      </c>
      <c r="V622" s="18">
        <v>2.3731200000000001</v>
      </c>
      <c r="W622" s="18">
        <v>2.2248000000000001</v>
      </c>
      <c r="X622" s="18">
        <v>1.4832000000000001</v>
      </c>
      <c r="Y622" s="18">
        <v>6.5920000000000006E-2</v>
      </c>
      <c r="Z622" s="18">
        <v>0.29252</v>
      </c>
      <c r="AA622" s="18">
        <v>0.42848000000000003</v>
      </c>
      <c r="AB622" s="18">
        <v>0.7622000000000001</v>
      </c>
      <c r="AC622" s="18">
        <v>0.23484000000000002</v>
      </c>
      <c r="AD622" s="18">
        <v>1.2360000000000002</v>
      </c>
    </row>
    <row r="623" spans="2:30" x14ac:dyDescent="0.25">
      <c r="B623" t="s">
        <v>269</v>
      </c>
      <c r="C623" t="s">
        <v>326</v>
      </c>
      <c r="D623" t="s">
        <v>749</v>
      </c>
      <c r="E623" s="35">
        <v>0.9</v>
      </c>
      <c r="F623" s="35">
        <v>6.6</v>
      </c>
      <c r="G623" s="36">
        <v>3.5699999999999998E-3</v>
      </c>
      <c r="H623" s="18">
        <v>6.4252979999999997</v>
      </c>
      <c r="I623" s="16" t="s">
        <v>746</v>
      </c>
      <c r="J623" s="16"/>
      <c r="K623" s="16"/>
      <c r="L623" s="37"/>
      <c r="M623" s="37"/>
      <c r="N623" s="37"/>
      <c r="O623" s="37"/>
      <c r="P623" s="37"/>
      <c r="Q623" s="18">
        <v>3.9269999999999999E-2</v>
      </c>
      <c r="R623" s="18">
        <v>2.6774999999999998E-4</v>
      </c>
      <c r="S623" s="18">
        <v>7.4969999999999995E-2</v>
      </c>
      <c r="T623" s="18">
        <v>0.32129999999999997</v>
      </c>
      <c r="U623" s="18">
        <v>0.16064999999999999</v>
      </c>
      <c r="V623" s="18">
        <v>2.0563199999999999</v>
      </c>
      <c r="W623" s="18">
        <v>1.9278</v>
      </c>
      <c r="X623" s="18">
        <v>1.2851999999999999</v>
      </c>
      <c r="Y623" s="18">
        <v>5.7119999999999997E-2</v>
      </c>
      <c r="Z623" s="18">
        <v>0.25346999999999997</v>
      </c>
      <c r="AA623" s="18">
        <v>0.37128</v>
      </c>
      <c r="AB623" s="18">
        <v>0.66044999999999998</v>
      </c>
      <c r="AC623" s="18">
        <v>0.20348999999999998</v>
      </c>
      <c r="AD623" s="18">
        <v>1.071</v>
      </c>
    </row>
    <row r="624" spans="2:30" x14ac:dyDescent="0.25">
      <c r="B624" t="s">
        <v>269</v>
      </c>
      <c r="C624" t="s">
        <v>326</v>
      </c>
      <c r="D624" t="s">
        <v>752</v>
      </c>
      <c r="E624" s="35">
        <v>0.9</v>
      </c>
      <c r="F624" s="35">
        <v>6.6</v>
      </c>
      <c r="G624" s="36">
        <v>2.47E-3</v>
      </c>
      <c r="H624" s="18">
        <v>4.4452980000000002</v>
      </c>
      <c r="I624" s="16" t="s">
        <v>746</v>
      </c>
      <c r="J624" s="16"/>
      <c r="K624" s="16"/>
      <c r="L624" s="37"/>
      <c r="M624" s="37"/>
      <c r="N624" s="37"/>
      <c r="O624" s="37"/>
      <c r="P624" s="37"/>
      <c r="Q624" s="18">
        <v>2.717E-2</v>
      </c>
      <c r="R624" s="18">
        <v>1.8525E-4</v>
      </c>
      <c r="S624" s="18">
        <v>5.1869999999999999E-2</v>
      </c>
      <c r="T624" s="18">
        <v>0.2223</v>
      </c>
      <c r="U624" s="18">
        <v>0.11115</v>
      </c>
      <c r="V624" s="18">
        <v>1.42272</v>
      </c>
      <c r="W624" s="18">
        <v>1.3338000000000001</v>
      </c>
      <c r="X624" s="18">
        <v>0.88919999999999999</v>
      </c>
      <c r="Y624" s="18">
        <v>3.952E-2</v>
      </c>
      <c r="Z624" s="18">
        <v>0.17537</v>
      </c>
      <c r="AA624" s="18">
        <v>0.25688</v>
      </c>
      <c r="AB624" s="18">
        <v>0.45694999999999997</v>
      </c>
      <c r="AC624" s="18">
        <v>0.14079</v>
      </c>
      <c r="AD624" s="18">
        <v>0.74099999999999999</v>
      </c>
    </row>
    <row r="625" spans="2:30" x14ac:dyDescent="0.25">
      <c r="B625" t="s">
        <v>269</v>
      </c>
      <c r="C625" t="s">
        <v>326</v>
      </c>
      <c r="D625" t="s">
        <v>748</v>
      </c>
      <c r="E625" s="35">
        <v>0.9</v>
      </c>
      <c r="F625" s="35">
        <v>6.6</v>
      </c>
      <c r="G625" s="36">
        <v>4.1200000000000004E-3</v>
      </c>
      <c r="H625" s="18">
        <v>7.4152979999999999</v>
      </c>
      <c r="I625" s="16" t="s">
        <v>746</v>
      </c>
      <c r="J625" s="16"/>
      <c r="K625" s="16"/>
      <c r="L625" s="37"/>
      <c r="M625" s="37"/>
      <c r="N625" s="37"/>
      <c r="O625" s="37"/>
      <c r="P625" s="37"/>
      <c r="Q625" s="18">
        <v>4.5320000000000006E-2</v>
      </c>
      <c r="R625" s="18">
        <v>3.0900000000000003E-4</v>
      </c>
      <c r="S625" s="18">
        <v>8.6520000000000014E-2</v>
      </c>
      <c r="T625" s="18">
        <v>0.37080000000000002</v>
      </c>
      <c r="U625" s="18">
        <v>0.18540000000000001</v>
      </c>
      <c r="V625" s="18">
        <v>2.3731200000000001</v>
      </c>
      <c r="W625" s="18">
        <v>2.2248000000000001</v>
      </c>
      <c r="X625" s="18">
        <v>1.4832000000000001</v>
      </c>
      <c r="Y625" s="18">
        <v>6.5920000000000006E-2</v>
      </c>
      <c r="Z625" s="18">
        <v>0.29252</v>
      </c>
      <c r="AA625" s="18">
        <v>0.42848000000000003</v>
      </c>
      <c r="AB625" s="18">
        <v>0.7622000000000001</v>
      </c>
      <c r="AC625" s="18">
        <v>0.23484000000000002</v>
      </c>
      <c r="AD625" s="18">
        <v>1.2360000000000002</v>
      </c>
    </row>
    <row r="626" spans="2:30" x14ac:dyDescent="0.25">
      <c r="B626" t="s">
        <v>269</v>
      </c>
      <c r="C626" t="s">
        <v>326</v>
      </c>
      <c r="D626" t="s">
        <v>753</v>
      </c>
      <c r="E626" s="35">
        <v>0.9</v>
      </c>
      <c r="F626" s="35">
        <v>6.6</v>
      </c>
      <c r="G626" s="36">
        <v>5.77E-3</v>
      </c>
      <c r="H626" s="18">
        <v>10.385298000000001</v>
      </c>
      <c r="I626" s="16" t="s">
        <v>746</v>
      </c>
      <c r="J626" s="16"/>
      <c r="K626" s="16"/>
      <c r="L626" s="37"/>
      <c r="M626" s="37"/>
      <c r="N626" s="37"/>
      <c r="O626" s="37"/>
      <c r="P626" s="37"/>
      <c r="Q626" s="18">
        <v>6.3469999999999999E-2</v>
      </c>
      <c r="R626" s="18">
        <v>4.3274999999999997E-4</v>
      </c>
      <c r="S626" s="18">
        <v>0.12117</v>
      </c>
      <c r="T626" s="18">
        <v>0.51929999999999998</v>
      </c>
      <c r="U626" s="18">
        <v>0.25964999999999999</v>
      </c>
      <c r="V626" s="18">
        <v>3.3235199999999998</v>
      </c>
      <c r="W626" s="18">
        <v>3.1158000000000001</v>
      </c>
      <c r="X626" s="18">
        <v>2.0771999999999999</v>
      </c>
      <c r="Y626" s="18">
        <v>9.2319999999999999E-2</v>
      </c>
      <c r="Z626" s="18">
        <v>0.40966999999999998</v>
      </c>
      <c r="AA626" s="18">
        <v>0.60007999999999995</v>
      </c>
      <c r="AB626" s="18">
        <v>1.06745</v>
      </c>
      <c r="AC626" s="18">
        <v>0.32889000000000002</v>
      </c>
      <c r="AD626" s="18">
        <v>1.7310000000000001</v>
      </c>
    </row>
    <row r="627" spans="2:30" x14ac:dyDescent="0.25">
      <c r="B627" t="s">
        <v>269</v>
      </c>
      <c r="C627" t="s">
        <v>326</v>
      </c>
      <c r="D627" t="s">
        <v>749</v>
      </c>
      <c r="E627" s="35">
        <v>0.9</v>
      </c>
      <c r="F627" s="35">
        <v>6.6</v>
      </c>
      <c r="G627" s="36">
        <v>3.5699999999999998E-3</v>
      </c>
      <c r="H627" s="18">
        <v>6.4252979999999997</v>
      </c>
      <c r="I627" s="16" t="s">
        <v>746</v>
      </c>
      <c r="J627" s="16"/>
      <c r="K627" s="16"/>
      <c r="L627" s="37"/>
      <c r="M627" s="37"/>
      <c r="N627" s="37"/>
      <c r="O627" s="37"/>
      <c r="P627" s="37"/>
      <c r="Q627" s="18">
        <v>3.9269999999999999E-2</v>
      </c>
      <c r="R627" s="18">
        <v>2.6774999999999998E-4</v>
      </c>
      <c r="S627" s="18">
        <v>7.4969999999999995E-2</v>
      </c>
      <c r="T627" s="18">
        <v>0.32129999999999997</v>
      </c>
      <c r="U627" s="18">
        <v>0.16064999999999999</v>
      </c>
      <c r="V627" s="18">
        <v>2.0563199999999999</v>
      </c>
      <c r="W627" s="18">
        <v>1.9278</v>
      </c>
      <c r="X627" s="18">
        <v>1.2851999999999999</v>
      </c>
      <c r="Y627" s="18">
        <v>5.7119999999999997E-2</v>
      </c>
      <c r="Z627" s="18">
        <v>0.25346999999999997</v>
      </c>
      <c r="AA627" s="18">
        <v>0.37128</v>
      </c>
      <c r="AB627" s="18">
        <v>0.66044999999999998</v>
      </c>
      <c r="AC627" s="18">
        <v>0.20348999999999998</v>
      </c>
      <c r="AD627" s="18">
        <v>1.071</v>
      </c>
    </row>
    <row r="628" spans="2:30" x14ac:dyDescent="0.25">
      <c r="B628" t="s">
        <v>269</v>
      </c>
      <c r="C628" t="s">
        <v>326</v>
      </c>
      <c r="D628" t="s">
        <v>748</v>
      </c>
      <c r="E628" s="35">
        <v>0.9</v>
      </c>
      <c r="F628" s="35">
        <v>6.6</v>
      </c>
      <c r="G628" s="36">
        <v>4.1200000000000004E-3</v>
      </c>
      <c r="H628" s="18">
        <v>7.4152979999999999</v>
      </c>
      <c r="I628" s="16" t="s">
        <v>746</v>
      </c>
      <c r="J628" s="16"/>
      <c r="K628" s="16"/>
      <c r="L628" s="37"/>
      <c r="M628" s="37"/>
      <c r="N628" s="37"/>
      <c r="O628" s="37"/>
      <c r="P628" s="37"/>
      <c r="Q628" s="18">
        <v>4.5320000000000006E-2</v>
      </c>
      <c r="R628" s="18">
        <v>3.0900000000000003E-4</v>
      </c>
      <c r="S628" s="18">
        <v>8.6520000000000014E-2</v>
      </c>
      <c r="T628" s="18">
        <v>0.37080000000000002</v>
      </c>
      <c r="U628" s="18">
        <v>0.18540000000000001</v>
      </c>
      <c r="V628" s="18">
        <v>2.3731200000000001</v>
      </c>
      <c r="W628" s="18">
        <v>2.2248000000000001</v>
      </c>
      <c r="X628" s="18">
        <v>1.4832000000000001</v>
      </c>
      <c r="Y628" s="18">
        <v>6.5920000000000006E-2</v>
      </c>
      <c r="Z628" s="18">
        <v>0.29252</v>
      </c>
      <c r="AA628" s="18">
        <v>0.42848000000000003</v>
      </c>
      <c r="AB628" s="18">
        <v>0.7622000000000001</v>
      </c>
      <c r="AC628" s="18">
        <v>0.23484000000000002</v>
      </c>
      <c r="AD628" s="18">
        <v>1.2360000000000002</v>
      </c>
    </row>
    <row r="629" spans="2:30" x14ac:dyDescent="0.25">
      <c r="B629" t="s">
        <v>269</v>
      </c>
      <c r="C629" t="s">
        <v>326</v>
      </c>
      <c r="D629" t="s">
        <v>752</v>
      </c>
      <c r="E629" s="35">
        <v>0.9</v>
      </c>
      <c r="F629" s="35">
        <v>6.6</v>
      </c>
      <c r="G629" s="36">
        <v>2.47E-3</v>
      </c>
      <c r="H629" s="18">
        <v>4.4452980000000002</v>
      </c>
      <c r="I629" s="16" t="s">
        <v>746</v>
      </c>
      <c r="J629" s="16"/>
      <c r="K629" s="16"/>
      <c r="L629" s="37"/>
      <c r="M629" s="37"/>
      <c r="N629" s="37"/>
      <c r="O629" s="37"/>
      <c r="P629" s="37"/>
      <c r="Q629" s="18">
        <v>2.717E-2</v>
      </c>
      <c r="R629" s="18">
        <v>1.8525E-4</v>
      </c>
      <c r="S629" s="18">
        <v>5.1869999999999999E-2</v>
      </c>
      <c r="T629" s="18">
        <v>0.2223</v>
      </c>
      <c r="U629" s="18">
        <v>0.11115</v>
      </c>
      <c r="V629" s="18">
        <v>1.42272</v>
      </c>
      <c r="W629" s="18">
        <v>1.3338000000000001</v>
      </c>
      <c r="X629" s="18">
        <v>0.88919999999999999</v>
      </c>
      <c r="Y629" s="18">
        <v>3.952E-2</v>
      </c>
      <c r="Z629" s="18">
        <v>0.17537</v>
      </c>
      <c r="AA629" s="18">
        <v>0.25688</v>
      </c>
      <c r="AB629" s="18">
        <v>0.45694999999999997</v>
      </c>
      <c r="AC629" s="18">
        <v>0.14079</v>
      </c>
      <c r="AD629" s="18">
        <v>0.74099999999999999</v>
      </c>
    </row>
    <row r="630" spans="2:30" x14ac:dyDescent="0.25">
      <c r="B630" t="s">
        <v>269</v>
      </c>
      <c r="C630" t="s">
        <v>326</v>
      </c>
      <c r="D630" t="s">
        <v>748</v>
      </c>
      <c r="E630" s="35">
        <v>0.9</v>
      </c>
      <c r="F630" s="35">
        <v>6.6</v>
      </c>
      <c r="G630" s="36">
        <v>4.1200000000000004E-3</v>
      </c>
      <c r="H630" s="18">
        <v>7.4152979999999999</v>
      </c>
      <c r="I630" s="16" t="s">
        <v>746</v>
      </c>
      <c r="J630" s="16"/>
      <c r="K630" s="16"/>
      <c r="L630" s="37"/>
      <c r="M630" s="37"/>
      <c r="N630" s="37"/>
      <c r="O630" s="37"/>
      <c r="P630" s="37"/>
      <c r="Q630" s="18">
        <v>4.5320000000000006E-2</v>
      </c>
      <c r="R630" s="18">
        <v>3.0900000000000003E-4</v>
      </c>
      <c r="S630" s="18">
        <v>8.6520000000000014E-2</v>
      </c>
      <c r="T630" s="18">
        <v>0.37080000000000002</v>
      </c>
      <c r="U630" s="18">
        <v>0.18540000000000001</v>
      </c>
      <c r="V630" s="18">
        <v>2.3731200000000001</v>
      </c>
      <c r="W630" s="18">
        <v>2.2248000000000001</v>
      </c>
      <c r="X630" s="18">
        <v>1.4832000000000001</v>
      </c>
      <c r="Y630" s="18">
        <v>6.5920000000000006E-2</v>
      </c>
      <c r="Z630" s="18">
        <v>0.29252</v>
      </c>
      <c r="AA630" s="18">
        <v>0.42848000000000003</v>
      </c>
      <c r="AB630" s="18">
        <v>0.7622000000000001</v>
      </c>
      <c r="AC630" s="18">
        <v>0.23484000000000002</v>
      </c>
      <c r="AD630" s="18">
        <v>1.2360000000000002</v>
      </c>
    </row>
    <row r="631" spans="2:30" x14ac:dyDescent="0.25">
      <c r="B631" t="s">
        <v>269</v>
      </c>
      <c r="C631" t="s">
        <v>326</v>
      </c>
      <c r="D631" t="s">
        <v>751</v>
      </c>
      <c r="E631" s="35">
        <v>0.9</v>
      </c>
      <c r="F631" s="35">
        <v>6.6</v>
      </c>
      <c r="G631" s="36">
        <v>2.7910000000000001E-3</v>
      </c>
      <c r="H631" s="18">
        <v>5.0236749999999999</v>
      </c>
      <c r="I631" s="16" t="s">
        <v>746</v>
      </c>
      <c r="J631" s="16"/>
      <c r="K631" s="16"/>
      <c r="L631" s="37"/>
      <c r="M631" s="37"/>
      <c r="N631" s="37"/>
      <c r="O631" s="37"/>
      <c r="P631" s="37"/>
      <c r="Q631" s="18">
        <v>3.0700999999999999E-2</v>
      </c>
      <c r="R631" s="18">
        <v>2.0932500000000001E-4</v>
      </c>
      <c r="S631" s="18">
        <v>5.8611000000000003E-2</v>
      </c>
      <c r="T631" s="18">
        <v>0.25119000000000002</v>
      </c>
      <c r="U631" s="18">
        <v>0.12559500000000001</v>
      </c>
      <c r="V631" s="18">
        <v>1.6076160000000002</v>
      </c>
      <c r="W631" s="18">
        <v>1.5071400000000001</v>
      </c>
      <c r="X631" s="18">
        <v>1.0047600000000001</v>
      </c>
      <c r="Y631" s="18">
        <v>4.4656000000000001E-2</v>
      </c>
      <c r="Z631" s="18">
        <v>0.198161</v>
      </c>
      <c r="AA631" s="18">
        <v>0.29026400000000002</v>
      </c>
      <c r="AB631" s="18">
        <v>0.51633499999999999</v>
      </c>
      <c r="AC631" s="18">
        <v>0.15908700000000001</v>
      </c>
      <c r="AD631" s="18">
        <v>0.83730000000000004</v>
      </c>
    </row>
    <row r="632" spans="2:30" x14ac:dyDescent="0.25">
      <c r="B632" t="s">
        <v>269</v>
      </c>
      <c r="C632" t="s">
        <v>326</v>
      </c>
      <c r="D632" t="s">
        <v>749</v>
      </c>
      <c r="E632" s="35">
        <v>0.9</v>
      </c>
      <c r="F632" s="35">
        <v>6.6</v>
      </c>
      <c r="G632" s="36">
        <v>3.5699999999999998E-3</v>
      </c>
      <c r="H632" s="18">
        <v>6.4252979999999997</v>
      </c>
      <c r="I632" s="16" t="s">
        <v>746</v>
      </c>
      <c r="J632" s="16"/>
      <c r="K632" s="16"/>
      <c r="L632" s="37"/>
      <c r="M632" s="37"/>
      <c r="N632" s="37"/>
      <c r="O632" s="37"/>
      <c r="P632" s="37"/>
      <c r="Q632" s="18">
        <v>3.9269999999999999E-2</v>
      </c>
      <c r="R632" s="18">
        <v>2.6774999999999998E-4</v>
      </c>
      <c r="S632" s="18">
        <v>7.4969999999999995E-2</v>
      </c>
      <c r="T632" s="18">
        <v>0.32129999999999997</v>
      </c>
      <c r="U632" s="18">
        <v>0.16064999999999999</v>
      </c>
      <c r="V632" s="18">
        <v>2.0563199999999999</v>
      </c>
      <c r="W632" s="18">
        <v>1.9278</v>
      </c>
      <c r="X632" s="18">
        <v>1.2851999999999999</v>
      </c>
      <c r="Y632" s="18">
        <v>5.7119999999999997E-2</v>
      </c>
      <c r="Z632" s="18">
        <v>0.25346999999999997</v>
      </c>
      <c r="AA632" s="18">
        <v>0.37128</v>
      </c>
      <c r="AB632" s="18">
        <v>0.66044999999999998</v>
      </c>
      <c r="AC632" s="18">
        <v>0.20348999999999998</v>
      </c>
      <c r="AD632" s="18">
        <v>1.071</v>
      </c>
    </row>
    <row r="633" spans="2:30" x14ac:dyDescent="0.25">
      <c r="B633" t="s">
        <v>269</v>
      </c>
      <c r="C633" t="s">
        <v>326</v>
      </c>
      <c r="D633" t="s">
        <v>750</v>
      </c>
      <c r="E633" s="35">
        <v>0.9</v>
      </c>
      <c r="F633" s="35">
        <v>6.6</v>
      </c>
      <c r="G633" s="36">
        <v>3.0200000000000001E-3</v>
      </c>
      <c r="H633" s="18">
        <v>5.4352980000000004</v>
      </c>
      <c r="I633" s="16" t="s">
        <v>746</v>
      </c>
      <c r="J633" s="16"/>
      <c r="K633" s="16"/>
      <c r="L633" s="37"/>
      <c r="M633" s="37"/>
      <c r="N633" s="37"/>
      <c r="O633" s="37"/>
      <c r="P633" s="37"/>
      <c r="Q633" s="18">
        <v>3.322E-2</v>
      </c>
      <c r="R633" s="18">
        <v>2.265E-4</v>
      </c>
      <c r="S633" s="18">
        <v>6.3420000000000004E-2</v>
      </c>
      <c r="T633" s="18">
        <v>0.27179999999999999</v>
      </c>
      <c r="U633" s="18">
        <v>0.13589999999999999</v>
      </c>
      <c r="V633" s="18">
        <v>1.7395200000000002</v>
      </c>
      <c r="W633" s="18">
        <v>1.6308</v>
      </c>
      <c r="X633" s="18">
        <v>1.0871999999999999</v>
      </c>
      <c r="Y633" s="18">
        <v>4.8320000000000002E-2</v>
      </c>
      <c r="Z633" s="18">
        <v>0.21442</v>
      </c>
      <c r="AA633" s="18">
        <v>0.31408000000000003</v>
      </c>
      <c r="AB633" s="18">
        <v>0.55869999999999997</v>
      </c>
      <c r="AC633" s="18">
        <v>0.17214000000000002</v>
      </c>
      <c r="AD633" s="18">
        <v>0.90600000000000003</v>
      </c>
    </row>
    <row r="634" spans="2:30" x14ac:dyDescent="0.25">
      <c r="B634" t="s">
        <v>269</v>
      </c>
      <c r="C634" t="s">
        <v>326</v>
      </c>
      <c r="D634" t="s">
        <v>748</v>
      </c>
      <c r="E634" s="35">
        <v>0.9</v>
      </c>
      <c r="F634" s="35">
        <v>6.6</v>
      </c>
      <c r="G634" s="36">
        <v>4.1200000000000004E-3</v>
      </c>
      <c r="H634" s="18">
        <v>7.4152979999999999</v>
      </c>
      <c r="I634" s="16" t="s">
        <v>746</v>
      </c>
      <c r="J634" s="16"/>
      <c r="K634" s="16"/>
      <c r="L634" s="37"/>
      <c r="M634" s="37"/>
      <c r="N634" s="37"/>
      <c r="O634" s="37"/>
      <c r="P634" s="37"/>
      <c r="Q634" s="18">
        <v>4.5320000000000006E-2</v>
      </c>
      <c r="R634" s="18">
        <v>3.0900000000000003E-4</v>
      </c>
      <c r="S634" s="18">
        <v>8.6520000000000014E-2</v>
      </c>
      <c r="T634" s="18">
        <v>0.37080000000000002</v>
      </c>
      <c r="U634" s="18">
        <v>0.18540000000000001</v>
      </c>
      <c r="V634" s="18">
        <v>2.3731200000000001</v>
      </c>
      <c r="W634" s="18">
        <v>2.2248000000000001</v>
      </c>
      <c r="X634" s="18">
        <v>1.4832000000000001</v>
      </c>
      <c r="Y634" s="18">
        <v>6.5920000000000006E-2</v>
      </c>
      <c r="Z634" s="18">
        <v>0.29252</v>
      </c>
      <c r="AA634" s="18">
        <v>0.42848000000000003</v>
      </c>
      <c r="AB634" s="18">
        <v>0.7622000000000001</v>
      </c>
      <c r="AC634" s="18">
        <v>0.23484000000000002</v>
      </c>
      <c r="AD634" s="18">
        <v>1.2360000000000002</v>
      </c>
    </row>
    <row r="635" spans="2:30" x14ac:dyDescent="0.25">
      <c r="B635" t="s">
        <v>269</v>
      </c>
      <c r="C635" t="s">
        <v>326</v>
      </c>
      <c r="D635" t="s">
        <v>748</v>
      </c>
      <c r="E635" s="35">
        <v>0.9</v>
      </c>
      <c r="F635" s="35">
        <v>6.6</v>
      </c>
      <c r="G635" s="36">
        <v>4.1200000000000004E-3</v>
      </c>
      <c r="H635" s="18">
        <v>7.4152979999999999</v>
      </c>
      <c r="I635" s="16" t="s">
        <v>746</v>
      </c>
      <c r="J635" s="16"/>
      <c r="K635" s="16"/>
      <c r="L635" s="37"/>
      <c r="M635" s="37"/>
      <c r="N635" s="37"/>
      <c r="O635" s="37"/>
      <c r="P635" s="37"/>
      <c r="Q635" s="18">
        <v>4.5320000000000006E-2</v>
      </c>
      <c r="R635" s="18">
        <v>3.0900000000000003E-4</v>
      </c>
      <c r="S635" s="18">
        <v>8.6520000000000014E-2</v>
      </c>
      <c r="T635" s="18">
        <v>0.37080000000000002</v>
      </c>
      <c r="U635" s="18">
        <v>0.18540000000000001</v>
      </c>
      <c r="V635" s="18">
        <v>2.3731200000000001</v>
      </c>
      <c r="W635" s="18">
        <v>2.2248000000000001</v>
      </c>
      <c r="X635" s="18">
        <v>1.4832000000000001</v>
      </c>
      <c r="Y635" s="18">
        <v>6.5920000000000006E-2</v>
      </c>
      <c r="Z635" s="18">
        <v>0.29252</v>
      </c>
      <c r="AA635" s="18">
        <v>0.42848000000000003</v>
      </c>
      <c r="AB635" s="18">
        <v>0.7622000000000001</v>
      </c>
      <c r="AC635" s="18">
        <v>0.23484000000000002</v>
      </c>
      <c r="AD635" s="18">
        <v>1.2360000000000002</v>
      </c>
    </row>
    <row r="636" spans="2:30" x14ac:dyDescent="0.25">
      <c r="B636" t="s">
        <v>269</v>
      </c>
      <c r="C636" t="s">
        <v>326</v>
      </c>
      <c r="D636" t="s">
        <v>749</v>
      </c>
      <c r="E636" s="35">
        <v>0.9</v>
      </c>
      <c r="F636" s="35">
        <v>6.6</v>
      </c>
      <c r="G636" s="36">
        <v>3.5699999999999998E-3</v>
      </c>
      <c r="H636" s="18">
        <v>6.4252979999999997</v>
      </c>
      <c r="I636" s="16" t="s">
        <v>746</v>
      </c>
      <c r="J636" s="16"/>
      <c r="K636" s="16"/>
      <c r="L636" s="37"/>
      <c r="M636" s="37"/>
      <c r="N636" s="37"/>
      <c r="O636" s="37"/>
      <c r="P636" s="37"/>
      <c r="Q636" s="18">
        <v>3.9269999999999999E-2</v>
      </c>
      <c r="R636" s="18">
        <v>2.6774999999999998E-4</v>
      </c>
      <c r="S636" s="18">
        <v>7.4969999999999995E-2</v>
      </c>
      <c r="T636" s="18">
        <v>0.32129999999999997</v>
      </c>
      <c r="U636" s="18">
        <v>0.16064999999999999</v>
      </c>
      <c r="V636" s="18">
        <v>2.0563199999999999</v>
      </c>
      <c r="W636" s="18">
        <v>1.9278</v>
      </c>
      <c r="X636" s="18">
        <v>1.2851999999999999</v>
      </c>
      <c r="Y636" s="18">
        <v>5.7119999999999997E-2</v>
      </c>
      <c r="Z636" s="18">
        <v>0.25346999999999997</v>
      </c>
      <c r="AA636" s="18">
        <v>0.37128</v>
      </c>
      <c r="AB636" s="18">
        <v>0.66044999999999998</v>
      </c>
      <c r="AC636" s="18">
        <v>0.20348999999999998</v>
      </c>
      <c r="AD636" s="18">
        <v>1.071</v>
      </c>
    </row>
    <row r="637" spans="2:30" x14ac:dyDescent="0.25">
      <c r="B637" t="s">
        <v>269</v>
      </c>
      <c r="C637" t="s">
        <v>326</v>
      </c>
      <c r="D637" t="s">
        <v>749</v>
      </c>
      <c r="E637" s="35">
        <v>0.9</v>
      </c>
      <c r="F637" s="35">
        <v>6.6</v>
      </c>
      <c r="G637" s="36">
        <v>3.5699999999999998E-3</v>
      </c>
      <c r="H637" s="18">
        <v>6.4252979999999997</v>
      </c>
      <c r="I637" s="16" t="s">
        <v>746</v>
      </c>
      <c r="J637" s="16"/>
      <c r="K637" s="16"/>
      <c r="L637" s="37"/>
      <c r="M637" s="37"/>
      <c r="N637" s="37"/>
      <c r="O637" s="37"/>
      <c r="P637" s="37"/>
      <c r="Q637" s="18">
        <v>3.9269999999999999E-2</v>
      </c>
      <c r="R637" s="18">
        <v>2.6774999999999998E-4</v>
      </c>
      <c r="S637" s="18">
        <v>7.4969999999999995E-2</v>
      </c>
      <c r="T637" s="18">
        <v>0.32129999999999997</v>
      </c>
      <c r="U637" s="18">
        <v>0.16064999999999999</v>
      </c>
      <c r="V637" s="18">
        <v>2.0563199999999999</v>
      </c>
      <c r="W637" s="18">
        <v>1.9278</v>
      </c>
      <c r="X637" s="18">
        <v>1.2851999999999999</v>
      </c>
      <c r="Y637" s="18">
        <v>5.7119999999999997E-2</v>
      </c>
      <c r="Z637" s="18">
        <v>0.25346999999999997</v>
      </c>
      <c r="AA637" s="18">
        <v>0.37128</v>
      </c>
      <c r="AB637" s="18">
        <v>0.66044999999999998</v>
      </c>
      <c r="AC637" s="18">
        <v>0.20348999999999998</v>
      </c>
      <c r="AD637" s="18">
        <v>1.071</v>
      </c>
    </row>
    <row r="638" spans="2:30" x14ac:dyDescent="0.25">
      <c r="B638" t="s">
        <v>269</v>
      </c>
      <c r="C638" t="s">
        <v>326</v>
      </c>
      <c r="D638" t="s">
        <v>748</v>
      </c>
      <c r="E638" s="35">
        <v>0.9</v>
      </c>
      <c r="F638" s="35">
        <v>6.6</v>
      </c>
      <c r="G638" s="36">
        <v>4.1200000000000004E-3</v>
      </c>
      <c r="H638" s="18">
        <v>7.4152979999999999</v>
      </c>
      <c r="I638" s="16" t="s">
        <v>746</v>
      </c>
      <c r="J638" s="16"/>
      <c r="K638" s="16"/>
      <c r="L638" s="37"/>
      <c r="M638" s="37"/>
      <c r="N638" s="37"/>
      <c r="O638" s="37"/>
      <c r="P638" s="37"/>
      <c r="Q638" s="18">
        <v>4.5320000000000006E-2</v>
      </c>
      <c r="R638" s="18">
        <v>3.0900000000000003E-4</v>
      </c>
      <c r="S638" s="18">
        <v>8.6520000000000014E-2</v>
      </c>
      <c r="T638" s="18">
        <v>0.37080000000000002</v>
      </c>
      <c r="U638" s="18">
        <v>0.18540000000000001</v>
      </c>
      <c r="V638" s="18">
        <v>2.3731200000000001</v>
      </c>
      <c r="W638" s="18">
        <v>2.2248000000000001</v>
      </c>
      <c r="X638" s="18">
        <v>1.4832000000000001</v>
      </c>
      <c r="Y638" s="18">
        <v>6.5920000000000006E-2</v>
      </c>
      <c r="Z638" s="18">
        <v>0.29252</v>
      </c>
      <c r="AA638" s="18">
        <v>0.42848000000000003</v>
      </c>
      <c r="AB638" s="18">
        <v>0.7622000000000001</v>
      </c>
      <c r="AC638" s="18">
        <v>0.23484000000000002</v>
      </c>
      <c r="AD638" s="18">
        <v>1.2360000000000002</v>
      </c>
    </row>
    <row r="639" spans="2:30" x14ac:dyDescent="0.25">
      <c r="B639" t="s">
        <v>269</v>
      </c>
      <c r="C639" t="s">
        <v>326</v>
      </c>
      <c r="D639" t="s">
        <v>747</v>
      </c>
      <c r="E639" s="35">
        <v>0.9</v>
      </c>
      <c r="F639" s="35">
        <v>6.6</v>
      </c>
      <c r="G639" s="36">
        <v>4.9449999999999997E-3</v>
      </c>
      <c r="H639" s="18">
        <v>8.9002979999999994</v>
      </c>
      <c r="I639" s="16" t="s">
        <v>746</v>
      </c>
      <c r="J639" s="16"/>
      <c r="K639" s="16"/>
      <c r="L639" s="37"/>
      <c r="M639" s="37"/>
      <c r="N639" s="37"/>
      <c r="O639" s="37"/>
      <c r="P639" s="37"/>
      <c r="Q639" s="18">
        <v>5.4394999999999999E-2</v>
      </c>
      <c r="R639" s="18">
        <v>3.7087499999999995E-4</v>
      </c>
      <c r="S639" s="18">
        <v>0.10384499999999999</v>
      </c>
      <c r="T639" s="18">
        <v>0.44505</v>
      </c>
      <c r="U639" s="18">
        <v>0.222525</v>
      </c>
      <c r="V639" s="18">
        <v>2.8483199999999997</v>
      </c>
      <c r="W639" s="18">
        <v>2.6702999999999997</v>
      </c>
      <c r="X639" s="18">
        <v>1.7802</v>
      </c>
      <c r="Y639" s="18">
        <v>7.9119999999999996E-2</v>
      </c>
      <c r="Z639" s="18">
        <v>0.35109499999999999</v>
      </c>
      <c r="AA639" s="18">
        <v>0.51427999999999996</v>
      </c>
      <c r="AB639" s="18">
        <v>0.914825</v>
      </c>
      <c r="AC639" s="18">
        <v>0.28186499999999998</v>
      </c>
      <c r="AD639" s="18">
        <v>1.4834999999999998</v>
      </c>
    </row>
    <row r="640" spans="2:30" x14ac:dyDescent="0.25">
      <c r="B640" t="s">
        <v>269</v>
      </c>
      <c r="C640" t="s">
        <v>326</v>
      </c>
      <c r="D640" t="s">
        <v>749</v>
      </c>
      <c r="E640" s="35">
        <v>0.9</v>
      </c>
      <c r="F640" s="35">
        <v>6.6</v>
      </c>
      <c r="G640" s="36">
        <v>3.5699999999999998E-3</v>
      </c>
      <c r="H640" s="18">
        <v>6.4252979999999997</v>
      </c>
      <c r="I640" s="16" t="s">
        <v>746</v>
      </c>
      <c r="J640" s="16"/>
      <c r="K640" s="16"/>
      <c r="L640" s="37"/>
      <c r="M640" s="37"/>
      <c r="N640" s="37"/>
      <c r="O640" s="37"/>
      <c r="P640" s="37"/>
      <c r="Q640" s="18">
        <v>3.9269999999999999E-2</v>
      </c>
      <c r="R640" s="18">
        <v>2.6774999999999998E-4</v>
      </c>
      <c r="S640" s="18">
        <v>7.4969999999999995E-2</v>
      </c>
      <c r="T640" s="18">
        <v>0.32129999999999997</v>
      </c>
      <c r="U640" s="18">
        <v>0.16064999999999999</v>
      </c>
      <c r="V640" s="18">
        <v>2.0563199999999999</v>
      </c>
      <c r="W640" s="18">
        <v>1.9278</v>
      </c>
      <c r="X640" s="18">
        <v>1.2851999999999999</v>
      </c>
      <c r="Y640" s="18">
        <v>5.7119999999999997E-2</v>
      </c>
      <c r="Z640" s="18">
        <v>0.25346999999999997</v>
      </c>
      <c r="AA640" s="18">
        <v>0.37128</v>
      </c>
      <c r="AB640" s="18">
        <v>0.66044999999999998</v>
      </c>
      <c r="AC640" s="18">
        <v>0.20348999999999998</v>
      </c>
      <c r="AD640" s="18">
        <v>1.071</v>
      </c>
    </row>
    <row r="641" spans="2:30" x14ac:dyDescent="0.25">
      <c r="B641" t="s">
        <v>269</v>
      </c>
      <c r="C641" t="s">
        <v>326</v>
      </c>
      <c r="D641" t="s">
        <v>750</v>
      </c>
      <c r="E641" s="35">
        <v>0.9</v>
      </c>
      <c r="F641" s="35">
        <v>6.6</v>
      </c>
      <c r="G641" s="36">
        <v>3.0200000000000001E-3</v>
      </c>
      <c r="H641" s="18">
        <v>5.4352980000000004</v>
      </c>
      <c r="I641" s="16" t="s">
        <v>746</v>
      </c>
      <c r="J641" s="16"/>
      <c r="K641" s="16"/>
      <c r="L641" s="37"/>
      <c r="M641" s="37"/>
      <c r="N641" s="37"/>
      <c r="O641" s="37"/>
      <c r="P641" s="37"/>
      <c r="Q641" s="18">
        <v>3.322E-2</v>
      </c>
      <c r="R641" s="18">
        <v>2.265E-4</v>
      </c>
      <c r="S641" s="18">
        <v>6.3420000000000004E-2</v>
      </c>
      <c r="T641" s="18">
        <v>0.27179999999999999</v>
      </c>
      <c r="U641" s="18">
        <v>0.13589999999999999</v>
      </c>
      <c r="V641" s="18">
        <v>1.7395200000000002</v>
      </c>
      <c r="W641" s="18">
        <v>1.6308</v>
      </c>
      <c r="X641" s="18">
        <v>1.0871999999999999</v>
      </c>
      <c r="Y641" s="18">
        <v>4.8320000000000002E-2</v>
      </c>
      <c r="Z641" s="18">
        <v>0.21442</v>
      </c>
      <c r="AA641" s="18">
        <v>0.31408000000000003</v>
      </c>
      <c r="AB641" s="18">
        <v>0.55869999999999997</v>
      </c>
      <c r="AC641" s="18">
        <v>0.17214000000000002</v>
      </c>
      <c r="AD641" s="18">
        <v>0.90600000000000003</v>
      </c>
    </row>
    <row r="642" spans="2:30" x14ac:dyDescent="0.25">
      <c r="B642" t="s">
        <v>269</v>
      </c>
      <c r="C642" t="s">
        <v>326</v>
      </c>
      <c r="D642" t="s">
        <v>750</v>
      </c>
      <c r="E642" s="35">
        <v>0.9</v>
      </c>
      <c r="F642" s="35">
        <v>6.6</v>
      </c>
      <c r="G642" s="36">
        <v>3.0200000000000001E-3</v>
      </c>
      <c r="H642" s="18">
        <v>5.4352980000000004</v>
      </c>
      <c r="I642" s="16" t="s">
        <v>746</v>
      </c>
      <c r="J642" s="16"/>
      <c r="K642" s="16"/>
      <c r="L642" s="37"/>
      <c r="M642" s="37"/>
      <c r="N642" s="37"/>
      <c r="O642" s="37"/>
      <c r="P642" s="37"/>
      <c r="Q642" s="18">
        <v>3.322E-2</v>
      </c>
      <c r="R642" s="18">
        <v>2.265E-4</v>
      </c>
      <c r="S642" s="18">
        <v>6.3420000000000004E-2</v>
      </c>
      <c r="T642" s="18">
        <v>0.27179999999999999</v>
      </c>
      <c r="U642" s="18">
        <v>0.13589999999999999</v>
      </c>
      <c r="V642" s="18">
        <v>1.7395200000000002</v>
      </c>
      <c r="W642" s="18">
        <v>1.6308</v>
      </c>
      <c r="X642" s="18">
        <v>1.0871999999999999</v>
      </c>
      <c r="Y642" s="18">
        <v>4.8320000000000002E-2</v>
      </c>
      <c r="Z642" s="18">
        <v>0.21442</v>
      </c>
      <c r="AA642" s="18">
        <v>0.31408000000000003</v>
      </c>
      <c r="AB642" s="18">
        <v>0.55869999999999997</v>
      </c>
      <c r="AC642" s="18">
        <v>0.17214000000000002</v>
      </c>
      <c r="AD642" s="18">
        <v>0.90600000000000003</v>
      </c>
    </row>
    <row r="643" spans="2:30" x14ac:dyDescent="0.25">
      <c r="B643" t="s">
        <v>269</v>
      </c>
      <c r="C643" t="s">
        <v>326</v>
      </c>
      <c r="D643" t="s">
        <v>748</v>
      </c>
      <c r="E643" s="35">
        <v>0.9</v>
      </c>
      <c r="F643" s="35">
        <v>6.6</v>
      </c>
      <c r="G643" s="36">
        <v>4.1200000000000004E-3</v>
      </c>
      <c r="H643" s="18">
        <v>7.4152979999999999</v>
      </c>
      <c r="I643" s="16" t="s">
        <v>746</v>
      </c>
      <c r="J643" s="16"/>
      <c r="K643" s="16"/>
      <c r="L643" s="37"/>
      <c r="M643" s="37"/>
      <c r="N643" s="37"/>
      <c r="O643" s="37"/>
      <c r="P643" s="37"/>
      <c r="Q643" s="18">
        <v>4.5320000000000006E-2</v>
      </c>
      <c r="R643" s="18">
        <v>3.0900000000000003E-4</v>
      </c>
      <c r="S643" s="18">
        <v>8.6520000000000014E-2</v>
      </c>
      <c r="T643" s="18">
        <v>0.37080000000000002</v>
      </c>
      <c r="U643" s="18">
        <v>0.18540000000000001</v>
      </c>
      <c r="V643" s="18">
        <v>2.3731200000000001</v>
      </c>
      <c r="W643" s="18">
        <v>2.2248000000000001</v>
      </c>
      <c r="X643" s="18">
        <v>1.4832000000000001</v>
      </c>
      <c r="Y643" s="18">
        <v>6.5920000000000006E-2</v>
      </c>
      <c r="Z643" s="18">
        <v>0.29252</v>
      </c>
      <c r="AA643" s="18">
        <v>0.42848000000000003</v>
      </c>
      <c r="AB643" s="18">
        <v>0.7622000000000001</v>
      </c>
      <c r="AC643" s="18">
        <v>0.23484000000000002</v>
      </c>
      <c r="AD643" s="18">
        <v>1.2360000000000002</v>
      </c>
    </row>
    <row r="644" spans="2:30" x14ac:dyDescent="0.25">
      <c r="B644" t="s">
        <v>269</v>
      </c>
      <c r="C644" t="s">
        <v>326</v>
      </c>
      <c r="D644" t="s">
        <v>748</v>
      </c>
      <c r="E644" s="35">
        <v>0.9</v>
      </c>
      <c r="F644" s="35">
        <v>6.6</v>
      </c>
      <c r="G644" s="36">
        <v>4.1200000000000004E-3</v>
      </c>
      <c r="H644" s="18">
        <v>7.4152979999999999</v>
      </c>
      <c r="I644" s="16" t="s">
        <v>746</v>
      </c>
      <c r="J644" s="16"/>
      <c r="K644" s="16"/>
      <c r="L644" s="37"/>
      <c r="M644" s="37"/>
      <c r="N644" s="37"/>
      <c r="O644" s="37"/>
      <c r="P644" s="37"/>
      <c r="Q644" s="18">
        <v>4.5320000000000006E-2</v>
      </c>
      <c r="R644" s="18">
        <v>3.0900000000000003E-4</v>
      </c>
      <c r="S644" s="18">
        <v>8.6520000000000014E-2</v>
      </c>
      <c r="T644" s="18">
        <v>0.37080000000000002</v>
      </c>
      <c r="U644" s="18">
        <v>0.18540000000000001</v>
      </c>
      <c r="V644" s="18">
        <v>2.3731200000000001</v>
      </c>
      <c r="W644" s="18">
        <v>2.2248000000000001</v>
      </c>
      <c r="X644" s="18">
        <v>1.4832000000000001</v>
      </c>
      <c r="Y644" s="18">
        <v>6.5920000000000006E-2</v>
      </c>
      <c r="Z644" s="18">
        <v>0.29252</v>
      </c>
      <c r="AA644" s="18">
        <v>0.42848000000000003</v>
      </c>
      <c r="AB644" s="18">
        <v>0.7622000000000001</v>
      </c>
      <c r="AC644" s="18">
        <v>0.23484000000000002</v>
      </c>
      <c r="AD644" s="18">
        <v>1.2360000000000002</v>
      </c>
    </row>
    <row r="645" spans="2:30" x14ac:dyDescent="0.25">
      <c r="B645" t="s">
        <v>269</v>
      </c>
      <c r="C645" t="s">
        <v>326</v>
      </c>
      <c r="D645" t="s">
        <v>748</v>
      </c>
      <c r="E645" s="35">
        <v>0.9</v>
      </c>
      <c r="F645" s="35">
        <v>6.6</v>
      </c>
      <c r="G645" s="36">
        <v>4.1200000000000004E-3</v>
      </c>
      <c r="H645" s="18">
        <v>7.4152979999999999</v>
      </c>
      <c r="I645" s="16" t="s">
        <v>746</v>
      </c>
      <c r="J645" s="16"/>
      <c r="K645" s="16"/>
      <c r="L645" s="37"/>
      <c r="M645" s="37"/>
      <c r="N645" s="37"/>
      <c r="O645" s="37"/>
      <c r="P645" s="37"/>
      <c r="Q645" s="18">
        <v>4.5320000000000006E-2</v>
      </c>
      <c r="R645" s="18">
        <v>3.0900000000000003E-4</v>
      </c>
      <c r="S645" s="18">
        <v>8.6520000000000014E-2</v>
      </c>
      <c r="T645" s="18">
        <v>0.37080000000000002</v>
      </c>
      <c r="U645" s="18">
        <v>0.18540000000000001</v>
      </c>
      <c r="V645" s="18">
        <v>2.3731200000000001</v>
      </c>
      <c r="W645" s="18">
        <v>2.2248000000000001</v>
      </c>
      <c r="X645" s="18">
        <v>1.4832000000000001</v>
      </c>
      <c r="Y645" s="18">
        <v>6.5920000000000006E-2</v>
      </c>
      <c r="Z645" s="18">
        <v>0.29252</v>
      </c>
      <c r="AA645" s="18">
        <v>0.42848000000000003</v>
      </c>
      <c r="AB645" s="18">
        <v>0.7622000000000001</v>
      </c>
      <c r="AC645" s="18">
        <v>0.23484000000000002</v>
      </c>
      <c r="AD645" s="18">
        <v>1.2360000000000002</v>
      </c>
    </row>
    <row r="646" spans="2:30" x14ac:dyDescent="0.25">
      <c r="B646" t="s">
        <v>269</v>
      </c>
      <c r="C646" t="s">
        <v>326</v>
      </c>
      <c r="D646" t="s">
        <v>748</v>
      </c>
      <c r="E646" s="35">
        <v>0.9</v>
      </c>
      <c r="F646" s="35">
        <v>6.6</v>
      </c>
      <c r="G646" s="36">
        <v>4.1200000000000004E-3</v>
      </c>
      <c r="H646" s="18">
        <v>7.4152979999999999</v>
      </c>
      <c r="I646" s="16" t="s">
        <v>746</v>
      </c>
      <c r="J646" s="16"/>
      <c r="K646" s="16"/>
      <c r="L646" s="37"/>
      <c r="M646" s="37"/>
      <c r="N646" s="37"/>
      <c r="O646" s="37"/>
      <c r="P646" s="37"/>
      <c r="Q646" s="18">
        <v>4.5320000000000006E-2</v>
      </c>
      <c r="R646" s="18">
        <v>3.0900000000000003E-4</v>
      </c>
      <c r="S646" s="18">
        <v>8.6520000000000014E-2</v>
      </c>
      <c r="T646" s="18">
        <v>0.37080000000000002</v>
      </c>
      <c r="U646" s="18">
        <v>0.18540000000000001</v>
      </c>
      <c r="V646" s="18">
        <v>2.3731200000000001</v>
      </c>
      <c r="W646" s="18">
        <v>2.2248000000000001</v>
      </c>
      <c r="X646" s="18">
        <v>1.4832000000000001</v>
      </c>
      <c r="Y646" s="18">
        <v>6.5920000000000006E-2</v>
      </c>
      <c r="Z646" s="18">
        <v>0.29252</v>
      </c>
      <c r="AA646" s="18">
        <v>0.42848000000000003</v>
      </c>
      <c r="AB646" s="18">
        <v>0.7622000000000001</v>
      </c>
      <c r="AC646" s="18">
        <v>0.23484000000000002</v>
      </c>
      <c r="AD646" s="18">
        <v>1.2360000000000002</v>
      </c>
    </row>
    <row r="647" spans="2:30" x14ac:dyDescent="0.25">
      <c r="B647" t="s">
        <v>269</v>
      </c>
      <c r="C647" t="s">
        <v>326</v>
      </c>
      <c r="D647" t="s">
        <v>747</v>
      </c>
      <c r="E647" s="35">
        <v>0.9</v>
      </c>
      <c r="F647" s="35">
        <v>6.6</v>
      </c>
      <c r="G647" s="36">
        <v>4.9449999999999997E-3</v>
      </c>
      <c r="H647" s="18">
        <v>8.9002979999999994</v>
      </c>
      <c r="I647" s="16" t="s">
        <v>746</v>
      </c>
      <c r="J647" s="16"/>
      <c r="K647" s="16"/>
      <c r="L647" s="37"/>
      <c r="M647" s="37"/>
      <c r="N647" s="37"/>
      <c r="O647" s="37"/>
      <c r="P647" s="37"/>
      <c r="Q647" s="18">
        <v>5.4394999999999999E-2</v>
      </c>
      <c r="R647" s="18">
        <v>3.7087499999999995E-4</v>
      </c>
      <c r="S647" s="18">
        <v>0.10384499999999999</v>
      </c>
      <c r="T647" s="18">
        <v>0.44505</v>
      </c>
      <c r="U647" s="18">
        <v>0.222525</v>
      </c>
      <c r="V647" s="18">
        <v>2.8483199999999997</v>
      </c>
      <c r="W647" s="18">
        <v>2.6702999999999997</v>
      </c>
      <c r="X647" s="18">
        <v>1.7802</v>
      </c>
      <c r="Y647" s="18">
        <v>7.9119999999999996E-2</v>
      </c>
      <c r="Z647" s="18">
        <v>0.35109499999999999</v>
      </c>
      <c r="AA647" s="18">
        <v>0.51427999999999996</v>
      </c>
      <c r="AB647" s="18">
        <v>0.914825</v>
      </c>
      <c r="AC647" s="18">
        <v>0.28186499999999998</v>
      </c>
      <c r="AD647" s="18">
        <v>1.4834999999999998</v>
      </c>
    </row>
    <row r="648" spans="2:30" x14ac:dyDescent="0.25">
      <c r="B648" t="s">
        <v>269</v>
      </c>
      <c r="C648" t="s">
        <v>326</v>
      </c>
      <c r="D648" t="s">
        <v>747</v>
      </c>
      <c r="E648" s="35">
        <v>0.9</v>
      </c>
      <c r="F648" s="35">
        <v>6.6</v>
      </c>
      <c r="G648" s="36">
        <v>4.9449999999999997E-3</v>
      </c>
      <c r="H648" s="18">
        <v>8.9002979999999994</v>
      </c>
      <c r="I648" s="16" t="s">
        <v>746</v>
      </c>
      <c r="J648" s="16"/>
      <c r="K648" s="16"/>
      <c r="L648" s="37"/>
      <c r="M648" s="37"/>
      <c r="N648" s="37"/>
      <c r="O648" s="37"/>
      <c r="P648" s="37"/>
      <c r="Q648" s="18">
        <v>5.4394999999999999E-2</v>
      </c>
      <c r="R648" s="18">
        <v>3.7087499999999995E-4</v>
      </c>
      <c r="S648" s="18">
        <v>0.10384499999999999</v>
      </c>
      <c r="T648" s="18">
        <v>0.44505</v>
      </c>
      <c r="U648" s="18">
        <v>0.222525</v>
      </c>
      <c r="V648" s="18">
        <v>2.8483199999999997</v>
      </c>
      <c r="W648" s="18">
        <v>2.6702999999999997</v>
      </c>
      <c r="X648" s="18">
        <v>1.7802</v>
      </c>
      <c r="Y648" s="18">
        <v>7.9119999999999996E-2</v>
      </c>
      <c r="Z648" s="18">
        <v>0.35109499999999999</v>
      </c>
      <c r="AA648" s="18">
        <v>0.51427999999999996</v>
      </c>
      <c r="AB648" s="18">
        <v>0.914825</v>
      </c>
      <c r="AC648" s="18">
        <v>0.28186499999999998</v>
      </c>
      <c r="AD648" s="18">
        <v>1.4834999999999998</v>
      </c>
    </row>
    <row r="649" spans="2:30" x14ac:dyDescent="0.25">
      <c r="B649" t="s">
        <v>269</v>
      </c>
      <c r="C649" t="s">
        <v>326</v>
      </c>
      <c r="D649" t="s">
        <v>748</v>
      </c>
      <c r="E649" s="35">
        <v>0.9</v>
      </c>
      <c r="F649" s="35">
        <v>6.6</v>
      </c>
      <c r="G649" s="36">
        <v>4.1200000000000004E-3</v>
      </c>
      <c r="H649" s="18">
        <v>7.4152979999999999</v>
      </c>
      <c r="I649" s="16" t="s">
        <v>746</v>
      </c>
      <c r="J649" s="16"/>
      <c r="K649" s="16"/>
      <c r="L649" s="37"/>
      <c r="M649" s="37"/>
      <c r="N649" s="37"/>
      <c r="O649" s="37"/>
      <c r="P649" s="37"/>
      <c r="Q649" s="18">
        <v>4.5320000000000006E-2</v>
      </c>
      <c r="R649" s="18">
        <v>3.0900000000000003E-4</v>
      </c>
      <c r="S649" s="18">
        <v>8.6520000000000014E-2</v>
      </c>
      <c r="T649" s="18">
        <v>0.37080000000000002</v>
      </c>
      <c r="U649" s="18">
        <v>0.18540000000000001</v>
      </c>
      <c r="V649" s="18">
        <v>2.3731200000000001</v>
      </c>
      <c r="W649" s="18">
        <v>2.2248000000000001</v>
      </c>
      <c r="X649" s="18">
        <v>1.4832000000000001</v>
      </c>
      <c r="Y649" s="18">
        <v>6.5920000000000006E-2</v>
      </c>
      <c r="Z649" s="18">
        <v>0.29252</v>
      </c>
      <c r="AA649" s="18">
        <v>0.42848000000000003</v>
      </c>
      <c r="AB649" s="18">
        <v>0.7622000000000001</v>
      </c>
      <c r="AC649" s="18">
        <v>0.23484000000000002</v>
      </c>
      <c r="AD649" s="18">
        <v>1.2360000000000002</v>
      </c>
    </row>
    <row r="650" spans="2:30" x14ac:dyDescent="0.25">
      <c r="B650" t="s">
        <v>269</v>
      </c>
      <c r="C650" t="s">
        <v>326</v>
      </c>
      <c r="D650" t="s">
        <v>748</v>
      </c>
      <c r="E650" s="35">
        <v>0.9</v>
      </c>
      <c r="F650" s="35">
        <v>6.6</v>
      </c>
      <c r="G650" s="36">
        <v>4.1200000000000004E-3</v>
      </c>
      <c r="H650" s="18">
        <v>7.4152979999999999</v>
      </c>
      <c r="I650" s="16" t="s">
        <v>746</v>
      </c>
      <c r="J650" s="16"/>
      <c r="K650" s="16"/>
      <c r="L650" s="37"/>
      <c r="M650" s="37"/>
      <c r="N650" s="37"/>
      <c r="O650" s="37"/>
      <c r="P650" s="37"/>
      <c r="Q650" s="18">
        <v>4.5320000000000006E-2</v>
      </c>
      <c r="R650" s="18">
        <v>3.0900000000000003E-4</v>
      </c>
      <c r="S650" s="18">
        <v>8.6520000000000014E-2</v>
      </c>
      <c r="T650" s="18">
        <v>0.37080000000000002</v>
      </c>
      <c r="U650" s="18">
        <v>0.18540000000000001</v>
      </c>
      <c r="V650" s="18">
        <v>2.3731200000000001</v>
      </c>
      <c r="W650" s="18">
        <v>2.2248000000000001</v>
      </c>
      <c r="X650" s="18">
        <v>1.4832000000000001</v>
      </c>
      <c r="Y650" s="18">
        <v>6.5920000000000006E-2</v>
      </c>
      <c r="Z650" s="18">
        <v>0.29252</v>
      </c>
      <c r="AA650" s="18">
        <v>0.42848000000000003</v>
      </c>
      <c r="AB650" s="18">
        <v>0.7622000000000001</v>
      </c>
      <c r="AC650" s="18">
        <v>0.23484000000000002</v>
      </c>
      <c r="AD650" s="18">
        <v>1.2360000000000002</v>
      </c>
    </row>
    <row r="651" spans="2:30" x14ac:dyDescent="0.25">
      <c r="B651" t="s">
        <v>269</v>
      </c>
      <c r="C651" t="s">
        <v>326</v>
      </c>
      <c r="D651" t="s">
        <v>748</v>
      </c>
      <c r="E651" s="35">
        <v>0.9</v>
      </c>
      <c r="F651" s="35">
        <v>6.6</v>
      </c>
      <c r="G651" s="36">
        <v>4.1200000000000004E-3</v>
      </c>
      <c r="H651" s="18">
        <v>7.4152979999999999</v>
      </c>
      <c r="I651" s="16" t="s">
        <v>746</v>
      </c>
      <c r="J651" s="16"/>
      <c r="K651" s="16"/>
      <c r="L651" s="37"/>
      <c r="M651" s="37"/>
      <c r="N651" s="37"/>
      <c r="O651" s="37"/>
      <c r="P651" s="37"/>
      <c r="Q651" s="18">
        <v>4.5320000000000006E-2</v>
      </c>
      <c r="R651" s="18">
        <v>3.0900000000000003E-4</v>
      </c>
      <c r="S651" s="18">
        <v>8.6520000000000014E-2</v>
      </c>
      <c r="T651" s="18">
        <v>0.37080000000000002</v>
      </c>
      <c r="U651" s="18">
        <v>0.18540000000000001</v>
      </c>
      <c r="V651" s="18">
        <v>2.3731200000000001</v>
      </c>
      <c r="W651" s="18">
        <v>2.2248000000000001</v>
      </c>
      <c r="X651" s="18">
        <v>1.4832000000000001</v>
      </c>
      <c r="Y651" s="18">
        <v>6.5920000000000006E-2</v>
      </c>
      <c r="Z651" s="18">
        <v>0.29252</v>
      </c>
      <c r="AA651" s="18">
        <v>0.42848000000000003</v>
      </c>
      <c r="AB651" s="18">
        <v>0.7622000000000001</v>
      </c>
      <c r="AC651" s="18">
        <v>0.23484000000000002</v>
      </c>
      <c r="AD651" s="18">
        <v>1.2360000000000002</v>
      </c>
    </row>
    <row r="652" spans="2:30" x14ac:dyDescent="0.25">
      <c r="B652" t="s">
        <v>269</v>
      </c>
      <c r="C652" t="s">
        <v>326</v>
      </c>
      <c r="D652" t="s">
        <v>748</v>
      </c>
      <c r="E652" s="35">
        <v>0.9</v>
      </c>
      <c r="F652" s="35">
        <v>6.6</v>
      </c>
      <c r="G652" s="36">
        <v>4.1200000000000004E-3</v>
      </c>
      <c r="H652" s="18">
        <v>7.4152979999999999</v>
      </c>
      <c r="I652" s="16" t="s">
        <v>746</v>
      </c>
      <c r="J652" s="16"/>
      <c r="K652" s="16"/>
      <c r="L652" s="37"/>
      <c r="M652" s="37"/>
      <c r="N652" s="37"/>
      <c r="O652" s="37"/>
      <c r="P652" s="37"/>
      <c r="Q652" s="18">
        <v>4.5320000000000006E-2</v>
      </c>
      <c r="R652" s="18">
        <v>3.0900000000000003E-4</v>
      </c>
      <c r="S652" s="18">
        <v>8.6520000000000014E-2</v>
      </c>
      <c r="T652" s="18">
        <v>0.37080000000000002</v>
      </c>
      <c r="U652" s="18">
        <v>0.18540000000000001</v>
      </c>
      <c r="V652" s="18">
        <v>2.3731200000000001</v>
      </c>
      <c r="W652" s="18">
        <v>2.2248000000000001</v>
      </c>
      <c r="X652" s="18">
        <v>1.4832000000000001</v>
      </c>
      <c r="Y652" s="18">
        <v>6.5920000000000006E-2</v>
      </c>
      <c r="Z652" s="18">
        <v>0.29252</v>
      </c>
      <c r="AA652" s="18">
        <v>0.42848000000000003</v>
      </c>
      <c r="AB652" s="18">
        <v>0.7622000000000001</v>
      </c>
      <c r="AC652" s="18">
        <v>0.23484000000000002</v>
      </c>
      <c r="AD652" s="18">
        <v>1.2360000000000002</v>
      </c>
    </row>
    <row r="653" spans="2:30" x14ac:dyDescent="0.25">
      <c r="B653" t="s">
        <v>269</v>
      </c>
      <c r="C653" t="s">
        <v>326</v>
      </c>
      <c r="D653" t="s">
        <v>752</v>
      </c>
      <c r="E653" s="35">
        <v>0.9</v>
      </c>
      <c r="F653" s="35">
        <v>6.6</v>
      </c>
      <c r="G653" s="36">
        <v>2.47E-3</v>
      </c>
      <c r="H653" s="18">
        <v>4.4452980000000002</v>
      </c>
      <c r="I653" s="16" t="s">
        <v>746</v>
      </c>
      <c r="J653" s="16"/>
      <c r="K653" s="16"/>
      <c r="L653" s="37"/>
      <c r="M653" s="37"/>
      <c r="N653" s="37"/>
      <c r="O653" s="37"/>
      <c r="P653" s="37"/>
      <c r="Q653" s="18">
        <v>2.717E-2</v>
      </c>
      <c r="R653" s="18">
        <v>1.8525E-4</v>
      </c>
      <c r="S653" s="18">
        <v>5.1869999999999999E-2</v>
      </c>
      <c r="T653" s="18">
        <v>0.2223</v>
      </c>
      <c r="U653" s="18">
        <v>0.11115</v>
      </c>
      <c r="V653" s="18">
        <v>1.42272</v>
      </c>
      <c r="W653" s="18">
        <v>1.3338000000000001</v>
      </c>
      <c r="X653" s="18">
        <v>0.88919999999999999</v>
      </c>
      <c r="Y653" s="18">
        <v>3.952E-2</v>
      </c>
      <c r="Z653" s="18">
        <v>0.17537</v>
      </c>
      <c r="AA653" s="18">
        <v>0.25688</v>
      </c>
      <c r="AB653" s="18">
        <v>0.45694999999999997</v>
      </c>
      <c r="AC653" s="18">
        <v>0.14079</v>
      </c>
      <c r="AD653" s="18">
        <v>0.74099999999999999</v>
      </c>
    </row>
    <row r="654" spans="2:30" x14ac:dyDescent="0.25">
      <c r="B654" t="s">
        <v>269</v>
      </c>
      <c r="C654" t="s">
        <v>326</v>
      </c>
      <c r="D654" t="s">
        <v>750</v>
      </c>
      <c r="E654" s="35">
        <v>0.9</v>
      </c>
      <c r="F654" s="35">
        <v>6.6</v>
      </c>
      <c r="G654" s="36">
        <v>3.0200000000000001E-3</v>
      </c>
      <c r="H654" s="18">
        <v>5.4352980000000004</v>
      </c>
      <c r="I654" s="16" t="s">
        <v>746</v>
      </c>
      <c r="J654" s="16"/>
      <c r="K654" s="16"/>
      <c r="L654" s="37"/>
      <c r="M654" s="37"/>
      <c r="N654" s="37"/>
      <c r="O654" s="37"/>
      <c r="P654" s="37"/>
      <c r="Q654" s="18">
        <v>3.322E-2</v>
      </c>
      <c r="R654" s="18">
        <v>2.265E-4</v>
      </c>
      <c r="S654" s="18">
        <v>6.3420000000000004E-2</v>
      </c>
      <c r="T654" s="18">
        <v>0.27179999999999999</v>
      </c>
      <c r="U654" s="18">
        <v>0.13589999999999999</v>
      </c>
      <c r="V654" s="18">
        <v>1.7395200000000002</v>
      </c>
      <c r="W654" s="18">
        <v>1.6308</v>
      </c>
      <c r="X654" s="18">
        <v>1.0871999999999999</v>
      </c>
      <c r="Y654" s="18">
        <v>4.8320000000000002E-2</v>
      </c>
      <c r="Z654" s="18">
        <v>0.21442</v>
      </c>
      <c r="AA654" s="18">
        <v>0.31408000000000003</v>
      </c>
      <c r="AB654" s="18">
        <v>0.55869999999999997</v>
      </c>
      <c r="AC654" s="18">
        <v>0.17214000000000002</v>
      </c>
      <c r="AD654" s="18">
        <v>0.90600000000000003</v>
      </c>
    </row>
    <row r="655" spans="2:30" x14ac:dyDescent="0.25">
      <c r="B655" t="s">
        <v>269</v>
      </c>
      <c r="C655" t="s">
        <v>326</v>
      </c>
      <c r="D655" t="s">
        <v>748</v>
      </c>
      <c r="E655" s="35">
        <v>0.9</v>
      </c>
      <c r="F655" s="35">
        <v>6.6</v>
      </c>
      <c r="G655" s="36">
        <v>4.1200000000000004E-3</v>
      </c>
      <c r="H655" s="18">
        <v>7.4152979999999999</v>
      </c>
      <c r="I655" s="16" t="s">
        <v>746</v>
      </c>
      <c r="J655" s="16"/>
      <c r="K655" s="16"/>
      <c r="L655" s="37"/>
      <c r="M655" s="37"/>
      <c r="N655" s="37"/>
      <c r="O655" s="37"/>
      <c r="P655" s="37"/>
      <c r="Q655" s="18">
        <v>4.5320000000000006E-2</v>
      </c>
      <c r="R655" s="18">
        <v>3.0900000000000003E-4</v>
      </c>
      <c r="S655" s="18">
        <v>8.6520000000000014E-2</v>
      </c>
      <c r="T655" s="18">
        <v>0.37080000000000002</v>
      </c>
      <c r="U655" s="18">
        <v>0.18540000000000001</v>
      </c>
      <c r="V655" s="18">
        <v>2.3731200000000001</v>
      </c>
      <c r="W655" s="18">
        <v>2.2248000000000001</v>
      </c>
      <c r="X655" s="18">
        <v>1.4832000000000001</v>
      </c>
      <c r="Y655" s="18">
        <v>6.5920000000000006E-2</v>
      </c>
      <c r="Z655" s="18">
        <v>0.29252</v>
      </c>
      <c r="AA655" s="18">
        <v>0.42848000000000003</v>
      </c>
      <c r="AB655" s="18">
        <v>0.7622000000000001</v>
      </c>
      <c r="AC655" s="18">
        <v>0.23484000000000002</v>
      </c>
      <c r="AD655" s="18">
        <v>1.2360000000000002</v>
      </c>
    </row>
    <row r="656" spans="2:30" x14ac:dyDescent="0.25">
      <c r="B656" t="s">
        <v>269</v>
      </c>
      <c r="C656" t="s">
        <v>326</v>
      </c>
      <c r="D656" t="s">
        <v>750</v>
      </c>
      <c r="E656" s="35">
        <v>0.9</v>
      </c>
      <c r="F656" s="35">
        <v>6.6</v>
      </c>
      <c r="G656" s="36">
        <v>3.0200000000000001E-3</v>
      </c>
      <c r="H656" s="18">
        <v>5.4352980000000004</v>
      </c>
      <c r="I656" s="16" t="s">
        <v>746</v>
      </c>
      <c r="J656" s="16"/>
      <c r="K656" s="16"/>
      <c r="L656" s="37"/>
      <c r="M656" s="37"/>
      <c r="N656" s="37"/>
      <c r="O656" s="37"/>
      <c r="P656" s="37"/>
      <c r="Q656" s="18">
        <v>3.322E-2</v>
      </c>
      <c r="R656" s="18">
        <v>2.265E-4</v>
      </c>
      <c r="S656" s="18">
        <v>6.3420000000000004E-2</v>
      </c>
      <c r="T656" s="18">
        <v>0.27179999999999999</v>
      </c>
      <c r="U656" s="18">
        <v>0.13589999999999999</v>
      </c>
      <c r="V656" s="18">
        <v>1.7395200000000002</v>
      </c>
      <c r="W656" s="18">
        <v>1.6308</v>
      </c>
      <c r="X656" s="18">
        <v>1.0871999999999999</v>
      </c>
      <c r="Y656" s="18">
        <v>4.8320000000000002E-2</v>
      </c>
      <c r="Z656" s="18">
        <v>0.21442</v>
      </c>
      <c r="AA656" s="18">
        <v>0.31408000000000003</v>
      </c>
      <c r="AB656" s="18">
        <v>0.55869999999999997</v>
      </c>
      <c r="AC656" s="18">
        <v>0.17214000000000002</v>
      </c>
      <c r="AD656" s="18">
        <v>0.90600000000000003</v>
      </c>
    </row>
    <row r="657" spans="2:30" x14ac:dyDescent="0.25">
      <c r="B657" t="s">
        <v>269</v>
      </c>
      <c r="C657" t="s">
        <v>326</v>
      </c>
      <c r="D657" t="s">
        <v>748</v>
      </c>
      <c r="E657" s="35">
        <v>0.9</v>
      </c>
      <c r="F657" s="35">
        <v>6.6</v>
      </c>
      <c r="G657" s="36">
        <v>4.1200000000000004E-3</v>
      </c>
      <c r="H657" s="18">
        <v>7.4152979999999999</v>
      </c>
      <c r="I657" s="16" t="s">
        <v>746</v>
      </c>
      <c r="J657" s="16"/>
      <c r="K657" s="16"/>
      <c r="L657" s="37"/>
      <c r="M657" s="37"/>
      <c r="N657" s="37"/>
      <c r="O657" s="37"/>
      <c r="P657" s="37"/>
      <c r="Q657" s="18">
        <v>4.5320000000000006E-2</v>
      </c>
      <c r="R657" s="18">
        <v>3.0900000000000003E-4</v>
      </c>
      <c r="S657" s="18">
        <v>8.6520000000000014E-2</v>
      </c>
      <c r="T657" s="18">
        <v>0.37080000000000002</v>
      </c>
      <c r="U657" s="18">
        <v>0.18540000000000001</v>
      </c>
      <c r="V657" s="18">
        <v>2.3731200000000001</v>
      </c>
      <c r="W657" s="18">
        <v>2.2248000000000001</v>
      </c>
      <c r="X657" s="18">
        <v>1.4832000000000001</v>
      </c>
      <c r="Y657" s="18">
        <v>6.5920000000000006E-2</v>
      </c>
      <c r="Z657" s="18">
        <v>0.29252</v>
      </c>
      <c r="AA657" s="18">
        <v>0.42848000000000003</v>
      </c>
      <c r="AB657" s="18">
        <v>0.7622000000000001</v>
      </c>
      <c r="AC657" s="18">
        <v>0.23484000000000002</v>
      </c>
      <c r="AD657" s="18">
        <v>1.2360000000000002</v>
      </c>
    </row>
    <row r="658" spans="2:30" x14ac:dyDescent="0.25">
      <c r="B658" t="s">
        <v>269</v>
      </c>
      <c r="C658" t="s">
        <v>326</v>
      </c>
      <c r="D658" t="s">
        <v>750</v>
      </c>
      <c r="E658" s="35">
        <v>0.9</v>
      </c>
      <c r="F658" s="35">
        <v>6.6</v>
      </c>
      <c r="G658" s="36">
        <v>3.0200000000000001E-3</v>
      </c>
      <c r="H658" s="18">
        <v>5.4352980000000004</v>
      </c>
      <c r="I658" s="16" t="s">
        <v>746</v>
      </c>
      <c r="J658" s="16"/>
      <c r="K658" s="16"/>
      <c r="L658" s="37"/>
      <c r="M658" s="37"/>
      <c r="N658" s="37"/>
      <c r="O658" s="37"/>
      <c r="P658" s="37"/>
      <c r="Q658" s="18">
        <v>3.322E-2</v>
      </c>
      <c r="R658" s="18">
        <v>2.265E-4</v>
      </c>
      <c r="S658" s="18">
        <v>6.3420000000000004E-2</v>
      </c>
      <c r="T658" s="18">
        <v>0.27179999999999999</v>
      </c>
      <c r="U658" s="18">
        <v>0.13589999999999999</v>
      </c>
      <c r="V658" s="18">
        <v>1.7395200000000002</v>
      </c>
      <c r="W658" s="18">
        <v>1.6308</v>
      </c>
      <c r="X658" s="18">
        <v>1.0871999999999999</v>
      </c>
      <c r="Y658" s="18">
        <v>4.8320000000000002E-2</v>
      </c>
      <c r="Z658" s="18">
        <v>0.21442</v>
      </c>
      <c r="AA658" s="18">
        <v>0.31408000000000003</v>
      </c>
      <c r="AB658" s="18">
        <v>0.55869999999999997</v>
      </c>
      <c r="AC658" s="18">
        <v>0.17214000000000002</v>
      </c>
      <c r="AD658" s="18">
        <v>0.90600000000000003</v>
      </c>
    </row>
    <row r="659" spans="2:30" x14ac:dyDescent="0.25">
      <c r="B659" t="s">
        <v>269</v>
      </c>
      <c r="C659" t="s">
        <v>326</v>
      </c>
      <c r="D659" t="s">
        <v>748</v>
      </c>
      <c r="E659" s="35">
        <v>0.9</v>
      </c>
      <c r="F659" s="35">
        <v>6.6</v>
      </c>
      <c r="G659" s="36">
        <v>4.1200000000000004E-3</v>
      </c>
      <c r="H659" s="18">
        <v>7.4152979999999999</v>
      </c>
      <c r="I659" s="16" t="s">
        <v>746</v>
      </c>
      <c r="J659" s="16"/>
      <c r="K659" s="16"/>
      <c r="L659" s="37"/>
      <c r="M659" s="37"/>
      <c r="N659" s="37"/>
      <c r="O659" s="37"/>
      <c r="P659" s="37"/>
      <c r="Q659" s="18">
        <v>4.5320000000000006E-2</v>
      </c>
      <c r="R659" s="18">
        <v>3.0900000000000003E-4</v>
      </c>
      <c r="S659" s="18">
        <v>8.6520000000000014E-2</v>
      </c>
      <c r="T659" s="18">
        <v>0.37080000000000002</v>
      </c>
      <c r="U659" s="18">
        <v>0.18540000000000001</v>
      </c>
      <c r="V659" s="18">
        <v>2.3731200000000001</v>
      </c>
      <c r="W659" s="18">
        <v>2.2248000000000001</v>
      </c>
      <c r="X659" s="18">
        <v>1.4832000000000001</v>
      </c>
      <c r="Y659" s="18">
        <v>6.5920000000000006E-2</v>
      </c>
      <c r="Z659" s="18">
        <v>0.29252</v>
      </c>
      <c r="AA659" s="18">
        <v>0.42848000000000003</v>
      </c>
      <c r="AB659" s="18">
        <v>0.7622000000000001</v>
      </c>
      <c r="AC659" s="18">
        <v>0.23484000000000002</v>
      </c>
      <c r="AD659" s="18">
        <v>1.2360000000000002</v>
      </c>
    </row>
    <row r="660" spans="2:30" x14ac:dyDescent="0.25">
      <c r="B660" t="s">
        <v>269</v>
      </c>
      <c r="C660" t="s">
        <v>326</v>
      </c>
      <c r="D660" t="s">
        <v>750</v>
      </c>
      <c r="E660" s="35">
        <v>0.9</v>
      </c>
      <c r="F660" s="35">
        <v>6.6</v>
      </c>
      <c r="G660" s="36">
        <v>3.0200000000000001E-3</v>
      </c>
      <c r="H660" s="18">
        <v>5.4352980000000004</v>
      </c>
      <c r="I660" s="16" t="s">
        <v>746</v>
      </c>
      <c r="J660" s="16"/>
      <c r="K660" s="16"/>
      <c r="L660" s="37"/>
      <c r="M660" s="37"/>
      <c r="N660" s="37"/>
      <c r="O660" s="37"/>
      <c r="P660" s="37"/>
      <c r="Q660" s="18">
        <v>3.322E-2</v>
      </c>
      <c r="R660" s="18">
        <v>2.265E-4</v>
      </c>
      <c r="S660" s="18">
        <v>6.3420000000000004E-2</v>
      </c>
      <c r="T660" s="18">
        <v>0.27179999999999999</v>
      </c>
      <c r="U660" s="18">
        <v>0.13589999999999999</v>
      </c>
      <c r="V660" s="18">
        <v>1.7395200000000002</v>
      </c>
      <c r="W660" s="18">
        <v>1.6308</v>
      </c>
      <c r="X660" s="18">
        <v>1.0871999999999999</v>
      </c>
      <c r="Y660" s="18">
        <v>4.8320000000000002E-2</v>
      </c>
      <c r="Z660" s="18">
        <v>0.21442</v>
      </c>
      <c r="AA660" s="18">
        <v>0.31408000000000003</v>
      </c>
      <c r="AB660" s="18">
        <v>0.55869999999999997</v>
      </c>
      <c r="AC660" s="18">
        <v>0.17214000000000002</v>
      </c>
      <c r="AD660" s="18">
        <v>0.90600000000000003</v>
      </c>
    </row>
    <row r="661" spans="2:30" x14ac:dyDescent="0.25">
      <c r="B661" t="s">
        <v>269</v>
      </c>
      <c r="C661" t="s">
        <v>326</v>
      </c>
      <c r="D661" t="s">
        <v>748</v>
      </c>
      <c r="E661" s="35">
        <v>0.9</v>
      </c>
      <c r="F661" s="35">
        <v>6.6</v>
      </c>
      <c r="G661" s="36">
        <v>4.1200000000000004E-3</v>
      </c>
      <c r="H661" s="18">
        <v>7.4152979999999999</v>
      </c>
      <c r="I661" s="16" t="s">
        <v>746</v>
      </c>
      <c r="J661" s="16"/>
      <c r="K661" s="16"/>
      <c r="L661" s="37"/>
      <c r="M661" s="37"/>
      <c r="N661" s="37"/>
      <c r="O661" s="37"/>
      <c r="P661" s="37"/>
      <c r="Q661" s="18">
        <v>4.5320000000000006E-2</v>
      </c>
      <c r="R661" s="18">
        <v>3.0900000000000003E-4</v>
      </c>
      <c r="S661" s="18">
        <v>8.6520000000000014E-2</v>
      </c>
      <c r="T661" s="18">
        <v>0.37080000000000002</v>
      </c>
      <c r="U661" s="18">
        <v>0.18540000000000001</v>
      </c>
      <c r="V661" s="18">
        <v>2.3731200000000001</v>
      </c>
      <c r="W661" s="18">
        <v>2.2248000000000001</v>
      </c>
      <c r="X661" s="18">
        <v>1.4832000000000001</v>
      </c>
      <c r="Y661" s="18">
        <v>6.5920000000000006E-2</v>
      </c>
      <c r="Z661" s="18">
        <v>0.29252</v>
      </c>
      <c r="AA661" s="18">
        <v>0.42848000000000003</v>
      </c>
      <c r="AB661" s="18">
        <v>0.7622000000000001</v>
      </c>
      <c r="AC661" s="18">
        <v>0.23484000000000002</v>
      </c>
      <c r="AD661" s="18">
        <v>1.2360000000000002</v>
      </c>
    </row>
    <row r="662" spans="2:30" x14ac:dyDescent="0.25">
      <c r="B662" t="s">
        <v>269</v>
      </c>
      <c r="C662" t="s">
        <v>326</v>
      </c>
      <c r="D662" t="s">
        <v>750</v>
      </c>
      <c r="E662" s="35">
        <v>0.9</v>
      </c>
      <c r="F662" s="35">
        <v>6.6</v>
      </c>
      <c r="G662" s="36">
        <v>3.0200000000000001E-3</v>
      </c>
      <c r="H662" s="18">
        <v>5.4352980000000004</v>
      </c>
      <c r="I662" s="16" t="s">
        <v>746</v>
      </c>
      <c r="J662" s="16"/>
      <c r="K662" s="16"/>
      <c r="L662" s="37"/>
      <c r="M662" s="37"/>
      <c r="N662" s="37"/>
      <c r="O662" s="37"/>
      <c r="P662" s="37"/>
      <c r="Q662" s="18">
        <v>3.322E-2</v>
      </c>
      <c r="R662" s="18">
        <v>2.265E-4</v>
      </c>
      <c r="S662" s="18">
        <v>6.3420000000000004E-2</v>
      </c>
      <c r="T662" s="18">
        <v>0.27179999999999999</v>
      </c>
      <c r="U662" s="18">
        <v>0.13589999999999999</v>
      </c>
      <c r="V662" s="18">
        <v>1.7395200000000002</v>
      </c>
      <c r="W662" s="18">
        <v>1.6308</v>
      </c>
      <c r="X662" s="18">
        <v>1.0871999999999999</v>
      </c>
      <c r="Y662" s="18">
        <v>4.8320000000000002E-2</v>
      </c>
      <c r="Z662" s="18">
        <v>0.21442</v>
      </c>
      <c r="AA662" s="18">
        <v>0.31408000000000003</v>
      </c>
      <c r="AB662" s="18">
        <v>0.55869999999999997</v>
      </c>
      <c r="AC662" s="18">
        <v>0.17214000000000002</v>
      </c>
      <c r="AD662" s="18">
        <v>0.90600000000000003</v>
      </c>
    </row>
    <row r="663" spans="2:30" x14ac:dyDescent="0.25">
      <c r="B663" t="s">
        <v>269</v>
      </c>
      <c r="C663" t="s">
        <v>326</v>
      </c>
      <c r="D663" t="s">
        <v>748</v>
      </c>
      <c r="E663" s="35">
        <v>0.9</v>
      </c>
      <c r="F663" s="35">
        <v>6.6</v>
      </c>
      <c r="G663" s="36">
        <v>4.1200000000000004E-3</v>
      </c>
      <c r="H663" s="18">
        <v>7.4152979999999999</v>
      </c>
      <c r="I663" s="16" t="s">
        <v>746</v>
      </c>
      <c r="J663" s="16"/>
      <c r="K663" s="16"/>
      <c r="L663" s="37"/>
      <c r="M663" s="37"/>
      <c r="N663" s="37"/>
      <c r="O663" s="37"/>
      <c r="P663" s="37"/>
      <c r="Q663" s="18">
        <v>4.5320000000000006E-2</v>
      </c>
      <c r="R663" s="18">
        <v>3.0900000000000003E-4</v>
      </c>
      <c r="S663" s="18">
        <v>8.6520000000000014E-2</v>
      </c>
      <c r="T663" s="18">
        <v>0.37080000000000002</v>
      </c>
      <c r="U663" s="18">
        <v>0.18540000000000001</v>
      </c>
      <c r="V663" s="18">
        <v>2.3731200000000001</v>
      </c>
      <c r="W663" s="18">
        <v>2.2248000000000001</v>
      </c>
      <c r="X663" s="18">
        <v>1.4832000000000001</v>
      </c>
      <c r="Y663" s="18">
        <v>6.5920000000000006E-2</v>
      </c>
      <c r="Z663" s="18">
        <v>0.29252</v>
      </c>
      <c r="AA663" s="18">
        <v>0.42848000000000003</v>
      </c>
      <c r="AB663" s="18">
        <v>0.7622000000000001</v>
      </c>
      <c r="AC663" s="18">
        <v>0.23484000000000002</v>
      </c>
      <c r="AD663" s="18">
        <v>1.2360000000000002</v>
      </c>
    </row>
    <row r="664" spans="2:30" x14ac:dyDescent="0.25">
      <c r="B664" t="s">
        <v>269</v>
      </c>
      <c r="C664" t="s">
        <v>326</v>
      </c>
      <c r="D664" t="s">
        <v>750</v>
      </c>
      <c r="E664" s="35">
        <v>0.9</v>
      </c>
      <c r="F664" s="35">
        <v>6.6</v>
      </c>
      <c r="G664" s="36">
        <v>3.0200000000000001E-3</v>
      </c>
      <c r="H664" s="18">
        <v>5.4352980000000004</v>
      </c>
      <c r="I664" s="16" t="s">
        <v>746</v>
      </c>
      <c r="J664" s="16"/>
      <c r="K664" s="16"/>
      <c r="L664" s="37"/>
      <c r="M664" s="37"/>
      <c r="N664" s="37"/>
      <c r="O664" s="37"/>
      <c r="P664" s="37"/>
      <c r="Q664" s="18">
        <v>3.322E-2</v>
      </c>
      <c r="R664" s="18">
        <v>2.265E-4</v>
      </c>
      <c r="S664" s="18">
        <v>6.3420000000000004E-2</v>
      </c>
      <c r="T664" s="18">
        <v>0.27179999999999999</v>
      </c>
      <c r="U664" s="18">
        <v>0.13589999999999999</v>
      </c>
      <c r="V664" s="18">
        <v>1.7395200000000002</v>
      </c>
      <c r="W664" s="18">
        <v>1.6308</v>
      </c>
      <c r="X664" s="18">
        <v>1.0871999999999999</v>
      </c>
      <c r="Y664" s="18">
        <v>4.8320000000000002E-2</v>
      </c>
      <c r="Z664" s="18">
        <v>0.21442</v>
      </c>
      <c r="AA664" s="18">
        <v>0.31408000000000003</v>
      </c>
      <c r="AB664" s="18">
        <v>0.55869999999999997</v>
      </c>
      <c r="AC664" s="18">
        <v>0.17214000000000002</v>
      </c>
      <c r="AD664" s="18">
        <v>0.90600000000000003</v>
      </c>
    </row>
    <row r="665" spans="2:30" x14ac:dyDescent="0.25">
      <c r="B665" t="s">
        <v>269</v>
      </c>
      <c r="C665" t="s">
        <v>326</v>
      </c>
      <c r="D665" t="s">
        <v>753</v>
      </c>
      <c r="E665" s="35">
        <v>0.9</v>
      </c>
      <c r="F665" s="35">
        <v>6.6</v>
      </c>
      <c r="G665" s="36">
        <v>5.77E-3</v>
      </c>
      <c r="H665" s="18">
        <v>10.385298000000001</v>
      </c>
      <c r="I665" s="16" t="s">
        <v>746</v>
      </c>
      <c r="J665" s="16"/>
      <c r="K665" s="16"/>
      <c r="L665" s="37"/>
      <c r="M665" s="37"/>
      <c r="N665" s="37"/>
      <c r="O665" s="37"/>
      <c r="P665" s="37"/>
      <c r="Q665" s="18">
        <v>6.3469999999999999E-2</v>
      </c>
      <c r="R665" s="18">
        <v>4.3274999999999997E-4</v>
      </c>
      <c r="S665" s="18">
        <v>0.12117</v>
      </c>
      <c r="T665" s="18">
        <v>0.51929999999999998</v>
      </c>
      <c r="U665" s="18">
        <v>0.25964999999999999</v>
      </c>
      <c r="V665" s="18">
        <v>3.3235199999999998</v>
      </c>
      <c r="W665" s="18">
        <v>3.1158000000000001</v>
      </c>
      <c r="X665" s="18">
        <v>2.0771999999999999</v>
      </c>
      <c r="Y665" s="18">
        <v>9.2319999999999999E-2</v>
      </c>
      <c r="Z665" s="18">
        <v>0.40966999999999998</v>
      </c>
      <c r="AA665" s="18">
        <v>0.60007999999999995</v>
      </c>
      <c r="AB665" s="18">
        <v>1.06745</v>
      </c>
      <c r="AC665" s="18">
        <v>0.32889000000000002</v>
      </c>
      <c r="AD665" s="18">
        <v>1.7310000000000001</v>
      </c>
    </row>
    <row r="666" spans="2:30" x14ac:dyDescent="0.25">
      <c r="B666" t="s">
        <v>269</v>
      </c>
      <c r="C666" t="s">
        <v>326</v>
      </c>
      <c r="D666" t="s">
        <v>755</v>
      </c>
      <c r="E666" s="35">
        <v>0.9</v>
      </c>
      <c r="F666" s="35">
        <v>6.6</v>
      </c>
      <c r="G666" s="36">
        <v>3.3409999999999998E-3</v>
      </c>
      <c r="H666" s="18">
        <v>6.0136750000000001</v>
      </c>
      <c r="I666" s="16" t="s">
        <v>746</v>
      </c>
      <c r="J666" s="16"/>
      <c r="K666" s="16"/>
      <c r="L666" s="37"/>
      <c r="M666" s="37"/>
      <c r="N666" s="37"/>
      <c r="O666" s="37"/>
      <c r="P666" s="37"/>
      <c r="Q666" s="18">
        <v>3.6750999999999999E-2</v>
      </c>
      <c r="R666" s="18">
        <v>2.5057499999999995E-4</v>
      </c>
      <c r="S666" s="18">
        <v>7.0161000000000001E-2</v>
      </c>
      <c r="T666" s="18">
        <v>0.30068999999999996</v>
      </c>
      <c r="U666" s="18">
        <v>0.15034499999999998</v>
      </c>
      <c r="V666" s="18">
        <v>1.9244159999999999</v>
      </c>
      <c r="W666" s="18">
        <v>1.8041399999999999</v>
      </c>
      <c r="X666" s="18">
        <v>1.2027599999999998</v>
      </c>
      <c r="Y666" s="18">
        <v>5.3455999999999997E-2</v>
      </c>
      <c r="Z666" s="18">
        <v>0.23721099999999998</v>
      </c>
      <c r="AA666" s="18">
        <v>0.347464</v>
      </c>
      <c r="AB666" s="18">
        <v>0.618085</v>
      </c>
      <c r="AC666" s="18">
        <v>0.190437</v>
      </c>
      <c r="AD666" s="18">
        <v>1.0023</v>
      </c>
    </row>
    <row r="667" spans="2:30" x14ac:dyDescent="0.25">
      <c r="B667" t="s">
        <v>269</v>
      </c>
      <c r="C667" t="s">
        <v>326</v>
      </c>
      <c r="D667" t="s">
        <v>756</v>
      </c>
      <c r="E667" s="35">
        <v>0.9</v>
      </c>
      <c r="F667" s="35">
        <v>6.6</v>
      </c>
      <c r="G667" s="36">
        <v>3.2720000000000002E-3</v>
      </c>
      <c r="H667" s="18">
        <v>5.8899249999999999</v>
      </c>
      <c r="I667" s="16" t="s">
        <v>746</v>
      </c>
      <c r="J667" s="16"/>
      <c r="K667" s="16"/>
      <c r="L667" s="37"/>
      <c r="M667" s="37"/>
      <c r="N667" s="37"/>
      <c r="O667" s="37"/>
      <c r="P667" s="37"/>
      <c r="Q667" s="18">
        <v>3.5992000000000003E-2</v>
      </c>
      <c r="R667" s="18">
        <v>2.454E-4</v>
      </c>
      <c r="S667" s="18">
        <v>6.8712000000000009E-2</v>
      </c>
      <c r="T667" s="18">
        <v>0.29448000000000002</v>
      </c>
      <c r="U667" s="18">
        <v>0.14724000000000001</v>
      </c>
      <c r="V667" s="18">
        <v>1.8846720000000001</v>
      </c>
      <c r="W667" s="18">
        <v>1.76688</v>
      </c>
      <c r="X667" s="18">
        <v>1.1779200000000001</v>
      </c>
      <c r="Y667" s="18">
        <v>5.2352000000000003E-2</v>
      </c>
      <c r="Z667" s="18">
        <v>0.23231200000000002</v>
      </c>
      <c r="AA667" s="18">
        <v>0.34028800000000003</v>
      </c>
      <c r="AB667" s="18">
        <v>0.60532000000000008</v>
      </c>
      <c r="AC667" s="18">
        <v>0.186504</v>
      </c>
      <c r="AD667" s="18">
        <v>0.98160000000000003</v>
      </c>
    </row>
    <row r="668" spans="2:30" x14ac:dyDescent="0.25">
      <c r="B668" t="s">
        <v>269</v>
      </c>
      <c r="C668" t="s">
        <v>326</v>
      </c>
      <c r="D668" t="s">
        <v>756</v>
      </c>
      <c r="E668" s="35">
        <v>0.9</v>
      </c>
      <c r="F668" s="35">
        <v>6.6</v>
      </c>
      <c r="G668" s="36">
        <v>3.2720000000000002E-3</v>
      </c>
      <c r="H668" s="18">
        <v>5.8899249999999999</v>
      </c>
      <c r="I668" s="16" t="s">
        <v>746</v>
      </c>
      <c r="J668" s="16"/>
      <c r="K668" s="16"/>
      <c r="L668" s="37"/>
      <c r="M668" s="37"/>
      <c r="N668" s="37"/>
      <c r="O668" s="37"/>
      <c r="P668" s="37"/>
      <c r="Q668" s="18">
        <v>3.5992000000000003E-2</v>
      </c>
      <c r="R668" s="18">
        <v>2.454E-4</v>
      </c>
      <c r="S668" s="18">
        <v>6.8712000000000009E-2</v>
      </c>
      <c r="T668" s="18">
        <v>0.29448000000000002</v>
      </c>
      <c r="U668" s="18">
        <v>0.14724000000000001</v>
      </c>
      <c r="V668" s="18">
        <v>1.8846720000000001</v>
      </c>
      <c r="W668" s="18">
        <v>1.76688</v>
      </c>
      <c r="X668" s="18">
        <v>1.1779200000000001</v>
      </c>
      <c r="Y668" s="18">
        <v>5.2352000000000003E-2</v>
      </c>
      <c r="Z668" s="18">
        <v>0.23231200000000002</v>
      </c>
      <c r="AA668" s="18">
        <v>0.34028800000000003</v>
      </c>
      <c r="AB668" s="18">
        <v>0.60532000000000008</v>
      </c>
      <c r="AC668" s="18">
        <v>0.186504</v>
      </c>
      <c r="AD668" s="18">
        <v>0.98160000000000003</v>
      </c>
    </row>
    <row r="669" spans="2:30" x14ac:dyDescent="0.25">
      <c r="B669" t="s">
        <v>269</v>
      </c>
      <c r="C669" t="s">
        <v>105</v>
      </c>
      <c r="D669" t="s">
        <v>752</v>
      </c>
      <c r="E669" s="35">
        <v>0.9</v>
      </c>
      <c r="F669" s="35">
        <v>6.6</v>
      </c>
      <c r="G669" s="36">
        <v>2.47E-3</v>
      </c>
      <c r="H669" s="18">
        <v>4.4452980000000002</v>
      </c>
      <c r="I669" s="16" t="s">
        <v>746</v>
      </c>
      <c r="J669" s="16"/>
      <c r="K669" s="16"/>
      <c r="L669" s="37"/>
      <c r="M669" s="37"/>
      <c r="N669" s="37"/>
      <c r="O669" s="37"/>
      <c r="P669" s="37"/>
      <c r="Q669" s="18">
        <v>2.717E-2</v>
      </c>
      <c r="R669" s="18">
        <v>1.8525E-4</v>
      </c>
      <c r="S669" s="18">
        <v>5.1869999999999999E-2</v>
      </c>
      <c r="T669" s="18">
        <v>0.2223</v>
      </c>
      <c r="U669" s="18">
        <v>0.11115</v>
      </c>
      <c r="V669" s="18">
        <v>1.42272</v>
      </c>
      <c r="W669" s="18">
        <v>1.3338000000000001</v>
      </c>
      <c r="X669" s="18">
        <v>0.88919999999999999</v>
      </c>
      <c r="Y669" s="18">
        <v>3.952E-2</v>
      </c>
      <c r="Z669" s="18">
        <v>0.17537</v>
      </c>
      <c r="AA669" s="18">
        <v>0.25688</v>
      </c>
      <c r="AB669" s="18">
        <v>0.45694999999999997</v>
      </c>
      <c r="AC669" s="18">
        <v>0.14079</v>
      </c>
      <c r="AD669" s="18">
        <v>0.74099999999999999</v>
      </c>
    </row>
    <row r="670" spans="2:30" x14ac:dyDescent="0.25">
      <c r="B670" t="s">
        <v>269</v>
      </c>
      <c r="C670" t="s">
        <v>105</v>
      </c>
      <c r="D670" t="s">
        <v>748</v>
      </c>
      <c r="E670" s="35">
        <v>0.9</v>
      </c>
      <c r="F670" s="35">
        <v>6.6</v>
      </c>
      <c r="G670" s="36">
        <v>4.1200000000000004E-3</v>
      </c>
      <c r="H670" s="18">
        <v>7.4152979999999999</v>
      </c>
      <c r="I670" s="16" t="s">
        <v>746</v>
      </c>
      <c r="J670" s="16"/>
      <c r="K670" s="16"/>
      <c r="L670" s="37"/>
      <c r="M670" s="37"/>
      <c r="N670" s="37"/>
      <c r="O670" s="37"/>
      <c r="P670" s="37"/>
      <c r="Q670" s="18">
        <v>4.5320000000000006E-2</v>
      </c>
      <c r="R670" s="18">
        <v>3.0900000000000003E-4</v>
      </c>
      <c r="S670" s="18">
        <v>8.6520000000000014E-2</v>
      </c>
      <c r="T670" s="18">
        <v>0.37080000000000002</v>
      </c>
      <c r="U670" s="18">
        <v>0.18540000000000001</v>
      </c>
      <c r="V670" s="18">
        <v>2.3731200000000001</v>
      </c>
      <c r="W670" s="18">
        <v>2.2248000000000001</v>
      </c>
      <c r="X670" s="18">
        <v>1.4832000000000001</v>
      </c>
      <c r="Y670" s="18">
        <v>6.5920000000000006E-2</v>
      </c>
      <c r="Z670" s="18">
        <v>0.29252</v>
      </c>
      <c r="AA670" s="18">
        <v>0.42848000000000003</v>
      </c>
      <c r="AB670" s="18">
        <v>0.7622000000000001</v>
      </c>
      <c r="AC670" s="18">
        <v>0.23484000000000002</v>
      </c>
      <c r="AD670" s="18">
        <v>1.2360000000000002</v>
      </c>
    </row>
    <row r="671" spans="2:30" x14ac:dyDescent="0.25">
      <c r="B671" t="s">
        <v>269</v>
      </c>
      <c r="C671" t="s">
        <v>105</v>
      </c>
      <c r="D671" t="s">
        <v>748</v>
      </c>
      <c r="E671" s="35">
        <v>0.9</v>
      </c>
      <c r="F671" s="35">
        <v>6.6</v>
      </c>
      <c r="G671" s="36">
        <v>4.1200000000000004E-3</v>
      </c>
      <c r="H671" s="18">
        <v>7.4152979999999999</v>
      </c>
      <c r="I671" s="16" t="s">
        <v>746</v>
      </c>
      <c r="J671" s="16"/>
      <c r="K671" s="16"/>
      <c r="L671" s="37"/>
      <c r="M671" s="37"/>
      <c r="N671" s="37"/>
      <c r="O671" s="37"/>
      <c r="P671" s="37"/>
      <c r="Q671" s="18">
        <v>4.5320000000000006E-2</v>
      </c>
      <c r="R671" s="18">
        <v>3.0900000000000003E-4</v>
      </c>
      <c r="S671" s="18">
        <v>8.6520000000000014E-2</v>
      </c>
      <c r="T671" s="18">
        <v>0.37080000000000002</v>
      </c>
      <c r="U671" s="18">
        <v>0.18540000000000001</v>
      </c>
      <c r="V671" s="18">
        <v>2.3731200000000001</v>
      </c>
      <c r="W671" s="18">
        <v>2.2248000000000001</v>
      </c>
      <c r="X671" s="18">
        <v>1.4832000000000001</v>
      </c>
      <c r="Y671" s="18">
        <v>6.5920000000000006E-2</v>
      </c>
      <c r="Z671" s="18">
        <v>0.29252</v>
      </c>
      <c r="AA671" s="18">
        <v>0.42848000000000003</v>
      </c>
      <c r="AB671" s="18">
        <v>0.7622000000000001</v>
      </c>
      <c r="AC671" s="18">
        <v>0.23484000000000002</v>
      </c>
      <c r="AD671" s="18">
        <v>1.2360000000000002</v>
      </c>
    </row>
    <row r="672" spans="2:30" x14ac:dyDescent="0.25">
      <c r="B672" t="s">
        <v>269</v>
      </c>
      <c r="C672" t="s">
        <v>105</v>
      </c>
      <c r="D672" t="s">
        <v>748</v>
      </c>
      <c r="E672" s="35">
        <v>0.9</v>
      </c>
      <c r="F672" s="35">
        <v>6.6</v>
      </c>
      <c r="G672" s="36">
        <v>4.1200000000000004E-3</v>
      </c>
      <c r="H672" s="18">
        <v>7.4152979999999999</v>
      </c>
      <c r="I672" s="16" t="s">
        <v>746</v>
      </c>
      <c r="J672" s="16"/>
      <c r="K672" s="16"/>
      <c r="L672" s="37"/>
      <c r="M672" s="37"/>
      <c r="N672" s="37"/>
      <c r="O672" s="37"/>
      <c r="P672" s="37"/>
      <c r="Q672" s="18">
        <v>4.5320000000000006E-2</v>
      </c>
      <c r="R672" s="18">
        <v>3.0900000000000003E-4</v>
      </c>
      <c r="S672" s="18">
        <v>8.6520000000000014E-2</v>
      </c>
      <c r="T672" s="18">
        <v>0.37080000000000002</v>
      </c>
      <c r="U672" s="18">
        <v>0.18540000000000001</v>
      </c>
      <c r="V672" s="18">
        <v>2.3731200000000001</v>
      </c>
      <c r="W672" s="18">
        <v>2.2248000000000001</v>
      </c>
      <c r="X672" s="18">
        <v>1.4832000000000001</v>
      </c>
      <c r="Y672" s="18">
        <v>6.5920000000000006E-2</v>
      </c>
      <c r="Z672" s="18">
        <v>0.29252</v>
      </c>
      <c r="AA672" s="18">
        <v>0.42848000000000003</v>
      </c>
      <c r="AB672" s="18">
        <v>0.7622000000000001</v>
      </c>
      <c r="AC672" s="18">
        <v>0.23484000000000002</v>
      </c>
      <c r="AD672" s="18">
        <v>1.2360000000000002</v>
      </c>
    </row>
    <row r="673" spans="2:30" x14ac:dyDescent="0.25">
      <c r="B673" t="s">
        <v>269</v>
      </c>
      <c r="C673" t="s">
        <v>105</v>
      </c>
      <c r="D673" t="s">
        <v>748</v>
      </c>
      <c r="E673" s="35">
        <v>0.9</v>
      </c>
      <c r="F673" s="35">
        <v>6.6</v>
      </c>
      <c r="G673" s="36">
        <v>4.1200000000000004E-3</v>
      </c>
      <c r="H673" s="18">
        <v>7.4152979999999999</v>
      </c>
      <c r="I673" s="16" t="s">
        <v>746</v>
      </c>
      <c r="J673" s="16"/>
      <c r="K673" s="16"/>
      <c r="L673" s="37"/>
      <c r="M673" s="37"/>
      <c r="N673" s="37"/>
      <c r="O673" s="37"/>
      <c r="P673" s="37"/>
      <c r="Q673" s="18">
        <v>4.5320000000000006E-2</v>
      </c>
      <c r="R673" s="18">
        <v>3.0900000000000003E-4</v>
      </c>
      <c r="S673" s="18">
        <v>8.6520000000000014E-2</v>
      </c>
      <c r="T673" s="18">
        <v>0.37080000000000002</v>
      </c>
      <c r="U673" s="18">
        <v>0.18540000000000001</v>
      </c>
      <c r="V673" s="18">
        <v>2.3731200000000001</v>
      </c>
      <c r="W673" s="18">
        <v>2.2248000000000001</v>
      </c>
      <c r="X673" s="18">
        <v>1.4832000000000001</v>
      </c>
      <c r="Y673" s="18">
        <v>6.5920000000000006E-2</v>
      </c>
      <c r="Z673" s="18">
        <v>0.29252</v>
      </c>
      <c r="AA673" s="18">
        <v>0.42848000000000003</v>
      </c>
      <c r="AB673" s="18">
        <v>0.7622000000000001</v>
      </c>
      <c r="AC673" s="18">
        <v>0.23484000000000002</v>
      </c>
      <c r="AD673" s="18">
        <v>1.2360000000000002</v>
      </c>
    </row>
    <row r="674" spans="2:30" x14ac:dyDescent="0.25">
      <c r="B674" t="s">
        <v>269</v>
      </c>
      <c r="C674" t="s">
        <v>105</v>
      </c>
      <c r="D674" t="s">
        <v>748</v>
      </c>
      <c r="E674" s="35">
        <v>0.9</v>
      </c>
      <c r="F674" s="35">
        <v>6.6</v>
      </c>
      <c r="G674" s="36">
        <v>4.1200000000000004E-3</v>
      </c>
      <c r="H674" s="18">
        <v>7.4152979999999999</v>
      </c>
      <c r="I674" s="16" t="s">
        <v>746</v>
      </c>
      <c r="J674" s="16"/>
      <c r="K674" s="16"/>
      <c r="L674" s="37"/>
      <c r="M674" s="37"/>
      <c r="N674" s="37"/>
      <c r="O674" s="37"/>
      <c r="P674" s="37"/>
      <c r="Q674" s="18">
        <v>4.5320000000000006E-2</v>
      </c>
      <c r="R674" s="18">
        <v>3.0900000000000003E-4</v>
      </c>
      <c r="S674" s="18">
        <v>8.6520000000000014E-2</v>
      </c>
      <c r="T674" s="18">
        <v>0.37080000000000002</v>
      </c>
      <c r="U674" s="18">
        <v>0.18540000000000001</v>
      </c>
      <c r="V674" s="18">
        <v>2.3731200000000001</v>
      </c>
      <c r="W674" s="18">
        <v>2.2248000000000001</v>
      </c>
      <c r="X674" s="18">
        <v>1.4832000000000001</v>
      </c>
      <c r="Y674" s="18">
        <v>6.5920000000000006E-2</v>
      </c>
      <c r="Z674" s="18">
        <v>0.29252</v>
      </c>
      <c r="AA674" s="18">
        <v>0.42848000000000003</v>
      </c>
      <c r="AB674" s="18">
        <v>0.7622000000000001</v>
      </c>
      <c r="AC674" s="18">
        <v>0.23484000000000002</v>
      </c>
      <c r="AD674" s="18">
        <v>1.2360000000000002</v>
      </c>
    </row>
    <row r="675" spans="2:30" x14ac:dyDescent="0.25">
      <c r="B675" t="s">
        <v>269</v>
      </c>
      <c r="C675" t="s">
        <v>105</v>
      </c>
      <c r="D675" t="s">
        <v>748</v>
      </c>
      <c r="E675" s="35">
        <v>0.9</v>
      </c>
      <c r="F675" s="35">
        <v>6.6</v>
      </c>
      <c r="G675" s="36">
        <v>4.1200000000000004E-3</v>
      </c>
      <c r="H675" s="18">
        <v>7.4152979999999999</v>
      </c>
      <c r="I675" s="16" t="s">
        <v>746</v>
      </c>
      <c r="J675" s="16"/>
      <c r="K675" s="16"/>
      <c r="L675" s="37"/>
      <c r="M675" s="37"/>
      <c r="N675" s="37"/>
      <c r="O675" s="37"/>
      <c r="P675" s="37"/>
      <c r="Q675" s="18">
        <v>4.5320000000000006E-2</v>
      </c>
      <c r="R675" s="18">
        <v>3.0900000000000003E-4</v>
      </c>
      <c r="S675" s="18">
        <v>8.6520000000000014E-2</v>
      </c>
      <c r="T675" s="18">
        <v>0.37080000000000002</v>
      </c>
      <c r="U675" s="18">
        <v>0.18540000000000001</v>
      </c>
      <c r="V675" s="18">
        <v>2.3731200000000001</v>
      </c>
      <c r="W675" s="18">
        <v>2.2248000000000001</v>
      </c>
      <c r="X675" s="18">
        <v>1.4832000000000001</v>
      </c>
      <c r="Y675" s="18">
        <v>6.5920000000000006E-2</v>
      </c>
      <c r="Z675" s="18">
        <v>0.29252</v>
      </c>
      <c r="AA675" s="18">
        <v>0.42848000000000003</v>
      </c>
      <c r="AB675" s="18">
        <v>0.7622000000000001</v>
      </c>
      <c r="AC675" s="18">
        <v>0.23484000000000002</v>
      </c>
      <c r="AD675" s="18">
        <v>1.2360000000000002</v>
      </c>
    </row>
    <row r="676" spans="2:30" x14ac:dyDescent="0.25">
      <c r="B676" t="s">
        <v>269</v>
      </c>
      <c r="C676" t="s">
        <v>105</v>
      </c>
      <c r="D676" t="s">
        <v>747</v>
      </c>
      <c r="E676" s="35">
        <v>0.9</v>
      </c>
      <c r="F676" s="35">
        <v>6.6</v>
      </c>
      <c r="G676" s="36">
        <v>4.9449999999999997E-3</v>
      </c>
      <c r="H676" s="18">
        <v>8.9002979999999994</v>
      </c>
      <c r="I676" s="16" t="s">
        <v>746</v>
      </c>
      <c r="J676" s="16"/>
      <c r="K676" s="16"/>
      <c r="L676" s="37"/>
      <c r="M676" s="37"/>
      <c r="N676" s="37"/>
      <c r="O676" s="37"/>
      <c r="P676" s="37"/>
      <c r="Q676" s="18">
        <v>5.4394999999999999E-2</v>
      </c>
      <c r="R676" s="18">
        <v>3.7087499999999995E-4</v>
      </c>
      <c r="S676" s="18">
        <v>0.10384499999999999</v>
      </c>
      <c r="T676" s="18">
        <v>0.44505</v>
      </c>
      <c r="U676" s="18">
        <v>0.222525</v>
      </c>
      <c r="V676" s="18">
        <v>2.8483199999999997</v>
      </c>
      <c r="W676" s="18">
        <v>2.6702999999999997</v>
      </c>
      <c r="X676" s="18">
        <v>1.7802</v>
      </c>
      <c r="Y676" s="18">
        <v>7.9119999999999996E-2</v>
      </c>
      <c r="Z676" s="18">
        <v>0.35109499999999999</v>
      </c>
      <c r="AA676" s="18">
        <v>0.51427999999999996</v>
      </c>
      <c r="AB676" s="18">
        <v>0.914825</v>
      </c>
      <c r="AC676" s="18">
        <v>0.28186499999999998</v>
      </c>
      <c r="AD676" s="18">
        <v>1.4834999999999998</v>
      </c>
    </row>
    <row r="677" spans="2:30" x14ac:dyDescent="0.25">
      <c r="B677" t="s">
        <v>269</v>
      </c>
      <c r="C677" t="s">
        <v>105</v>
      </c>
      <c r="D677" t="s">
        <v>748</v>
      </c>
      <c r="E677" s="35">
        <v>0.9</v>
      </c>
      <c r="F677" s="35">
        <v>6.6</v>
      </c>
      <c r="G677" s="36">
        <v>4.1200000000000004E-3</v>
      </c>
      <c r="H677" s="18">
        <v>7.4152979999999999</v>
      </c>
      <c r="I677" s="16" t="s">
        <v>746</v>
      </c>
      <c r="J677" s="16"/>
      <c r="K677" s="16"/>
      <c r="L677" s="37"/>
      <c r="M677" s="37"/>
      <c r="N677" s="37"/>
      <c r="O677" s="37"/>
      <c r="P677" s="37"/>
      <c r="Q677" s="18">
        <v>4.5320000000000006E-2</v>
      </c>
      <c r="R677" s="18">
        <v>3.0900000000000003E-4</v>
      </c>
      <c r="S677" s="18">
        <v>8.6520000000000014E-2</v>
      </c>
      <c r="T677" s="18">
        <v>0.37080000000000002</v>
      </c>
      <c r="U677" s="18">
        <v>0.18540000000000001</v>
      </c>
      <c r="V677" s="18">
        <v>2.3731200000000001</v>
      </c>
      <c r="W677" s="18">
        <v>2.2248000000000001</v>
      </c>
      <c r="X677" s="18">
        <v>1.4832000000000001</v>
      </c>
      <c r="Y677" s="18">
        <v>6.5920000000000006E-2</v>
      </c>
      <c r="Z677" s="18">
        <v>0.29252</v>
      </c>
      <c r="AA677" s="18">
        <v>0.42848000000000003</v>
      </c>
      <c r="AB677" s="18">
        <v>0.7622000000000001</v>
      </c>
      <c r="AC677" s="18">
        <v>0.23484000000000002</v>
      </c>
      <c r="AD677" s="18">
        <v>1.2360000000000002</v>
      </c>
    </row>
    <row r="678" spans="2:30" x14ac:dyDescent="0.25">
      <c r="B678" t="s">
        <v>269</v>
      </c>
      <c r="C678" t="s">
        <v>105</v>
      </c>
      <c r="D678" t="s">
        <v>748</v>
      </c>
      <c r="E678" s="35">
        <v>0.9</v>
      </c>
      <c r="F678" s="35">
        <v>6.6</v>
      </c>
      <c r="G678" s="36">
        <v>4.1200000000000004E-3</v>
      </c>
      <c r="H678" s="18">
        <v>7.4152979999999999</v>
      </c>
      <c r="I678" s="16" t="s">
        <v>746</v>
      </c>
      <c r="J678" s="16"/>
      <c r="K678" s="16"/>
      <c r="L678" s="37"/>
      <c r="M678" s="37"/>
      <c r="N678" s="37"/>
      <c r="O678" s="37"/>
      <c r="P678" s="37"/>
      <c r="Q678" s="18">
        <v>4.5320000000000006E-2</v>
      </c>
      <c r="R678" s="18">
        <v>3.0900000000000003E-4</v>
      </c>
      <c r="S678" s="18">
        <v>8.6520000000000014E-2</v>
      </c>
      <c r="T678" s="18">
        <v>0.37080000000000002</v>
      </c>
      <c r="U678" s="18">
        <v>0.18540000000000001</v>
      </c>
      <c r="V678" s="18">
        <v>2.3731200000000001</v>
      </c>
      <c r="W678" s="18">
        <v>2.2248000000000001</v>
      </c>
      <c r="X678" s="18">
        <v>1.4832000000000001</v>
      </c>
      <c r="Y678" s="18">
        <v>6.5920000000000006E-2</v>
      </c>
      <c r="Z678" s="18">
        <v>0.29252</v>
      </c>
      <c r="AA678" s="18">
        <v>0.42848000000000003</v>
      </c>
      <c r="AB678" s="18">
        <v>0.7622000000000001</v>
      </c>
      <c r="AC678" s="18">
        <v>0.23484000000000002</v>
      </c>
      <c r="AD678" s="18">
        <v>1.2360000000000002</v>
      </c>
    </row>
    <row r="679" spans="2:30" x14ac:dyDescent="0.25">
      <c r="B679" t="s">
        <v>269</v>
      </c>
      <c r="C679" t="s">
        <v>105</v>
      </c>
      <c r="D679" t="s">
        <v>748</v>
      </c>
      <c r="E679" s="35">
        <v>0.9</v>
      </c>
      <c r="F679" s="35">
        <v>6.6</v>
      </c>
      <c r="G679" s="36">
        <v>4.1200000000000004E-3</v>
      </c>
      <c r="H679" s="18">
        <v>7.4152979999999999</v>
      </c>
      <c r="I679" s="16" t="s">
        <v>746</v>
      </c>
      <c r="J679" s="16"/>
      <c r="K679" s="16"/>
      <c r="L679" s="37"/>
      <c r="M679" s="37"/>
      <c r="N679" s="37"/>
      <c r="O679" s="37"/>
      <c r="P679" s="37"/>
      <c r="Q679" s="18">
        <v>4.5320000000000006E-2</v>
      </c>
      <c r="R679" s="18">
        <v>3.0900000000000003E-4</v>
      </c>
      <c r="S679" s="18">
        <v>8.6520000000000014E-2</v>
      </c>
      <c r="T679" s="18">
        <v>0.37080000000000002</v>
      </c>
      <c r="U679" s="18">
        <v>0.18540000000000001</v>
      </c>
      <c r="V679" s="18">
        <v>2.3731200000000001</v>
      </c>
      <c r="W679" s="18">
        <v>2.2248000000000001</v>
      </c>
      <c r="X679" s="18">
        <v>1.4832000000000001</v>
      </c>
      <c r="Y679" s="18">
        <v>6.5920000000000006E-2</v>
      </c>
      <c r="Z679" s="18">
        <v>0.29252</v>
      </c>
      <c r="AA679" s="18">
        <v>0.42848000000000003</v>
      </c>
      <c r="AB679" s="18">
        <v>0.7622000000000001</v>
      </c>
      <c r="AC679" s="18">
        <v>0.23484000000000002</v>
      </c>
      <c r="AD679" s="18">
        <v>1.2360000000000002</v>
      </c>
    </row>
    <row r="680" spans="2:30" x14ac:dyDescent="0.25">
      <c r="B680" t="s">
        <v>269</v>
      </c>
      <c r="C680" t="s">
        <v>105</v>
      </c>
      <c r="D680" t="s">
        <v>748</v>
      </c>
      <c r="E680" s="35">
        <v>0.9</v>
      </c>
      <c r="F680" s="35">
        <v>6.6</v>
      </c>
      <c r="G680" s="36">
        <v>4.1200000000000004E-3</v>
      </c>
      <c r="H680" s="18">
        <v>7.4152979999999999</v>
      </c>
      <c r="I680" s="16" t="s">
        <v>746</v>
      </c>
      <c r="J680" s="16"/>
      <c r="K680" s="16"/>
      <c r="L680" s="37"/>
      <c r="M680" s="37"/>
      <c r="N680" s="37"/>
      <c r="O680" s="37"/>
      <c r="P680" s="37"/>
      <c r="Q680" s="18">
        <v>4.5320000000000006E-2</v>
      </c>
      <c r="R680" s="18">
        <v>3.0900000000000003E-4</v>
      </c>
      <c r="S680" s="18">
        <v>8.6520000000000014E-2</v>
      </c>
      <c r="T680" s="18">
        <v>0.37080000000000002</v>
      </c>
      <c r="U680" s="18">
        <v>0.18540000000000001</v>
      </c>
      <c r="V680" s="18">
        <v>2.3731200000000001</v>
      </c>
      <c r="W680" s="18">
        <v>2.2248000000000001</v>
      </c>
      <c r="X680" s="18">
        <v>1.4832000000000001</v>
      </c>
      <c r="Y680" s="18">
        <v>6.5920000000000006E-2</v>
      </c>
      <c r="Z680" s="18">
        <v>0.29252</v>
      </c>
      <c r="AA680" s="18">
        <v>0.42848000000000003</v>
      </c>
      <c r="AB680" s="18">
        <v>0.7622000000000001</v>
      </c>
      <c r="AC680" s="18">
        <v>0.23484000000000002</v>
      </c>
      <c r="AD680" s="18">
        <v>1.2360000000000002</v>
      </c>
    </row>
    <row r="681" spans="2:30" x14ac:dyDescent="0.25">
      <c r="B681" t="s">
        <v>269</v>
      </c>
      <c r="C681" t="s">
        <v>105</v>
      </c>
      <c r="D681" t="s">
        <v>748</v>
      </c>
      <c r="E681" s="35">
        <v>0.9</v>
      </c>
      <c r="F681" s="35">
        <v>6.6</v>
      </c>
      <c r="G681" s="36">
        <v>4.1200000000000004E-3</v>
      </c>
      <c r="H681" s="18">
        <v>7.4152979999999999</v>
      </c>
      <c r="I681" s="16" t="s">
        <v>746</v>
      </c>
      <c r="J681" s="16"/>
      <c r="K681" s="16"/>
      <c r="L681" s="37"/>
      <c r="M681" s="37"/>
      <c r="N681" s="37"/>
      <c r="O681" s="37"/>
      <c r="P681" s="37"/>
      <c r="Q681" s="18">
        <v>4.5320000000000006E-2</v>
      </c>
      <c r="R681" s="18">
        <v>3.0900000000000003E-4</v>
      </c>
      <c r="S681" s="18">
        <v>8.6520000000000014E-2</v>
      </c>
      <c r="T681" s="18">
        <v>0.37080000000000002</v>
      </c>
      <c r="U681" s="18">
        <v>0.18540000000000001</v>
      </c>
      <c r="V681" s="18">
        <v>2.3731200000000001</v>
      </c>
      <c r="W681" s="18">
        <v>2.2248000000000001</v>
      </c>
      <c r="X681" s="18">
        <v>1.4832000000000001</v>
      </c>
      <c r="Y681" s="18">
        <v>6.5920000000000006E-2</v>
      </c>
      <c r="Z681" s="18">
        <v>0.29252</v>
      </c>
      <c r="AA681" s="18">
        <v>0.42848000000000003</v>
      </c>
      <c r="AB681" s="18">
        <v>0.7622000000000001</v>
      </c>
      <c r="AC681" s="18">
        <v>0.23484000000000002</v>
      </c>
      <c r="AD681" s="18">
        <v>1.2360000000000002</v>
      </c>
    </row>
    <row r="682" spans="2:30" x14ac:dyDescent="0.25">
      <c r="B682" t="s">
        <v>269</v>
      </c>
      <c r="C682" t="s">
        <v>105</v>
      </c>
      <c r="D682" t="s">
        <v>748</v>
      </c>
      <c r="E682" s="35">
        <v>0.9</v>
      </c>
      <c r="F682" s="35">
        <v>6.6</v>
      </c>
      <c r="G682" s="36">
        <v>4.1200000000000004E-3</v>
      </c>
      <c r="H682" s="18">
        <v>7.4152979999999999</v>
      </c>
      <c r="I682" s="16" t="s">
        <v>746</v>
      </c>
      <c r="J682" s="16"/>
      <c r="K682" s="16"/>
      <c r="L682" s="37"/>
      <c r="M682" s="37"/>
      <c r="N682" s="37"/>
      <c r="O682" s="37"/>
      <c r="P682" s="37"/>
      <c r="Q682" s="18">
        <v>4.5320000000000006E-2</v>
      </c>
      <c r="R682" s="18">
        <v>3.0900000000000003E-4</v>
      </c>
      <c r="S682" s="18">
        <v>8.6520000000000014E-2</v>
      </c>
      <c r="T682" s="18">
        <v>0.37080000000000002</v>
      </c>
      <c r="U682" s="18">
        <v>0.18540000000000001</v>
      </c>
      <c r="V682" s="18">
        <v>2.3731200000000001</v>
      </c>
      <c r="W682" s="18">
        <v>2.2248000000000001</v>
      </c>
      <c r="X682" s="18">
        <v>1.4832000000000001</v>
      </c>
      <c r="Y682" s="18">
        <v>6.5920000000000006E-2</v>
      </c>
      <c r="Z682" s="18">
        <v>0.29252</v>
      </c>
      <c r="AA682" s="18">
        <v>0.42848000000000003</v>
      </c>
      <c r="AB682" s="18">
        <v>0.7622000000000001</v>
      </c>
      <c r="AC682" s="18">
        <v>0.23484000000000002</v>
      </c>
      <c r="AD682" s="18">
        <v>1.2360000000000002</v>
      </c>
    </row>
    <row r="683" spans="2:30" x14ac:dyDescent="0.25">
      <c r="B683" t="s">
        <v>269</v>
      </c>
      <c r="C683" t="s">
        <v>105</v>
      </c>
      <c r="D683" t="s">
        <v>748</v>
      </c>
      <c r="E683" s="35">
        <v>0.9</v>
      </c>
      <c r="F683" s="35">
        <v>6.6</v>
      </c>
      <c r="G683" s="36">
        <v>4.1200000000000004E-3</v>
      </c>
      <c r="H683" s="18">
        <v>7.4152979999999999</v>
      </c>
      <c r="I683" s="16" t="s">
        <v>746</v>
      </c>
      <c r="J683" s="16"/>
      <c r="K683" s="16"/>
      <c r="L683" s="37"/>
      <c r="M683" s="37"/>
      <c r="N683" s="37"/>
      <c r="O683" s="37"/>
      <c r="P683" s="37"/>
      <c r="Q683" s="18">
        <v>4.5320000000000006E-2</v>
      </c>
      <c r="R683" s="18">
        <v>3.0900000000000003E-4</v>
      </c>
      <c r="S683" s="18">
        <v>8.6520000000000014E-2</v>
      </c>
      <c r="T683" s="18">
        <v>0.37080000000000002</v>
      </c>
      <c r="U683" s="18">
        <v>0.18540000000000001</v>
      </c>
      <c r="V683" s="18">
        <v>2.3731200000000001</v>
      </c>
      <c r="W683" s="18">
        <v>2.2248000000000001</v>
      </c>
      <c r="X683" s="18">
        <v>1.4832000000000001</v>
      </c>
      <c r="Y683" s="18">
        <v>6.5920000000000006E-2</v>
      </c>
      <c r="Z683" s="18">
        <v>0.29252</v>
      </c>
      <c r="AA683" s="18">
        <v>0.42848000000000003</v>
      </c>
      <c r="AB683" s="18">
        <v>0.7622000000000001</v>
      </c>
      <c r="AC683" s="18">
        <v>0.23484000000000002</v>
      </c>
      <c r="AD683" s="18">
        <v>1.2360000000000002</v>
      </c>
    </row>
    <row r="684" spans="2:30" x14ac:dyDescent="0.25">
      <c r="B684" t="s">
        <v>269</v>
      </c>
      <c r="C684" t="s">
        <v>105</v>
      </c>
      <c r="D684" t="s">
        <v>748</v>
      </c>
      <c r="E684" s="35">
        <v>0.9</v>
      </c>
      <c r="F684" s="35">
        <v>6.6</v>
      </c>
      <c r="G684" s="36">
        <v>4.1200000000000004E-3</v>
      </c>
      <c r="H684" s="18">
        <v>7.4152979999999999</v>
      </c>
      <c r="I684" s="16" t="s">
        <v>746</v>
      </c>
      <c r="J684" s="16"/>
      <c r="K684" s="16"/>
      <c r="L684" s="37"/>
      <c r="M684" s="37"/>
      <c r="N684" s="37"/>
      <c r="O684" s="37"/>
      <c r="P684" s="37"/>
      <c r="Q684" s="18">
        <v>4.5320000000000006E-2</v>
      </c>
      <c r="R684" s="18">
        <v>3.0900000000000003E-4</v>
      </c>
      <c r="S684" s="18">
        <v>8.6520000000000014E-2</v>
      </c>
      <c r="T684" s="18">
        <v>0.37080000000000002</v>
      </c>
      <c r="U684" s="18">
        <v>0.18540000000000001</v>
      </c>
      <c r="V684" s="18">
        <v>2.3731200000000001</v>
      </c>
      <c r="W684" s="18">
        <v>2.2248000000000001</v>
      </c>
      <c r="X684" s="18">
        <v>1.4832000000000001</v>
      </c>
      <c r="Y684" s="18">
        <v>6.5920000000000006E-2</v>
      </c>
      <c r="Z684" s="18">
        <v>0.29252</v>
      </c>
      <c r="AA684" s="18">
        <v>0.42848000000000003</v>
      </c>
      <c r="AB684" s="18">
        <v>0.7622000000000001</v>
      </c>
      <c r="AC684" s="18">
        <v>0.23484000000000002</v>
      </c>
      <c r="AD684" s="18">
        <v>1.2360000000000002</v>
      </c>
    </row>
    <row r="685" spans="2:30" x14ac:dyDescent="0.25">
      <c r="B685" t="s">
        <v>269</v>
      </c>
      <c r="C685" t="s">
        <v>105</v>
      </c>
      <c r="D685" t="s">
        <v>748</v>
      </c>
      <c r="E685" s="35">
        <v>0.9</v>
      </c>
      <c r="F685" s="35">
        <v>6.6</v>
      </c>
      <c r="G685" s="36">
        <v>4.1200000000000004E-3</v>
      </c>
      <c r="H685" s="18">
        <v>7.4152979999999999</v>
      </c>
      <c r="I685" s="16" t="s">
        <v>746</v>
      </c>
      <c r="J685" s="16"/>
      <c r="K685" s="16"/>
      <c r="L685" s="37"/>
      <c r="M685" s="37"/>
      <c r="N685" s="37"/>
      <c r="O685" s="37"/>
      <c r="P685" s="37"/>
      <c r="Q685" s="18">
        <v>4.5320000000000006E-2</v>
      </c>
      <c r="R685" s="18">
        <v>3.0900000000000003E-4</v>
      </c>
      <c r="S685" s="18">
        <v>8.6520000000000014E-2</v>
      </c>
      <c r="T685" s="18">
        <v>0.37080000000000002</v>
      </c>
      <c r="U685" s="18">
        <v>0.18540000000000001</v>
      </c>
      <c r="V685" s="18">
        <v>2.3731200000000001</v>
      </c>
      <c r="W685" s="18">
        <v>2.2248000000000001</v>
      </c>
      <c r="X685" s="18">
        <v>1.4832000000000001</v>
      </c>
      <c r="Y685" s="18">
        <v>6.5920000000000006E-2</v>
      </c>
      <c r="Z685" s="18">
        <v>0.29252</v>
      </c>
      <c r="AA685" s="18">
        <v>0.42848000000000003</v>
      </c>
      <c r="AB685" s="18">
        <v>0.7622000000000001</v>
      </c>
      <c r="AC685" s="18">
        <v>0.23484000000000002</v>
      </c>
      <c r="AD685" s="18">
        <v>1.2360000000000002</v>
      </c>
    </row>
    <row r="686" spans="2:30" x14ac:dyDescent="0.25">
      <c r="B686" t="s">
        <v>269</v>
      </c>
      <c r="C686" t="s">
        <v>105</v>
      </c>
      <c r="D686" t="s">
        <v>748</v>
      </c>
      <c r="E686" s="35">
        <v>0.9</v>
      </c>
      <c r="F686" s="35">
        <v>6.6</v>
      </c>
      <c r="G686" s="36">
        <v>4.1200000000000004E-3</v>
      </c>
      <c r="H686" s="18">
        <v>7.4152979999999999</v>
      </c>
      <c r="I686" s="16" t="s">
        <v>746</v>
      </c>
      <c r="J686" s="16"/>
      <c r="K686" s="16"/>
      <c r="L686" s="37"/>
      <c r="M686" s="37"/>
      <c r="N686" s="37"/>
      <c r="O686" s="37"/>
      <c r="P686" s="37"/>
      <c r="Q686" s="18">
        <v>4.5320000000000006E-2</v>
      </c>
      <c r="R686" s="18">
        <v>3.0900000000000003E-4</v>
      </c>
      <c r="S686" s="18">
        <v>8.6520000000000014E-2</v>
      </c>
      <c r="T686" s="18">
        <v>0.37080000000000002</v>
      </c>
      <c r="U686" s="18">
        <v>0.18540000000000001</v>
      </c>
      <c r="V686" s="18">
        <v>2.3731200000000001</v>
      </c>
      <c r="W686" s="18">
        <v>2.2248000000000001</v>
      </c>
      <c r="X686" s="18">
        <v>1.4832000000000001</v>
      </c>
      <c r="Y686" s="18">
        <v>6.5920000000000006E-2</v>
      </c>
      <c r="Z686" s="18">
        <v>0.29252</v>
      </c>
      <c r="AA686" s="18">
        <v>0.42848000000000003</v>
      </c>
      <c r="AB686" s="18">
        <v>0.7622000000000001</v>
      </c>
      <c r="AC686" s="18">
        <v>0.23484000000000002</v>
      </c>
      <c r="AD686" s="18">
        <v>1.2360000000000002</v>
      </c>
    </row>
    <row r="687" spans="2:30" x14ac:dyDescent="0.25">
      <c r="B687" t="s">
        <v>269</v>
      </c>
      <c r="C687" t="s">
        <v>105</v>
      </c>
      <c r="D687" t="s">
        <v>748</v>
      </c>
      <c r="E687" s="35">
        <v>0.9</v>
      </c>
      <c r="F687" s="35">
        <v>6.6</v>
      </c>
      <c r="G687" s="36">
        <v>4.1200000000000004E-3</v>
      </c>
      <c r="H687" s="18">
        <v>7.4152979999999999</v>
      </c>
      <c r="I687" s="16" t="s">
        <v>746</v>
      </c>
      <c r="J687" s="16"/>
      <c r="K687" s="16"/>
      <c r="L687" s="37"/>
      <c r="M687" s="37"/>
      <c r="N687" s="37"/>
      <c r="O687" s="37"/>
      <c r="P687" s="37"/>
      <c r="Q687" s="18">
        <v>4.5320000000000006E-2</v>
      </c>
      <c r="R687" s="18">
        <v>3.0900000000000003E-4</v>
      </c>
      <c r="S687" s="18">
        <v>8.6520000000000014E-2</v>
      </c>
      <c r="T687" s="18">
        <v>0.37080000000000002</v>
      </c>
      <c r="U687" s="18">
        <v>0.18540000000000001</v>
      </c>
      <c r="V687" s="18">
        <v>2.3731200000000001</v>
      </c>
      <c r="W687" s="18">
        <v>2.2248000000000001</v>
      </c>
      <c r="X687" s="18">
        <v>1.4832000000000001</v>
      </c>
      <c r="Y687" s="18">
        <v>6.5920000000000006E-2</v>
      </c>
      <c r="Z687" s="18">
        <v>0.29252</v>
      </c>
      <c r="AA687" s="18">
        <v>0.42848000000000003</v>
      </c>
      <c r="AB687" s="18">
        <v>0.7622000000000001</v>
      </c>
      <c r="AC687" s="18">
        <v>0.23484000000000002</v>
      </c>
      <c r="AD687" s="18">
        <v>1.2360000000000002</v>
      </c>
    </row>
    <row r="688" spans="2:30" x14ac:dyDescent="0.25">
      <c r="B688" t="s">
        <v>269</v>
      </c>
      <c r="C688" t="s">
        <v>105</v>
      </c>
      <c r="D688" t="s">
        <v>748</v>
      </c>
      <c r="E688" s="35">
        <v>0.9</v>
      </c>
      <c r="F688" s="35">
        <v>6.6</v>
      </c>
      <c r="G688" s="36">
        <v>4.1200000000000004E-3</v>
      </c>
      <c r="H688" s="18">
        <v>7.4152979999999999</v>
      </c>
      <c r="I688" s="16" t="s">
        <v>746</v>
      </c>
      <c r="J688" s="16"/>
      <c r="K688" s="16"/>
      <c r="L688" s="37"/>
      <c r="M688" s="37"/>
      <c r="N688" s="37"/>
      <c r="O688" s="37"/>
      <c r="P688" s="37"/>
      <c r="Q688" s="18">
        <v>4.5320000000000006E-2</v>
      </c>
      <c r="R688" s="18">
        <v>3.0900000000000003E-4</v>
      </c>
      <c r="S688" s="18">
        <v>8.6520000000000014E-2</v>
      </c>
      <c r="T688" s="18">
        <v>0.37080000000000002</v>
      </c>
      <c r="U688" s="18">
        <v>0.18540000000000001</v>
      </c>
      <c r="V688" s="18">
        <v>2.3731200000000001</v>
      </c>
      <c r="W688" s="18">
        <v>2.2248000000000001</v>
      </c>
      <c r="X688" s="18">
        <v>1.4832000000000001</v>
      </c>
      <c r="Y688" s="18">
        <v>6.5920000000000006E-2</v>
      </c>
      <c r="Z688" s="18">
        <v>0.29252</v>
      </c>
      <c r="AA688" s="18">
        <v>0.42848000000000003</v>
      </c>
      <c r="AB688" s="18">
        <v>0.7622000000000001</v>
      </c>
      <c r="AC688" s="18">
        <v>0.23484000000000002</v>
      </c>
      <c r="AD688" s="18">
        <v>1.2360000000000002</v>
      </c>
    </row>
    <row r="689" spans="2:30" x14ac:dyDescent="0.25">
      <c r="B689" t="s">
        <v>269</v>
      </c>
      <c r="C689" t="s">
        <v>105</v>
      </c>
      <c r="D689" t="s">
        <v>748</v>
      </c>
      <c r="E689" s="35">
        <v>0.9</v>
      </c>
      <c r="F689" s="35">
        <v>6.6</v>
      </c>
      <c r="G689" s="36">
        <v>4.1200000000000004E-3</v>
      </c>
      <c r="H689" s="18">
        <v>7.4152979999999999</v>
      </c>
      <c r="I689" s="16" t="s">
        <v>746</v>
      </c>
      <c r="J689" s="16"/>
      <c r="K689" s="16"/>
      <c r="L689" s="37"/>
      <c r="M689" s="37"/>
      <c r="N689" s="37"/>
      <c r="O689" s="37"/>
      <c r="P689" s="37"/>
      <c r="Q689" s="18">
        <v>4.5320000000000006E-2</v>
      </c>
      <c r="R689" s="18">
        <v>3.0900000000000003E-4</v>
      </c>
      <c r="S689" s="18">
        <v>8.6520000000000014E-2</v>
      </c>
      <c r="T689" s="18">
        <v>0.37080000000000002</v>
      </c>
      <c r="U689" s="18">
        <v>0.18540000000000001</v>
      </c>
      <c r="V689" s="18">
        <v>2.3731200000000001</v>
      </c>
      <c r="W689" s="18">
        <v>2.2248000000000001</v>
      </c>
      <c r="X689" s="18">
        <v>1.4832000000000001</v>
      </c>
      <c r="Y689" s="18">
        <v>6.5920000000000006E-2</v>
      </c>
      <c r="Z689" s="18">
        <v>0.29252</v>
      </c>
      <c r="AA689" s="18">
        <v>0.42848000000000003</v>
      </c>
      <c r="AB689" s="18">
        <v>0.7622000000000001</v>
      </c>
      <c r="AC689" s="18">
        <v>0.23484000000000002</v>
      </c>
      <c r="AD689" s="18">
        <v>1.2360000000000002</v>
      </c>
    </row>
    <row r="690" spans="2:30" x14ac:dyDescent="0.25">
      <c r="B690" t="s">
        <v>269</v>
      </c>
      <c r="C690" t="s">
        <v>105</v>
      </c>
      <c r="D690" t="s">
        <v>748</v>
      </c>
      <c r="E690" s="35">
        <v>0.9</v>
      </c>
      <c r="F690" s="35">
        <v>6.6</v>
      </c>
      <c r="G690" s="36">
        <v>4.1200000000000004E-3</v>
      </c>
      <c r="H690" s="18">
        <v>7.4152979999999999</v>
      </c>
      <c r="I690" s="16" t="s">
        <v>746</v>
      </c>
      <c r="J690" s="16"/>
      <c r="K690" s="16"/>
      <c r="L690" s="37"/>
      <c r="M690" s="37"/>
      <c r="N690" s="37"/>
      <c r="O690" s="37"/>
      <c r="P690" s="37"/>
      <c r="Q690" s="18">
        <v>4.5320000000000006E-2</v>
      </c>
      <c r="R690" s="18">
        <v>3.0900000000000003E-4</v>
      </c>
      <c r="S690" s="18">
        <v>8.6520000000000014E-2</v>
      </c>
      <c r="T690" s="18">
        <v>0.37080000000000002</v>
      </c>
      <c r="U690" s="18">
        <v>0.18540000000000001</v>
      </c>
      <c r="V690" s="18">
        <v>2.3731200000000001</v>
      </c>
      <c r="W690" s="18">
        <v>2.2248000000000001</v>
      </c>
      <c r="X690" s="18">
        <v>1.4832000000000001</v>
      </c>
      <c r="Y690" s="18">
        <v>6.5920000000000006E-2</v>
      </c>
      <c r="Z690" s="18">
        <v>0.29252</v>
      </c>
      <c r="AA690" s="18">
        <v>0.42848000000000003</v>
      </c>
      <c r="AB690" s="18">
        <v>0.7622000000000001</v>
      </c>
      <c r="AC690" s="18">
        <v>0.23484000000000002</v>
      </c>
      <c r="AD690" s="18">
        <v>1.2360000000000002</v>
      </c>
    </row>
    <row r="691" spans="2:30" x14ac:dyDescent="0.25">
      <c r="B691" t="s">
        <v>269</v>
      </c>
      <c r="C691" t="s">
        <v>105</v>
      </c>
      <c r="D691" t="s">
        <v>748</v>
      </c>
      <c r="E691" s="35">
        <v>0.9</v>
      </c>
      <c r="F691" s="35">
        <v>6.6</v>
      </c>
      <c r="G691" s="36">
        <v>4.1200000000000004E-3</v>
      </c>
      <c r="H691" s="18">
        <v>7.4152979999999999</v>
      </c>
      <c r="I691" s="16" t="s">
        <v>746</v>
      </c>
      <c r="J691" s="16"/>
      <c r="K691" s="16"/>
      <c r="L691" s="37"/>
      <c r="M691" s="37"/>
      <c r="N691" s="37"/>
      <c r="O691" s="37"/>
      <c r="P691" s="37"/>
      <c r="Q691" s="18">
        <v>4.5320000000000006E-2</v>
      </c>
      <c r="R691" s="18">
        <v>3.0900000000000003E-4</v>
      </c>
      <c r="S691" s="18">
        <v>8.6520000000000014E-2</v>
      </c>
      <c r="T691" s="18">
        <v>0.37080000000000002</v>
      </c>
      <c r="U691" s="18">
        <v>0.18540000000000001</v>
      </c>
      <c r="V691" s="18">
        <v>2.3731200000000001</v>
      </c>
      <c r="W691" s="18">
        <v>2.2248000000000001</v>
      </c>
      <c r="X691" s="18">
        <v>1.4832000000000001</v>
      </c>
      <c r="Y691" s="18">
        <v>6.5920000000000006E-2</v>
      </c>
      <c r="Z691" s="18">
        <v>0.29252</v>
      </c>
      <c r="AA691" s="18">
        <v>0.42848000000000003</v>
      </c>
      <c r="AB691" s="18">
        <v>0.7622000000000001</v>
      </c>
      <c r="AC691" s="18">
        <v>0.23484000000000002</v>
      </c>
      <c r="AD691" s="18">
        <v>1.2360000000000002</v>
      </c>
    </row>
    <row r="692" spans="2:30" x14ac:dyDescent="0.25">
      <c r="B692" t="s">
        <v>269</v>
      </c>
      <c r="C692" t="s">
        <v>105</v>
      </c>
      <c r="D692" t="s">
        <v>748</v>
      </c>
      <c r="E692" s="35">
        <v>0.9</v>
      </c>
      <c r="F692" s="35">
        <v>6.6</v>
      </c>
      <c r="G692" s="36">
        <v>4.1200000000000004E-3</v>
      </c>
      <c r="H692" s="18">
        <v>7.4152979999999999</v>
      </c>
      <c r="I692" s="16" t="s">
        <v>746</v>
      </c>
      <c r="J692" s="16"/>
      <c r="K692" s="16"/>
      <c r="L692" s="37"/>
      <c r="M692" s="37"/>
      <c r="N692" s="37"/>
      <c r="O692" s="37"/>
      <c r="P692" s="37"/>
      <c r="Q692" s="18">
        <v>4.5320000000000006E-2</v>
      </c>
      <c r="R692" s="18">
        <v>3.0900000000000003E-4</v>
      </c>
      <c r="S692" s="18">
        <v>8.6520000000000014E-2</v>
      </c>
      <c r="T692" s="18">
        <v>0.37080000000000002</v>
      </c>
      <c r="U692" s="18">
        <v>0.18540000000000001</v>
      </c>
      <c r="V692" s="18">
        <v>2.3731200000000001</v>
      </c>
      <c r="W692" s="18">
        <v>2.2248000000000001</v>
      </c>
      <c r="X692" s="18">
        <v>1.4832000000000001</v>
      </c>
      <c r="Y692" s="18">
        <v>6.5920000000000006E-2</v>
      </c>
      <c r="Z692" s="18">
        <v>0.29252</v>
      </c>
      <c r="AA692" s="18">
        <v>0.42848000000000003</v>
      </c>
      <c r="AB692" s="18">
        <v>0.7622000000000001</v>
      </c>
      <c r="AC692" s="18">
        <v>0.23484000000000002</v>
      </c>
      <c r="AD692" s="18">
        <v>1.2360000000000002</v>
      </c>
    </row>
    <row r="693" spans="2:30" x14ac:dyDescent="0.25">
      <c r="B693" t="s">
        <v>269</v>
      </c>
      <c r="C693" t="s">
        <v>105</v>
      </c>
      <c r="D693" t="s">
        <v>748</v>
      </c>
      <c r="E693" s="35">
        <v>0.9</v>
      </c>
      <c r="F693" s="35">
        <v>6.6</v>
      </c>
      <c r="G693" s="36">
        <v>4.1200000000000004E-3</v>
      </c>
      <c r="H693" s="18">
        <v>7.4152979999999999</v>
      </c>
      <c r="I693" s="16" t="s">
        <v>746</v>
      </c>
      <c r="J693" s="16"/>
      <c r="K693" s="16"/>
      <c r="L693" s="37"/>
      <c r="M693" s="37"/>
      <c r="N693" s="37"/>
      <c r="O693" s="37"/>
      <c r="P693" s="37"/>
      <c r="Q693" s="18">
        <v>4.5320000000000006E-2</v>
      </c>
      <c r="R693" s="18">
        <v>3.0900000000000003E-4</v>
      </c>
      <c r="S693" s="18">
        <v>8.6520000000000014E-2</v>
      </c>
      <c r="T693" s="18">
        <v>0.37080000000000002</v>
      </c>
      <c r="U693" s="18">
        <v>0.18540000000000001</v>
      </c>
      <c r="V693" s="18">
        <v>2.3731200000000001</v>
      </c>
      <c r="W693" s="18">
        <v>2.2248000000000001</v>
      </c>
      <c r="X693" s="18">
        <v>1.4832000000000001</v>
      </c>
      <c r="Y693" s="18">
        <v>6.5920000000000006E-2</v>
      </c>
      <c r="Z693" s="18">
        <v>0.29252</v>
      </c>
      <c r="AA693" s="18">
        <v>0.42848000000000003</v>
      </c>
      <c r="AB693" s="18">
        <v>0.7622000000000001</v>
      </c>
      <c r="AC693" s="18">
        <v>0.23484000000000002</v>
      </c>
      <c r="AD693" s="18">
        <v>1.2360000000000002</v>
      </c>
    </row>
    <row r="694" spans="2:30" x14ac:dyDescent="0.25">
      <c r="B694" t="s">
        <v>269</v>
      </c>
      <c r="C694" t="s">
        <v>105</v>
      </c>
      <c r="D694" t="s">
        <v>749</v>
      </c>
      <c r="E694" s="35">
        <v>0.9</v>
      </c>
      <c r="F694" s="35">
        <v>6.6</v>
      </c>
      <c r="G694" s="36">
        <v>3.5699999999999998E-3</v>
      </c>
      <c r="H694" s="18">
        <v>6.4252979999999997</v>
      </c>
      <c r="I694" s="16" t="s">
        <v>746</v>
      </c>
      <c r="J694" s="16"/>
      <c r="K694" s="16"/>
      <c r="L694" s="37"/>
      <c r="M694" s="37"/>
      <c r="N694" s="37"/>
      <c r="O694" s="37"/>
      <c r="P694" s="37"/>
      <c r="Q694" s="18">
        <v>3.9269999999999999E-2</v>
      </c>
      <c r="R694" s="18">
        <v>2.6774999999999998E-4</v>
      </c>
      <c r="S694" s="18">
        <v>7.4969999999999995E-2</v>
      </c>
      <c r="T694" s="18">
        <v>0.32129999999999997</v>
      </c>
      <c r="U694" s="18">
        <v>0.16064999999999999</v>
      </c>
      <c r="V694" s="18">
        <v>2.0563199999999999</v>
      </c>
      <c r="W694" s="18">
        <v>1.9278</v>
      </c>
      <c r="X694" s="18">
        <v>1.2851999999999999</v>
      </c>
      <c r="Y694" s="18">
        <v>5.7119999999999997E-2</v>
      </c>
      <c r="Z694" s="18">
        <v>0.25346999999999997</v>
      </c>
      <c r="AA694" s="18">
        <v>0.37128</v>
      </c>
      <c r="AB694" s="18">
        <v>0.66044999999999998</v>
      </c>
      <c r="AC694" s="18">
        <v>0.20348999999999998</v>
      </c>
      <c r="AD694" s="18">
        <v>1.071</v>
      </c>
    </row>
    <row r="695" spans="2:30" x14ac:dyDescent="0.25">
      <c r="B695" t="s">
        <v>269</v>
      </c>
      <c r="C695" t="s">
        <v>105</v>
      </c>
      <c r="D695" t="s">
        <v>748</v>
      </c>
      <c r="E695" s="35">
        <v>0.9</v>
      </c>
      <c r="F695" s="35">
        <v>6.6</v>
      </c>
      <c r="G695" s="36">
        <v>4.1200000000000004E-3</v>
      </c>
      <c r="H695" s="18">
        <v>7.4152979999999999</v>
      </c>
      <c r="I695" s="16" t="s">
        <v>746</v>
      </c>
      <c r="J695" s="16"/>
      <c r="K695" s="16"/>
      <c r="L695" s="37"/>
      <c r="M695" s="37"/>
      <c r="N695" s="37"/>
      <c r="O695" s="37"/>
      <c r="P695" s="37"/>
      <c r="Q695" s="18">
        <v>4.5320000000000006E-2</v>
      </c>
      <c r="R695" s="18">
        <v>3.0900000000000003E-4</v>
      </c>
      <c r="S695" s="18">
        <v>8.6520000000000014E-2</v>
      </c>
      <c r="T695" s="18">
        <v>0.37080000000000002</v>
      </c>
      <c r="U695" s="18">
        <v>0.18540000000000001</v>
      </c>
      <c r="V695" s="18">
        <v>2.3731200000000001</v>
      </c>
      <c r="W695" s="18">
        <v>2.2248000000000001</v>
      </c>
      <c r="X695" s="18">
        <v>1.4832000000000001</v>
      </c>
      <c r="Y695" s="18">
        <v>6.5920000000000006E-2</v>
      </c>
      <c r="Z695" s="18">
        <v>0.29252</v>
      </c>
      <c r="AA695" s="18">
        <v>0.42848000000000003</v>
      </c>
      <c r="AB695" s="18">
        <v>0.7622000000000001</v>
      </c>
      <c r="AC695" s="18">
        <v>0.23484000000000002</v>
      </c>
      <c r="AD695" s="18">
        <v>1.2360000000000002</v>
      </c>
    </row>
    <row r="696" spans="2:30" x14ac:dyDescent="0.25">
      <c r="B696" t="s">
        <v>269</v>
      </c>
      <c r="C696" t="s">
        <v>105</v>
      </c>
      <c r="D696" t="s">
        <v>749</v>
      </c>
      <c r="E696" s="35">
        <v>0.9</v>
      </c>
      <c r="F696" s="35">
        <v>6.6</v>
      </c>
      <c r="G696" s="36">
        <v>3.5699999999999998E-3</v>
      </c>
      <c r="H696" s="18">
        <v>6.4252979999999997</v>
      </c>
      <c r="I696" s="16" t="s">
        <v>746</v>
      </c>
      <c r="J696" s="16"/>
      <c r="K696" s="16"/>
      <c r="L696" s="37"/>
      <c r="M696" s="37"/>
      <c r="N696" s="37"/>
      <c r="O696" s="37"/>
      <c r="P696" s="37"/>
      <c r="Q696" s="18">
        <v>3.9269999999999999E-2</v>
      </c>
      <c r="R696" s="18">
        <v>2.6774999999999998E-4</v>
      </c>
      <c r="S696" s="18">
        <v>7.4969999999999995E-2</v>
      </c>
      <c r="T696" s="18">
        <v>0.32129999999999997</v>
      </c>
      <c r="U696" s="18">
        <v>0.16064999999999999</v>
      </c>
      <c r="V696" s="18">
        <v>2.0563199999999999</v>
      </c>
      <c r="W696" s="18">
        <v>1.9278</v>
      </c>
      <c r="X696" s="18">
        <v>1.2851999999999999</v>
      </c>
      <c r="Y696" s="18">
        <v>5.7119999999999997E-2</v>
      </c>
      <c r="Z696" s="18">
        <v>0.25346999999999997</v>
      </c>
      <c r="AA696" s="18">
        <v>0.37128</v>
      </c>
      <c r="AB696" s="18">
        <v>0.66044999999999998</v>
      </c>
      <c r="AC696" s="18">
        <v>0.20348999999999998</v>
      </c>
      <c r="AD696" s="18">
        <v>1.071</v>
      </c>
    </row>
    <row r="697" spans="2:30" x14ac:dyDescent="0.25">
      <c r="B697" t="s">
        <v>269</v>
      </c>
      <c r="C697" t="s">
        <v>105</v>
      </c>
      <c r="D697" t="s">
        <v>748</v>
      </c>
      <c r="E697" s="35">
        <v>0.9</v>
      </c>
      <c r="F697" s="35">
        <v>6.6</v>
      </c>
      <c r="G697" s="36">
        <v>4.1200000000000004E-3</v>
      </c>
      <c r="H697" s="18">
        <v>7.4152979999999999</v>
      </c>
      <c r="I697" s="16" t="s">
        <v>746</v>
      </c>
      <c r="J697" s="16"/>
      <c r="K697" s="16"/>
      <c r="L697" s="37"/>
      <c r="M697" s="37"/>
      <c r="N697" s="37"/>
      <c r="O697" s="37"/>
      <c r="P697" s="37"/>
      <c r="Q697" s="18">
        <v>4.5320000000000006E-2</v>
      </c>
      <c r="R697" s="18">
        <v>3.0900000000000003E-4</v>
      </c>
      <c r="S697" s="18">
        <v>8.6520000000000014E-2</v>
      </c>
      <c r="T697" s="18">
        <v>0.37080000000000002</v>
      </c>
      <c r="U697" s="18">
        <v>0.18540000000000001</v>
      </c>
      <c r="V697" s="18">
        <v>2.3731200000000001</v>
      </c>
      <c r="W697" s="18">
        <v>2.2248000000000001</v>
      </c>
      <c r="X697" s="18">
        <v>1.4832000000000001</v>
      </c>
      <c r="Y697" s="18">
        <v>6.5920000000000006E-2</v>
      </c>
      <c r="Z697" s="18">
        <v>0.29252</v>
      </c>
      <c r="AA697" s="18">
        <v>0.42848000000000003</v>
      </c>
      <c r="AB697" s="18">
        <v>0.7622000000000001</v>
      </c>
      <c r="AC697" s="18">
        <v>0.23484000000000002</v>
      </c>
      <c r="AD697" s="18">
        <v>1.2360000000000002</v>
      </c>
    </row>
    <row r="698" spans="2:30" x14ac:dyDescent="0.25">
      <c r="B698" t="s">
        <v>269</v>
      </c>
      <c r="C698" t="s">
        <v>105</v>
      </c>
      <c r="D698" t="s">
        <v>748</v>
      </c>
      <c r="E698" s="35">
        <v>0.9</v>
      </c>
      <c r="F698" s="35">
        <v>6.6</v>
      </c>
      <c r="G698" s="36">
        <v>4.1200000000000004E-3</v>
      </c>
      <c r="H698" s="18">
        <v>7.4152979999999999</v>
      </c>
      <c r="I698" s="16" t="s">
        <v>746</v>
      </c>
      <c r="J698" s="16"/>
      <c r="K698" s="16"/>
      <c r="L698" s="37"/>
      <c r="M698" s="37"/>
      <c r="N698" s="37"/>
      <c r="O698" s="37"/>
      <c r="P698" s="37"/>
      <c r="Q698" s="18">
        <v>4.5320000000000006E-2</v>
      </c>
      <c r="R698" s="18">
        <v>3.0900000000000003E-4</v>
      </c>
      <c r="S698" s="18">
        <v>8.6520000000000014E-2</v>
      </c>
      <c r="T698" s="18">
        <v>0.37080000000000002</v>
      </c>
      <c r="U698" s="18">
        <v>0.18540000000000001</v>
      </c>
      <c r="V698" s="18">
        <v>2.3731200000000001</v>
      </c>
      <c r="W698" s="18">
        <v>2.2248000000000001</v>
      </c>
      <c r="X698" s="18">
        <v>1.4832000000000001</v>
      </c>
      <c r="Y698" s="18">
        <v>6.5920000000000006E-2</v>
      </c>
      <c r="Z698" s="18">
        <v>0.29252</v>
      </c>
      <c r="AA698" s="18">
        <v>0.42848000000000003</v>
      </c>
      <c r="AB698" s="18">
        <v>0.7622000000000001</v>
      </c>
      <c r="AC698" s="18">
        <v>0.23484000000000002</v>
      </c>
      <c r="AD698" s="18">
        <v>1.2360000000000002</v>
      </c>
    </row>
    <row r="699" spans="2:30" x14ac:dyDescent="0.25">
      <c r="B699" t="s">
        <v>269</v>
      </c>
      <c r="C699" t="s">
        <v>105</v>
      </c>
      <c r="D699" t="s">
        <v>748</v>
      </c>
      <c r="E699" s="35">
        <v>0.9</v>
      </c>
      <c r="F699" s="35">
        <v>6.6</v>
      </c>
      <c r="G699" s="36">
        <v>4.1200000000000004E-3</v>
      </c>
      <c r="H699" s="18">
        <v>7.4152979999999999</v>
      </c>
      <c r="I699" s="16" t="s">
        <v>746</v>
      </c>
      <c r="J699" s="16"/>
      <c r="K699" s="16"/>
      <c r="L699" s="37"/>
      <c r="M699" s="37"/>
      <c r="N699" s="37"/>
      <c r="O699" s="37"/>
      <c r="P699" s="37"/>
      <c r="Q699" s="18">
        <v>4.5320000000000006E-2</v>
      </c>
      <c r="R699" s="18">
        <v>3.0900000000000003E-4</v>
      </c>
      <c r="S699" s="18">
        <v>8.6520000000000014E-2</v>
      </c>
      <c r="T699" s="18">
        <v>0.37080000000000002</v>
      </c>
      <c r="U699" s="18">
        <v>0.18540000000000001</v>
      </c>
      <c r="V699" s="18">
        <v>2.3731200000000001</v>
      </c>
      <c r="W699" s="18">
        <v>2.2248000000000001</v>
      </c>
      <c r="X699" s="18">
        <v>1.4832000000000001</v>
      </c>
      <c r="Y699" s="18">
        <v>6.5920000000000006E-2</v>
      </c>
      <c r="Z699" s="18">
        <v>0.29252</v>
      </c>
      <c r="AA699" s="18">
        <v>0.42848000000000003</v>
      </c>
      <c r="AB699" s="18">
        <v>0.7622000000000001</v>
      </c>
      <c r="AC699" s="18">
        <v>0.23484000000000002</v>
      </c>
      <c r="AD699" s="18">
        <v>1.2360000000000002</v>
      </c>
    </row>
    <row r="700" spans="2:30" x14ac:dyDescent="0.25">
      <c r="B700" t="s">
        <v>269</v>
      </c>
      <c r="C700" t="s">
        <v>105</v>
      </c>
      <c r="D700" t="s">
        <v>748</v>
      </c>
      <c r="E700" s="35">
        <v>0.9</v>
      </c>
      <c r="F700" s="35">
        <v>6.6</v>
      </c>
      <c r="G700" s="36">
        <v>4.1200000000000004E-3</v>
      </c>
      <c r="H700" s="18">
        <v>7.4152979999999999</v>
      </c>
      <c r="I700" s="16" t="s">
        <v>746</v>
      </c>
      <c r="J700" s="16"/>
      <c r="K700" s="16"/>
      <c r="L700" s="37"/>
      <c r="M700" s="37"/>
      <c r="N700" s="37"/>
      <c r="O700" s="37"/>
      <c r="P700" s="37"/>
      <c r="Q700" s="18">
        <v>4.5320000000000006E-2</v>
      </c>
      <c r="R700" s="18">
        <v>3.0900000000000003E-4</v>
      </c>
      <c r="S700" s="18">
        <v>8.6520000000000014E-2</v>
      </c>
      <c r="T700" s="18">
        <v>0.37080000000000002</v>
      </c>
      <c r="U700" s="18">
        <v>0.18540000000000001</v>
      </c>
      <c r="V700" s="18">
        <v>2.3731200000000001</v>
      </c>
      <c r="W700" s="18">
        <v>2.2248000000000001</v>
      </c>
      <c r="X700" s="18">
        <v>1.4832000000000001</v>
      </c>
      <c r="Y700" s="18">
        <v>6.5920000000000006E-2</v>
      </c>
      <c r="Z700" s="18">
        <v>0.29252</v>
      </c>
      <c r="AA700" s="18">
        <v>0.42848000000000003</v>
      </c>
      <c r="AB700" s="18">
        <v>0.7622000000000001</v>
      </c>
      <c r="AC700" s="18">
        <v>0.23484000000000002</v>
      </c>
      <c r="AD700" s="18">
        <v>1.2360000000000002</v>
      </c>
    </row>
    <row r="701" spans="2:30" x14ac:dyDescent="0.25">
      <c r="B701" t="s">
        <v>269</v>
      </c>
      <c r="C701" t="s">
        <v>105</v>
      </c>
      <c r="D701" t="s">
        <v>748</v>
      </c>
      <c r="E701" s="35">
        <v>0.9</v>
      </c>
      <c r="F701" s="35">
        <v>6.6</v>
      </c>
      <c r="G701" s="36">
        <v>4.1200000000000004E-3</v>
      </c>
      <c r="H701" s="18">
        <v>7.4152979999999999</v>
      </c>
      <c r="I701" s="16" t="s">
        <v>746</v>
      </c>
      <c r="J701" s="16"/>
      <c r="K701" s="16"/>
      <c r="L701" s="37"/>
      <c r="M701" s="37"/>
      <c r="N701" s="37"/>
      <c r="O701" s="37"/>
      <c r="P701" s="37"/>
      <c r="Q701" s="18">
        <v>4.5320000000000006E-2</v>
      </c>
      <c r="R701" s="18">
        <v>3.0900000000000003E-4</v>
      </c>
      <c r="S701" s="18">
        <v>8.6520000000000014E-2</v>
      </c>
      <c r="T701" s="18">
        <v>0.37080000000000002</v>
      </c>
      <c r="U701" s="18">
        <v>0.18540000000000001</v>
      </c>
      <c r="V701" s="18">
        <v>2.3731200000000001</v>
      </c>
      <c r="W701" s="18">
        <v>2.2248000000000001</v>
      </c>
      <c r="X701" s="18">
        <v>1.4832000000000001</v>
      </c>
      <c r="Y701" s="18">
        <v>6.5920000000000006E-2</v>
      </c>
      <c r="Z701" s="18">
        <v>0.29252</v>
      </c>
      <c r="AA701" s="18">
        <v>0.42848000000000003</v>
      </c>
      <c r="AB701" s="18">
        <v>0.7622000000000001</v>
      </c>
      <c r="AC701" s="18">
        <v>0.23484000000000002</v>
      </c>
      <c r="AD701" s="18">
        <v>1.2360000000000002</v>
      </c>
    </row>
    <row r="702" spans="2:30" x14ac:dyDescent="0.25">
      <c r="B702" t="s">
        <v>269</v>
      </c>
      <c r="C702" t="s">
        <v>105</v>
      </c>
      <c r="D702" t="s">
        <v>748</v>
      </c>
      <c r="E702" s="35">
        <v>0.9</v>
      </c>
      <c r="F702" s="35">
        <v>6.6</v>
      </c>
      <c r="G702" s="36">
        <v>4.1200000000000004E-3</v>
      </c>
      <c r="H702" s="18">
        <v>7.4152979999999999</v>
      </c>
      <c r="I702" s="16" t="s">
        <v>746</v>
      </c>
      <c r="J702" s="16"/>
      <c r="K702" s="16"/>
      <c r="L702" s="37"/>
      <c r="M702" s="37"/>
      <c r="N702" s="37"/>
      <c r="O702" s="37"/>
      <c r="P702" s="37"/>
      <c r="Q702" s="18">
        <v>4.5320000000000006E-2</v>
      </c>
      <c r="R702" s="18">
        <v>3.0900000000000003E-4</v>
      </c>
      <c r="S702" s="18">
        <v>8.6520000000000014E-2</v>
      </c>
      <c r="T702" s="18">
        <v>0.37080000000000002</v>
      </c>
      <c r="U702" s="18">
        <v>0.18540000000000001</v>
      </c>
      <c r="V702" s="18">
        <v>2.3731200000000001</v>
      </c>
      <c r="W702" s="18">
        <v>2.2248000000000001</v>
      </c>
      <c r="X702" s="18">
        <v>1.4832000000000001</v>
      </c>
      <c r="Y702" s="18">
        <v>6.5920000000000006E-2</v>
      </c>
      <c r="Z702" s="18">
        <v>0.29252</v>
      </c>
      <c r="AA702" s="18">
        <v>0.42848000000000003</v>
      </c>
      <c r="AB702" s="18">
        <v>0.7622000000000001</v>
      </c>
      <c r="AC702" s="18">
        <v>0.23484000000000002</v>
      </c>
      <c r="AD702" s="18">
        <v>1.2360000000000002</v>
      </c>
    </row>
    <row r="703" spans="2:30" x14ac:dyDescent="0.25">
      <c r="B703" t="s">
        <v>269</v>
      </c>
      <c r="C703" t="s">
        <v>105</v>
      </c>
      <c r="D703" t="s">
        <v>748</v>
      </c>
      <c r="E703" s="35">
        <v>0.9</v>
      </c>
      <c r="F703" s="35">
        <v>6.6</v>
      </c>
      <c r="G703" s="36">
        <v>4.1200000000000004E-3</v>
      </c>
      <c r="H703" s="18">
        <v>7.4152979999999999</v>
      </c>
      <c r="I703" s="16" t="s">
        <v>746</v>
      </c>
      <c r="J703" s="16"/>
      <c r="K703" s="16"/>
      <c r="L703" s="37"/>
      <c r="M703" s="37"/>
      <c r="N703" s="37"/>
      <c r="O703" s="37"/>
      <c r="P703" s="37"/>
      <c r="Q703" s="18">
        <v>4.5320000000000006E-2</v>
      </c>
      <c r="R703" s="18">
        <v>3.0900000000000003E-4</v>
      </c>
      <c r="S703" s="18">
        <v>8.6520000000000014E-2</v>
      </c>
      <c r="T703" s="18">
        <v>0.37080000000000002</v>
      </c>
      <c r="U703" s="18">
        <v>0.18540000000000001</v>
      </c>
      <c r="V703" s="18">
        <v>2.3731200000000001</v>
      </c>
      <c r="W703" s="18">
        <v>2.2248000000000001</v>
      </c>
      <c r="X703" s="18">
        <v>1.4832000000000001</v>
      </c>
      <c r="Y703" s="18">
        <v>6.5920000000000006E-2</v>
      </c>
      <c r="Z703" s="18">
        <v>0.29252</v>
      </c>
      <c r="AA703" s="18">
        <v>0.42848000000000003</v>
      </c>
      <c r="AB703" s="18">
        <v>0.7622000000000001</v>
      </c>
      <c r="AC703" s="18">
        <v>0.23484000000000002</v>
      </c>
      <c r="AD703" s="18">
        <v>1.2360000000000002</v>
      </c>
    </row>
    <row r="704" spans="2:30" x14ac:dyDescent="0.25">
      <c r="B704" t="s">
        <v>269</v>
      </c>
      <c r="C704" t="s">
        <v>105</v>
      </c>
      <c r="D704" t="s">
        <v>748</v>
      </c>
      <c r="E704" s="35">
        <v>0.9</v>
      </c>
      <c r="F704" s="35">
        <v>6.6</v>
      </c>
      <c r="G704" s="36">
        <v>4.1200000000000004E-3</v>
      </c>
      <c r="H704" s="18">
        <v>7.4152979999999999</v>
      </c>
      <c r="I704" s="16" t="s">
        <v>746</v>
      </c>
      <c r="J704" s="16"/>
      <c r="K704" s="16"/>
      <c r="L704" s="37"/>
      <c r="M704" s="37"/>
      <c r="N704" s="37"/>
      <c r="O704" s="37"/>
      <c r="P704" s="37"/>
      <c r="Q704" s="18">
        <v>4.5320000000000006E-2</v>
      </c>
      <c r="R704" s="18">
        <v>3.0900000000000003E-4</v>
      </c>
      <c r="S704" s="18">
        <v>8.6520000000000014E-2</v>
      </c>
      <c r="T704" s="18">
        <v>0.37080000000000002</v>
      </c>
      <c r="U704" s="18">
        <v>0.18540000000000001</v>
      </c>
      <c r="V704" s="18">
        <v>2.3731200000000001</v>
      </c>
      <c r="W704" s="18">
        <v>2.2248000000000001</v>
      </c>
      <c r="X704" s="18">
        <v>1.4832000000000001</v>
      </c>
      <c r="Y704" s="18">
        <v>6.5920000000000006E-2</v>
      </c>
      <c r="Z704" s="18">
        <v>0.29252</v>
      </c>
      <c r="AA704" s="18">
        <v>0.42848000000000003</v>
      </c>
      <c r="AB704" s="18">
        <v>0.7622000000000001</v>
      </c>
      <c r="AC704" s="18">
        <v>0.23484000000000002</v>
      </c>
      <c r="AD704" s="18">
        <v>1.2360000000000002</v>
      </c>
    </row>
    <row r="705" spans="2:30" x14ac:dyDescent="0.25">
      <c r="B705" t="s">
        <v>269</v>
      </c>
      <c r="C705" t="s">
        <v>105</v>
      </c>
      <c r="D705" t="s">
        <v>748</v>
      </c>
      <c r="E705" s="35">
        <v>0.9</v>
      </c>
      <c r="F705" s="35">
        <v>6.6</v>
      </c>
      <c r="G705" s="36">
        <v>4.1200000000000004E-3</v>
      </c>
      <c r="H705" s="18">
        <v>7.4152979999999999</v>
      </c>
      <c r="I705" s="16" t="s">
        <v>746</v>
      </c>
      <c r="J705" s="16"/>
      <c r="K705" s="16"/>
      <c r="L705" s="37"/>
      <c r="M705" s="37"/>
      <c r="N705" s="37"/>
      <c r="O705" s="37"/>
      <c r="P705" s="37"/>
      <c r="Q705" s="18">
        <v>4.5320000000000006E-2</v>
      </c>
      <c r="R705" s="18">
        <v>3.0900000000000003E-4</v>
      </c>
      <c r="S705" s="18">
        <v>8.6520000000000014E-2</v>
      </c>
      <c r="T705" s="18">
        <v>0.37080000000000002</v>
      </c>
      <c r="U705" s="18">
        <v>0.18540000000000001</v>
      </c>
      <c r="V705" s="18">
        <v>2.3731200000000001</v>
      </c>
      <c r="W705" s="18">
        <v>2.2248000000000001</v>
      </c>
      <c r="X705" s="18">
        <v>1.4832000000000001</v>
      </c>
      <c r="Y705" s="18">
        <v>6.5920000000000006E-2</v>
      </c>
      <c r="Z705" s="18">
        <v>0.29252</v>
      </c>
      <c r="AA705" s="18">
        <v>0.42848000000000003</v>
      </c>
      <c r="AB705" s="18">
        <v>0.7622000000000001</v>
      </c>
      <c r="AC705" s="18">
        <v>0.23484000000000002</v>
      </c>
      <c r="AD705" s="18">
        <v>1.2360000000000002</v>
      </c>
    </row>
    <row r="706" spans="2:30" x14ac:dyDescent="0.25">
      <c r="B706" t="s">
        <v>269</v>
      </c>
      <c r="C706" t="s">
        <v>105</v>
      </c>
      <c r="D706" t="s">
        <v>748</v>
      </c>
      <c r="E706" s="35">
        <v>0.9</v>
      </c>
      <c r="F706" s="35">
        <v>6.6</v>
      </c>
      <c r="G706" s="36">
        <v>4.1200000000000004E-3</v>
      </c>
      <c r="H706" s="18">
        <v>7.4152979999999999</v>
      </c>
      <c r="I706" s="16" t="s">
        <v>746</v>
      </c>
      <c r="J706" s="16"/>
      <c r="K706" s="16"/>
      <c r="L706" s="37"/>
      <c r="M706" s="37"/>
      <c r="N706" s="37"/>
      <c r="O706" s="37"/>
      <c r="P706" s="37"/>
      <c r="Q706" s="18">
        <v>4.5320000000000006E-2</v>
      </c>
      <c r="R706" s="18">
        <v>3.0900000000000003E-4</v>
      </c>
      <c r="S706" s="18">
        <v>8.6520000000000014E-2</v>
      </c>
      <c r="T706" s="18">
        <v>0.37080000000000002</v>
      </c>
      <c r="U706" s="18">
        <v>0.18540000000000001</v>
      </c>
      <c r="V706" s="18">
        <v>2.3731200000000001</v>
      </c>
      <c r="W706" s="18">
        <v>2.2248000000000001</v>
      </c>
      <c r="X706" s="18">
        <v>1.4832000000000001</v>
      </c>
      <c r="Y706" s="18">
        <v>6.5920000000000006E-2</v>
      </c>
      <c r="Z706" s="18">
        <v>0.29252</v>
      </c>
      <c r="AA706" s="18">
        <v>0.42848000000000003</v>
      </c>
      <c r="AB706" s="18">
        <v>0.7622000000000001</v>
      </c>
      <c r="AC706" s="18">
        <v>0.23484000000000002</v>
      </c>
      <c r="AD706" s="18">
        <v>1.2360000000000002</v>
      </c>
    </row>
    <row r="707" spans="2:30" x14ac:dyDescent="0.25">
      <c r="B707" t="s">
        <v>269</v>
      </c>
      <c r="C707" t="s">
        <v>105</v>
      </c>
      <c r="D707" t="s">
        <v>748</v>
      </c>
      <c r="E707" s="35">
        <v>0.9</v>
      </c>
      <c r="F707" s="35">
        <v>6.6</v>
      </c>
      <c r="G707" s="36">
        <v>4.1200000000000004E-3</v>
      </c>
      <c r="H707" s="18">
        <v>7.4152979999999999</v>
      </c>
      <c r="I707" s="16" t="s">
        <v>746</v>
      </c>
      <c r="J707" s="16"/>
      <c r="K707" s="16"/>
      <c r="L707" s="37"/>
      <c r="M707" s="37"/>
      <c r="N707" s="37"/>
      <c r="O707" s="37"/>
      <c r="P707" s="37"/>
      <c r="Q707" s="18">
        <v>4.5320000000000006E-2</v>
      </c>
      <c r="R707" s="18">
        <v>3.0900000000000003E-4</v>
      </c>
      <c r="S707" s="18">
        <v>8.6520000000000014E-2</v>
      </c>
      <c r="T707" s="18">
        <v>0.37080000000000002</v>
      </c>
      <c r="U707" s="18">
        <v>0.18540000000000001</v>
      </c>
      <c r="V707" s="18">
        <v>2.3731200000000001</v>
      </c>
      <c r="W707" s="18">
        <v>2.2248000000000001</v>
      </c>
      <c r="X707" s="18">
        <v>1.4832000000000001</v>
      </c>
      <c r="Y707" s="18">
        <v>6.5920000000000006E-2</v>
      </c>
      <c r="Z707" s="18">
        <v>0.29252</v>
      </c>
      <c r="AA707" s="18">
        <v>0.42848000000000003</v>
      </c>
      <c r="AB707" s="18">
        <v>0.7622000000000001</v>
      </c>
      <c r="AC707" s="18">
        <v>0.23484000000000002</v>
      </c>
      <c r="AD707" s="18">
        <v>1.2360000000000002</v>
      </c>
    </row>
    <row r="708" spans="2:30" x14ac:dyDescent="0.25">
      <c r="B708" t="s">
        <v>269</v>
      </c>
      <c r="C708" t="s">
        <v>105</v>
      </c>
      <c r="D708" t="s">
        <v>748</v>
      </c>
      <c r="E708" s="35">
        <v>0.9</v>
      </c>
      <c r="F708" s="35">
        <v>6.6</v>
      </c>
      <c r="G708" s="36">
        <v>4.1200000000000004E-3</v>
      </c>
      <c r="H708" s="18">
        <v>7.4152979999999999</v>
      </c>
      <c r="I708" s="16" t="s">
        <v>746</v>
      </c>
      <c r="J708" s="16"/>
      <c r="K708" s="16"/>
      <c r="L708" s="37"/>
      <c r="M708" s="37"/>
      <c r="N708" s="37"/>
      <c r="O708" s="37"/>
      <c r="P708" s="37"/>
      <c r="Q708" s="18">
        <v>4.5320000000000006E-2</v>
      </c>
      <c r="R708" s="18">
        <v>3.0900000000000003E-4</v>
      </c>
      <c r="S708" s="18">
        <v>8.6520000000000014E-2</v>
      </c>
      <c r="T708" s="18">
        <v>0.37080000000000002</v>
      </c>
      <c r="U708" s="18">
        <v>0.18540000000000001</v>
      </c>
      <c r="V708" s="18">
        <v>2.3731200000000001</v>
      </c>
      <c r="W708" s="18">
        <v>2.2248000000000001</v>
      </c>
      <c r="X708" s="18">
        <v>1.4832000000000001</v>
      </c>
      <c r="Y708" s="18">
        <v>6.5920000000000006E-2</v>
      </c>
      <c r="Z708" s="18">
        <v>0.29252</v>
      </c>
      <c r="AA708" s="18">
        <v>0.42848000000000003</v>
      </c>
      <c r="AB708" s="18">
        <v>0.7622000000000001</v>
      </c>
      <c r="AC708" s="18">
        <v>0.23484000000000002</v>
      </c>
      <c r="AD708" s="18">
        <v>1.2360000000000002</v>
      </c>
    </row>
    <row r="709" spans="2:30" x14ac:dyDescent="0.25">
      <c r="B709" t="s">
        <v>269</v>
      </c>
      <c r="C709" t="s">
        <v>105</v>
      </c>
      <c r="D709" t="s">
        <v>748</v>
      </c>
      <c r="E709" s="35">
        <v>0.9</v>
      </c>
      <c r="F709" s="35">
        <v>6.6</v>
      </c>
      <c r="G709" s="36">
        <v>4.1200000000000004E-3</v>
      </c>
      <c r="H709" s="18">
        <v>7.4152979999999999</v>
      </c>
      <c r="I709" s="16" t="s">
        <v>746</v>
      </c>
      <c r="J709" s="16"/>
      <c r="K709" s="16"/>
      <c r="L709" s="37"/>
      <c r="M709" s="37"/>
      <c r="N709" s="37"/>
      <c r="O709" s="37"/>
      <c r="P709" s="37"/>
      <c r="Q709" s="18">
        <v>4.5320000000000006E-2</v>
      </c>
      <c r="R709" s="18">
        <v>3.0900000000000003E-4</v>
      </c>
      <c r="S709" s="18">
        <v>8.6520000000000014E-2</v>
      </c>
      <c r="T709" s="18">
        <v>0.37080000000000002</v>
      </c>
      <c r="U709" s="18">
        <v>0.18540000000000001</v>
      </c>
      <c r="V709" s="18">
        <v>2.3731200000000001</v>
      </c>
      <c r="W709" s="18">
        <v>2.2248000000000001</v>
      </c>
      <c r="X709" s="18">
        <v>1.4832000000000001</v>
      </c>
      <c r="Y709" s="18">
        <v>6.5920000000000006E-2</v>
      </c>
      <c r="Z709" s="18">
        <v>0.29252</v>
      </c>
      <c r="AA709" s="18">
        <v>0.42848000000000003</v>
      </c>
      <c r="AB709" s="18">
        <v>0.7622000000000001</v>
      </c>
      <c r="AC709" s="18">
        <v>0.23484000000000002</v>
      </c>
      <c r="AD709" s="18">
        <v>1.2360000000000002</v>
      </c>
    </row>
    <row r="710" spans="2:30" x14ac:dyDescent="0.25">
      <c r="B710" t="s">
        <v>269</v>
      </c>
      <c r="C710" t="s">
        <v>105</v>
      </c>
      <c r="D710" t="s">
        <v>748</v>
      </c>
      <c r="E710" s="35">
        <v>0.9</v>
      </c>
      <c r="F710" s="35">
        <v>6.6</v>
      </c>
      <c r="G710" s="36">
        <v>4.1200000000000004E-3</v>
      </c>
      <c r="H710" s="18">
        <v>7.4152979999999999</v>
      </c>
      <c r="I710" s="16" t="s">
        <v>746</v>
      </c>
      <c r="J710" s="16"/>
      <c r="K710" s="16"/>
      <c r="L710" s="37"/>
      <c r="M710" s="37"/>
      <c r="N710" s="37"/>
      <c r="O710" s="37"/>
      <c r="P710" s="37"/>
      <c r="Q710" s="18">
        <v>4.5320000000000006E-2</v>
      </c>
      <c r="R710" s="18">
        <v>3.0900000000000003E-4</v>
      </c>
      <c r="S710" s="18">
        <v>8.6520000000000014E-2</v>
      </c>
      <c r="T710" s="18">
        <v>0.37080000000000002</v>
      </c>
      <c r="U710" s="18">
        <v>0.18540000000000001</v>
      </c>
      <c r="V710" s="18">
        <v>2.3731200000000001</v>
      </c>
      <c r="W710" s="18">
        <v>2.2248000000000001</v>
      </c>
      <c r="X710" s="18">
        <v>1.4832000000000001</v>
      </c>
      <c r="Y710" s="18">
        <v>6.5920000000000006E-2</v>
      </c>
      <c r="Z710" s="18">
        <v>0.29252</v>
      </c>
      <c r="AA710" s="18">
        <v>0.42848000000000003</v>
      </c>
      <c r="AB710" s="18">
        <v>0.7622000000000001</v>
      </c>
      <c r="AC710" s="18">
        <v>0.23484000000000002</v>
      </c>
      <c r="AD710" s="18">
        <v>1.2360000000000002</v>
      </c>
    </row>
    <row r="711" spans="2:30" x14ac:dyDescent="0.25">
      <c r="B711" t="s">
        <v>269</v>
      </c>
      <c r="C711" t="s">
        <v>105</v>
      </c>
      <c r="D711" t="s">
        <v>748</v>
      </c>
      <c r="E711" s="35">
        <v>0.9</v>
      </c>
      <c r="F711" s="35">
        <v>6.6</v>
      </c>
      <c r="G711" s="36">
        <v>4.1200000000000004E-3</v>
      </c>
      <c r="H711" s="18">
        <v>7.4152979999999999</v>
      </c>
      <c r="I711" s="16" t="s">
        <v>746</v>
      </c>
      <c r="J711" s="16"/>
      <c r="K711" s="16"/>
      <c r="L711" s="37"/>
      <c r="M711" s="37"/>
      <c r="N711" s="37"/>
      <c r="O711" s="37"/>
      <c r="P711" s="37"/>
      <c r="Q711" s="18">
        <v>4.5320000000000006E-2</v>
      </c>
      <c r="R711" s="18">
        <v>3.0900000000000003E-4</v>
      </c>
      <c r="S711" s="18">
        <v>8.6520000000000014E-2</v>
      </c>
      <c r="T711" s="18">
        <v>0.37080000000000002</v>
      </c>
      <c r="U711" s="18">
        <v>0.18540000000000001</v>
      </c>
      <c r="V711" s="18">
        <v>2.3731200000000001</v>
      </c>
      <c r="W711" s="18">
        <v>2.2248000000000001</v>
      </c>
      <c r="X711" s="18">
        <v>1.4832000000000001</v>
      </c>
      <c r="Y711" s="18">
        <v>6.5920000000000006E-2</v>
      </c>
      <c r="Z711" s="18">
        <v>0.29252</v>
      </c>
      <c r="AA711" s="18">
        <v>0.42848000000000003</v>
      </c>
      <c r="AB711" s="18">
        <v>0.7622000000000001</v>
      </c>
      <c r="AC711" s="18">
        <v>0.23484000000000002</v>
      </c>
      <c r="AD711" s="18">
        <v>1.2360000000000002</v>
      </c>
    </row>
    <row r="712" spans="2:30" x14ac:dyDescent="0.25">
      <c r="B712" t="s">
        <v>269</v>
      </c>
      <c r="C712" t="s">
        <v>105</v>
      </c>
      <c r="D712" t="s">
        <v>753</v>
      </c>
      <c r="E712" s="35">
        <v>0.9</v>
      </c>
      <c r="F712" s="35">
        <v>6.6</v>
      </c>
      <c r="G712" s="36">
        <v>5.77E-3</v>
      </c>
      <c r="H712" s="18">
        <v>10.385298000000001</v>
      </c>
      <c r="I712" s="16" t="s">
        <v>746</v>
      </c>
      <c r="J712" s="16"/>
      <c r="K712" s="16"/>
      <c r="L712" s="37"/>
      <c r="M712" s="37"/>
      <c r="N712" s="37"/>
      <c r="O712" s="37"/>
      <c r="P712" s="37"/>
      <c r="Q712" s="18">
        <v>6.3469999999999999E-2</v>
      </c>
      <c r="R712" s="18">
        <v>4.3274999999999997E-4</v>
      </c>
      <c r="S712" s="18">
        <v>0.12117</v>
      </c>
      <c r="T712" s="18">
        <v>0.51929999999999998</v>
      </c>
      <c r="U712" s="18">
        <v>0.25964999999999999</v>
      </c>
      <c r="V712" s="18">
        <v>3.3235199999999998</v>
      </c>
      <c r="W712" s="18">
        <v>3.1158000000000001</v>
      </c>
      <c r="X712" s="18">
        <v>2.0771999999999999</v>
      </c>
      <c r="Y712" s="18">
        <v>9.2319999999999999E-2</v>
      </c>
      <c r="Z712" s="18">
        <v>0.40966999999999998</v>
      </c>
      <c r="AA712" s="18">
        <v>0.60007999999999995</v>
      </c>
      <c r="AB712" s="18">
        <v>1.06745</v>
      </c>
      <c r="AC712" s="18">
        <v>0.32889000000000002</v>
      </c>
      <c r="AD712" s="18">
        <v>1.7310000000000001</v>
      </c>
    </row>
    <row r="713" spans="2:30" x14ac:dyDescent="0.25">
      <c r="B713" t="s">
        <v>269</v>
      </c>
      <c r="C713" t="s">
        <v>105</v>
      </c>
      <c r="D713" t="s">
        <v>749</v>
      </c>
      <c r="E713" s="35">
        <v>0.9</v>
      </c>
      <c r="F713" s="35">
        <v>6.6</v>
      </c>
      <c r="G713" s="36">
        <v>3.5699999999999998E-3</v>
      </c>
      <c r="H713" s="18">
        <v>6.4252979999999997</v>
      </c>
      <c r="I713" s="16" t="s">
        <v>746</v>
      </c>
      <c r="J713" s="16"/>
      <c r="K713" s="16"/>
      <c r="L713" s="37"/>
      <c r="M713" s="37"/>
      <c r="N713" s="37"/>
      <c r="O713" s="37"/>
      <c r="P713" s="37"/>
      <c r="Q713" s="18">
        <v>3.9269999999999999E-2</v>
      </c>
      <c r="R713" s="18">
        <v>2.6774999999999998E-4</v>
      </c>
      <c r="S713" s="18">
        <v>7.4969999999999995E-2</v>
      </c>
      <c r="T713" s="18">
        <v>0.32129999999999997</v>
      </c>
      <c r="U713" s="18">
        <v>0.16064999999999999</v>
      </c>
      <c r="V713" s="18">
        <v>2.0563199999999999</v>
      </c>
      <c r="W713" s="18">
        <v>1.9278</v>
      </c>
      <c r="X713" s="18">
        <v>1.2851999999999999</v>
      </c>
      <c r="Y713" s="18">
        <v>5.7119999999999997E-2</v>
      </c>
      <c r="Z713" s="18">
        <v>0.25346999999999997</v>
      </c>
      <c r="AA713" s="18">
        <v>0.37128</v>
      </c>
      <c r="AB713" s="18">
        <v>0.66044999999999998</v>
      </c>
      <c r="AC713" s="18">
        <v>0.20348999999999998</v>
      </c>
      <c r="AD713" s="18">
        <v>1.071</v>
      </c>
    </row>
    <row r="714" spans="2:30" x14ac:dyDescent="0.25">
      <c r="B714" t="s">
        <v>269</v>
      </c>
      <c r="C714" t="s">
        <v>105</v>
      </c>
      <c r="D714" t="s">
        <v>748</v>
      </c>
      <c r="E714" s="35">
        <v>0.9</v>
      </c>
      <c r="F714" s="35">
        <v>6.6</v>
      </c>
      <c r="G714" s="36">
        <v>4.1200000000000004E-3</v>
      </c>
      <c r="H714" s="18">
        <v>7.4152979999999999</v>
      </c>
      <c r="I714" s="16" t="s">
        <v>746</v>
      </c>
      <c r="J714" s="16"/>
      <c r="K714" s="16"/>
      <c r="L714" s="37"/>
      <c r="M714" s="37"/>
      <c r="N714" s="37"/>
      <c r="O714" s="37"/>
      <c r="P714" s="37"/>
      <c r="Q714" s="18">
        <v>4.5320000000000006E-2</v>
      </c>
      <c r="R714" s="18">
        <v>3.0900000000000003E-4</v>
      </c>
      <c r="S714" s="18">
        <v>8.6520000000000014E-2</v>
      </c>
      <c r="T714" s="18">
        <v>0.37080000000000002</v>
      </c>
      <c r="U714" s="18">
        <v>0.18540000000000001</v>
      </c>
      <c r="V714" s="18">
        <v>2.3731200000000001</v>
      </c>
      <c r="W714" s="18">
        <v>2.2248000000000001</v>
      </c>
      <c r="X714" s="18">
        <v>1.4832000000000001</v>
      </c>
      <c r="Y714" s="18">
        <v>6.5920000000000006E-2</v>
      </c>
      <c r="Z714" s="18">
        <v>0.29252</v>
      </c>
      <c r="AA714" s="18">
        <v>0.42848000000000003</v>
      </c>
      <c r="AB714" s="18">
        <v>0.7622000000000001</v>
      </c>
      <c r="AC714" s="18">
        <v>0.23484000000000002</v>
      </c>
      <c r="AD714" s="18">
        <v>1.2360000000000002</v>
      </c>
    </row>
    <row r="715" spans="2:30" x14ac:dyDescent="0.25">
      <c r="B715" t="s">
        <v>269</v>
      </c>
      <c r="C715" t="s">
        <v>105</v>
      </c>
      <c r="D715" t="s">
        <v>748</v>
      </c>
      <c r="E715" s="35">
        <v>0.9</v>
      </c>
      <c r="F715" s="35">
        <v>6.6</v>
      </c>
      <c r="G715" s="36">
        <v>4.1200000000000004E-3</v>
      </c>
      <c r="H715" s="18">
        <v>7.4152979999999999</v>
      </c>
      <c r="I715" s="16" t="s">
        <v>746</v>
      </c>
      <c r="J715" s="16"/>
      <c r="K715" s="16"/>
      <c r="L715" s="37"/>
      <c r="M715" s="37"/>
      <c r="N715" s="37"/>
      <c r="O715" s="37"/>
      <c r="P715" s="37"/>
      <c r="Q715" s="18">
        <v>4.5320000000000006E-2</v>
      </c>
      <c r="R715" s="18">
        <v>3.0900000000000003E-4</v>
      </c>
      <c r="S715" s="18">
        <v>8.6520000000000014E-2</v>
      </c>
      <c r="T715" s="18">
        <v>0.37080000000000002</v>
      </c>
      <c r="U715" s="18">
        <v>0.18540000000000001</v>
      </c>
      <c r="V715" s="18">
        <v>2.3731200000000001</v>
      </c>
      <c r="W715" s="18">
        <v>2.2248000000000001</v>
      </c>
      <c r="X715" s="18">
        <v>1.4832000000000001</v>
      </c>
      <c r="Y715" s="18">
        <v>6.5920000000000006E-2</v>
      </c>
      <c r="Z715" s="18">
        <v>0.29252</v>
      </c>
      <c r="AA715" s="18">
        <v>0.42848000000000003</v>
      </c>
      <c r="AB715" s="18">
        <v>0.7622000000000001</v>
      </c>
      <c r="AC715" s="18">
        <v>0.23484000000000002</v>
      </c>
      <c r="AD715" s="18">
        <v>1.2360000000000002</v>
      </c>
    </row>
    <row r="716" spans="2:30" x14ac:dyDescent="0.25">
      <c r="B716" t="s">
        <v>269</v>
      </c>
      <c r="C716" t="s">
        <v>105</v>
      </c>
      <c r="D716" t="s">
        <v>750</v>
      </c>
      <c r="E716" s="35">
        <v>0.9</v>
      </c>
      <c r="F716" s="35">
        <v>6.6</v>
      </c>
      <c r="G716" s="36">
        <v>3.0200000000000001E-3</v>
      </c>
      <c r="H716" s="18">
        <v>5.4352980000000004</v>
      </c>
      <c r="I716" s="16" t="s">
        <v>746</v>
      </c>
      <c r="J716" s="16"/>
      <c r="K716" s="16"/>
      <c r="L716" s="37"/>
      <c r="M716" s="37"/>
      <c r="N716" s="37"/>
      <c r="O716" s="37"/>
      <c r="P716" s="37"/>
      <c r="Q716" s="18">
        <v>3.322E-2</v>
      </c>
      <c r="R716" s="18">
        <v>2.265E-4</v>
      </c>
      <c r="S716" s="18">
        <v>6.3420000000000004E-2</v>
      </c>
      <c r="T716" s="18">
        <v>0.27179999999999999</v>
      </c>
      <c r="U716" s="18">
        <v>0.13589999999999999</v>
      </c>
      <c r="V716" s="18">
        <v>1.7395200000000002</v>
      </c>
      <c r="W716" s="18">
        <v>1.6308</v>
      </c>
      <c r="X716" s="18">
        <v>1.0871999999999999</v>
      </c>
      <c r="Y716" s="18">
        <v>4.8320000000000002E-2</v>
      </c>
      <c r="Z716" s="18">
        <v>0.21442</v>
      </c>
      <c r="AA716" s="18">
        <v>0.31408000000000003</v>
      </c>
      <c r="AB716" s="18">
        <v>0.55869999999999997</v>
      </c>
      <c r="AC716" s="18">
        <v>0.17214000000000002</v>
      </c>
      <c r="AD716" s="18">
        <v>0.90600000000000003</v>
      </c>
    </row>
    <row r="717" spans="2:30" x14ac:dyDescent="0.25">
      <c r="B717" t="s">
        <v>269</v>
      </c>
      <c r="C717" t="s">
        <v>326</v>
      </c>
      <c r="D717" t="s">
        <v>750</v>
      </c>
      <c r="E717" s="35">
        <v>0.9</v>
      </c>
      <c r="F717" s="35">
        <v>6.6</v>
      </c>
      <c r="G717" s="36">
        <v>3.0200000000000001E-3</v>
      </c>
      <c r="H717" s="18">
        <v>5.4352980000000004</v>
      </c>
      <c r="I717" s="16" t="s">
        <v>746</v>
      </c>
      <c r="J717" s="16"/>
      <c r="K717" s="16"/>
      <c r="L717" s="37"/>
      <c r="M717" s="37"/>
      <c r="N717" s="37"/>
      <c r="O717" s="37"/>
      <c r="P717" s="37"/>
      <c r="Q717" s="18">
        <v>3.322E-2</v>
      </c>
      <c r="R717" s="18">
        <v>2.265E-4</v>
      </c>
      <c r="S717" s="18">
        <v>6.3420000000000004E-2</v>
      </c>
      <c r="T717" s="18">
        <v>0.27179999999999999</v>
      </c>
      <c r="U717" s="18">
        <v>0.13589999999999999</v>
      </c>
      <c r="V717" s="18">
        <v>1.7395200000000002</v>
      </c>
      <c r="W717" s="18">
        <v>1.6308</v>
      </c>
      <c r="X717" s="18">
        <v>1.0871999999999999</v>
      </c>
      <c r="Y717" s="18">
        <v>4.8320000000000002E-2</v>
      </c>
      <c r="Z717" s="18">
        <v>0.21442</v>
      </c>
      <c r="AA717" s="18">
        <v>0.31408000000000003</v>
      </c>
      <c r="AB717" s="18">
        <v>0.55869999999999997</v>
      </c>
      <c r="AC717" s="18">
        <v>0.17214000000000002</v>
      </c>
      <c r="AD717" s="18">
        <v>0.90600000000000003</v>
      </c>
    </row>
    <row r="718" spans="2:30" x14ac:dyDescent="0.25">
      <c r="B718" t="s">
        <v>269</v>
      </c>
      <c r="C718" t="s">
        <v>326</v>
      </c>
      <c r="D718" t="s">
        <v>753</v>
      </c>
      <c r="E718" s="35">
        <v>0.9</v>
      </c>
      <c r="F718" s="35">
        <v>6.6</v>
      </c>
      <c r="G718" s="36">
        <v>5.77E-3</v>
      </c>
      <c r="H718" s="18">
        <v>10.385298000000001</v>
      </c>
      <c r="I718" s="16" t="s">
        <v>746</v>
      </c>
      <c r="J718" s="16"/>
      <c r="K718" s="16"/>
      <c r="L718" s="37"/>
      <c r="M718" s="37"/>
      <c r="N718" s="37"/>
      <c r="O718" s="37"/>
      <c r="P718" s="37"/>
      <c r="Q718" s="18">
        <v>6.3469999999999999E-2</v>
      </c>
      <c r="R718" s="18">
        <v>4.3274999999999997E-4</v>
      </c>
      <c r="S718" s="18">
        <v>0.12117</v>
      </c>
      <c r="T718" s="18">
        <v>0.51929999999999998</v>
      </c>
      <c r="U718" s="18">
        <v>0.25964999999999999</v>
      </c>
      <c r="V718" s="18">
        <v>3.3235199999999998</v>
      </c>
      <c r="W718" s="18">
        <v>3.1158000000000001</v>
      </c>
      <c r="X718" s="18">
        <v>2.0771999999999999</v>
      </c>
      <c r="Y718" s="18">
        <v>9.2319999999999999E-2</v>
      </c>
      <c r="Z718" s="18">
        <v>0.40966999999999998</v>
      </c>
      <c r="AA718" s="18">
        <v>0.60007999999999995</v>
      </c>
      <c r="AB718" s="18">
        <v>1.06745</v>
      </c>
      <c r="AC718" s="18">
        <v>0.32889000000000002</v>
      </c>
      <c r="AD718" s="18">
        <v>1.7310000000000001</v>
      </c>
    </row>
    <row r="719" spans="2:30" x14ac:dyDescent="0.25">
      <c r="B719" t="s">
        <v>269</v>
      </c>
      <c r="C719" t="s">
        <v>326</v>
      </c>
      <c r="D719" t="s">
        <v>753</v>
      </c>
      <c r="E719" s="35">
        <v>0.9</v>
      </c>
      <c r="F719" s="35">
        <v>6.6</v>
      </c>
      <c r="G719" s="36">
        <v>5.77E-3</v>
      </c>
      <c r="H719" s="18">
        <v>10.385298000000001</v>
      </c>
      <c r="I719" s="16" t="s">
        <v>746</v>
      </c>
      <c r="J719" s="16"/>
      <c r="K719" s="16"/>
      <c r="L719" s="37"/>
      <c r="M719" s="37"/>
      <c r="N719" s="37"/>
      <c r="O719" s="37"/>
      <c r="P719" s="37"/>
      <c r="Q719" s="18">
        <v>6.3469999999999999E-2</v>
      </c>
      <c r="R719" s="18">
        <v>4.3274999999999997E-4</v>
      </c>
      <c r="S719" s="18">
        <v>0.12117</v>
      </c>
      <c r="T719" s="18">
        <v>0.51929999999999998</v>
      </c>
      <c r="U719" s="18">
        <v>0.25964999999999999</v>
      </c>
      <c r="V719" s="18">
        <v>3.3235199999999998</v>
      </c>
      <c r="W719" s="18">
        <v>3.1158000000000001</v>
      </c>
      <c r="X719" s="18">
        <v>2.0771999999999999</v>
      </c>
      <c r="Y719" s="18">
        <v>9.2319999999999999E-2</v>
      </c>
      <c r="Z719" s="18">
        <v>0.40966999999999998</v>
      </c>
      <c r="AA719" s="18">
        <v>0.60007999999999995</v>
      </c>
      <c r="AB719" s="18">
        <v>1.06745</v>
      </c>
      <c r="AC719" s="18">
        <v>0.32889000000000002</v>
      </c>
      <c r="AD719" s="18">
        <v>1.7310000000000001</v>
      </c>
    </row>
    <row r="720" spans="2:30" x14ac:dyDescent="0.25">
      <c r="B720" t="s">
        <v>269</v>
      </c>
      <c r="C720" t="s">
        <v>326</v>
      </c>
      <c r="D720" t="s">
        <v>750</v>
      </c>
      <c r="E720" s="35">
        <v>0.9</v>
      </c>
      <c r="F720" s="35">
        <v>6.6</v>
      </c>
      <c r="G720" s="36">
        <v>3.0200000000000001E-3</v>
      </c>
      <c r="H720" s="18">
        <v>5.4352980000000004</v>
      </c>
      <c r="I720" s="16" t="s">
        <v>746</v>
      </c>
      <c r="J720" s="16"/>
      <c r="K720" s="16"/>
      <c r="L720" s="37"/>
      <c r="M720" s="37"/>
      <c r="N720" s="37"/>
      <c r="O720" s="37"/>
      <c r="P720" s="37"/>
      <c r="Q720" s="18">
        <v>3.322E-2</v>
      </c>
      <c r="R720" s="18">
        <v>2.265E-4</v>
      </c>
      <c r="S720" s="18">
        <v>6.3420000000000004E-2</v>
      </c>
      <c r="T720" s="18">
        <v>0.27179999999999999</v>
      </c>
      <c r="U720" s="18">
        <v>0.13589999999999999</v>
      </c>
      <c r="V720" s="18">
        <v>1.7395200000000002</v>
      </c>
      <c r="W720" s="18">
        <v>1.6308</v>
      </c>
      <c r="X720" s="18">
        <v>1.0871999999999999</v>
      </c>
      <c r="Y720" s="18">
        <v>4.8320000000000002E-2</v>
      </c>
      <c r="Z720" s="18">
        <v>0.21442</v>
      </c>
      <c r="AA720" s="18">
        <v>0.31408000000000003</v>
      </c>
      <c r="AB720" s="18">
        <v>0.55869999999999997</v>
      </c>
      <c r="AC720" s="18">
        <v>0.17214000000000002</v>
      </c>
      <c r="AD720" s="18">
        <v>0.90600000000000003</v>
      </c>
    </row>
    <row r="721" spans="2:30" x14ac:dyDescent="0.25">
      <c r="B721" t="s">
        <v>269</v>
      </c>
      <c r="C721" t="s">
        <v>326</v>
      </c>
      <c r="D721" t="s">
        <v>750</v>
      </c>
      <c r="E721" s="35">
        <v>0.9</v>
      </c>
      <c r="F721" s="35">
        <v>6.6</v>
      </c>
      <c r="G721" s="36">
        <v>3.0200000000000001E-3</v>
      </c>
      <c r="H721" s="18">
        <v>5.4352980000000004</v>
      </c>
      <c r="I721" s="16" t="s">
        <v>746</v>
      </c>
      <c r="J721" s="16"/>
      <c r="K721" s="16"/>
      <c r="L721" s="37"/>
      <c r="M721" s="37"/>
      <c r="N721" s="37"/>
      <c r="O721" s="37"/>
      <c r="P721" s="37"/>
      <c r="Q721" s="18">
        <v>3.322E-2</v>
      </c>
      <c r="R721" s="18">
        <v>2.265E-4</v>
      </c>
      <c r="S721" s="18">
        <v>6.3420000000000004E-2</v>
      </c>
      <c r="T721" s="18">
        <v>0.27179999999999999</v>
      </c>
      <c r="U721" s="18">
        <v>0.13589999999999999</v>
      </c>
      <c r="V721" s="18">
        <v>1.7395200000000002</v>
      </c>
      <c r="W721" s="18">
        <v>1.6308</v>
      </c>
      <c r="X721" s="18">
        <v>1.0871999999999999</v>
      </c>
      <c r="Y721" s="18">
        <v>4.8320000000000002E-2</v>
      </c>
      <c r="Z721" s="18">
        <v>0.21442</v>
      </c>
      <c r="AA721" s="18">
        <v>0.31408000000000003</v>
      </c>
      <c r="AB721" s="18">
        <v>0.55869999999999997</v>
      </c>
      <c r="AC721" s="18">
        <v>0.17214000000000002</v>
      </c>
      <c r="AD721" s="18">
        <v>0.90600000000000003</v>
      </c>
    </row>
    <row r="722" spans="2:30" x14ac:dyDescent="0.25">
      <c r="B722" t="s">
        <v>269</v>
      </c>
      <c r="C722" t="s">
        <v>326</v>
      </c>
      <c r="D722" t="s">
        <v>750</v>
      </c>
      <c r="E722" s="35">
        <v>0.9</v>
      </c>
      <c r="F722" s="35">
        <v>6.6</v>
      </c>
      <c r="G722" s="36">
        <v>3.0200000000000001E-3</v>
      </c>
      <c r="H722" s="18">
        <v>5.4352980000000004</v>
      </c>
      <c r="I722" s="16" t="s">
        <v>746</v>
      </c>
      <c r="J722" s="16"/>
      <c r="K722" s="16"/>
      <c r="L722" s="37"/>
      <c r="M722" s="37"/>
      <c r="N722" s="37"/>
      <c r="O722" s="37"/>
      <c r="P722" s="37"/>
      <c r="Q722" s="18">
        <v>3.322E-2</v>
      </c>
      <c r="R722" s="18">
        <v>2.265E-4</v>
      </c>
      <c r="S722" s="18">
        <v>6.3420000000000004E-2</v>
      </c>
      <c r="T722" s="18">
        <v>0.27179999999999999</v>
      </c>
      <c r="U722" s="18">
        <v>0.13589999999999999</v>
      </c>
      <c r="V722" s="18">
        <v>1.7395200000000002</v>
      </c>
      <c r="W722" s="18">
        <v>1.6308</v>
      </c>
      <c r="X722" s="18">
        <v>1.0871999999999999</v>
      </c>
      <c r="Y722" s="18">
        <v>4.8320000000000002E-2</v>
      </c>
      <c r="Z722" s="18">
        <v>0.21442</v>
      </c>
      <c r="AA722" s="18">
        <v>0.31408000000000003</v>
      </c>
      <c r="AB722" s="18">
        <v>0.55869999999999997</v>
      </c>
      <c r="AC722" s="18">
        <v>0.17214000000000002</v>
      </c>
      <c r="AD722" s="18">
        <v>0.90600000000000003</v>
      </c>
    </row>
    <row r="723" spans="2:30" x14ac:dyDescent="0.25">
      <c r="B723" t="s">
        <v>269</v>
      </c>
      <c r="C723" t="s">
        <v>326</v>
      </c>
      <c r="D723" t="s">
        <v>748</v>
      </c>
      <c r="E723" s="35">
        <v>0.9</v>
      </c>
      <c r="F723" s="35">
        <v>6.6</v>
      </c>
      <c r="G723" s="36">
        <v>4.1200000000000004E-3</v>
      </c>
      <c r="H723" s="18">
        <v>7.4152979999999999</v>
      </c>
      <c r="I723" s="16" t="s">
        <v>746</v>
      </c>
      <c r="J723" s="16"/>
      <c r="K723" s="16"/>
      <c r="L723" s="37"/>
      <c r="M723" s="37"/>
      <c r="N723" s="37"/>
      <c r="O723" s="37"/>
      <c r="P723" s="37"/>
      <c r="Q723" s="18">
        <v>4.5320000000000006E-2</v>
      </c>
      <c r="R723" s="18">
        <v>3.0900000000000003E-4</v>
      </c>
      <c r="S723" s="18">
        <v>8.6520000000000014E-2</v>
      </c>
      <c r="T723" s="18">
        <v>0.37080000000000002</v>
      </c>
      <c r="U723" s="18">
        <v>0.18540000000000001</v>
      </c>
      <c r="V723" s="18">
        <v>2.3731200000000001</v>
      </c>
      <c r="W723" s="18">
        <v>2.2248000000000001</v>
      </c>
      <c r="X723" s="18">
        <v>1.4832000000000001</v>
      </c>
      <c r="Y723" s="18">
        <v>6.5920000000000006E-2</v>
      </c>
      <c r="Z723" s="18">
        <v>0.29252</v>
      </c>
      <c r="AA723" s="18">
        <v>0.42848000000000003</v>
      </c>
      <c r="AB723" s="18">
        <v>0.7622000000000001</v>
      </c>
      <c r="AC723" s="18">
        <v>0.23484000000000002</v>
      </c>
      <c r="AD723" s="18">
        <v>1.2360000000000002</v>
      </c>
    </row>
    <row r="724" spans="2:30" x14ac:dyDescent="0.25">
      <c r="B724" t="s">
        <v>269</v>
      </c>
      <c r="C724" t="s">
        <v>326</v>
      </c>
      <c r="D724" t="s">
        <v>747</v>
      </c>
      <c r="E724" s="35">
        <v>0.9</v>
      </c>
      <c r="F724" s="35">
        <v>6.6</v>
      </c>
      <c r="G724" s="36">
        <v>4.9449999999999997E-3</v>
      </c>
      <c r="H724" s="18">
        <v>8.9002979999999994</v>
      </c>
      <c r="I724" s="16" t="s">
        <v>746</v>
      </c>
      <c r="J724" s="16"/>
      <c r="K724" s="16"/>
      <c r="L724" s="37"/>
      <c r="M724" s="37"/>
      <c r="N724" s="37"/>
      <c r="O724" s="37"/>
      <c r="P724" s="37"/>
      <c r="Q724" s="18">
        <v>5.4394999999999999E-2</v>
      </c>
      <c r="R724" s="18">
        <v>3.7087499999999995E-4</v>
      </c>
      <c r="S724" s="18">
        <v>0.10384499999999999</v>
      </c>
      <c r="T724" s="18">
        <v>0.44505</v>
      </c>
      <c r="U724" s="18">
        <v>0.222525</v>
      </c>
      <c r="V724" s="18">
        <v>2.8483199999999997</v>
      </c>
      <c r="W724" s="18">
        <v>2.6702999999999997</v>
      </c>
      <c r="X724" s="18">
        <v>1.7802</v>
      </c>
      <c r="Y724" s="18">
        <v>7.9119999999999996E-2</v>
      </c>
      <c r="Z724" s="18">
        <v>0.35109499999999999</v>
      </c>
      <c r="AA724" s="18">
        <v>0.51427999999999996</v>
      </c>
      <c r="AB724" s="18">
        <v>0.914825</v>
      </c>
      <c r="AC724" s="18">
        <v>0.28186499999999998</v>
      </c>
      <c r="AD724" s="18">
        <v>1.4834999999999998</v>
      </c>
    </row>
    <row r="725" spans="2:30" x14ac:dyDescent="0.25">
      <c r="B725" t="s">
        <v>269</v>
      </c>
      <c r="C725" t="s">
        <v>326</v>
      </c>
      <c r="D725" t="s">
        <v>748</v>
      </c>
      <c r="E725" s="35">
        <v>0.9</v>
      </c>
      <c r="F725" s="35">
        <v>6.6</v>
      </c>
      <c r="G725" s="36">
        <v>4.1200000000000004E-3</v>
      </c>
      <c r="H725" s="18">
        <v>7.4152979999999999</v>
      </c>
      <c r="I725" s="16" t="s">
        <v>746</v>
      </c>
      <c r="J725" s="16"/>
      <c r="K725" s="16"/>
      <c r="L725" s="37"/>
      <c r="M725" s="37"/>
      <c r="N725" s="37"/>
      <c r="O725" s="37"/>
      <c r="P725" s="37"/>
      <c r="Q725" s="18">
        <v>4.5320000000000006E-2</v>
      </c>
      <c r="R725" s="18">
        <v>3.0900000000000003E-4</v>
      </c>
      <c r="S725" s="18">
        <v>8.6520000000000014E-2</v>
      </c>
      <c r="T725" s="18">
        <v>0.37080000000000002</v>
      </c>
      <c r="U725" s="18">
        <v>0.18540000000000001</v>
      </c>
      <c r="V725" s="18">
        <v>2.3731200000000001</v>
      </c>
      <c r="W725" s="18">
        <v>2.2248000000000001</v>
      </c>
      <c r="X725" s="18">
        <v>1.4832000000000001</v>
      </c>
      <c r="Y725" s="18">
        <v>6.5920000000000006E-2</v>
      </c>
      <c r="Z725" s="18">
        <v>0.29252</v>
      </c>
      <c r="AA725" s="18">
        <v>0.42848000000000003</v>
      </c>
      <c r="AB725" s="18">
        <v>0.7622000000000001</v>
      </c>
      <c r="AC725" s="18">
        <v>0.23484000000000002</v>
      </c>
      <c r="AD725" s="18">
        <v>1.2360000000000002</v>
      </c>
    </row>
    <row r="726" spans="2:30" x14ac:dyDescent="0.25">
      <c r="B726" t="s">
        <v>269</v>
      </c>
      <c r="C726" t="s">
        <v>326</v>
      </c>
      <c r="D726" t="s">
        <v>748</v>
      </c>
      <c r="E726" s="35">
        <v>0.9</v>
      </c>
      <c r="F726" s="35">
        <v>6.6</v>
      </c>
      <c r="G726" s="36">
        <v>4.1200000000000004E-3</v>
      </c>
      <c r="H726" s="18">
        <v>7.4152979999999999</v>
      </c>
      <c r="I726" s="16" t="s">
        <v>746</v>
      </c>
      <c r="J726" s="16"/>
      <c r="K726" s="16"/>
      <c r="L726" s="37"/>
      <c r="M726" s="37"/>
      <c r="N726" s="37"/>
      <c r="O726" s="37"/>
      <c r="P726" s="37"/>
      <c r="Q726" s="18">
        <v>4.5320000000000006E-2</v>
      </c>
      <c r="R726" s="18">
        <v>3.0900000000000003E-4</v>
      </c>
      <c r="S726" s="18">
        <v>8.6520000000000014E-2</v>
      </c>
      <c r="T726" s="18">
        <v>0.37080000000000002</v>
      </c>
      <c r="U726" s="18">
        <v>0.18540000000000001</v>
      </c>
      <c r="V726" s="18">
        <v>2.3731200000000001</v>
      </c>
      <c r="W726" s="18">
        <v>2.2248000000000001</v>
      </c>
      <c r="X726" s="18">
        <v>1.4832000000000001</v>
      </c>
      <c r="Y726" s="18">
        <v>6.5920000000000006E-2</v>
      </c>
      <c r="Z726" s="18">
        <v>0.29252</v>
      </c>
      <c r="AA726" s="18">
        <v>0.42848000000000003</v>
      </c>
      <c r="AB726" s="18">
        <v>0.7622000000000001</v>
      </c>
      <c r="AC726" s="18">
        <v>0.23484000000000002</v>
      </c>
      <c r="AD726" s="18">
        <v>1.2360000000000002</v>
      </c>
    </row>
    <row r="727" spans="2:30" x14ac:dyDescent="0.25">
      <c r="B727" t="s">
        <v>269</v>
      </c>
      <c r="C727" t="s">
        <v>326</v>
      </c>
      <c r="D727" t="s">
        <v>748</v>
      </c>
      <c r="E727" s="35">
        <v>0.9</v>
      </c>
      <c r="F727" s="35">
        <v>6.6</v>
      </c>
      <c r="G727" s="36">
        <v>4.1200000000000004E-3</v>
      </c>
      <c r="H727" s="18">
        <v>7.4152979999999999</v>
      </c>
      <c r="I727" s="16" t="s">
        <v>746</v>
      </c>
      <c r="J727" s="16"/>
      <c r="K727" s="16"/>
      <c r="L727" s="37"/>
      <c r="M727" s="37"/>
      <c r="N727" s="37"/>
      <c r="O727" s="37"/>
      <c r="P727" s="37"/>
      <c r="Q727" s="18">
        <v>4.5320000000000006E-2</v>
      </c>
      <c r="R727" s="18">
        <v>3.0900000000000003E-4</v>
      </c>
      <c r="S727" s="18">
        <v>8.6520000000000014E-2</v>
      </c>
      <c r="T727" s="18">
        <v>0.37080000000000002</v>
      </c>
      <c r="U727" s="18">
        <v>0.18540000000000001</v>
      </c>
      <c r="V727" s="18">
        <v>2.3731200000000001</v>
      </c>
      <c r="W727" s="18">
        <v>2.2248000000000001</v>
      </c>
      <c r="X727" s="18">
        <v>1.4832000000000001</v>
      </c>
      <c r="Y727" s="18">
        <v>6.5920000000000006E-2</v>
      </c>
      <c r="Z727" s="18">
        <v>0.29252</v>
      </c>
      <c r="AA727" s="18">
        <v>0.42848000000000003</v>
      </c>
      <c r="AB727" s="18">
        <v>0.7622000000000001</v>
      </c>
      <c r="AC727" s="18">
        <v>0.23484000000000002</v>
      </c>
      <c r="AD727" s="18">
        <v>1.2360000000000002</v>
      </c>
    </row>
    <row r="728" spans="2:30" x14ac:dyDescent="0.25">
      <c r="B728" t="s">
        <v>269</v>
      </c>
      <c r="C728" t="s">
        <v>326</v>
      </c>
      <c r="D728" t="s">
        <v>748</v>
      </c>
      <c r="E728" s="35">
        <v>0.9</v>
      </c>
      <c r="F728" s="35">
        <v>6.6</v>
      </c>
      <c r="G728" s="36">
        <v>4.1200000000000004E-3</v>
      </c>
      <c r="H728" s="18">
        <v>7.4152979999999999</v>
      </c>
      <c r="I728" s="16" t="s">
        <v>746</v>
      </c>
      <c r="J728" s="16"/>
      <c r="K728" s="16"/>
      <c r="L728" s="37"/>
      <c r="M728" s="37"/>
      <c r="N728" s="37"/>
      <c r="O728" s="37"/>
      <c r="P728" s="37"/>
      <c r="Q728" s="18">
        <v>4.5320000000000006E-2</v>
      </c>
      <c r="R728" s="18">
        <v>3.0900000000000003E-4</v>
      </c>
      <c r="S728" s="18">
        <v>8.6520000000000014E-2</v>
      </c>
      <c r="T728" s="18">
        <v>0.37080000000000002</v>
      </c>
      <c r="U728" s="18">
        <v>0.18540000000000001</v>
      </c>
      <c r="V728" s="18">
        <v>2.3731200000000001</v>
      </c>
      <c r="W728" s="18">
        <v>2.2248000000000001</v>
      </c>
      <c r="X728" s="18">
        <v>1.4832000000000001</v>
      </c>
      <c r="Y728" s="18">
        <v>6.5920000000000006E-2</v>
      </c>
      <c r="Z728" s="18">
        <v>0.29252</v>
      </c>
      <c r="AA728" s="18">
        <v>0.42848000000000003</v>
      </c>
      <c r="AB728" s="18">
        <v>0.7622000000000001</v>
      </c>
      <c r="AC728" s="18">
        <v>0.23484000000000002</v>
      </c>
      <c r="AD728" s="18">
        <v>1.2360000000000002</v>
      </c>
    </row>
    <row r="729" spans="2:30" x14ac:dyDescent="0.25">
      <c r="B729" t="s">
        <v>269</v>
      </c>
      <c r="C729" t="s">
        <v>326</v>
      </c>
      <c r="D729" t="s">
        <v>747</v>
      </c>
      <c r="E729" s="35">
        <v>0.9</v>
      </c>
      <c r="F729" s="35">
        <v>6.6</v>
      </c>
      <c r="G729" s="36">
        <v>4.9449999999999997E-3</v>
      </c>
      <c r="H729" s="18">
        <v>8.9002979999999994</v>
      </c>
      <c r="I729" s="16" t="s">
        <v>746</v>
      </c>
      <c r="J729" s="16"/>
      <c r="K729" s="16"/>
      <c r="L729" s="37"/>
      <c r="M729" s="37"/>
      <c r="N729" s="37"/>
      <c r="O729" s="37"/>
      <c r="P729" s="37"/>
      <c r="Q729" s="18">
        <v>5.4394999999999999E-2</v>
      </c>
      <c r="R729" s="18">
        <v>3.7087499999999995E-4</v>
      </c>
      <c r="S729" s="18">
        <v>0.10384499999999999</v>
      </c>
      <c r="T729" s="18">
        <v>0.44505</v>
      </c>
      <c r="U729" s="18">
        <v>0.222525</v>
      </c>
      <c r="V729" s="18">
        <v>2.8483199999999997</v>
      </c>
      <c r="W729" s="18">
        <v>2.6702999999999997</v>
      </c>
      <c r="X729" s="18">
        <v>1.7802</v>
      </c>
      <c r="Y729" s="18">
        <v>7.9119999999999996E-2</v>
      </c>
      <c r="Z729" s="18">
        <v>0.35109499999999999</v>
      </c>
      <c r="AA729" s="18">
        <v>0.51427999999999996</v>
      </c>
      <c r="AB729" s="18">
        <v>0.914825</v>
      </c>
      <c r="AC729" s="18">
        <v>0.28186499999999998</v>
      </c>
      <c r="AD729" s="18">
        <v>1.4834999999999998</v>
      </c>
    </row>
    <row r="730" spans="2:30" x14ac:dyDescent="0.25">
      <c r="B730" t="s">
        <v>269</v>
      </c>
      <c r="C730" t="s">
        <v>326</v>
      </c>
      <c r="D730" t="s">
        <v>748</v>
      </c>
      <c r="E730" s="35">
        <v>0.9</v>
      </c>
      <c r="F730" s="35">
        <v>6.6</v>
      </c>
      <c r="G730" s="36">
        <v>4.1200000000000004E-3</v>
      </c>
      <c r="H730" s="18">
        <v>7.4152979999999999</v>
      </c>
      <c r="I730" s="16" t="s">
        <v>746</v>
      </c>
      <c r="J730" s="16"/>
      <c r="K730" s="16"/>
      <c r="L730" s="37"/>
      <c r="M730" s="37"/>
      <c r="N730" s="37"/>
      <c r="O730" s="37"/>
      <c r="P730" s="37"/>
      <c r="Q730" s="18">
        <v>4.5320000000000006E-2</v>
      </c>
      <c r="R730" s="18">
        <v>3.0900000000000003E-4</v>
      </c>
      <c r="S730" s="18">
        <v>8.6520000000000014E-2</v>
      </c>
      <c r="T730" s="18">
        <v>0.37080000000000002</v>
      </c>
      <c r="U730" s="18">
        <v>0.18540000000000001</v>
      </c>
      <c r="V730" s="18">
        <v>2.3731200000000001</v>
      </c>
      <c r="W730" s="18">
        <v>2.2248000000000001</v>
      </c>
      <c r="X730" s="18">
        <v>1.4832000000000001</v>
      </c>
      <c r="Y730" s="18">
        <v>6.5920000000000006E-2</v>
      </c>
      <c r="Z730" s="18">
        <v>0.29252</v>
      </c>
      <c r="AA730" s="18">
        <v>0.42848000000000003</v>
      </c>
      <c r="AB730" s="18">
        <v>0.7622000000000001</v>
      </c>
      <c r="AC730" s="18">
        <v>0.23484000000000002</v>
      </c>
      <c r="AD730" s="18">
        <v>1.2360000000000002</v>
      </c>
    </row>
    <row r="731" spans="2:30" x14ac:dyDescent="0.25">
      <c r="B731" t="s">
        <v>269</v>
      </c>
      <c r="C731" t="s">
        <v>326</v>
      </c>
      <c r="D731" t="s">
        <v>748</v>
      </c>
      <c r="E731" s="35">
        <v>0.9</v>
      </c>
      <c r="F731" s="35">
        <v>6.6</v>
      </c>
      <c r="G731" s="36">
        <v>4.1200000000000004E-3</v>
      </c>
      <c r="H731" s="18">
        <v>7.4152979999999999</v>
      </c>
      <c r="I731" s="16" t="s">
        <v>746</v>
      </c>
      <c r="J731" s="16"/>
      <c r="K731" s="16"/>
      <c r="L731" s="37"/>
      <c r="M731" s="37"/>
      <c r="N731" s="37"/>
      <c r="O731" s="37"/>
      <c r="P731" s="37"/>
      <c r="Q731" s="18">
        <v>4.5320000000000006E-2</v>
      </c>
      <c r="R731" s="18">
        <v>3.0900000000000003E-4</v>
      </c>
      <c r="S731" s="18">
        <v>8.6520000000000014E-2</v>
      </c>
      <c r="T731" s="18">
        <v>0.37080000000000002</v>
      </c>
      <c r="U731" s="18">
        <v>0.18540000000000001</v>
      </c>
      <c r="V731" s="18">
        <v>2.3731200000000001</v>
      </c>
      <c r="W731" s="18">
        <v>2.2248000000000001</v>
      </c>
      <c r="X731" s="18">
        <v>1.4832000000000001</v>
      </c>
      <c r="Y731" s="18">
        <v>6.5920000000000006E-2</v>
      </c>
      <c r="Z731" s="18">
        <v>0.29252</v>
      </c>
      <c r="AA731" s="18">
        <v>0.42848000000000003</v>
      </c>
      <c r="AB731" s="18">
        <v>0.7622000000000001</v>
      </c>
      <c r="AC731" s="18">
        <v>0.23484000000000002</v>
      </c>
      <c r="AD731" s="18">
        <v>1.2360000000000002</v>
      </c>
    </row>
    <row r="732" spans="2:30" x14ac:dyDescent="0.25">
      <c r="B732" t="s">
        <v>269</v>
      </c>
      <c r="C732" t="s">
        <v>326</v>
      </c>
      <c r="D732" t="s">
        <v>748</v>
      </c>
      <c r="E732" s="35">
        <v>0.9</v>
      </c>
      <c r="F732" s="35">
        <v>6.6</v>
      </c>
      <c r="G732" s="36">
        <v>4.1200000000000004E-3</v>
      </c>
      <c r="H732" s="18">
        <v>7.4152979999999999</v>
      </c>
      <c r="I732" s="16" t="s">
        <v>746</v>
      </c>
      <c r="J732" s="16"/>
      <c r="K732" s="16"/>
      <c r="L732" s="37"/>
      <c r="M732" s="37"/>
      <c r="N732" s="37"/>
      <c r="O732" s="37"/>
      <c r="P732" s="37"/>
      <c r="Q732" s="18">
        <v>4.5320000000000006E-2</v>
      </c>
      <c r="R732" s="18">
        <v>3.0900000000000003E-4</v>
      </c>
      <c r="S732" s="18">
        <v>8.6520000000000014E-2</v>
      </c>
      <c r="T732" s="18">
        <v>0.37080000000000002</v>
      </c>
      <c r="U732" s="18">
        <v>0.18540000000000001</v>
      </c>
      <c r="V732" s="18">
        <v>2.3731200000000001</v>
      </c>
      <c r="W732" s="18">
        <v>2.2248000000000001</v>
      </c>
      <c r="X732" s="18">
        <v>1.4832000000000001</v>
      </c>
      <c r="Y732" s="18">
        <v>6.5920000000000006E-2</v>
      </c>
      <c r="Z732" s="18">
        <v>0.29252</v>
      </c>
      <c r="AA732" s="18">
        <v>0.42848000000000003</v>
      </c>
      <c r="AB732" s="18">
        <v>0.7622000000000001</v>
      </c>
      <c r="AC732" s="18">
        <v>0.23484000000000002</v>
      </c>
      <c r="AD732" s="18">
        <v>1.2360000000000002</v>
      </c>
    </row>
    <row r="733" spans="2:30" x14ac:dyDescent="0.25">
      <c r="B733" t="s">
        <v>269</v>
      </c>
      <c r="C733" t="s">
        <v>326</v>
      </c>
      <c r="D733" t="s">
        <v>748</v>
      </c>
      <c r="E733" s="35">
        <v>0.9</v>
      </c>
      <c r="F733" s="35">
        <v>6.6</v>
      </c>
      <c r="G733" s="36">
        <v>4.1200000000000004E-3</v>
      </c>
      <c r="H733" s="18">
        <v>7.4152979999999999</v>
      </c>
      <c r="I733" s="16" t="s">
        <v>746</v>
      </c>
      <c r="J733" s="16"/>
      <c r="K733" s="16"/>
      <c r="L733" s="37"/>
      <c r="M733" s="37"/>
      <c r="N733" s="37"/>
      <c r="O733" s="37"/>
      <c r="P733" s="37"/>
      <c r="Q733" s="18">
        <v>4.5320000000000006E-2</v>
      </c>
      <c r="R733" s="18">
        <v>3.0900000000000003E-4</v>
      </c>
      <c r="S733" s="18">
        <v>8.6520000000000014E-2</v>
      </c>
      <c r="T733" s="18">
        <v>0.37080000000000002</v>
      </c>
      <c r="U733" s="18">
        <v>0.18540000000000001</v>
      </c>
      <c r="V733" s="18">
        <v>2.3731200000000001</v>
      </c>
      <c r="W733" s="18">
        <v>2.2248000000000001</v>
      </c>
      <c r="X733" s="18">
        <v>1.4832000000000001</v>
      </c>
      <c r="Y733" s="18">
        <v>6.5920000000000006E-2</v>
      </c>
      <c r="Z733" s="18">
        <v>0.29252</v>
      </c>
      <c r="AA733" s="18">
        <v>0.42848000000000003</v>
      </c>
      <c r="AB733" s="18">
        <v>0.7622000000000001</v>
      </c>
      <c r="AC733" s="18">
        <v>0.23484000000000002</v>
      </c>
      <c r="AD733" s="18">
        <v>1.2360000000000002</v>
      </c>
    </row>
    <row r="734" spans="2:30" x14ac:dyDescent="0.25">
      <c r="B734" t="s">
        <v>269</v>
      </c>
      <c r="C734" t="s">
        <v>326</v>
      </c>
      <c r="D734" t="s">
        <v>748</v>
      </c>
      <c r="E734" s="35">
        <v>0.9</v>
      </c>
      <c r="F734" s="35">
        <v>6.6</v>
      </c>
      <c r="G734" s="36">
        <v>4.1200000000000004E-3</v>
      </c>
      <c r="H734" s="18">
        <v>7.4152979999999999</v>
      </c>
      <c r="I734" s="16" t="s">
        <v>746</v>
      </c>
      <c r="J734" s="16"/>
      <c r="K734" s="16"/>
      <c r="L734" s="37"/>
      <c r="M734" s="37"/>
      <c r="N734" s="37"/>
      <c r="O734" s="37"/>
      <c r="P734" s="37"/>
      <c r="Q734" s="18">
        <v>4.5320000000000006E-2</v>
      </c>
      <c r="R734" s="18">
        <v>3.0900000000000003E-4</v>
      </c>
      <c r="S734" s="18">
        <v>8.6520000000000014E-2</v>
      </c>
      <c r="T734" s="18">
        <v>0.37080000000000002</v>
      </c>
      <c r="U734" s="18">
        <v>0.18540000000000001</v>
      </c>
      <c r="V734" s="18">
        <v>2.3731200000000001</v>
      </c>
      <c r="W734" s="18">
        <v>2.2248000000000001</v>
      </c>
      <c r="X734" s="18">
        <v>1.4832000000000001</v>
      </c>
      <c r="Y734" s="18">
        <v>6.5920000000000006E-2</v>
      </c>
      <c r="Z734" s="18">
        <v>0.29252</v>
      </c>
      <c r="AA734" s="18">
        <v>0.42848000000000003</v>
      </c>
      <c r="AB734" s="18">
        <v>0.7622000000000001</v>
      </c>
      <c r="AC734" s="18">
        <v>0.23484000000000002</v>
      </c>
      <c r="AD734" s="18">
        <v>1.2360000000000002</v>
      </c>
    </row>
    <row r="735" spans="2:30" x14ac:dyDescent="0.25">
      <c r="B735" t="s">
        <v>269</v>
      </c>
      <c r="C735" t="s">
        <v>326</v>
      </c>
      <c r="D735" t="s">
        <v>747</v>
      </c>
      <c r="E735" s="35">
        <v>0.9</v>
      </c>
      <c r="F735" s="35">
        <v>6.6</v>
      </c>
      <c r="G735" s="36">
        <v>4.9449999999999997E-3</v>
      </c>
      <c r="H735" s="18">
        <v>8.9002979999999994</v>
      </c>
      <c r="I735" s="16" t="s">
        <v>746</v>
      </c>
      <c r="J735" s="16"/>
      <c r="K735" s="16"/>
      <c r="L735" s="37"/>
      <c r="M735" s="37"/>
      <c r="N735" s="37"/>
      <c r="O735" s="37"/>
      <c r="P735" s="37"/>
      <c r="Q735" s="18">
        <v>5.4394999999999999E-2</v>
      </c>
      <c r="R735" s="18">
        <v>3.7087499999999995E-4</v>
      </c>
      <c r="S735" s="18">
        <v>0.10384499999999999</v>
      </c>
      <c r="T735" s="18">
        <v>0.44505</v>
      </c>
      <c r="U735" s="18">
        <v>0.222525</v>
      </c>
      <c r="V735" s="18">
        <v>2.8483199999999997</v>
      </c>
      <c r="W735" s="18">
        <v>2.6702999999999997</v>
      </c>
      <c r="X735" s="18">
        <v>1.7802</v>
      </c>
      <c r="Y735" s="18">
        <v>7.9119999999999996E-2</v>
      </c>
      <c r="Z735" s="18">
        <v>0.35109499999999999</v>
      </c>
      <c r="AA735" s="18">
        <v>0.51427999999999996</v>
      </c>
      <c r="AB735" s="18">
        <v>0.914825</v>
      </c>
      <c r="AC735" s="18">
        <v>0.28186499999999998</v>
      </c>
      <c r="AD735" s="18">
        <v>1.4834999999999998</v>
      </c>
    </row>
    <row r="736" spans="2:30" x14ac:dyDescent="0.25">
      <c r="B736" t="s">
        <v>269</v>
      </c>
      <c r="C736" t="s">
        <v>326</v>
      </c>
      <c r="D736" t="s">
        <v>748</v>
      </c>
      <c r="E736" s="35">
        <v>0.9</v>
      </c>
      <c r="F736" s="35">
        <v>6.6</v>
      </c>
      <c r="G736" s="36">
        <v>4.1200000000000004E-3</v>
      </c>
      <c r="H736" s="18">
        <v>7.4152979999999999</v>
      </c>
      <c r="I736" s="16" t="s">
        <v>746</v>
      </c>
      <c r="J736" s="16"/>
      <c r="K736" s="16"/>
      <c r="L736" s="37"/>
      <c r="M736" s="37"/>
      <c r="N736" s="37"/>
      <c r="O736" s="37"/>
      <c r="P736" s="37"/>
      <c r="Q736" s="18">
        <v>4.5320000000000006E-2</v>
      </c>
      <c r="R736" s="18">
        <v>3.0900000000000003E-4</v>
      </c>
      <c r="S736" s="18">
        <v>8.6520000000000014E-2</v>
      </c>
      <c r="T736" s="18">
        <v>0.37080000000000002</v>
      </c>
      <c r="U736" s="18">
        <v>0.18540000000000001</v>
      </c>
      <c r="V736" s="18">
        <v>2.3731200000000001</v>
      </c>
      <c r="W736" s="18">
        <v>2.2248000000000001</v>
      </c>
      <c r="X736" s="18">
        <v>1.4832000000000001</v>
      </c>
      <c r="Y736" s="18">
        <v>6.5920000000000006E-2</v>
      </c>
      <c r="Z736" s="18">
        <v>0.29252</v>
      </c>
      <c r="AA736" s="18">
        <v>0.42848000000000003</v>
      </c>
      <c r="AB736" s="18">
        <v>0.7622000000000001</v>
      </c>
      <c r="AC736" s="18">
        <v>0.23484000000000002</v>
      </c>
      <c r="AD736" s="18">
        <v>1.2360000000000002</v>
      </c>
    </row>
    <row r="737" spans="2:30" x14ac:dyDescent="0.25">
      <c r="B737" t="s">
        <v>269</v>
      </c>
      <c r="C737" t="s">
        <v>326</v>
      </c>
      <c r="D737" t="s">
        <v>748</v>
      </c>
      <c r="E737" s="35">
        <v>0.9</v>
      </c>
      <c r="F737" s="35">
        <v>6.6</v>
      </c>
      <c r="G737" s="36">
        <v>4.1200000000000004E-3</v>
      </c>
      <c r="H737" s="18">
        <v>7.4152979999999999</v>
      </c>
      <c r="I737" s="16" t="s">
        <v>746</v>
      </c>
      <c r="J737" s="16"/>
      <c r="K737" s="16"/>
      <c r="L737" s="37"/>
      <c r="M737" s="37"/>
      <c r="N737" s="37"/>
      <c r="O737" s="37"/>
      <c r="P737" s="37"/>
      <c r="Q737" s="18">
        <v>4.5320000000000006E-2</v>
      </c>
      <c r="R737" s="18">
        <v>3.0900000000000003E-4</v>
      </c>
      <c r="S737" s="18">
        <v>8.6520000000000014E-2</v>
      </c>
      <c r="T737" s="18">
        <v>0.37080000000000002</v>
      </c>
      <c r="U737" s="18">
        <v>0.18540000000000001</v>
      </c>
      <c r="V737" s="18">
        <v>2.3731200000000001</v>
      </c>
      <c r="W737" s="18">
        <v>2.2248000000000001</v>
      </c>
      <c r="X737" s="18">
        <v>1.4832000000000001</v>
      </c>
      <c r="Y737" s="18">
        <v>6.5920000000000006E-2</v>
      </c>
      <c r="Z737" s="18">
        <v>0.29252</v>
      </c>
      <c r="AA737" s="18">
        <v>0.42848000000000003</v>
      </c>
      <c r="AB737" s="18">
        <v>0.7622000000000001</v>
      </c>
      <c r="AC737" s="18">
        <v>0.23484000000000002</v>
      </c>
      <c r="AD737" s="18">
        <v>1.2360000000000002</v>
      </c>
    </row>
    <row r="738" spans="2:30" x14ac:dyDescent="0.25">
      <c r="B738" t="s">
        <v>269</v>
      </c>
      <c r="C738" t="s">
        <v>326</v>
      </c>
      <c r="D738" t="s">
        <v>748</v>
      </c>
      <c r="E738" s="35">
        <v>0.9</v>
      </c>
      <c r="F738" s="35">
        <v>6.6</v>
      </c>
      <c r="G738" s="36">
        <v>4.1200000000000004E-3</v>
      </c>
      <c r="H738" s="18">
        <v>7.4152979999999999</v>
      </c>
      <c r="I738" s="16" t="s">
        <v>746</v>
      </c>
      <c r="J738" s="16"/>
      <c r="K738" s="16"/>
      <c r="L738" s="37"/>
      <c r="M738" s="37"/>
      <c r="N738" s="37"/>
      <c r="O738" s="37"/>
      <c r="P738" s="37"/>
      <c r="Q738" s="18">
        <v>4.5320000000000006E-2</v>
      </c>
      <c r="R738" s="18">
        <v>3.0900000000000003E-4</v>
      </c>
      <c r="S738" s="18">
        <v>8.6520000000000014E-2</v>
      </c>
      <c r="T738" s="18">
        <v>0.37080000000000002</v>
      </c>
      <c r="U738" s="18">
        <v>0.18540000000000001</v>
      </c>
      <c r="V738" s="18">
        <v>2.3731200000000001</v>
      </c>
      <c r="W738" s="18">
        <v>2.2248000000000001</v>
      </c>
      <c r="X738" s="18">
        <v>1.4832000000000001</v>
      </c>
      <c r="Y738" s="18">
        <v>6.5920000000000006E-2</v>
      </c>
      <c r="Z738" s="18">
        <v>0.29252</v>
      </c>
      <c r="AA738" s="18">
        <v>0.42848000000000003</v>
      </c>
      <c r="AB738" s="18">
        <v>0.7622000000000001</v>
      </c>
      <c r="AC738" s="18">
        <v>0.23484000000000002</v>
      </c>
      <c r="AD738" s="18">
        <v>1.2360000000000002</v>
      </c>
    </row>
    <row r="739" spans="2:30" x14ac:dyDescent="0.25">
      <c r="B739" t="s">
        <v>269</v>
      </c>
      <c r="C739" t="s">
        <v>326</v>
      </c>
      <c r="D739" t="s">
        <v>748</v>
      </c>
      <c r="E739" s="35">
        <v>0.9</v>
      </c>
      <c r="F739" s="35">
        <v>6.6</v>
      </c>
      <c r="G739" s="36">
        <v>4.1200000000000004E-3</v>
      </c>
      <c r="H739" s="18">
        <v>7.4152979999999999</v>
      </c>
      <c r="I739" s="16" t="s">
        <v>746</v>
      </c>
      <c r="J739" s="16"/>
      <c r="K739" s="16"/>
      <c r="L739" s="37"/>
      <c r="M739" s="37"/>
      <c r="N739" s="37"/>
      <c r="O739" s="37"/>
      <c r="P739" s="37"/>
      <c r="Q739" s="18">
        <v>4.5320000000000006E-2</v>
      </c>
      <c r="R739" s="18">
        <v>3.0900000000000003E-4</v>
      </c>
      <c r="S739" s="18">
        <v>8.6520000000000014E-2</v>
      </c>
      <c r="T739" s="18">
        <v>0.37080000000000002</v>
      </c>
      <c r="U739" s="18">
        <v>0.18540000000000001</v>
      </c>
      <c r="V739" s="18">
        <v>2.3731200000000001</v>
      </c>
      <c r="W739" s="18">
        <v>2.2248000000000001</v>
      </c>
      <c r="X739" s="18">
        <v>1.4832000000000001</v>
      </c>
      <c r="Y739" s="18">
        <v>6.5920000000000006E-2</v>
      </c>
      <c r="Z739" s="18">
        <v>0.29252</v>
      </c>
      <c r="AA739" s="18">
        <v>0.42848000000000003</v>
      </c>
      <c r="AB739" s="18">
        <v>0.7622000000000001</v>
      </c>
      <c r="AC739" s="18">
        <v>0.23484000000000002</v>
      </c>
      <c r="AD739" s="18">
        <v>1.2360000000000002</v>
      </c>
    </row>
    <row r="740" spans="2:30" x14ac:dyDescent="0.25">
      <c r="B740" t="s">
        <v>269</v>
      </c>
      <c r="C740" t="s">
        <v>326</v>
      </c>
      <c r="D740" t="s">
        <v>747</v>
      </c>
      <c r="E740" s="35">
        <v>0.9</v>
      </c>
      <c r="F740" s="35">
        <v>6.6</v>
      </c>
      <c r="G740" s="36">
        <v>4.9449999999999997E-3</v>
      </c>
      <c r="H740" s="18">
        <v>8.9002979999999994</v>
      </c>
      <c r="I740" s="16" t="s">
        <v>746</v>
      </c>
      <c r="J740" s="16"/>
      <c r="K740" s="16"/>
      <c r="L740" s="37"/>
      <c r="M740" s="37"/>
      <c r="N740" s="37"/>
      <c r="O740" s="37"/>
      <c r="P740" s="37"/>
      <c r="Q740" s="18">
        <v>5.4394999999999999E-2</v>
      </c>
      <c r="R740" s="18">
        <v>3.7087499999999995E-4</v>
      </c>
      <c r="S740" s="18">
        <v>0.10384499999999999</v>
      </c>
      <c r="T740" s="18">
        <v>0.44505</v>
      </c>
      <c r="U740" s="18">
        <v>0.222525</v>
      </c>
      <c r="V740" s="18">
        <v>2.8483199999999997</v>
      </c>
      <c r="W740" s="18">
        <v>2.6702999999999997</v>
      </c>
      <c r="X740" s="18">
        <v>1.7802</v>
      </c>
      <c r="Y740" s="18">
        <v>7.9119999999999996E-2</v>
      </c>
      <c r="Z740" s="18">
        <v>0.35109499999999999</v>
      </c>
      <c r="AA740" s="18">
        <v>0.51427999999999996</v>
      </c>
      <c r="AB740" s="18">
        <v>0.914825</v>
      </c>
      <c r="AC740" s="18">
        <v>0.28186499999999998</v>
      </c>
      <c r="AD740" s="18">
        <v>1.4834999999999998</v>
      </c>
    </row>
    <row r="741" spans="2:30" x14ac:dyDescent="0.25">
      <c r="B741" t="s">
        <v>269</v>
      </c>
      <c r="C741" t="s">
        <v>326</v>
      </c>
      <c r="D741" t="s">
        <v>748</v>
      </c>
      <c r="E741" s="35">
        <v>0.9</v>
      </c>
      <c r="F741" s="35">
        <v>6.6</v>
      </c>
      <c r="G741" s="36">
        <v>4.1200000000000004E-3</v>
      </c>
      <c r="H741" s="18">
        <v>7.4152979999999999</v>
      </c>
      <c r="I741" s="16" t="s">
        <v>746</v>
      </c>
      <c r="J741" s="16"/>
      <c r="K741" s="16"/>
      <c r="L741" s="37"/>
      <c r="M741" s="37"/>
      <c r="N741" s="37"/>
      <c r="O741" s="37"/>
      <c r="P741" s="37"/>
      <c r="Q741" s="18">
        <v>4.5320000000000006E-2</v>
      </c>
      <c r="R741" s="18">
        <v>3.0900000000000003E-4</v>
      </c>
      <c r="S741" s="18">
        <v>8.6520000000000014E-2</v>
      </c>
      <c r="T741" s="18">
        <v>0.37080000000000002</v>
      </c>
      <c r="U741" s="18">
        <v>0.18540000000000001</v>
      </c>
      <c r="V741" s="18">
        <v>2.3731200000000001</v>
      </c>
      <c r="W741" s="18">
        <v>2.2248000000000001</v>
      </c>
      <c r="X741" s="18">
        <v>1.4832000000000001</v>
      </c>
      <c r="Y741" s="18">
        <v>6.5920000000000006E-2</v>
      </c>
      <c r="Z741" s="18">
        <v>0.29252</v>
      </c>
      <c r="AA741" s="18">
        <v>0.42848000000000003</v>
      </c>
      <c r="AB741" s="18">
        <v>0.7622000000000001</v>
      </c>
      <c r="AC741" s="18">
        <v>0.23484000000000002</v>
      </c>
      <c r="AD741" s="18">
        <v>1.2360000000000002</v>
      </c>
    </row>
    <row r="742" spans="2:30" x14ac:dyDescent="0.25">
      <c r="B742" t="s">
        <v>269</v>
      </c>
      <c r="C742" t="s">
        <v>326</v>
      </c>
      <c r="D742" t="s">
        <v>748</v>
      </c>
      <c r="E742" s="35">
        <v>0.9</v>
      </c>
      <c r="F742" s="35">
        <v>6.6</v>
      </c>
      <c r="G742" s="36">
        <v>4.1200000000000004E-3</v>
      </c>
      <c r="H742" s="18">
        <v>7.4152979999999999</v>
      </c>
      <c r="I742" s="16" t="s">
        <v>746</v>
      </c>
      <c r="J742" s="16"/>
      <c r="K742" s="16"/>
      <c r="L742" s="37"/>
      <c r="M742" s="37"/>
      <c r="N742" s="37"/>
      <c r="O742" s="37"/>
      <c r="P742" s="37"/>
      <c r="Q742" s="18">
        <v>4.5320000000000006E-2</v>
      </c>
      <c r="R742" s="18">
        <v>3.0900000000000003E-4</v>
      </c>
      <c r="S742" s="18">
        <v>8.6520000000000014E-2</v>
      </c>
      <c r="T742" s="18">
        <v>0.37080000000000002</v>
      </c>
      <c r="U742" s="18">
        <v>0.18540000000000001</v>
      </c>
      <c r="V742" s="18">
        <v>2.3731200000000001</v>
      </c>
      <c r="W742" s="18">
        <v>2.2248000000000001</v>
      </c>
      <c r="X742" s="18">
        <v>1.4832000000000001</v>
      </c>
      <c r="Y742" s="18">
        <v>6.5920000000000006E-2</v>
      </c>
      <c r="Z742" s="18">
        <v>0.29252</v>
      </c>
      <c r="AA742" s="18">
        <v>0.42848000000000003</v>
      </c>
      <c r="AB742" s="18">
        <v>0.7622000000000001</v>
      </c>
      <c r="AC742" s="18">
        <v>0.23484000000000002</v>
      </c>
      <c r="AD742" s="18">
        <v>1.2360000000000002</v>
      </c>
    </row>
    <row r="743" spans="2:30" x14ac:dyDescent="0.25">
      <c r="B743" t="s">
        <v>269</v>
      </c>
      <c r="C743" t="s">
        <v>326</v>
      </c>
      <c r="D743" t="s">
        <v>747</v>
      </c>
      <c r="E743" s="35">
        <v>0.9</v>
      </c>
      <c r="F743" s="35">
        <v>6.6</v>
      </c>
      <c r="G743" s="36">
        <v>4.9449999999999997E-3</v>
      </c>
      <c r="H743" s="18">
        <v>8.9002979999999994</v>
      </c>
      <c r="I743" s="16" t="s">
        <v>746</v>
      </c>
      <c r="J743" s="16"/>
      <c r="K743" s="16"/>
      <c r="L743" s="37"/>
      <c r="M743" s="37"/>
      <c r="N743" s="37"/>
      <c r="O743" s="37"/>
      <c r="P743" s="37"/>
      <c r="Q743" s="18">
        <v>5.4394999999999999E-2</v>
      </c>
      <c r="R743" s="18">
        <v>3.7087499999999995E-4</v>
      </c>
      <c r="S743" s="18">
        <v>0.10384499999999999</v>
      </c>
      <c r="T743" s="18">
        <v>0.44505</v>
      </c>
      <c r="U743" s="18">
        <v>0.222525</v>
      </c>
      <c r="V743" s="18">
        <v>2.8483199999999997</v>
      </c>
      <c r="W743" s="18">
        <v>2.6702999999999997</v>
      </c>
      <c r="X743" s="18">
        <v>1.7802</v>
      </c>
      <c r="Y743" s="18">
        <v>7.9119999999999996E-2</v>
      </c>
      <c r="Z743" s="18">
        <v>0.35109499999999999</v>
      </c>
      <c r="AA743" s="18">
        <v>0.51427999999999996</v>
      </c>
      <c r="AB743" s="18">
        <v>0.914825</v>
      </c>
      <c r="AC743" s="18">
        <v>0.28186499999999998</v>
      </c>
      <c r="AD743" s="18">
        <v>1.4834999999999998</v>
      </c>
    </row>
    <row r="744" spans="2:30" x14ac:dyDescent="0.25">
      <c r="B744" t="s">
        <v>269</v>
      </c>
      <c r="C744" t="s">
        <v>326</v>
      </c>
      <c r="D744" t="s">
        <v>750</v>
      </c>
      <c r="E744" s="35">
        <v>0.9</v>
      </c>
      <c r="F744" s="35">
        <v>6.6</v>
      </c>
      <c r="G744" s="36">
        <v>3.0200000000000001E-3</v>
      </c>
      <c r="H744" s="18">
        <v>5.4352980000000004</v>
      </c>
      <c r="I744" s="16" t="s">
        <v>746</v>
      </c>
      <c r="J744" s="16"/>
      <c r="K744" s="16"/>
      <c r="L744" s="37"/>
      <c r="M744" s="37"/>
      <c r="N744" s="37"/>
      <c r="O744" s="37"/>
      <c r="P744" s="37"/>
      <c r="Q744" s="18">
        <v>3.322E-2</v>
      </c>
      <c r="R744" s="18">
        <v>2.265E-4</v>
      </c>
      <c r="S744" s="18">
        <v>6.3420000000000004E-2</v>
      </c>
      <c r="T744" s="18">
        <v>0.27179999999999999</v>
      </c>
      <c r="U744" s="18">
        <v>0.13589999999999999</v>
      </c>
      <c r="V744" s="18">
        <v>1.7395200000000002</v>
      </c>
      <c r="W744" s="18">
        <v>1.6308</v>
      </c>
      <c r="X744" s="18">
        <v>1.0871999999999999</v>
      </c>
      <c r="Y744" s="18">
        <v>4.8320000000000002E-2</v>
      </c>
      <c r="Z744" s="18">
        <v>0.21442</v>
      </c>
      <c r="AA744" s="18">
        <v>0.31408000000000003</v>
      </c>
      <c r="AB744" s="18">
        <v>0.55869999999999997</v>
      </c>
      <c r="AC744" s="18">
        <v>0.17214000000000002</v>
      </c>
      <c r="AD744" s="18">
        <v>0.90600000000000003</v>
      </c>
    </row>
    <row r="745" spans="2:30" x14ac:dyDescent="0.25">
      <c r="B745" t="s">
        <v>269</v>
      </c>
      <c r="C745" t="s">
        <v>326</v>
      </c>
      <c r="D745" t="s">
        <v>750</v>
      </c>
      <c r="E745" s="35">
        <v>0.9</v>
      </c>
      <c r="F745" s="35">
        <v>6.6</v>
      </c>
      <c r="G745" s="36">
        <v>3.0200000000000001E-3</v>
      </c>
      <c r="H745" s="18">
        <v>5.4352980000000004</v>
      </c>
      <c r="I745" s="16" t="s">
        <v>746</v>
      </c>
      <c r="J745" s="16"/>
      <c r="K745" s="16"/>
      <c r="L745" s="37"/>
      <c r="M745" s="37"/>
      <c r="N745" s="37"/>
      <c r="O745" s="37"/>
      <c r="P745" s="37"/>
      <c r="Q745" s="18">
        <v>3.322E-2</v>
      </c>
      <c r="R745" s="18">
        <v>2.265E-4</v>
      </c>
      <c r="S745" s="18">
        <v>6.3420000000000004E-2</v>
      </c>
      <c r="T745" s="18">
        <v>0.27179999999999999</v>
      </c>
      <c r="U745" s="18">
        <v>0.13589999999999999</v>
      </c>
      <c r="V745" s="18">
        <v>1.7395200000000002</v>
      </c>
      <c r="W745" s="18">
        <v>1.6308</v>
      </c>
      <c r="X745" s="18">
        <v>1.0871999999999999</v>
      </c>
      <c r="Y745" s="18">
        <v>4.8320000000000002E-2</v>
      </c>
      <c r="Z745" s="18">
        <v>0.21442</v>
      </c>
      <c r="AA745" s="18">
        <v>0.31408000000000003</v>
      </c>
      <c r="AB745" s="18">
        <v>0.55869999999999997</v>
      </c>
      <c r="AC745" s="18">
        <v>0.17214000000000002</v>
      </c>
      <c r="AD745" s="18">
        <v>0.90600000000000003</v>
      </c>
    </row>
    <row r="746" spans="2:30" x14ac:dyDescent="0.25">
      <c r="B746" t="s">
        <v>269</v>
      </c>
      <c r="C746" t="s">
        <v>326</v>
      </c>
      <c r="D746" t="s">
        <v>752</v>
      </c>
      <c r="E746" s="35">
        <v>0.9</v>
      </c>
      <c r="F746" s="35">
        <v>6.6</v>
      </c>
      <c r="G746" s="36">
        <v>2.47E-3</v>
      </c>
      <c r="H746" s="18">
        <v>4.4452980000000002</v>
      </c>
      <c r="I746" s="16" t="s">
        <v>746</v>
      </c>
      <c r="J746" s="16"/>
      <c r="K746" s="16"/>
      <c r="L746" s="37"/>
      <c r="M746" s="37"/>
      <c r="N746" s="37"/>
      <c r="O746" s="37"/>
      <c r="P746" s="37"/>
      <c r="Q746" s="18">
        <v>2.717E-2</v>
      </c>
      <c r="R746" s="18">
        <v>1.8525E-4</v>
      </c>
      <c r="S746" s="18">
        <v>5.1869999999999999E-2</v>
      </c>
      <c r="T746" s="18">
        <v>0.2223</v>
      </c>
      <c r="U746" s="18">
        <v>0.11115</v>
      </c>
      <c r="V746" s="18">
        <v>1.42272</v>
      </c>
      <c r="W746" s="18">
        <v>1.3338000000000001</v>
      </c>
      <c r="X746" s="18">
        <v>0.88919999999999999</v>
      </c>
      <c r="Y746" s="18">
        <v>3.952E-2</v>
      </c>
      <c r="Z746" s="18">
        <v>0.17537</v>
      </c>
      <c r="AA746" s="18">
        <v>0.25688</v>
      </c>
      <c r="AB746" s="18">
        <v>0.45694999999999997</v>
      </c>
      <c r="AC746" s="18">
        <v>0.14079</v>
      </c>
      <c r="AD746" s="18">
        <v>0.74099999999999999</v>
      </c>
    </row>
    <row r="747" spans="2:30" x14ac:dyDescent="0.25">
      <c r="B747" t="s">
        <v>269</v>
      </c>
      <c r="C747" t="s">
        <v>326</v>
      </c>
      <c r="D747" t="s">
        <v>752</v>
      </c>
      <c r="E747" s="35">
        <v>0.9</v>
      </c>
      <c r="F747" s="35">
        <v>6.6</v>
      </c>
      <c r="G747" s="36">
        <v>2.47E-3</v>
      </c>
      <c r="H747" s="18">
        <v>4.4452980000000002</v>
      </c>
      <c r="I747" s="16" t="s">
        <v>746</v>
      </c>
      <c r="J747" s="16"/>
      <c r="K747" s="16"/>
      <c r="L747" s="37"/>
      <c r="M747" s="37"/>
      <c r="N747" s="37"/>
      <c r="O747" s="37"/>
      <c r="P747" s="37"/>
      <c r="Q747" s="18">
        <v>2.717E-2</v>
      </c>
      <c r="R747" s="18">
        <v>1.8525E-4</v>
      </c>
      <c r="S747" s="18">
        <v>5.1869999999999999E-2</v>
      </c>
      <c r="T747" s="18">
        <v>0.2223</v>
      </c>
      <c r="U747" s="18">
        <v>0.11115</v>
      </c>
      <c r="V747" s="18">
        <v>1.42272</v>
      </c>
      <c r="W747" s="18">
        <v>1.3338000000000001</v>
      </c>
      <c r="X747" s="18">
        <v>0.88919999999999999</v>
      </c>
      <c r="Y747" s="18">
        <v>3.952E-2</v>
      </c>
      <c r="Z747" s="18">
        <v>0.17537</v>
      </c>
      <c r="AA747" s="18">
        <v>0.25688</v>
      </c>
      <c r="AB747" s="18">
        <v>0.45694999999999997</v>
      </c>
      <c r="AC747" s="18">
        <v>0.14079</v>
      </c>
      <c r="AD747" s="18">
        <v>0.74099999999999999</v>
      </c>
    </row>
    <row r="748" spans="2:30" x14ac:dyDescent="0.25">
      <c r="B748" t="s">
        <v>269</v>
      </c>
      <c r="C748" t="s">
        <v>326</v>
      </c>
      <c r="D748" t="s">
        <v>752</v>
      </c>
      <c r="E748" s="35">
        <v>0.9</v>
      </c>
      <c r="F748" s="35">
        <v>6.6</v>
      </c>
      <c r="G748" s="36">
        <v>2.47E-3</v>
      </c>
      <c r="H748" s="18">
        <v>4.4452980000000002</v>
      </c>
      <c r="I748" s="16" t="s">
        <v>746</v>
      </c>
      <c r="J748" s="16"/>
      <c r="K748" s="16"/>
      <c r="L748" s="37"/>
      <c r="M748" s="37"/>
      <c r="N748" s="37"/>
      <c r="O748" s="37"/>
      <c r="P748" s="37"/>
      <c r="Q748" s="18">
        <v>2.717E-2</v>
      </c>
      <c r="R748" s="18">
        <v>1.8525E-4</v>
      </c>
      <c r="S748" s="18">
        <v>5.1869999999999999E-2</v>
      </c>
      <c r="T748" s="18">
        <v>0.2223</v>
      </c>
      <c r="U748" s="18">
        <v>0.11115</v>
      </c>
      <c r="V748" s="18">
        <v>1.42272</v>
      </c>
      <c r="W748" s="18">
        <v>1.3338000000000001</v>
      </c>
      <c r="X748" s="18">
        <v>0.88919999999999999</v>
      </c>
      <c r="Y748" s="18">
        <v>3.952E-2</v>
      </c>
      <c r="Z748" s="18">
        <v>0.17537</v>
      </c>
      <c r="AA748" s="18">
        <v>0.25688</v>
      </c>
      <c r="AB748" s="18">
        <v>0.45694999999999997</v>
      </c>
      <c r="AC748" s="18">
        <v>0.14079</v>
      </c>
      <c r="AD748" s="18">
        <v>0.74099999999999999</v>
      </c>
    </row>
    <row r="749" spans="2:30" x14ac:dyDescent="0.25">
      <c r="B749" t="s">
        <v>269</v>
      </c>
      <c r="C749" t="s">
        <v>326</v>
      </c>
      <c r="D749" t="s">
        <v>752</v>
      </c>
      <c r="E749" s="35">
        <v>0.9</v>
      </c>
      <c r="F749" s="35">
        <v>6.6</v>
      </c>
      <c r="G749" s="36">
        <v>2.47E-3</v>
      </c>
      <c r="H749" s="18">
        <v>4.4452980000000002</v>
      </c>
      <c r="I749" s="16" t="s">
        <v>746</v>
      </c>
      <c r="J749" s="16"/>
      <c r="K749" s="16"/>
      <c r="L749" s="37"/>
      <c r="M749" s="37"/>
      <c r="N749" s="37"/>
      <c r="O749" s="37"/>
      <c r="P749" s="37"/>
      <c r="Q749" s="18">
        <v>2.717E-2</v>
      </c>
      <c r="R749" s="18">
        <v>1.8525E-4</v>
      </c>
      <c r="S749" s="18">
        <v>5.1869999999999999E-2</v>
      </c>
      <c r="T749" s="18">
        <v>0.2223</v>
      </c>
      <c r="U749" s="18">
        <v>0.11115</v>
      </c>
      <c r="V749" s="18">
        <v>1.42272</v>
      </c>
      <c r="W749" s="18">
        <v>1.3338000000000001</v>
      </c>
      <c r="X749" s="18">
        <v>0.88919999999999999</v>
      </c>
      <c r="Y749" s="18">
        <v>3.952E-2</v>
      </c>
      <c r="Z749" s="18">
        <v>0.17537</v>
      </c>
      <c r="AA749" s="18">
        <v>0.25688</v>
      </c>
      <c r="AB749" s="18">
        <v>0.45694999999999997</v>
      </c>
      <c r="AC749" s="18">
        <v>0.14079</v>
      </c>
      <c r="AD749" s="18">
        <v>0.74099999999999999</v>
      </c>
    </row>
    <row r="750" spans="2:30" x14ac:dyDescent="0.25">
      <c r="B750" t="s">
        <v>269</v>
      </c>
      <c r="C750" t="s">
        <v>105</v>
      </c>
      <c r="D750" t="s">
        <v>752</v>
      </c>
      <c r="E750" s="35">
        <v>0.9</v>
      </c>
      <c r="F750" s="35">
        <v>6.6</v>
      </c>
      <c r="G750" s="36">
        <v>2.47E-3</v>
      </c>
      <c r="H750" s="18">
        <v>4.4452980000000002</v>
      </c>
      <c r="I750" s="16" t="s">
        <v>746</v>
      </c>
      <c r="J750" s="16"/>
      <c r="K750" s="16"/>
      <c r="L750" s="37"/>
      <c r="M750" s="37"/>
      <c r="N750" s="37"/>
      <c r="O750" s="37"/>
      <c r="P750" s="37"/>
      <c r="Q750" s="18">
        <v>2.717E-2</v>
      </c>
      <c r="R750" s="18">
        <v>1.8525E-4</v>
      </c>
      <c r="S750" s="18">
        <v>5.1869999999999999E-2</v>
      </c>
      <c r="T750" s="18">
        <v>0.2223</v>
      </c>
      <c r="U750" s="18">
        <v>0.11115</v>
      </c>
      <c r="V750" s="18">
        <v>1.42272</v>
      </c>
      <c r="W750" s="18">
        <v>1.3338000000000001</v>
      </c>
      <c r="X750" s="18">
        <v>0.88919999999999999</v>
      </c>
      <c r="Y750" s="18">
        <v>3.952E-2</v>
      </c>
      <c r="Z750" s="18">
        <v>0.17537</v>
      </c>
      <c r="AA750" s="18">
        <v>0.25688</v>
      </c>
      <c r="AB750" s="18">
        <v>0.45694999999999997</v>
      </c>
      <c r="AC750" s="18">
        <v>0.14079</v>
      </c>
      <c r="AD750" s="18">
        <v>0.74099999999999999</v>
      </c>
    </row>
    <row r="751" spans="2:30" x14ac:dyDescent="0.25">
      <c r="B751" t="s">
        <v>269</v>
      </c>
      <c r="C751" t="s">
        <v>105</v>
      </c>
      <c r="D751" t="s">
        <v>752</v>
      </c>
      <c r="E751" s="35">
        <v>0.9</v>
      </c>
      <c r="F751" s="35">
        <v>6.6</v>
      </c>
      <c r="G751" s="36">
        <v>2.47E-3</v>
      </c>
      <c r="H751" s="18">
        <v>4.4452980000000002</v>
      </c>
      <c r="I751" s="16" t="s">
        <v>746</v>
      </c>
      <c r="J751" s="16"/>
      <c r="K751" s="16"/>
      <c r="L751" s="37"/>
      <c r="M751" s="37"/>
      <c r="N751" s="37"/>
      <c r="O751" s="37"/>
      <c r="P751" s="37"/>
      <c r="Q751" s="18">
        <v>2.717E-2</v>
      </c>
      <c r="R751" s="18">
        <v>1.8525E-4</v>
      </c>
      <c r="S751" s="18">
        <v>5.1869999999999999E-2</v>
      </c>
      <c r="T751" s="18">
        <v>0.2223</v>
      </c>
      <c r="U751" s="18">
        <v>0.11115</v>
      </c>
      <c r="V751" s="18">
        <v>1.42272</v>
      </c>
      <c r="W751" s="18">
        <v>1.3338000000000001</v>
      </c>
      <c r="X751" s="18">
        <v>0.88919999999999999</v>
      </c>
      <c r="Y751" s="18">
        <v>3.952E-2</v>
      </c>
      <c r="Z751" s="18">
        <v>0.17537</v>
      </c>
      <c r="AA751" s="18">
        <v>0.25688</v>
      </c>
      <c r="AB751" s="18">
        <v>0.45694999999999997</v>
      </c>
      <c r="AC751" s="18">
        <v>0.14079</v>
      </c>
      <c r="AD751" s="18">
        <v>0.74099999999999999</v>
      </c>
    </row>
    <row r="752" spans="2:30" x14ac:dyDescent="0.25">
      <c r="B752" t="s">
        <v>269</v>
      </c>
      <c r="C752" t="s">
        <v>105</v>
      </c>
      <c r="D752" t="s">
        <v>752</v>
      </c>
      <c r="E752" s="35">
        <v>0.9</v>
      </c>
      <c r="F752" s="35">
        <v>6.6</v>
      </c>
      <c r="G752" s="36">
        <v>2.47E-3</v>
      </c>
      <c r="H752" s="18">
        <v>4.4452980000000002</v>
      </c>
      <c r="I752" s="16" t="s">
        <v>746</v>
      </c>
      <c r="J752" s="16"/>
      <c r="K752" s="16"/>
      <c r="L752" s="37"/>
      <c r="M752" s="37"/>
      <c r="N752" s="37"/>
      <c r="O752" s="37"/>
      <c r="P752" s="37"/>
      <c r="Q752" s="18">
        <v>2.717E-2</v>
      </c>
      <c r="R752" s="18">
        <v>1.8525E-4</v>
      </c>
      <c r="S752" s="18">
        <v>5.1869999999999999E-2</v>
      </c>
      <c r="T752" s="18">
        <v>0.2223</v>
      </c>
      <c r="U752" s="18">
        <v>0.11115</v>
      </c>
      <c r="V752" s="18">
        <v>1.42272</v>
      </c>
      <c r="W752" s="18">
        <v>1.3338000000000001</v>
      </c>
      <c r="X752" s="18">
        <v>0.88919999999999999</v>
      </c>
      <c r="Y752" s="18">
        <v>3.952E-2</v>
      </c>
      <c r="Z752" s="18">
        <v>0.17537</v>
      </c>
      <c r="AA752" s="18">
        <v>0.25688</v>
      </c>
      <c r="AB752" s="18">
        <v>0.45694999999999997</v>
      </c>
      <c r="AC752" s="18">
        <v>0.14079</v>
      </c>
      <c r="AD752" s="18">
        <v>0.74099999999999999</v>
      </c>
    </row>
    <row r="753" spans="2:30" x14ac:dyDescent="0.25">
      <c r="B753" t="s">
        <v>269</v>
      </c>
      <c r="C753" t="s">
        <v>105</v>
      </c>
      <c r="D753" t="s">
        <v>752</v>
      </c>
      <c r="E753" s="35">
        <v>0.9</v>
      </c>
      <c r="F753" s="35">
        <v>6.6</v>
      </c>
      <c r="G753" s="36">
        <v>2.47E-3</v>
      </c>
      <c r="H753" s="18">
        <v>4.4452980000000002</v>
      </c>
      <c r="I753" s="16" t="s">
        <v>746</v>
      </c>
      <c r="J753" s="16"/>
      <c r="K753" s="16"/>
      <c r="L753" s="37"/>
      <c r="M753" s="37"/>
      <c r="N753" s="37"/>
      <c r="O753" s="37"/>
      <c r="P753" s="37"/>
      <c r="Q753" s="18">
        <v>2.717E-2</v>
      </c>
      <c r="R753" s="18">
        <v>1.8525E-4</v>
      </c>
      <c r="S753" s="18">
        <v>5.1869999999999999E-2</v>
      </c>
      <c r="T753" s="18">
        <v>0.2223</v>
      </c>
      <c r="U753" s="18">
        <v>0.11115</v>
      </c>
      <c r="V753" s="18">
        <v>1.42272</v>
      </c>
      <c r="W753" s="18">
        <v>1.3338000000000001</v>
      </c>
      <c r="X753" s="18">
        <v>0.88919999999999999</v>
      </c>
      <c r="Y753" s="18">
        <v>3.952E-2</v>
      </c>
      <c r="Z753" s="18">
        <v>0.17537</v>
      </c>
      <c r="AA753" s="18">
        <v>0.25688</v>
      </c>
      <c r="AB753" s="18">
        <v>0.45694999999999997</v>
      </c>
      <c r="AC753" s="18">
        <v>0.14079</v>
      </c>
      <c r="AD753" s="18">
        <v>0.74099999999999999</v>
      </c>
    </row>
    <row r="754" spans="2:30" x14ac:dyDescent="0.25">
      <c r="B754" t="s">
        <v>269</v>
      </c>
      <c r="C754" t="s">
        <v>105</v>
      </c>
      <c r="D754" t="s">
        <v>752</v>
      </c>
      <c r="E754" s="35">
        <v>0.9</v>
      </c>
      <c r="F754" s="35">
        <v>6.6</v>
      </c>
      <c r="G754" s="36">
        <v>2.47E-3</v>
      </c>
      <c r="H754" s="18">
        <v>4.4452980000000002</v>
      </c>
      <c r="I754" s="16" t="s">
        <v>746</v>
      </c>
      <c r="J754" s="16"/>
      <c r="K754" s="16"/>
      <c r="L754" s="37"/>
      <c r="M754" s="37"/>
      <c r="N754" s="37"/>
      <c r="O754" s="37"/>
      <c r="P754" s="37"/>
      <c r="Q754" s="18">
        <v>2.717E-2</v>
      </c>
      <c r="R754" s="18">
        <v>1.8525E-4</v>
      </c>
      <c r="S754" s="18">
        <v>5.1869999999999999E-2</v>
      </c>
      <c r="T754" s="18">
        <v>0.2223</v>
      </c>
      <c r="U754" s="18">
        <v>0.11115</v>
      </c>
      <c r="V754" s="18">
        <v>1.42272</v>
      </c>
      <c r="W754" s="18">
        <v>1.3338000000000001</v>
      </c>
      <c r="X754" s="18">
        <v>0.88919999999999999</v>
      </c>
      <c r="Y754" s="18">
        <v>3.952E-2</v>
      </c>
      <c r="Z754" s="18">
        <v>0.17537</v>
      </c>
      <c r="AA754" s="18">
        <v>0.25688</v>
      </c>
      <c r="AB754" s="18">
        <v>0.45694999999999997</v>
      </c>
      <c r="AC754" s="18">
        <v>0.14079</v>
      </c>
      <c r="AD754" s="18">
        <v>0.74099999999999999</v>
      </c>
    </row>
    <row r="755" spans="2:30" x14ac:dyDescent="0.25">
      <c r="B755" t="s">
        <v>269</v>
      </c>
      <c r="C755" t="s">
        <v>105</v>
      </c>
      <c r="D755" t="s">
        <v>752</v>
      </c>
      <c r="E755" s="35">
        <v>0.9</v>
      </c>
      <c r="F755" s="35">
        <v>6.6</v>
      </c>
      <c r="G755" s="36">
        <v>2.47E-3</v>
      </c>
      <c r="H755" s="18">
        <v>4.4452980000000002</v>
      </c>
      <c r="I755" s="16" t="s">
        <v>746</v>
      </c>
      <c r="J755" s="16"/>
      <c r="K755" s="16"/>
      <c r="L755" s="37"/>
      <c r="M755" s="37"/>
      <c r="N755" s="37"/>
      <c r="O755" s="37"/>
      <c r="P755" s="37"/>
      <c r="Q755" s="18">
        <v>2.717E-2</v>
      </c>
      <c r="R755" s="18">
        <v>1.8525E-4</v>
      </c>
      <c r="S755" s="18">
        <v>5.1869999999999999E-2</v>
      </c>
      <c r="T755" s="18">
        <v>0.2223</v>
      </c>
      <c r="U755" s="18">
        <v>0.11115</v>
      </c>
      <c r="V755" s="18">
        <v>1.42272</v>
      </c>
      <c r="W755" s="18">
        <v>1.3338000000000001</v>
      </c>
      <c r="X755" s="18">
        <v>0.88919999999999999</v>
      </c>
      <c r="Y755" s="18">
        <v>3.952E-2</v>
      </c>
      <c r="Z755" s="18">
        <v>0.17537</v>
      </c>
      <c r="AA755" s="18">
        <v>0.25688</v>
      </c>
      <c r="AB755" s="18">
        <v>0.45694999999999997</v>
      </c>
      <c r="AC755" s="18">
        <v>0.14079</v>
      </c>
      <c r="AD755" s="18">
        <v>0.74099999999999999</v>
      </c>
    </row>
    <row r="756" spans="2:30" x14ac:dyDescent="0.25">
      <c r="B756" t="s">
        <v>269</v>
      </c>
      <c r="C756" t="s">
        <v>105</v>
      </c>
      <c r="D756" t="s">
        <v>752</v>
      </c>
      <c r="E756" s="35">
        <v>0.9</v>
      </c>
      <c r="F756" s="35">
        <v>6.6</v>
      </c>
      <c r="G756" s="36">
        <v>2.47E-3</v>
      </c>
      <c r="H756" s="18">
        <v>4.4452980000000002</v>
      </c>
      <c r="I756" s="16" t="s">
        <v>746</v>
      </c>
      <c r="J756" s="16"/>
      <c r="K756" s="16"/>
      <c r="L756" s="37"/>
      <c r="M756" s="37"/>
      <c r="N756" s="37"/>
      <c r="O756" s="37"/>
      <c r="P756" s="37"/>
      <c r="Q756" s="18">
        <v>2.717E-2</v>
      </c>
      <c r="R756" s="18">
        <v>1.8525E-4</v>
      </c>
      <c r="S756" s="18">
        <v>5.1869999999999999E-2</v>
      </c>
      <c r="T756" s="18">
        <v>0.2223</v>
      </c>
      <c r="U756" s="18">
        <v>0.11115</v>
      </c>
      <c r="V756" s="18">
        <v>1.42272</v>
      </c>
      <c r="W756" s="18">
        <v>1.3338000000000001</v>
      </c>
      <c r="X756" s="18">
        <v>0.88919999999999999</v>
      </c>
      <c r="Y756" s="18">
        <v>3.952E-2</v>
      </c>
      <c r="Z756" s="18">
        <v>0.17537</v>
      </c>
      <c r="AA756" s="18">
        <v>0.25688</v>
      </c>
      <c r="AB756" s="18">
        <v>0.45694999999999997</v>
      </c>
      <c r="AC756" s="18">
        <v>0.14079</v>
      </c>
      <c r="AD756" s="18">
        <v>0.74099999999999999</v>
      </c>
    </row>
    <row r="757" spans="2:30" x14ac:dyDescent="0.25">
      <c r="B757" t="s">
        <v>269</v>
      </c>
      <c r="C757" t="s">
        <v>105</v>
      </c>
      <c r="D757" t="s">
        <v>752</v>
      </c>
      <c r="E757" s="35">
        <v>0.9</v>
      </c>
      <c r="F757" s="35">
        <v>6.6</v>
      </c>
      <c r="G757" s="36">
        <v>2.47E-3</v>
      </c>
      <c r="H757" s="18">
        <v>4.4452980000000002</v>
      </c>
      <c r="I757" s="16" t="s">
        <v>746</v>
      </c>
      <c r="J757" s="16"/>
      <c r="K757" s="16"/>
      <c r="L757" s="37"/>
      <c r="M757" s="37"/>
      <c r="N757" s="37"/>
      <c r="O757" s="37"/>
      <c r="P757" s="37"/>
      <c r="Q757" s="18">
        <v>2.717E-2</v>
      </c>
      <c r="R757" s="18">
        <v>1.8525E-4</v>
      </c>
      <c r="S757" s="18">
        <v>5.1869999999999999E-2</v>
      </c>
      <c r="T757" s="18">
        <v>0.2223</v>
      </c>
      <c r="U757" s="18">
        <v>0.11115</v>
      </c>
      <c r="V757" s="18">
        <v>1.42272</v>
      </c>
      <c r="W757" s="18">
        <v>1.3338000000000001</v>
      </c>
      <c r="X757" s="18">
        <v>0.88919999999999999</v>
      </c>
      <c r="Y757" s="18">
        <v>3.952E-2</v>
      </c>
      <c r="Z757" s="18">
        <v>0.17537</v>
      </c>
      <c r="AA757" s="18">
        <v>0.25688</v>
      </c>
      <c r="AB757" s="18">
        <v>0.45694999999999997</v>
      </c>
      <c r="AC757" s="18">
        <v>0.14079</v>
      </c>
      <c r="AD757" s="18">
        <v>0.74099999999999999</v>
      </c>
    </row>
    <row r="758" spans="2:30" x14ac:dyDescent="0.25">
      <c r="B758" t="s">
        <v>269</v>
      </c>
      <c r="C758" t="s">
        <v>105</v>
      </c>
      <c r="D758" t="s">
        <v>752</v>
      </c>
      <c r="E758" s="35">
        <v>0.9</v>
      </c>
      <c r="F758" s="35">
        <v>6.6</v>
      </c>
      <c r="G758" s="36">
        <v>2.47E-3</v>
      </c>
      <c r="H758" s="18">
        <v>4.4452980000000002</v>
      </c>
      <c r="I758" s="16" t="s">
        <v>746</v>
      </c>
      <c r="J758" s="16"/>
      <c r="K758" s="16"/>
      <c r="L758" s="37"/>
      <c r="M758" s="37"/>
      <c r="N758" s="37"/>
      <c r="O758" s="37"/>
      <c r="P758" s="37"/>
      <c r="Q758" s="18">
        <v>2.717E-2</v>
      </c>
      <c r="R758" s="18">
        <v>1.8525E-4</v>
      </c>
      <c r="S758" s="18">
        <v>5.1869999999999999E-2</v>
      </c>
      <c r="T758" s="18">
        <v>0.2223</v>
      </c>
      <c r="U758" s="18">
        <v>0.11115</v>
      </c>
      <c r="V758" s="18">
        <v>1.42272</v>
      </c>
      <c r="W758" s="18">
        <v>1.3338000000000001</v>
      </c>
      <c r="X758" s="18">
        <v>0.88919999999999999</v>
      </c>
      <c r="Y758" s="18">
        <v>3.952E-2</v>
      </c>
      <c r="Z758" s="18">
        <v>0.17537</v>
      </c>
      <c r="AA758" s="18">
        <v>0.25688</v>
      </c>
      <c r="AB758" s="18">
        <v>0.45694999999999997</v>
      </c>
      <c r="AC758" s="18">
        <v>0.14079</v>
      </c>
      <c r="AD758" s="18">
        <v>0.74099999999999999</v>
      </c>
    </row>
    <row r="759" spans="2:30" x14ac:dyDescent="0.25">
      <c r="B759" t="s">
        <v>269</v>
      </c>
      <c r="C759" t="s">
        <v>105</v>
      </c>
      <c r="D759" t="s">
        <v>752</v>
      </c>
      <c r="E759" s="35">
        <v>0.9</v>
      </c>
      <c r="F759" s="35">
        <v>6.6</v>
      </c>
      <c r="G759" s="36">
        <v>2.47E-3</v>
      </c>
      <c r="H759" s="18">
        <v>4.4452980000000002</v>
      </c>
      <c r="I759" s="16" t="s">
        <v>746</v>
      </c>
      <c r="J759" s="16"/>
      <c r="K759" s="16"/>
      <c r="L759" s="37"/>
      <c r="M759" s="37"/>
      <c r="N759" s="37"/>
      <c r="O759" s="37"/>
      <c r="P759" s="37"/>
      <c r="Q759" s="18">
        <v>2.717E-2</v>
      </c>
      <c r="R759" s="18">
        <v>1.8525E-4</v>
      </c>
      <c r="S759" s="18">
        <v>5.1869999999999999E-2</v>
      </c>
      <c r="T759" s="18">
        <v>0.2223</v>
      </c>
      <c r="U759" s="18">
        <v>0.11115</v>
      </c>
      <c r="V759" s="18">
        <v>1.42272</v>
      </c>
      <c r="W759" s="18">
        <v>1.3338000000000001</v>
      </c>
      <c r="X759" s="18">
        <v>0.88919999999999999</v>
      </c>
      <c r="Y759" s="18">
        <v>3.952E-2</v>
      </c>
      <c r="Z759" s="18">
        <v>0.17537</v>
      </c>
      <c r="AA759" s="18">
        <v>0.25688</v>
      </c>
      <c r="AB759" s="18">
        <v>0.45694999999999997</v>
      </c>
      <c r="AC759" s="18">
        <v>0.14079</v>
      </c>
      <c r="AD759" s="18">
        <v>0.74099999999999999</v>
      </c>
    </row>
    <row r="760" spans="2:30" x14ac:dyDescent="0.25">
      <c r="B760" t="s">
        <v>269</v>
      </c>
      <c r="C760" t="s">
        <v>105</v>
      </c>
      <c r="D760" t="s">
        <v>752</v>
      </c>
      <c r="E760" s="35">
        <v>0.9</v>
      </c>
      <c r="F760" s="35">
        <v>6.6</v>
      </c>
      <c r="G760" s="36">
        <v>2.47E-3</v>
      </c>
      <c r="H760" s="18">
        <v>4.4452980000000002</v>
      </c>
      <c r="I760" s="16" t="s">
        <v>746</v>
      </c>
      <c r="J760" s="16"/>
      <c r="K760" s="16"/>
      <c r="L760" s="37"/>
      <c r="M760" s="37"/>
      <c r="N760" s="37"/>
      <c r="O760" s="37"/>
      <c r="P760" s="37"/>
      <c r="Q760" s="18">
        <v>2.717E-2</v>
      </c>
      <c r="R760" s="18">
        <v>1.8525E-4</v>
      </c>
      <c r="S760" s="18">
        <v>5.1869999999999999E-2</v>
      </c>
      <c r="T760" s="18">
        <v>0.2223</v>
      </c>
      <c r="U760" s="18">
        <v>0.11115</v>
      </c>
      <c r="V760" s="18">
        <v>1.42272</v>
      </c>
      <c r="W760" s="18">
        <v>1.3338000000000001</v>
      </c>
      <c r="X760" s="18">
        <v>0.88919999999999999</v>
      </c>
      <c r="Y760" s="18">
        <v>3.952E-2</v>
      </c>
      <c r="Z760" s="18">
        <v>0.17537</v>
      </c>
      <c r="AA760" s="18">
        <v>0.25688</v>
      </c>
      <c r="AB760" s="18">
        <v>0.45694999999999997</v>
      </c>
      <c r="AC760" s="18">
        <v>0.14079</v>
      </c>
      <c r="AD760" s="18">
        <v>0.74099999999999999</v>
      </c>
    </row>
    <row r="761" spans="2:30" x14ac:dyDescent="0.25">
      <c r="B761" t="s">
        <v>269</v>
      </c>
      <c r="C761" t="s">
        <v>105</v>
      </c>
      <c r="D761" t="s">
        <v>752</v>
      </c>
      <c r="E761" s="35">
        <v>0.9</v>
      </c>
      <c r="F761" s="35">
        <v>6.6</v>
      </c>
      <c r="G761" s="36">
        <v>2.47E-3</v>
      </c>
      <c r="H761" s="18">
        <v>4.4452980000000002</v>
      </c>
      <c r="I761" s="16" t="s">
        <v>746</v>
      </c>
      <c r="J761" s="16"/>
      <c r="K761" s="16"/>
      <c r="L761" s="37"/>
      <c r="M761" s="37"/>
      <c r="N761" s="37"/>
      <c r="O761" s="37"/>
      <c r="P761" s="37"/>
      <c r="Q761" s="18">
        <v>2.717E-2</v>
      </c>
      <c r="R761" s="18">
        <v>1.8525E-4</v>
      </c>
      <c r="S761" s="18">
        <v>5.1869999999999999E-2</v>
      </c>
      <c r="T761" s="18">
        <v>0.2223</v>
      </c>
      <c r="U761" s="18">
        <v>0.11115</v>
      </c>
      <c r="V761" s="18">
        <v>1.42272</v>
      </c>
      <c r="W761" s="18">
        <v>1.3338000000000001</v>
      </c>
      <c r="X761" s="18">
        <v>0.88919999999999999</v>
      </c>
      <c r="Y761" s="18">
        <v>3.952E-2</v>
      </c>
      <c r="Z761" s="18">
        <v>0.17537</v>
      </c>
      <c r="AA761" s="18">
        <v>0.25688</v>
      </c>
      <c r="AB761" s="18">
        <v>0.45694999999999997</v>
      </c>
      <c r="AC761" s="18">
        <v>0.14079</v>
      </c>
      <c r="AD761" s="18">
        <v>0.74099999999999999</v>
      </c>
    </row>
    <row r="762" spans="2:30" x14ac:dyDescent="0.25">
      <c r="B762" t="s">
        <v>269</v>
      </c>
      <c r="C762" t="s">
        <v>105</v>
      </c>
      <c r="D762" t="s">
        <v>752</v>
      </c>
      <c r="E762" s="35">
        <v>0.9</v>
      </c>
      <c r="F762" s="35">
        <v>6.6</v>
      </c>
      <c r="G762" s="36">
        <v>2.47E-3</v>
      </c>
      <c r="H762" s="18">
        <v>4.4452980000000002</v>
      </c>
      <c r="I762" s="16" t="s">
        <v>746</v>
      </c>
      <c r="J762" s="16"/>
      <c r="K762" s="16"/>
      <c r="L762" s="37"/>
      <c r="M762" s="37"/>
      <c r="N762" s="37"/>
      <c r="O762" s="37"/>
      <c r="P762" s="37"/>
      <c r="Q762" s="18">
        <v>2.717E-2</v>
      </c>
      <c r="R762" s="18">
        <v>1.8525E-4</v>
      </c>
      <c r="S762" s="18">
        <v>5.1869999999999999E-2</v>
      </c>
      <c r="T762" s="18">
        <v>0.2223</v>
      </c>
      <c r="U762" s="18">
        <v>0.11115</v>
      </c>
      <c r="V762" s="18">
        <v>1.42272</v>
      </c>
      <c r="W762" s="18">
        <v>1.3338000000000001</v>
      </c>
      <c r="X762" s="18">
        <v>0.88919999999999999</v>
      </c>
      <c r="Y762" s="18">
        <v>3.952E-2</v>
      </c>
      <c r="Z762" s="18">
        <v>0.17537</v>
      </c>
      <c r="AA762" s="18">
        <v>0.25688</v>
      </c>
      <c r="AB762" s="18">
        <v>0.45694999999999997</v>
      </c>
      <c r="AC762" s="18">
        <v>0.14079</v>
      </c>
      <c r="AD762" s="18">
        <v>0.74099999999999999</v>
      </c>
    </row>
    <row r="763" spans="2:30" x14ac:dyDescent="0.25">
      <c r="B763" t="s">
        <v>269</v>
      </c>
      <c r="C763" t="s">
        <v>105</v>
      </c>
      <c r="D763" t="s">
        <v>752</v>
      </c>
      <c r="E763" s="35">
        <v>0.9</v>
      </c>
      <c r="F763" s="35">
        <v>6.6</v>
      </c>
      <c r="G763" s="36">
        <v>2.47E-3</v>
      </c>
      <c r="H763" s="18">
        <v>4.4452980000000002</v>
      </c>
      <c r="I763" s="16" t="s">
        <v>746</v>
      </c>
      <c r="J763" s="16"/>
      <c r="K763" s="16"/>
      <c r="L763" s="37"/>
      <c r="M763" s="37"/>
      <c r="N763" s="37"/>
      <c r="O763" s="37"/>
      <c r="P763" s="37"/>
      <c r="Q763" s="18">
        <v>2.717E-2</v>
      </c>
      <c r="R763" s="18">
        <v>1.8525E-4</v>
      </c>
      <c r="S763" s="18">
        <v>5.1869999999999999E-2</v>
      </c>
      <c r="T763" s="18">
        <v>0.2223</v>
      </c>
      <c r="U763" s="18">
        <v>0.11115</v>
      </c>
      <c r="V763" s="18">
        <v>1.42272</v>
      </c>
      <c r="W763" s="18">
        <v>1.3338000000000001</v>
      </c>
      <c r="X763" s="18">
        <v>0.88919999999999999</v>
      </c>
      <c r="Y763" s="18">
        <v>3.952E-2</v>
      </c>
      <c r="Z763" s="18">
        <v>0.17537</v>
      </c>
      <c r="AA763" s="18">
        <v>0.25688</v>
      </c>
      <c r="AB763" s="18">
        <v>0.45694999999999997</v>
      </c>
      <c r="AC763" s="18">
        <v>0.14079</v>
      </c>
      <c r="AD763" s="18">
        <v>0.74099999999999999</v>
      </c>
    </row>
    <row r="764" spans="2:30" x14ac:dyDescent="0.25">
      <c r="B764" t="s">
        <v>269</v>
      </c>
      <c r="C764" t="s">
        <v>105</v>
      </c>
      <c r="D764" t="s">
        <v>752</v>
      </c>
      <c r="E764" s="35">
        <v>0.9</v>
      </c>
      <c r="F764" s="35">
        <v>6.6</v>
      </c>
      <c r="G764" s="36">
        <v>2.47E-3</v>
      </c>
      <c r="H764" s="18">
        <v>4.4452980000000002</v>
      </c>
      <c r="I764" s="16" t="s">
        <v>746</v>
      </c>
      <c r="J764" s="16"/>
      <c r="K764" s="16"/>
      <c r="L764" s="37"/>
      <c r="M764" s="37"/>
      <c r="N764" s="37"/>
      <c r="O764" s="37"/>
      <c r="P764" s="37"/>
      <c r="Q764" s="18">
        <v>2.717E-2</v>
      </c>
      <c r="R764" s="18">
        <v>1.8525E-4</v>
      </c>
      <c r="S764" s="18">
        <v>5.1869999999999999E-2</v>
      </c>
      <c r="T764" s="18">
        <v>0.2223</v>
      </c>
      <c r="U764" s="18">
        <v>0.11115</v>
      </c>
      <c r="V764" s="18">
        <v>1.42272</v>
      </c>
      <c r="W764" s="18">
        <v>1.3338000000000001</v>
      </c>
      <c r="X764" s="18">
        <v>0.88919999999999999</v>
      </c>
      <c r="Y764" s="18">
        <v>3.952E-2</v>
      </c>
      <c r="Z764" s="18">
        <v>0.17537</v>
      </c>
      <c r="AA764" s="18">
        <v>0.25688</v>
      </c>
      <c r="AB764" s="18">
        <v>0.45694999999999997</v>
      </c>
      <c r="AC764" s="18">
        <v>0.14079</v>
      </c>
      <c r="AD764" s="18">
        <v>0.74099999999999999</v>
      </c>
    </row>
    <row r="765" spans="2:30" x14ac:dyDescent="0.25">
      <c r="B765" t="s">
        <v>269</v>
      </c>
      <c r="C765" t="s">
        <v>105</v>
      </c>
      <c r="D765" t="s">
        <v>752</v>
      </c>
      <c r="E765" s="35">
        <v>0.9</v>
      </c>
      <c r="F765" s="35">
        <v>6.6</v>
      </c>
      <c r="G765" s="36">
        <v>2.47E-3</v>
      </c>
      <c r="H765" s="18">
        <v>4.4452980000000002</v>
      </c>
      <c r="I765" s="16" t="s">
        <v>746</v>
      </c>
      <c r="J765" s="16"/>
      <c r="K765" s="16"/>
      <c r="L765" s="37"/>
      <c r="M765" s="37"/>
      <c r="N765" s="37"/>
      <c r="O765" s="37"/>
      <c r="P765" s="37"/>
      <c r="Q765" s="18">
        <v>2.717E-2</v>
      </c>
      <c r="R765" s="18">
        <v>1.8525E-4</v>
      </c>
      <c r="S765" s="18">
        <v>5.1869999999999999E-2</v>
      </c>
      <c r="T765" s="18">
        <v>0.2223</v>
      </c>
      <c r="U765" s="18">
        <v>0.11115</v>
      </c>
      <c r="V765" s="18">
        <v>1.42272</v>
      </c>
      <c r="W765" s="18">
        <v>1.3338000000000001</v>
      </c>
      <c r="X765" s="18">
        <v>0.88919999999999999</v>
      </c>
      <c r="Y765" s="18">
        <v>3.952E-2</v>
      </c>
      <c r="Z765" s="18">
        <v>0.17537</v>
      </c>
      <c r="AA765" s="18">
        <v>0.25688</v>
      </c>
      <c r="AB765" s="18">
        <v>0.45694999999999997</v>
      </c>
      <c r="AC765" s="18">
        <v>0.14079</v>
      </c>
      <c r="AD765" s="18">
        <v>0.74099999999999999</v>
      </c>
    </row>
    <row r="766" spans="2:30" x14ac:dyDescent="0.25">
      <c r="B766" t="s">
        <v>269</v>
      </c>
      <c r="C766" t="s">
        <v>105</v>
      </c>
      <c r="D766" t="s">
        <v>752</v>
      </c>
      <c r="E766" s="35">
        <v>0.9</v>
      </c>
      <c r="F766" s="35">
        <v>6.6</v>
      </c>
      <c r="G766" s="36">
        <v>2.47E-3</v>
      </c>
      <c r="H766" s="18">
        <v>4.4452980000000002</v>
      </c>
      <c r="I766" s="16" t="s">
        <v>746</v>
      </c>
      <c r="J766" s="16"/>
      <c r="K766" s="16"/>
      <c r="L766" s="37"/>
      <c r="M766" s="37"/>
      <c r="N766" s="37"/>
      <c r="O766" s="37"/>
      <c r="P766" s="37"/>
      <c r="Q766" s="18">
        <v>2.717E-2</v>
      </c>
      <c r="R766" s="18">
        <v>1.8525E-4</v>
      </c>
      <c r="S766" s="18">
        <v>5.1869999999999999E-2</v>
      </c>
      <c r="T766" s="18">
        <v>0.2223</v>
      </c>
      <c r="U766" s="18">
        <v>0.11115</v>
      </c>
      <c r="V766" s="18">
        <v>1.42272</v>
      </c>
      <c r="W766" s="18">
        <v>1.3338000000000001</v>
      </c>
      <c r="X766" s="18">
        <v>0.88919999999999999</v>
      </c>
      <c r="Y766" s="18">
        <v>3.952E-2</v>
      </c>
      <c r="Z766" s="18">
        <v>0.17537</v>
      </c>
      <c r="AA766" s="18">
        <v>0.25688</v>
      </c>
      <c r="AB766" s="18">
        <v>0.45694999999999997</v>
      </c>
      <c r="AC766" s="18">
        <v>0.14079</v>
      </c>
      <c r="AD766" s="18">
        <v>0.74099999999999999</v>
      </c>
    </row>
    <row r="767" spans="2:30" x14ac:dyDescent="0.25">
      <c r="B767" t="s">
        <v>269</v>
      </c>
      <c r="C767" t="s">
        <v>105</v>
      </c>
      <c r="D767" t="s">
        <v>752</v>
      </c>
      <c r="E767" s="35">
        <v>0.9</v>
      </c>
      <c r="F767" s="35">
        <v>6.6</v>
      </c>
      <c r="G767" s="36">
        <v>2.47E-3</v>
      </c>
      <c r="H767" s="18">
        <v>4.4452980000000002</v>
      </c>
      <c r="I767" s="16" t="s">
        <v>746</v>
      </c>
      <c r="J767" s="16"/>
      <c r="K767" s="16"/>
      <c r="L767" s="37"/>
      <c r="M767" s="37"/>
      <c r="N767" s="37"/>
      <c r="O767" s="37"/>
      <c r="P767" s="37"/>
      <c r="Q767" s="18">
        <v>2.717E-2</v>
      </c>
      <c r="R767" s="18">
        <v>1.8525E-4</v>
      </c>
      <c r="S767" s="18">
        <v>5.1869999999999999E-2</v>
      </c>
      <c r="T767" s="18">
        <v>0.2223</v>
      </c>
      <c r="U767" s="18">
        <v>0.11115</v>
      </c>
      <c r="V767" s="18">
        <v>1.42272</v>
      </c>
      <c r="W767" s="18">
        <v>1.3338000000000001</v>
      </c>
      <c r="X767" s="18">
        <v>0.88919999999999999</v>
      </c>
      <c r="Y767" s="18">
        <v>3.952E-2</v>
      </c>
      <c r="Z767" s="18">
        <v>0.17537</v>
      </c>
      <c r="AA767" s="18">
        <v>0.25688</v>
      </c>
      <c r="AB767" s="18">
        <v>0.45694999999999997</v>
      </c>
      <c r="AC767" s="18">
        <v>0.14079</v>
      </c>
      <c r="AD767" s="18">
        <v>0.74099999999999999</v>
      </c>
    </row>
    <row r="768" spans="2:30" x14ac:dyDescent="0.25">
      <c r="B768" t="s">
        <v>269</v>
      </c>
      <c r="C768" t="s">
        <v>105</v>
      </c>
      <c r="D768" t="s">
        <v>752</v>
      </c>
      <c r="E768" s="35">
        <v>0.9</v>
      </c>
      <c r="F768" s="35">
        <v>6.6</v>
      </c>
      <c r="G768" s="36">
        <v>2.47E-3</v>
      </c>
      <c r="H768" s="18">
        <v>4.4452980000000002</v>
      </c>
      <c r="I768" s="16" t="s">
        <v>746</v>
      </c>
      <c r="J768" s="16"/>
      <c r="K768" s="16"/>
      <c r="L768" s="37"/>
      <c r="M768" s="37"/>
      <c r="N768" s="37"/>
      <c r="O768" s="37"/>
      <c r="P768" s="37"/>
      <c r="Q768" s="18">
        <v>2.717E-2</v>
      </c>
      <c r="R768" s="18">
        <v>1.8525E-4</v>
      </c>
      <c r="S768" s="18">
        <v>5.1869999999999999E-2</v>
      </c>
      <c r="T768" s="18">
        <v>0.2223</v>
      </c>
      <c r="U768" s="18">
        <v>0.11115</v>
      </c>
      <c r="V768" s="18">
        <v>1.42272</v>
      </c>
      <c r="W768" s="18">
        <v>1.3338000000000001</v>
      </c>
      <c r="X768" s="18">
        <v>0.88919999999999999</v>
      </c>
      <c r="Y768" s="18">
        <v>3.952E-2</v>
      </c>
      <c r="Z768" s="18">
        <v>0.17537</v>
      </c>
      <c r="AA768" s="18">
        <v>0.25688</v>
      </c>
      <c r="AB768" s="18">
        <v>0.45694999999999997</v>
      </c>
      <c r="AC768" s="18">
        <v>0.14079</v>
      </c>
      <c r="AD768" s="18">
        <v>0.74099999999999999</v>
      </c>
    </row>
    <row r="769" spans="2:30" x14ac:dyDescent="0.25">
      <c r="B769" t="s">
        <v>269</v>
      </c>
      <c r="C769" t="s">
        <v>105</v>
      </c>
      <c r="D769" t="s">
        <v>752</v>
      </c>
      <c r="E769" s="35">
        <v>0.9</v>
      </c>
      <c r="F769" s="35">
        <v>6.6</v>
      </c>
      <c r="G769" s="36">
        <v>2.47E-3</v>
      </c>
      <c r="H769" s="18">
        <v>4.4452980000000002</v>
      </c>
      <c r="I769" s="16" t="s">
        <v>746</v>
      </c>
      <c r="J769" s="16"/>
      <c r="K769" s="16"/>
      <c r="L769" s="37"/>
      <c r="M769" s="37"/>
      <c r="N769" s="37"/>
      <c r="O769" s="37"/>
      <c r="P769" s="37"/>
      <c r="Q769" s="18">
        <v>2.717E-2</v>
      </c>
      <c r="R769" s="18">
        <v>1.8525E-4</v>
      </c>
      <c r="S769" s="18">
        <v>5.1869999999999999E-2</v>
      </c>
      <c r="T769" s="18">
        <v>0.2223</v>
      </c>
      <c r="U769" s="18">
        <v>0.11115</v>
      </c>
      <c r="V769" s="18">
        <v>1.42272</v>
      </c>
      <c r="W769" s="18">
        <v>1.3338000000000001</v>
      </c>
      <c r="X769" s="18">
        <v>0.88919999999999999</v>
      </c>
      <c r="Y769" s="18">
        <v>3.952E-2</v>
      </c>
      <c r="Z769" s="18">
        <v>0.17537</v>
      </c>
      <c r="AA769" s="18">
        <v>0.25688</v>
      </c>
      <c r="AB769" s="18">
        <v>0.45694999999999997</v>
      </c>
      <c r="AC769" s="18">
        <v>0.14079</v>
      </c>
      <c r="AD769" s="18">
        <v>0.74099999999999999</v>
      </c>
    </row>
    <row r="770" spans="2:30" x14ac:dyDescent="0.25">
      <c r="B770" t="s">
        <v>269</v>
      </c>
      <c r="C770" t="s">
        <v>105</v>
      </c>
      <c r="D770" t="s">
        <v>752</v>
      </c>
      <c r="E770" s="35">
        <v>0.9</v>
      </c>
      <c r="F770" s="35">
        <v>6.6</v>
      </c>
      <c r="G770" s="36">
        <v>2.47E-3</v>
      </c>
      <c r="H770" s="18">
        <v>4.4452980000000002</v>
      </c>
      <c r="I770" s="16" t="s">
        <v>746</v>
      </c>
      <c r="J770" s="16"/>
      <c r="K770" s="16"/>
      <c r="L770" s="37"/>
      <c r="M770" s="37"/>
      <c r="N770" s="37"/>
      <c r="O770" s="37"/>
      <c r="P770" s="37"/>
      <c r="Q770" s="18">
        <v>2.717E-2</v>
      </c>
      <c r="R770" s="18">
        <v>1.8525E-4</v>
      </c>
      <c r="S770" s="18">
        <v>5.1869999999999999E-2</v>
      </c>
      <c r="T770" s="18">
        <v>0.2223</v>
      </c>
      <c r="U770" s="18">
        <v>0.11115</v>
      </c>
      <c r="V770" s="18">
        <v>1.42272</v>
      </c>
      <c r="W770" s="18">
        <v>1.3338000000000001</v>
      </c>
      <c r="X770" s="18">
        <v>0.88919999999999999</v>
      </c>
      <c r="Y770" s="18">
        <v>3.952E-2</v>
      </c>
      <c r="Z770" s="18">
        <v>0.17537</v>
      </c>
      <c r="AA770" s="18">
        <v>0.25688</v>
      </c>
      <c r="AB770" s="18">
        <v>0.45694999999999997</v>
      </c>
      <c r="AC770" s="18">
        <v>0.14079</v>
      </c>
      <c r="AD770" s="18">
        <v>0.74099999999999999</v>
      </c>
    </row>
    <row r="771" spans="2:30" x14ac:dyDescent="0.25">
      <c r="B771" t="s">
        <v>269</v>
      </c>
      <c r="C771" t="s">
        <v>105</v>
      </c>
      <c r="D771" t="s">
        <v>752</v>
      </c>
      <c r="E771" s="35">
        <v>0.9</v>
      </c>
      <c r="F771" s="35">
        <v>6.6</v>
      </c>
      <c r="G771" s="36">
        <v>2.47E-3</v>
      </c>
      <c r="H771" s="18">
        <v>4.4452980000000002</v>
      </c>
      <c r="I771" s="16" t="s">
        <v>746</v>
      </c>
      <c r="J771" s="16"/>
      <c r="K771" s="16"/>
      <c r="L771" s="37"/>
      <c r="M771" s="37"/>
      <c r="N771" s="37"/>
      <c r="O771" s="37"/>
      <c r="P771" s="37"/>
      <c r="Q771" s="18">
        <v>2.717E-2</v>
      </c>
      <c r="R771" s="18">
        <v>1.8525E-4</v>
      </c>
      <c r="S771" s="18">
        <v>5.1869999999999999E-2</v>
      </c>
      <c r="T771" s="18">
        <v>0.2223</v>
      </c>
      <c r="U771" s="18">
        <v>0.11115</v>
      </c>
      <c r="V771" s="18">
        <v>1.42272</v>
      </c>
      <c r="W771" s="18">
        <v>1.3338000000000001</v>
      </c>
      <c r="X771" s="18">
        <v>0.88919999999999999</v>
      </c>
      <c r="Y771" s="18">
        <v>3.952E-2</v>
      </c>
      <c r="Z771" s="18">
        <v>0.17537</v>
      </c>
      <c r="AA771" s="18">
        <v>0.25688</v>
      </c>
      <c r="AB771" s="18">
        <v>0.45694999999999997</v>
      </c>
      <c r="AC771" s="18">
        <v>0.14079</v>
      </c>
      <c r="AD771" s="18">
        <v>0.74099999999999999</v>
      </c>
    </row>
    <row r="772" spans="2:30" x14ac:dyDescent="0.25">
      <c r="B772" t="s">
        <v>269</v>
      </c>
      <c r="C772" t="s">
        <v>105</v>
      </c>
      <c r="D772" t="s">
        <v>752</v>
      </c>
      <c r="E772" s="35">
        <v>0.9</v>
      </c>
      <c r="F772" s="35">
        <v>6.6</v>
      </c>
      <c r="G772" s="36">
        <v>2.47E-3</v>
      </c>
      <c r="H772" s="18">
        <v>4.4452980000000002</v>
      </c>
      <c r="I772" s="16" t="s">
        <v>746</v>
      </c>
      <c r="J772" s="16"/>
      <c r="K772" s="16"/>
      <c r="L772" s="37"/>
      <c r="M772" s="37"/>
      <c r="N772" s="37"/>
      <c r="O772" s="37"/>
      <c r="P772" s="37"/>
      <c r="Q772" s="18">
        <v>2.717E-2</v>
      </c>
      <c r="R772" s="18">
        <v>1.8525E-4</v>
      </c>
      <c r="S772" s="18">
        <v>5.1869999999999999E-2</v>
      </c>
      <c r="T772" s="18">
        <v>0.2223</v>
      </c>
      <c r="U772" s="18">
        <v>0.11115</v>
      </c>
      <c r="V772" s="18">
        <v>1.42272</v>
      </c>
      <c r="W772" s="18">
        <v>1.3338000000000001</v>
      </c>
      <c r="X772" s="18">
        <v>0.88919999999999999</v>
      </c>
      <c r="Y772" s="18">
        <v>3.952E-2</v>
      </c>
      <c r="Z772" s="18">
        <v>0.17537</v>
      </c>
      <c r="AA772" s="18">
        <v>0.25688</v>
      </c>
      <c r="AB772" s="18">
        <v>0.45694999999999997</v>
      </c>
      <c r="AC772" s="18">
        <v>0.14079</v>
      </c>
      <c r="AD772" s="18">
        <v>0.74099999999999999</v>
      </c>
    </row>
    <row r="773" spans="2:30" x14ac:dyDescent="0.25">
      <c r="B773" t="s">
        <v>269</v>
      </c>
      <c r="C773" t="s">
        <v>105</v>
      </c>
      <c r="D773" t="s">
        <v>752</v>
      </c>
      <c r="E773" s="35">
        <v>0.9</v>
      </c>
      <c r="F773" s="35">
        <v>6.6</v>
      </c>
      <c r="G773" s="36">
        <v>2.47E-3</v>
      </c>
      <c r="H773" s="18">
        <v>4.4452980000000002</v>
      </c>
      <c r="I773" s="16" t="s">
        <v>746</v>
      </c>
      <c r="J773" s="16"/>
      <c r="K773" s="16"/>
      <c r="L773" s="37"/>
      <c r="M773" s="37"/>
      <c r="N773" s="37"/>
      <c r="O773" s="37"/>
      <c r="P773" s="37"/>
      <c r="Q773" s="18">
        <v>2.717E-2</v>
      </c>
      <c r="R773" s="18">
        <v>1.8525E-4</v>
      </c>
      <c r="S773" s="18">
        <v>5.1869999999999999E-2</v>
      </c>
      <c r="T773" s="18">
        <v>0.2223</v>
      </c>
      <c r="U773" s="18">
        <v>0.11115</v>
      </c>
      <c r="V773" s="18">
        <v>1.42272</v>
      </c>
      <c r="W773" s="18">
        <v>1.3338000000000001</v>
      </c>
      <c r="X773" s="18">
        <v>0.88919999999999999</v>
      </c>
      <c r="Y773" s="18">
        <v>3.952E-2</v>
      </c>
      <c r="Z773" s="18">
        <v>0.17537</v>
      </c>
      <c r="AA773" s="18">
        <v>0.25688</v>
      </c>
      <c r="AB773" s="18">
        <v>0.45694999999999997</v>
      </c>
      <c r="AC773" s="18">
        <v>0.14079</v>
      </c>
      <c r="AD773" s="18">
        <v>0.74099999999999999</v>
      </c>
    </row>
    <row r="774" spans="2:30" x14ac:dyDescent="0.25">
      <c r="B774" t="s">
        <v>269</v>
      </c>
      <c r="C774" t="s">
        <v>105</v>
      </c>
      <c r="D774" t="s">
        <v>752</v>
      </c>
      <c r="E774" s="35">
        <v>0.9</v>
      </c>
      <c r="F774" s="35">
        <v>6.6</v>
      </c>
      <c r="G774" s="36">
        <v>2.47E-3</v>
      </c>
      <c r="H774" s="18">
        <v>4.4452980000000002</v>
      </c>
      <c r="I774" s="16" t="s">
        <v>746</v>
      </c>
      <c r="J774" s="16"/>
      <c r="K774" s="16"/>
      <c r="L774" s="37"/>
      <c r="M774" s="37"/>
      <c r="N774" s="37"/>
      <c r="O774" s="37"/>
      <c r="P774" s="37"/>
      <c r="Q774" s="18">
        <v>2.717E-2</v>
      </c>
      <c r="R774" s="18">
        <v>1.8525E-4</v>
      </c>
      <c r="S774" s="18">
        <v>5.1869999999999999E-2</v>
      </c>
      <c r="T774" s="18">
        <v>0.2223</v>
      </c>
      <c r="U774" s="18">
        <v>0.11115</v>
      </c>
      <c r="V774" s="18">
        <v>1.42272</v>
      </c>
      <c r="W774" s="18">
        <v>1.3338000000000001</v>
      </c>
      <c r="X774" s="18">
        <v>0.88919999999999999</v>
      </c>
      <c r="Y774" s="18">
        <v>3.952E-2</v>
      </c>
      <c r="Z774" s="18">
        <v>0.17537</v>
      </c>
      <c r="AA774" s="18">
        <v>0.25688</v>
      </c>
      <c r="AB774" s="18">
        <v>0.45694999999999997</v>
      </c>
      <c r="AC774" s="18">
        <v>0.14079</v>
      </c>
      <c r="AD774" s="18">
        <v>0.74099999999999999</v>
      </c>
    </row>
    <row r="775" spans="2:30" x14ac:dyDescent="0.25">
      <c r="B775" t="s">
        <v>269</v>
      </c>
      <c r="C775" t="s">
        <v>105</v>
      </c>
      <c r="D775" t="s">
        <v>752</v>
      </c>
      <c r="E775" s="35">
        <v>0.9</v>
      </c>
      <c r="F775" s="35">
        <v>6.6</v>
      </c>
      <c r="G775" s="36">
        <v>2.47E-3</v>
      </c>
      <c r="H775" s="18">
        <v>4.4452980000000002</v>
      </c>
      <c r="I775" s="16" t="s">
        <v>746</v>
      </c>
      <c r="J775" s="16"/>
      <c r="K775" s="16"/>
      <c r="L775" s="37"/>
      <c r="M775" s="37"/>
      <c r="N775" s="37"/>
      <c r="O775" s="37"/>
      <c r="P775" s="37"/>
      <c r="Q775" s="18">
        <v>2.717E-2</v>
      </c>
      <c r="R775" s="18">
        <v>1.8525E-4</v>
      </c>
      <c r="S775" s="18">
        <v>5.1869999999999999E-2</v>
      </c>
      <c r="T775" s="18">
        <v>0.2223</v>
      </c>
      <c r="U775" s="18">
        <v>0.11115</v>
      </c>
      <c r="V775" s="18">
        <v>1.42272</v>
      </c>
      <c r="W775" s="18">
        <v>1.3338000000000001</v>
      </c>
      <c r="X775" s="18">
        <v>0.88919999999999999</v>
      </c>
      <c r="Y775" s="18">
        <v>3.952E-2</v>
      </c>
      <c r="Z775" s="18">
        <v>0.17537</v>
      </c>
      <c r="AA775" s="18">
        <v>0.25688</v>
      </c>
      <c r="AB775" s="18">
        <v>0.45694999999999997</v>
      </c>
      <c r="AC775" s="18">
        <v>0.14079</v>
      </c>
      <c r="AD775" s="18">
        <v>0.74099999999999999</v>
      </c>
    </row>
    <row r="776" spans="2:30" x14ac:dyDescent="0.25">
      <c r="B776" t="s">
        <v>269</v>
      </c>
      <c r="C776" t="s">
        <v>105</v>
      </c>
      <c r="D776" t="s">
        <v>752</v>
      </c>
      <c r="E776" s="35">
        <v>0.9</v>
      </c>
      <c r="F776" s="35">
        <v>6.6</v>
      </c>
      <c r="G776" s="36">
        <v>2.47E-3</v>
      </c>
      <c r="H776" s="18">
        <v>4.4452980000000002</v>
      </c>
      <c r="I776" s="16" t="s">
        <v>746</v>
      </c>
      <c r="J776" s="16"/>
      <c r="K776" s="16"/>
      <c r="L776" s="37"/>
      <c r="M776" s="37"/>
      <c r="N776" s="37"/>
      <c r="O776" s="37"/>
      <c r="P776" s="37"/>
      <c r="Q776" s="18">
        <v>2.717E-2</v>
      </c>
      <c r="R776" s="18">
        <v>1.8525E-4</v>
      </c>
      <c r="S776" s="18">
        <v>5.1869999999999999E-2</v>
      </c>
      <c r="T776" s="18">
        <v>0.2223</v>
      </c>
      <c r="U776" s="18">
        <v>0.11115</v>
      </c>
      <c r="V776" s="18">
        <v>1.42272</v>
      </c>
      <c r="W776" s="18">
        <v>1.3338000000000001</v>
      </c>
      <c r="X776" s="18">
        <v>0.88919999999999999</v>
      </c>
      <c r="Y776" s="18">
        <v>3.952E-2</v>
      </c>
      <c r="Z776" s="18">
        <v>0.17537</v>
      </c>
      <c r="AA776" s="18">
        <v>0.25688</v>
      </c>
      <c r="AB776" s="18">
        <v>0.45694999999999997</v>
      </c>
      <c r="AC776" s="18">
        <v>0.14079</v>
      </c>
      <c r="AD776" s="18">
        <v>0.74099999999999999</v>
      </c>
    </row>
    <row r="777" spans="2:30" x14ac:dyDescent="0.25">
      <c r="B777" t="s">
        <v>269</v>
      </c>
      <c r="C777" t="s">
        <v>105</v>
      </c>
      <c r="D777" t="s">
        <v>752</v>
      </c>
      <c r="E777" s="35">
        <v>0.9</v>
      </c>
      <c r="F777" s="35">
        <v>6.6</v>
      </c>
      <c r="G777" s="36">
        <v>2.47E-3</v>
      </c>
      <c r="H777" s="18">
        <v>4.4452980000000002</v>
      </c>
      <c r="I777" s="16" t="s">
        <v>746</v>
      </c>
      <c r="J777" s="16"/>
      <c r="K777" s="16"/>
      <c r="L777" s="37"/>
      <c r="M777" s="37"/>
      <c r="N777" s="37"/>
      <c r="O777" s="37"/>
      <c r="P777" s="37"/>
      <c r="Q777" s="18">
        <v>2.717E-2</v>
      </c>
      <c r="R777" s="18">
        <v>1.8525E-4</v>
      </c>
      <c r="S777" s="18">
        <v>5.1869999999999999E-2</v>
      </c>
      <c r="T777" s="18">
        <v>0.2223</v>
      </c>
      <c r="U777" s="18">
        <v>0.11115</v>
      </c>
      <c r="V777" s="18">
        <v>1.42272</v>
      </c>
      <c r="W777" s="18">
        <v>1.3338000000000001</v>
      </c>
      <c r="X777" s="18">
        <v>0.88919999999999999</v>
      </c>
      <c r="Y777" s="18">
        <v>3.952E-2</v>
      </c>
      <c r="Z777" s="18">
        <v>0.17537</v>
      </c>
      <c r="AA777" s="18">
        <v>0.25688</v>
      </c>
      <c r="AB777" s="18">
        <v>0.45694999999999997</v>
      </c>
      <c r="AC777" s="18">
        <v>0.14079</v>
      </c>
      <c r="AD777" s="18">
        <v>0.74099999999999999</v>
      </c>
    </row>
    <row r="778" spans="2:30" x14ac:dyDescent="0.25">
      <c r="B778" t="s">
        <v>269</v>
      </c>
      <c r="C778" t="s">
        <v>105</v>
      </c>
      <c r="D778" t="s">
        <v>752</v>
      </c>
      <c r="E778" s="35">
        <v>0.9</v>
      </c>
      <c r="F778" s="35">
        <v>6.6</v>
      </c>
      <c r="G778" s="36">
        <v>2.47E-3</v>
      </c>
      <c r="H778" s="18">
        <v>4.4452980000000002</v>
      </c>
      <c r="I778" s="16" t="s">
        <v>746</v>
      </c>
      <c r="J778" s="16"/>
      <c r="K778" s="16"/>
      <c r="L778" s="37"/>
      <c r="M778" s="37"/>
      <c r="N778" s="37"/>
      <c r="O778" s="37"/>
      <c r="P778" s="37"/>
      <c r="Q778" s="18">
        <v>2.717E-2</v>
      </c>
      <c r="R778" s="18">
        <v>1.8525E-4</v>
      </c>
      <c r="S778" s="18">
        <v>5.1869999999999999E-2</v>
      </c>
      <c r="T778" s="18">
        <v>0.2223</v>
      </c>
      <c r="U778" s="18">
        <v>0.11115</v>
      </c>
      <c r="V778" s="18">
        <v>1.42272</v>
      </c>
      <c r="W778" s="18">
        <v>1.3338000000000001</v>
      </c>
      <c r="X778" s="18">
        <v>0.88919999999999999</v>
      </c>
      <c r="Y778" s="18">
        <v>3.952E-2</v>
      </c>
      <c r="Z778" s="18">
        <v>0.17537</v>
      </c>
      <c r="AA778" s="18">
        <v>0.25688</v>
      </c>
      <c r="AB778" s="18">
        <v>0.45694999999999997</v>
      </c>
      <c r="AC778" s="18">
        <v>0.14079</v>
      </c>
      <c r="AD778" s="18">
        <v>0.74099999999999999</v>
      </c>
    </row>
    <row r="779" spans="2:30" x14ac:dyDescent="0.25">
      <c r="B779" t="s">
        <v>269</v>
      </c>
      <c r="C779" t="s">
        <v>105</v>
      </c>
      <c r="D779" t="s">
        <v>752</v>
      </c>
      <c r="E779" s="35">
        <v>0.9</v>
      </c>
      <c r="F779" s="35">
        <v>6.6</v>
      </c>
      <c r="G779" s="36">
        <v>2.47E-3</v>
      </c>
      <c r="H779" s="18">
        <v>4.4452980000000002</v>
      </c>
      <c r="I779" s="16" t="s">
        <v>746</v>
      </c>
      <c r="J779" s="16"/>
      <c r="K779" s="16"/>
      <c r="L779" s="37"/>
      <c r="M779" s="37"/>
      <c r="N779" s="37"/>
      <c r="O779" s="37"/>
      <c r="P779" s="37"/>
      <c r="Q779" s="18">
        <v>2.717E-2</v>
      </c>
      <c r="R779" s="18">
        <v>1.8525E-4</v>
      </c>
      <c r="S779" s="18">
        <v>5.1869999999999999E-2</v>
      </c>
      <c r="T779" s="18">
        <v>0.2223</v>
      </c>
      <c r="U779" s="18">
        <v>0.11115</v>
      </c>
      <c r="V779" s="18">
        <v>1.42272</v>
      </c>
      <c r="W779" s="18">
        <v>1.3338000000000001</v>
      </c>
      <c r="X779" s="18">
        <v>0.88919999999999999</v>
      </c>
      <c r="Y779" s="18">
        <v>3.952E-2</v>
      </c>
      <c r="Z779" s="18">
        <v>0.17537</v>
      </c>
      <c r="AA779" s="18">
        <v>0.25688</v>
      </c>
      <c r="AB779" s="18">
        <v>0.45694999999999997</v>
      </c>
      <c r="AC779" s="18">
        <v>0.14079</v>
      </c>
      <c r="AD779" s="18">
        <v>0.74099999999999999</v>
      </c>
    </row>
    <row r="780" spans="2:30" x14ac:dyDescent="0.25">
      <c r="B780" t="s">
        <v>269</v>
      </c>
      <c r="C780" t="s">
        <v>105</v>
      </c>
      <c r="D780" t="s">
        <v>752</v>
      </c>
      <c r="E780" s="35">
        <v>0.9</v>
      </c>
      <c r="F780" s="35">
        <v>6.6</v>
      </c>
      <c r="G780" s="36">
        <v>2.47E-3</v>
      </c>
      <c r="H780" s="18">
        <v>4.4452980000000002</v>
      </c>
      <c r="I780" s="16" t="s">
        <v>746</v>
      </c>
      <c r="J780" s="16"/>
      <c r="K780" s="16"/>
      <c r="L780" s="37"/>
      <c r="M780" s="37"/>
      <c r="N780" s="37"/>
      <c r="O780" s="37"/>
      <c r="P780" s="37"/>
      <c r="Q780" s="18">
        <v>2.717E-2</v>
      </c>
      <c r="R780" s="18">
        <v>1.8525E-4</v>
      </c>
      <c r="S780" s="18">
        <v>5.1869999999999999E-2</v>
      </c>
      <c r="T780" s="18">
        <v>0.2223</v>
      </c>
      <c r="U780" s="18">
        <v>0.11115</v>
      </c>
      <c r="V780" s="18">
        <v>1.42272</v>
      </c>
      <c r="W780" s="18">
        <v>1.3338000000000001</v>
      </c>
      <c r="X780" s="18">
        <v>0.88919999999999999</v>
      </c>
      <c r="Y780" s="18">
        <v>3.952E-2</v>
      </c>
      <c r="Z780" s="18">
        <v>0.17537</v>
      </c>
      <c r="AA780" s="18">
        <v>0.25688</v>
      </c>
      <c r="AB780" s="18">
        <v>0.45694999999999997</v>
      </c>
      <c r="AC780" s="18">
        <v>0.14079</v>
      </c>
      <c r="AD780" s="18">
        <v>0.74099999999999999</v>
      </c>
    </row>
    <row r="781" spans="2:30" x14ac:dyDescent="0.25">
      <c r="B781" t="s">
        <v>269</v>
      </c>
      <c r="C781" t="s">
        <v>105</v>
      </c>
      <c r="D781" t="s">
        <v>752</v>
      </c>
      <c r="E781" s="35">
        <v>0.9</v>
      </c>
      <c r="F781" s="35">
        <v>6.6</v>
      </c>
      <c r="G781" s="36">
        <v>2.47E-3</v>
      </c>
      <c r="H781" s="18">
        <v>4.4452980000000002</v>
      </c>
      <c r="I781" s="16" t="s">
        <v>746</v>
      </c>
      <c r="J781" s="16"/>
      <c r="K781" s="16"/>
      <c r="L781" s="37"/>
      <c r="M781" s="37"/>
      <c r="N781" s="37"/>
      <c r="O781" s="37"/>
      <c r="P781" s="37"/>
      <c r="Q781" s="18">
        <v>2.717E-2</v>
      </c>
      <c r="R781" s="18">
        <v>1.8525E-4</v>
      </c>
      <c r="S781" s="18">
        <v>5.1869999999999999E-2</v>
      </c>
      <c r="T781" s="18">
        <v>0.2223</v>
      </c>
      <c r="U781" s="18">
        <v>0.11115</v>
      </c>
      <c r="V781" s="18">
        <v>1.42272</v>
      </c>
      <c r="W781" s="18">
        <v>1.3338000000000001</v>
      </c>
      <c r="X781" s="18">
        <v>0.88919999999999999</v>
      </c>
      <c r="Y781" s="18">
        <v>3.952E-2</v>
      </c>
      <c r="Z781" s="18">
        <v>0.17537</v>
      </c>
      <c r="AA781" s="18">
        <v>0.25688</v>
      </c>
      <c r="AB781" s="18">
        <v>0.45694999999999997</v>
      </c>
      <c r="AC781" s="18">
        <v>0.14079</v>
      </c>
      <c r="AD781" s="18">
        <v>0.74099999999999999</v>
      </c>
    </row>
    <row r="782" spans="2:30" x14ac:dyDescent="0.25">
      <c r="B782" t="s">
        <v>269</v>
      </c>
      <c r="C782" t="s">
        <v>105</v>
      </c>
      <c r="D782" t="s">
        <v>752</v>
      </c>
      <c r="E782" s="35">
        <v>0.9</v>
      </c>
      <c r="F782" s="35">
        <v>6.6</v>
      </c>
      <c r="G782" s="36">
        <v>2.47E-3</v>
      </c>
      <c r="H782" s="18">
        <v>4.4452980000000002</v>
      </c>
      <c r="I782" s="16" t="s">
        <v>746</v>
      </c>
      <c r="J782" s="16"/>
      <c r="K782" s="16"/>
      <c r="L782" s="37"/>
      <c r="M782" s="37"/>
      <c r="N782" s="37"/>
      <c r="O782" s="37"/>
      <c r="P782" s="37"/>
      <c r="Q782" s="18">
        <v>2.717E-2</v>
      </c>
      <c r="R782" s="18">
        <v>1.8525E-4</v>
      </c>
      <c r="S782" s="18">
        <v>5.1869999999999999E-2</v>
      </c>
      <c r="T782" s="18">
        <v>0.2223</v>
      </c>
      <c r="U782" s="18">
        <v>0.11115</v>
      </c>
      <c r="V782" s="18">
        <v>1.42272</v>
      </c>
      <c r="W782" s="18">
        <v>1.3338000000000001</v>
      </c>
      <c r="X782" s="18">
        <v>0.88919999999999999</v>
      </c>
      <c r="Y782" s="18">
        <v>3.952E-2</v>
      </c>
      <c r="Z782" s="18">
        <v>0.17537</v>
      </c>
      <c r="AA782" s="18">
        <v>0.25688</v>
      </c>
      <c r="AB782" s="18">
        <v>0.45694999999999997</v>
      </c>
      <c r="AC782" s="18">
        <v>0.14079</v>
      </c>
      <c r="AD782" s="18">
        <v>0.74099999999999999</v>
      </c>
    </row>
    <row r="783" spans="2:30" x14ac:dyDescent="0.25">
      <c r="B783" t="s">
        <v>269</v>
      </c>
      <c r="C783" t="s">
        <v>105</v>
      </c>
      <c r="D783" t="s">
        <v>752</v>
      </c>
      <c r="E783" s="35">
        <v>0.9</v>
      </c>
      <c r="F783" s="35">
        <v>6.6</v>
      </c>
      <c r="G783" s="36">
        <v>2.47E-3</v>
      </c>
      <c r="H783" s="18">
        <v>4.4452980000000002</v>
      </c>
      <c r="I783" s="16" t="s">
        <v>746</v>
      </c>
      <c r="J783" s="16"/>
      <c r="K783" s="16"/>
      <c r="L783" s="37"/>
      <c r="M783" s="37"/>
      <c r="N783" s="37"/>
      <c r="O783" s="37"/>
      <c r="P783" s="37"/>
      <c r="Q783" s="18">
        <v>2.717E-2</v>
      </c>
      <c r="R783" s="18">
        <v>1.8525E-4</v>
      </c>
      <c r="S783" s="18">
        <v>5.1869999999999999E-2</v>
      </c>
      <c r="T783" s="18">
        <v>0.2223</v>
      </c>
      <c r="U783" s="18">
        <v>0.11115</v>
      </c>
      <c r="V783" s="18">
        <v>1.42272</v>
      </c>
      <c r="W783" s="18">
        <v>1.3338000000000001</v>
      </c>
      <c r="X783" s="18">
        <v>0.88919999999999999</v>
      </c>
      <c r="Y783" s="18">
        <v>3.952E-2</v>
      </c>
      <c r="Z783" s="18">
        <v>0.17537</v>
      </c>
      <c r="AA783" s="18">
        <v>0.25688</v>
      </c>
      <c r="AB783" s="18">
        <v>0.45694999999999997</v>
      </c>
      <c r="AC783" s="18">
        <v>0.14079</v>
      </c>
      <c r="AD783" s="18">
        <v>0.74099999999999999</v>
      </c>
    </row>
    <row r="784" spans="2:30" x14ac:dyDescent="0.25">
      <c r="B784" t="s">
        <v>269</v>
      </c>
      <c r="C784" t="s">
        <v>105</v>
      </c>
      <c r="D784" t="s">
        <v>752</v>
      </c>
      <c r="E784" s="35">
        <v>0.9</v>
      </c>
      <c r="F784" s="35">
        <v>6.6</v>
      </c>
      <c r="G784" s="36">
        <v>2.47E-3</v>
      </c>
      <c r="H784" s="18">
        <v>4.4452980000000002</v>
      </c>
      <c r="I784" s="16" t="s">
        <v>746</v>
      </c>
      <c r="J784" s="16"/>
      <c r="K784" s="16"/>
      <c r="L784" s="37"/>
      <c r="M784" s="37"/>
      <c r="N784" s="37"/>
      <c r="O784" s="37"/>
      <c r="P784" s="37"/>
      <c r="Q784" s="18">
        <v>2.717E-2</v>
      </c>
      <c r="R784" s="18">
        <v>1.8525E-4</v>
      </c>
      <c r="S784" s="18">
        <v>5.1869999999999999E-2</v>
      </c>
      <c r="T784" s="18">
        <v>0.2223</v>
      </c>
      <c r="U784" s="18">
        <v>0.11115</v>
      </c>
      <c r="V784" s="18">
        <v>1.42272</v>
      </c>
      <c r="W784" s="18">
        <v>1.3338000000000001</v>
      </c>
      <c r="X784" s="18">
        <v>0.88919999999999999</v>
      </c>
      <c r="Y784" s="18">
        <v>3.952E-2</v>
      </c>
      <c r="Z784" s="18">
        <v>0.17537</v>
      </c>
      <c r="AA784" s="18">
        <v>0.25688</v>
      </c>
      <c r="AB784" s="18">
        <v>0.45694999999999997</v>
      </c>
      <c r="AC784" s="18">
        <v>0.14079</v>
      </c>
      <c r="AD784" s="18">
        <v>0.74099999999999999</v>
      </c>
    </row>
    <row r="785" spans="2:30" x14ac:dyDescent="0.25">
      <c r="B785" t="s">
        <v>269</v>
      </c>
      <c r="C785" t="s">
        <v>105</v>
      </c>
      <c r="D785" t="s">
        <v>752</v>
      </c>
      <c r="E785" s="35">
        <v>0.9</v>
      </c>
      <c r="F785" s="35">
        <v>6.6</v>
      </c>
      <c r="G785" s="36">
        <v>2.47E-3</v>
      </c>
      <c r="H785" s="18">
        <v>4.4452980000000002</v>
      </c>
      <c r="I785" s="16" t="s">
        <v>746</v>
      </c>
      <c r="J785" s="16"/>
      <c r="K785" s="16"/>
      <c r="L785" s="37"/>
      <c r="M785" s="37"/>
      <c r="N785" s="37"/>
      <c r="O785" s="37"/>
      <c r="P785" s="37"/>
      <c r="Q785" s="18">
        <v>2.717E-2</v>
      </c>
      <c r="R785" s="18">
        <v>1.8525E-4</v>
      </c>
      <c r="S785" s="18">
        <v>5.1869999999999999E-2</v>
      </c>
      <c r="T785" s="18">
        <v>0.2223</v>
      </c>
      <c r="U785" s="18">
        <v>0.11115</v>
      </c>
      <c r="V785" s="18">
        <v>1.42272</v>
      </c>
      <c r="W785" s="18">
        <v>1.3338000000000001</v>
      </c>
      <c r="X785" s="18">
        <v>0.88919999999999999</v>
      </c>
      <c r="Y785" s="18">
        <v>3.952E-2</v>
      </c>
      <c r="Z785" s="18">
        <v>0.17537</v>
      </c>
      <c r="AA785" s="18">
        <v>0.25688</v>
      </c>
      <c r="AB785" s="18">
        <v>0.45694999999999997</v>
      </c>
      <c r="AC785" s="18">
        <v>0.14079</v>
      </c>
      <c r="AD785" s="18">
        <v>0.74099999999999999</v>
      </c>
    </row>
    <row r="786" spans="2:30" x14ac:dyDescent="0.25">
      <c r="B786" t="s">
        <v>269</v>
      </c>
      <c r="C786" t="s">
        <v>105</v>
      </c>
      <c r="D786" t="s">
        <v>752</v>
      </c>
      <c r="E786" s="35">
        <v>0.9</v>
      </c>
      <c r="F786" s="35">
        <v>6.6</v>
      </c>
      <c r="G786" s="36">
        <v>2.47E-3</v>
      </c>
      <c r="H786" s="18">
        <v>4.4452980000000002</v>
      </c>
      <c r="I786" s="16" t="s">
        <v>746</v>
      </c>
      <c r="J786" s="16"/>
      <c r="K786" s="16"/>
      <c r="L786" s="37"/>
      <c r="M786" s="37"/>
      <c r="N786" s="37"/>
      <c r="O786" s="37"/>
      <c r="P786" s="37"/>
      <c r="Q786" s="18">
        <v>2.717E-2</v>
      </c>
      <c r="R786" s="18">
        <v>1.8525E-4</v>
      </c>
      <c r="S786" s="18">
        <v>5.1869999999999999E-2</v>
      </c>
      <c r="T786" s="18">
        <v>0.2223</v>
      </c>
      <c r="U786" s="18">
        <v>0.11115</v>
      </c>
      <c r="V786" s="18">
        <v>1.42272</v>
      </c>
      <c r="W786" s="18">
        <v>1.3338000000000001</v>
      </c>
      <c r="X786" s="18">
        <v>0.88919999999999999</v>
      </c>
      <c r="Y786" s="18">
        <v>3.952E-2</v>
      </c>
      <c r="Z786" s="18">
        <v>0.17537</v>
      </c>
      <c r="AA786" s="18">
        <v>0.25688</v>
      </c>
      <c r="AB786" s="18">
        <v>0.45694999999999997</v>
      </c>
      <c r="AC786" s="18">
        <v>0.14079</v>
      </c>
      <c r="AD786" s="18">
        <v>0.74099999999999999</v>
      </c>
    </row>
    <row r="787" spans="2:30" x14ac:dyDescent="0.25">
      <c r="B787" t="s">
        <v>269</v>
      </c>
      <c r="C787" t="s">
        <v>105</v>
      </c>
      <c r="D787" t="s">
        <v>752</v>
      </c>
      <c r="E787" s="35">
        <v>0.9</v>
      </c>
      <c r="F787" s="35">
        <v>6.6</v>
      </c>
      <c r="G787" s="36">
        <v>2.47E-3</v>
      </c>
      <c r="H787" s="18">
        <v>4.4452980000000002</v>
      </c>
      <c r="I787" s="16" t="s">
        <v>746</v>
      </c>
      <c r="J787" s="16"/>
      <c r="K787" s="16"/>
      <c r="L787" s="37"/>
      <c r="M787" s="37"/>
      <c r="N787" s="37"/>
      <c r="O787" s="37"/>
      <c r="P787" s="37"/>
      <c r="Q787" s="18">
        <v>2.717E-2</v>
      </c>
      <c r="R787" s="18">
        <v>1.8525E-4</v>
      </c>
      <c r="S787" s="18">
        <v>5.1869999999999999E-2</v>
      </c>
      <c r="T787" s="18">
        <v>0.2223</v>
      </c>
      <c r="U787" s="18">
        <v>0.11115</v>
      </c>
      <c r="V787" s="18">
        <v>1.42272</v>
      </c>
      <c r="W787" s="18">
        <v>1.3338000000000001</v>
      </c>
      <c r="X787" s="18">
        <v>0.88919999999999999</v>
      </c>
      <c r="Y787" s="18">
        <v>3.952E-2</v>
      </c>
      <c r="Z787" s="18">
        <v>0.17537</v>
      </c>
      <c r="AA787" s="18">
        <v>0.25688</v>
      </c>
      <c r="AB787" s="18">
        <v>0.45694999999999997</v>
      </c>
      <c r="AC787" s="18">
        <v>0.14079</v>
      </c>
      <c r="AD787" s="18">
        <v>0.74099999999999999</v>
      </c>
    </row>
    <row r="788" spans="2:30" x14ac:dyDescent="0.25">
      <c r="B788" t="s">
        <v>269</v>
      </c>
      <c r="C788" t="s">
        <v>105</v>
      </c>
      <c r="D788" t="s">
        <v>752</v>
      </c>
      <c r="E788" s="35">
        <v>0.9</v>
      </c>
      <c r="F788" s="35">
        <v>6.6</v>
      </c>
      <c r="G788" s="36">
        <v>2.47E-3</v>
      </c>
      <c r="H788" s="18">
        <v>4.4452980000000002</v>
      </c>
      <c r="I788" s="16" t="s">
        <v>746</v>
      </c>
      <c r="J788" s="16"/>
      <c r="K788" s="16"/>
      <c r="L788" s="37"/>
      <c r="M788" s="37"/>
      <c r="N788" s="37"/>
      <c r="O788" s="37"/>
      <c r="P788" s="37"/>
      <c r="Q788" s="18">
        <v>2.717E-2</v>
      </c>
      <c r="R788" s="18">
        <v>1.8525E-4</v>
      </c>
      <c r="S788" s="18">
        <v>5.1869999999999999E-2</v>
      </c>
      <c r="T788" s="18">
        <v>0.2223</v>
      </c>
      <c r="U788" s="18">
        <v>0.11115</v>
      </c>
      <c r="V788" s="18">
        <v>1.42272</v>
      </c>
      <c r="W788" s="18">
        <v>1.3338000000000001</v>
      </c>
      <c r="X788" s="18">
        <v>0.88919999999999999</v>
      </c>
      <c r="Y788" s="18">
        <v>3.952E-2</v>
      </c>
      <c r="Z788" s="18">
        <v>0.17537</v>
      </c>
      <c r="AA788" s="18">
        <v>0.25688</v>
      </c>
      <c r="AB788" s="18">
        <v>0.45694999999999997</v>
      </c>
      <c r="AC788" s="18">
        <v>0.14079</v>
      </c>
      <c r="AD788" s="18">
        <v>0.74099999999999999</v>
      </c>
    </row>
    <row r="789" spans="2:30" x14ac:dyDescent="0.25">
      <c r="B789" t="s">
        <v>269</v>
      </c>
      <c r="C789" t="s">
        <v>105</v>
      </c>
      <c r="D789" t="s">
        <v>752</v>
      </c>
      <c r="E789" s="35">
        <v>0.9</v>
      </c>
      <c r="F789" s="35">
        <v>6.6</v>
      </c>
      <c r="G789" s="36">
        <v>2.47E-3</v>
      </c>
      <c r="H789" s="18">
        <v>4.4452980000000002</v>
      </c>
      <c r="I789" s="16" t="s">
        <v>746</v>
      </c>
      <c r="J789" s="16"/>
      <c r="K789" s="16"/>
      <c r="L789" s="37"/>
      <c r="M789" s="37"/>
      <c r="N789" s="37"/>
      <c r="O789" s="37"/>
      <c r="P789" s="37"/>
      <c r="Q789" s="18">
        <v>2.717E-2</v>
      </c>
      <c r="R789" s="18">
        <v>1.8525E-4</v>
      </c>
      <c r="S789" s="18">
        <v>5.1869999999999999E-2</v>
      </c>
      <c r="T789" s="18">
        <v>0.2223</v>
      </c>
      <c r="U789" s="18">
        <v>0.11115</v>
      </c>
      <c r="V789" s="18">
        <v>1.42272</v>
      </c>
      <c r="W789" s="18">
        <v>1.3338000000000001</v>
      </c>
      <c r="X789" s="18">
        <v>0.88919999999999999</v>
      </c>
      <c r="Y789" s="18">
        <v>3.952E-2</v>
      </c>
      <c r="Z789" s="18">
        <v>0.17537</v>
      </c>
      <c r="AA789" s="18">
        <v>0.25688</v>
      </c>
      <c r="AB789" s="18">
        <v>0.45694999999999997</v>
      </c>
      <c r="AC789" s="18">
        <v>0.14079</v>
      </c>
      <c r="AD789" s="18">
        <v>0.74099999999999999</v>
      </c>
    </row>
    <row r="790" spans="2:30" x14ac:dyDescent="0.25">
      <c r="B790" t="s">
        <v>269</v>
      </c>
      <c r="C790" t="s">
        <v>105</v>
      </c>
      <c r="D790" t="s">
        <v>752</v>
      </c>
      <c r="E790" s="35">
        <v>0.9</v>
      </c>
      <c r="F790" s="35">
        <v>6.6</v>
      </c>
      <c r="G790" s="36">
        <v>2.47E-3</v>
      </c>
      <c r="H790" s="18">
        <v>4.4452980000000002</v>
      </c>
      <c r="I790" s="16" t="s">
        <v>746</v>
      </c>
      <c r="J790" s="16"/>
      <c r="K790" s="16"/>
      <c r="L790" s="37"/>
      <c r="M790" s="37"/>
      <c r="N790" s="37"/>
      <c r="O790" s="37"/>
      <c r="P790" s="37"/>
      <c r="Q790" s="18">
        <v>2.717E-2</v>
      </c>
      <c r="R790" s="18">
        <v>1.8525E-4</v>
      </c>
      <c r="S790" s="18">
        <v>5.1869999999999999E-2</v>
      </c>
      <c r="T790" s="18">
        <v>0.2223</v>
      </c>
      <c r="U790" s="18">
        <v>0.11115</v>
      </c>
      <c r="V790" s="18">
        <v>1.42272</v>
      </c>
      <c r="W790" s="18">
        <v>1.3338000000000001</v>
      </c>
      <c r="X790" s="18">
        <v>0.88919999999999999</v>
      </c>
      <c r="Y790" s="18">
        <v>3.952E-2</v>
      </c>
      <c r="Z790" s="18">
        <v>0.17537</v>
      </c>
      <c r="AA790" s="18">
        <v>0.25688</v>
      </c>
      <c r="AB790" s="18">
        <v>0.45694999999999997</v>
      </c>
      <c r="AC790" s="18">
        <v>0.14079</v>
      </c>
      <c r="AD790" s="18">
        <v>0.74099999999999999</v>
      </c>
    </row>
    <row r="791" spans="2:30" x14ac:dyDescent="0.25">
      <c r="B791" t="s">
        <v>269</v>
      </c>
      <c r="C791" t="s">
        <v>105</v>
      </c>
      <c r="D791" t="s">
        <v>752</v>
      </c>
      <c r="E791" s="35">
        <v>0.9</v>
      </c>
      <c r="F791" s="35">
        <v>6.6</v>
      </c>
      <c r="G791" s="36">
        <v>2.47E-3</v>
      </c>
      <c r="H791" s="18">
        <v>4.4452980000000002</v>
      </c>
      <c r="I791" s="16" t="s">
        <v>746</v>
      </c>
      <c r="J791" s="16"/>
      <c r="K791" s="16"/>
      <c r="L791" s="37"/>
      <c r="M791" s="37"/>
      <c r="N791" s="37"/>
      <c r="O791" s="37"/>
      <c r="P791" s="37"/>
      <c r="Q791" s="18">
        <v>2.717E-2</v>
      </c>
      <c r="R791" s="18">
        <v>1.8525E-4</v>
      </c>
      <c r="S791" s="18">
        <v>5.1869999999999999E-2</v>
      </c>
      <c r="T791" s="18">
        <v>0.2223</v>
      </c>
      <c r="U791" s="18">
        <v>0.11115</v>
      </c>
      <c r="V791" s="18">
        <v>1.42272</v>
      </c>
      <c r="W791" s="18">
        <v>1.3338000000000001</v>
      </c>
      <c r="X791" s="18">
        <v>0.88919999999999999</v>
      </c>
      <c r="Y791" s="18">
        <v>3.952E-2</v>
      </c>
      <c r="Z791" s="18">
        <v>0.17537</v>
      </c>
      <c r="AA791" s="18">
        <v>0.25688</v>
      </c>
      <c r="AB791" s="18">
        <v>0.45694999999999997</v>
      </c>
      <c r="AC791" s="18">
        <v>0.14079</v>
      </c>
      <c r="AD791" s="18">
        <v>0.74099999999999999</v>
      </c>
    </row>
    <row r="792" spans="2:30" x14ac:dyDescent="0.25">
      <c r="B792" t="s">
        <v>269</v>
      </c>
      <c r="C792" t="s">
        <v>105</v>
      </c>
      <c r="D792" t="s">
        <v>752</v>
      </c>
      <c r="E792" s="35">
        <v>0.9</v>
      </c>
      <c r="F792" s="35">
        <v>6.6</v>
      </c>
      <c r="G792" s="36">
        <v>2.47E-3</v>
      </c>
      <c r="H792" s="18">
        <v>4.4452980000000002</v>
      </c>
      <c r="I792" s="16" t="s">
        <v>746</v>
      </c>
      <c r="J792" s="16"/>
      <c r="K792" s="16"/>
      <c r="L792" s="37"/>
      <c r="M792" s="37"/>
      <c r="N792" s="37"/>
      <c r="O792" s="37"/>
      <c r="P792" s="37"/>
      <c r="Q792" s="18">
        <v>2.717E-2</v>
      </c>
      <c r="R792" s="18">
        <v>1.8525E-4</v>
      </c>
      <c r="S792" s="18">
        <v>5.1869999999999999E-2</v>
      </c>
      <c r="T792" s="18">
        <v>0.2223</v>
      </c>
      <c r="U792" s="18">
        <v>0.11115</v>
      </c>
      <c r="V792" s="18">
        <v>1.42272</v>
      </c>
      <c r="W792" s="18">
        <v>1.3338000000000001</v>
      </c>
      <c r="X792" s="18">
        <v>0.88919999999999999</v>
      </c>
      <c r="Y792" s="18">
        <v>3.952E-2</v>
      </c>
      <c r="Z792" s="18">
        <v>0.17537</v>
      </c>
      <c r="AA792" s="18">
        <v>0.25688</v>
      </c>
      <c r="AB792" s="18">
        <v>0.45694999999999997</v>
      </c>
      <c r="AC792" s="18">
        <v>0.14079</v>
      </c>
      <c r="AD792" s="18">
        <v>0.74099999999999999</v>
      </c>
    </row>
    <row r="793" spans="2:30" x14ac:dyDescent="0.25">
      <c r="B793" t="s">
        <v>269</v>
      </c>
      <c r="C793" t="s">
        <v>105</v>
      </c>
      <c r="D793" t="s">
        <v>752</v>
      </c>
      <c r="E793" s="35">
        <v>0.9</v>
      </c>
      <c r="F793" s="35">
        <v>6.6</v>
      </c>
      <c r="G793" s="36">
        <v>2.47E-3</v>
      </c>
      <c r="H793" s="18">
        <v>4.4452980000000002</v>
      </c>
      <c r="I793" s="16" t="s">
        <v>746</v>
      </c>
      <c r="J793" s="16"/>
      <c r="K793" s="16"/>
      <c r="L793" s="37"/>
      <c r="M793" s="37"/>
      <c r="N793" s="37"/>
      <c r="O793" s="37"/>
      <c r="P793" s="37"/>
      <c r="Q793" s="18">
        <v>2.717E-2</v>
      </c>
      <c r="R793" s="18">
        <v>1.8525E-4</v>
      </c>
      <c r="S793" s="18">
        <v>5.1869999999999999E-2</v>
      </c>
      <c r="T793" s="18">
        <v>0.2223</v>
      </c>
      <c r="U793" s="18">
        <v>0.11115</v>
      </c>
      <c r="V793" s="18">
        <v>1.42272</v>
      </c>
      <c r="W793" s="18">
        <v>1.3338000000000001</v>
      </c>
      <c r="X793" s="18">
        <v>0.88919999999999999</v>
      </c>
      <c r="Y793" s="18">
        <v>3.952E-2</v>
      </c>
      <c r="Z793" s="18">
        <v>0.17537</v>
      </c>
      <c r="AA793" s="18">
        <v>0.25688</v>
      </c>
      <c r="AB793" s="18">
        <v>0.45694999999999997</v>
      </c>
      <c r="AC793" s="18">
        <v>0.14079</v>
      </c>
      <c r="AD793" s="18">
        <v>0.74099999999999999</v>
      </c>
    </row>
    <row r="794" spans="2:30" x14ac:dyDescent="0.25">
      <c r="B794" t="s">
        <v>269</v>
      </c>
      <c r="C794" t="s">
        <v>105</v>
      </c>
      <c r="D794" t="s">
        <v>752</v>
      </c>
      <c r="E794" s="35">
        <v>0.9</v>
      </c>
      <c r="F794" s="35">
        <v>6.6</v>
      </c>
      <c r="G794" s="36">
        <v>2.47E-3</v>
      </c>
      <c r="H794" s="18">
        <v>4.4452980000000002</v>
      </c>
      <c r="I794" s="16" t="s">
        <v>746</v>
      </c>
      <c r="J794" s="16"/>
      <c r="K794" s="16"/>
      <c r="L794" s="37"/>
      <c r="M794" s="37"/>
      <c r="N794" s="37"/>
      <c r="O794" s="37"/>
      <c r="P794" s="37"/>
      <c r="Q794" s="18">
        <v>2.717E-2</v>
      </c>
      <c r="R794" s="18">
        <v>1.8525E-4</v>
      </c>
      <c r="S794" s="18">
        <v>5.1869999999999999E-2</v>
      </c>
      <c r="T794" s="18">
        <v>0.2223</v>
      </c>
      <c r="U794" s="18">
        <v>0.11115</v>
      </c>
      <c r="V794" s="18">
        <v>1.42272</v>
      </c>
      <c r="W794" s="18">
        <v>1.3338000000000001</v>
      </c>
      <c r="X794" s="18">
        <v>0.88919999999999999</v>
      </c>
      <c r="Y794" s="18">
        <v>3.952E-2</v>
      </c>
      <c r="Z794" s="18">
        <v>0.17537</v>
      </c>
      <c r="AA794" s="18">
        <v>0.25688</v>
      </c>
      <c r="AB794" s="18">
        <v>0.45694999999999997</v>
      </c>
      <c r="AC794" s="18">
        <v>0.14079</v>
      </c>
      <c r="AD794" s="18">
        <v>0.74099999999999999</v>
      </c>
    </row>
    <row r="795" spans="2:30" x14ac:dyDescent="0.25">
      <c r="B795" t="s">
        <v>269</v>
      </c>
      <c r="C795" t="s">
        <v>105</v>
      </c>
      <c r="D795" t="s">
        <v>752</v>
      </c>
      <c r="E795" s="35">
        <v>0.9</v>
      </c>
      <c r="F795" s="35">
        <v>6.6</v>
      </c>
      <c r="G795" s="36">
        <v>2.47E-3</v>
      </c>
      <c r="H795" s="18">
        <v>4.4452980000000002</v>
      </c>
      <c r="I795" s="16" t="s">
        <v>746</v>
      </c>
      <c r="J795" s="16"/>
      <c r="K795" s="16"/>
      <c r="L795" s="37"/>
      <c r="M795" s="37"/>
      <c r="N795" s="37"/>
      <c r="O795" s="37"/>
      <c r="P795" s="37"/>
      <c r="Q795" s="18">
        <v>2.717E-2</v>
      </c>
      <c r="R795" s="18">
        <v>1.8525E-4</v>
      </c>
      <c r="S795" s="18">
        <v>5.1869999999999999E-2</v>
      </c>
      <c r="T795" s="18">
        <v>0.2223</v>
      </c>
      <c r="U795" s="18">
        <v>0.11115</v>
      </c>
      <c r="V795" s="18">
        <v>1.42272</v>
      </c>
      <c r="W795" s="18">
        <v>1.3338000000000001</v>
      </c>
      <c r="X795" s="18">
        <v>0.88919999999999999</v>
      </c>
      <c r="Y795" s="18">
        <v>3.952E-2</v>
      </c>
      <c r="Z795" s="18">
        <v>0.17537</v>
      </c>
      <c r="AA795" s="18">
        <v>0.25688</v>
      </c>
      <c r="AB795" s="18">
        <v>0.45694999999999997</v>
      </c>
      <c r="AC795" s="18">
        <v>0.14079</v>
      </c>
      <c r="AD795" s="18">
        <v>0.74099999999999999</v>
      </c>
    </row>
    <row r="796" spans="2:30" x14ac:dyDescent="0.25">
      <c r="B796" t="s">
        <v>269</v>
      </c>
      <c r="C796" t="s">
        <v>105</v>
      </c>
      <c r="D796" t="s">
        <v>752</v>
      </c>
      <c r="E796" s="35">
        <v>0.9</v>
      </c>
      <c r="F796" s="35">
        <v>6.6</v>
      </c>
      <c r="G796" s="36">
        <v>2.47E-3</v>
      </c>
      <c r="H796" s="18">
        <v>4.4452980000000002</v>
      </c>
      <c r="I796" s="16" t="s">
        <v>746</v>
      </c>
      <c r="J796" s="16"/>
      <c r="K796" s="16"/>
      <c r="L796" s="37"/>
      <c r="M796" s="37"/>
      <c r="N796" s="37"/>
      <c r="O796" s="37"/>
      <c r="P796" s="37"/>
      <c r="Q796" s="18">
        <v>2.717E-2</v>
      </c>
      <c r="R796" s="18">
        <v>1.8525E-4</v>
      </c>
      <c r="S796" s="18">
        <v>5.1869999999999999E-2</v>
      </c>
      <c r="T796" s="18">
        <v>0.2223</v>
      </c>
      <c r="U796" s="18">
        <v>0.11115</v>
      </c>
      <c r="V796" s="18">
        <v>1.42272</v>
      </c>
      <c r="W796" s="18">
        <v>1.3338000000000001</v>
      </c>
      <c r="X796" s="18">
        <v>0.88919999999999999</v>
      </c>
      <c r="Y796" s="18">
        <v>3.952E-2</v>
      </c>
      <c r="Z796" s="18">
        <v>0.17537</v>
      </c>
      <c r="AA796" s="18">
        <v>0.25688</v>
      </c>
      <c r="AB796" s="18">
        <v>0.45694999999999997</v>
      </c>
      <c r="AC796" s="18">
        <v>0.14079</v>
      </c>
      <c r="AD796" s="18">
        <v>0.74099999999999999</v>
      </c>
    </row>
    <row r="797" spans="2:30" x14ac:dyDescent="0.25">
      <c r="B797" t="s">
        <v>269</v>
      </c>
      <c r="C797" t="s">
        <v>105</v>
      </c>
      <c r="D797" t="s">
        <v>752</v>
      </c>
      <c r="E797" s="35">
        <v>0.9</v>
      </c>
      <c r="F797" s="35">
        <v>6.6</v>
      </c>
      <c r="G797" s="36">
        <v>2.47E-3</v>
      </c>
      <c r="H797" s="18">
        <v>4.4452980000000002</v>
      </c>
      <c r="I797" s="16" t="s">
        <v>746</v>
      </c>
      <c r="J797" s="16"/>
      <c r="K797" s="16"/>
      <c r="L797" s="37"/>
      <c r="M797" s="37"/>
      <c r="N797" s="37"/>
      <c r="O797" s="37"/>
      <c r="P797" s="37"/>
      <c r="Q797" s="18">
        <v>2.717E-2</v>
      </c>
      <c r="R797" s="18">
        <v>1.8525E-4</v>
      </c>
      <c r="S797" s="18">
        <v>5.1869999999999999E-2</v>
      </c>
      <c r="T797" s="18">
        <v>0.2223</v>
      </c>
      <c r="U797" s="18">
        <v>0.11115</v>
      </c>
      <c r="V797" s="18">
        <v>1.42272</v>
      </c>
      <c r="W797" s="18">
        <v>1.3338000000000001</v>
      </c>
      <c r="X797" s="18">
        <v>0.88919999999999999</v>
      </c>
      <c r="Y797" s="18">
        <v>3.952E-2</v>
      </c>
      <c r="Z797" s="18">
        <v>0.17537</v>
      </c>
      <c r="AA797" s="18">
        <v>0.25688</v>
      </c>
      <c r="AB797" s="18">
        <v>0.45694999999999997</v>
      </c>
      <c r="AC797" s="18">
        <v>0.14079</v>
      </c>
      <c r="AD797" s="18">
        <v>0.74099999999999999</v>
      </c>
    </row>
    <row r="798" spans="2:30" x14ac:dyDescent="0.25">
      <c r="B798" t="s">
        <v>269</v>
      </c>
      <c r="C798" t="s">
        <v>105</v>
      </c>
      <c r="D798" t="s">
        <v>752</v>
      </c>
      <c r="E798" s="35">
        <v>0.9</v>
      </c>
      <c r="F798" s="35">
        <v>6.6</v>
      </c>
      <c r="G798" s="36">
        <v>2.47E-3</v>
      </c>
      <c r="H798" s="18">
        <v>4.4452980000000002</v>
      </c>
      <c r="I798" s="16" t="s">
        <v>746</v>
      </c>
      <c r="J798" s="16"/>
      <c r="K798" s="16"/>
      <c r="L798" s="37"/>
      <c r="M798" s="37"/>
      <c r="N798" s="37"/>
      <c r="O798" s="37"/>
      <c r="P798" s="37"/>
      <c r="Q798" s="18">
        <v>2.717E-2</v>
      </c>
      <c r="R798" s="18">
        <v>1.8525E-4</v>
      </c>
      <c r="S798" s="18">
        <v>5.1869999999999999E-2</v>
      </c>
      <c r="T798" s="18">
        <v>0.2223</v>
      </c>
      <c r="U798" s="18">
        <v>0.11115</v>
      </c>
      <c r="V798" s="18">
        <v>1.42272</v>
      </c>
      <c r="W798" s="18">
        <v>1.3338000000000001</v>
      </c>
      <c r="X798" s="18">
        <v>0.88919999999999999</v>
      </c>
      <c r="Y798" s="18">
        <v>3.952E-2</v>
      </c>
      <c r="Z798" s="18">
        <v>0.17537</v>
      </c>
      <c r="AA798" s="18">
        <v>0.25688</v>
      </c>
      <c r="AB798" s="18">
        <v>0.45694999999999997</v>
      </c>
      <c r="AC798" s="18">
        <v>0.14079</v>
      </c>
      <c r="AD798" s="18">
        <v>0.74099999999999999</v>
      </c>
    </row>
    <row r="799" spans="2:30" x14ac:dyDescent="0.25">
      <c r="B799" t="s">
        <v>269</v>
      </c>
      <c r="C799" t="s">
        <v>105</v>
      </c>
      <c r="D799" t="s">
        <v>752</v>
      </c>
      <c r="E799" s="35">
        <v>0.9</v>
      </c>
      <c r="F799" s="35">
        <v>6.6</v>
      </c>
      <c r="G799" s="36">
        <v>2.47E-3</v>
      </c>
      <c r="H799" s="18">
        <v>4.4452980000000002</v>
      </c>
      <c r="I799" s="16" t="s">
        <v>746</v>
      </c>
      <c r="J799" s="16"/>
      <c r="K799" s="16"/>
      <c r="L799" s="37"/>
      <c r="M799" s="37"/>
      <c r="N799" s="37"/>
      <c r="O799" s="37"/>
      <c r="P799" s="37"/>
      <c r="Q799" s="18">
        <v>2.717E-2</v>
      </c>
      <c r="R799" s="18">
        <v>1.8525E-4</v>
      </c>
      <c r="S799" s="18">
        <v>5.1869999999999999E-2</v>
      </c>
      <c r="T799" s="18">
        <v>0.2223</v>
      </c>
      <c r="U799" s="18">
        <v>0.11115</v>
      </c>
      <c r="V799" s="18">
        <v>1.42272</v>
      </c>
      <c r="W799" s="18">
        <v>1.3338000000000001</v>
      </c>
      <c r="X799" s="18">
        <v>0.88919999999999999</v>
      </c>
      <c r="Y799" s="18">
        <v>3.952E-2</v>
      </c>
      <c r="Z799" s="18">
        <v>0.17537</v>
      </c>
      <c r="AA799" s="18">
        <v>0.25688</v>
      </c>
      <c r="AB799" s="18">
        <v>0.45694999999999997</v>
      </c>
      <c r="AC799" s="18">
        <v>0.14079</v>
      </c>
      <c r="AD799" s="18">
        <v>0.74099999999999999</v>
      </c>
    </row>
    <row r="800" spans="2:30" x14ac:dyDescent="0.25">
      <c r="B800" t="s">
        <v>269</v>
      </c>
      <c r="C800" t="s">
        <v>105</v>
      </c>
      <c r="D800" t="s">
        <v>752</v>
      </c>
      <c r="E800" s="35">
        <v>0.9</v>
      </c>
      <c r="F800" s="35">
        <v>6.6</v>
      </c>
      <c r="G800" s="36">
        <v>2.47E-3</v>
      </c>
      <c r="H800" s="18">
        <v>4.4452980000000002</v>
      </c>
      <c r="I800" s="16" t="s">
        <v>746</v>
      </c>
      <c r="J800" s="16"/>
      <c r="K800" s="16"/>
      <c r="L800" s="37"/>
      <c r="M800" s="37"/>
      <c r="N800" s="37"/>
      <c r="O800" s="37"/>
      <c r="P800" s="37"/>
      <c r="Q800" s="18">
        <v>2.717E-2</v>
      </c>
      <c r="R800" s="18">
        <v>1.8525E-4</v>
      </c>
      <c r="S800" s="18">
        <v>5.1869999999999999E-2</v>
      </c>
      <c r="T800" s="18">
        <v>0.2223</v>
      </c>
      <c r="U800" s="18">
        <v>0.11115</v>
      </c>
      <c r="V800" s="18">
        <v>1.42272</v>
      </c>
      <c r="W800" s="18">
        <v>1.3338000000000001</v>
      </c>
      <c r="X800" s="18">
        <v>0.88919999999999999</v>
      </c>
      <c r="Y800" s="18">
        <v>3.952E-2</v>
      </c>
      <c r="Z800" s="18">
        <v>0.17537</v>
      </c>
      <c r="AA800" s="18">
        <v>0.25688</v>
      </c>
      <c r="AB800" s="18">
        <v>0.45694999999999997</v>
      </c>
      <c r="AC800" s="18">
        <v>0.14079</v>
      </c>
      <c r="AD800" s="18">
        <v>0.74099999999999999</v>
      </c>
    </row>
    <row r="801" spans="2:30" x14ac:dyDescent="0.25">
      <c r="B801" t="s">
        <v>269</v>
      </c>
      <c r="C801" t="s">
        <v>105</v>
      </c>
      <c r="D801" t="s">
        <v>752</v>
      </c>
      <c r="E801" s="35">
        <v>0.9</v>
      </c>
      <c r="F801" s="35">
        <v>6.6</v>
      </c>
      <c r="G801" s="36">
        <v>2.47E-3</v>
      </c>
      <c r="H801" s="18">
        <v>4.4452980000000002</v>
      </c>
      <c r="I801" s="16" t="s">
        <v>746</v>
      </c>
      <c r="J801" s="16"/>
      <c r="K801" s="16"/>
      <c r="L801" s="37"/>
      <c r="M801" s="37"/>
      <c r="N801" s="37"/>
      <c r="O801" s="37"/>
      <c r="P801" s="37"/>
      <c r="Q801" s="18">
        <v>2.717E-2</v>
      </c>
      <c r="R801" s="18">
        <v>1.8525E-4</v>
      </c>
      <c r="S801" s="18">
        <v>5.1869999999999999E-2</v>
      </c>
      <c r="T801" s="18">
        <v>0.2223</v>
      </c>
      <c r="U801" s="18">
        <v>0.11115</v>
      </c>
      <c r="V801" s="18">
        <v>1.42272</v>
      </c>
      <c r="W801" s="18">
        <v>1.3338000000000001</v>
      </c>
      <c r="X801" s="18">
        <v>0.88919999999999999</v>
      </c>
      <c r="Y801" s="18">
        <v>3.952E-2</v>
      </c>
      <c r="Z801" s="18">
        <v>0.17537</v>
      </c>
      <c r="AA801" s="18">
        <v>0.25688</v>
      </c>
      <c r="AB801" s="18">
        <v>0.45694999999999997</v>
      </c>
      <c r="AC801" s="18">
        <v>0.14079</v>
      </c>
      <c r="AD801" s="18">
        <v>0.74099999999999999</v>
      </c>
    </row>
    <row r="802" spans="2:30" x14ac:dyDescent="0.25">
      <c r="B802" t="s">
        <v>269</v>
      </c>
      <c r="C802" t="s">
        <v>105</v>
      </c>
      <c r="D802" t="s">
        <v>752</v>
      </c>
      <c r="E802" s="35">
        <v>0.9</v>
      </c>
      <c r="F802" s="35">
        <v>6.6</v>
      </c>
      <c r="G802" s="36">
        <v>2.47E-3</v>
      </c>
      <c r="H802" s="18">
        <v>4.4452980000000002</v>
      </c>
      <c r="I802" s="16" t="s">
        <v>746</v>
      </c>
      <c r="J802" s="16"/>
      <c r="K802" s="16"/>
      <c r="L802" s="37"/>
      <c r="M802" s="37"/>
      <c r="N802" s="37"/>
      <c r="O802" s="37"/>
      <c r="P802" s="37"/>
      <c r="Q802" s="18">
        <v>2.717E-2</v>
      </c>
      <c r="R802" s="18">
        <v>1.8525E-4</v>
      </c>
      <c r="S802" s="18">
        <v>5.1869999999999999E-2</v>
      </c>
      <c r="T802" s="18">
        <v>0.2223</v>
      </c>
      <c r="U802" s="18">
        <v>0.11115</v>
      </c>
      <c r="V802" s="18">
        <v>1.42272</v>
      </c>
      <c r="W802" s="18">
        <v>1.3338000000000001</v>
      </c>
      <c r="X802" s="18">
        <v>0.88919999999999999</v>
      </c>
      <c r="Y802" s="18">
        <v>3.952E-2</v>
      </c>
      <c r="Z802" s="18">
        <v>0.17537</v>
      </c>
      <c r="AA802" s="18">
        <v>0.25688</v>
      </c>
      <c r="AB802" s="18">
        <v>0.45694999999999997</v>
      </c>
      <c r="AC802" s="18">
        <v>0.14079</v>
      </c>
      <c r="AD802" s="18">
        <v>0.74099999999999999</v>
      </c>
    </row>
    <row r="803" spans="2:30" x14ac:dyDescent="0.25">
      <c r="B803" t="s">
        <v>269</v>
      </c>
      <c r="C803" t="s">
        <v>105</v>
      </c>
      <c r="D803" t="s">
        <v>752</v>
      </c>
      <c r="E803" s="35">
        <v>0.9</v>
      </c>
      <c r="F803" s="35">
        <v>6.6</v>
      </c>
      <c r="G803" s="36">
        <v>2.47E-3</v>
      </c>
      <c r="H803" s="18">
        <v>4.4452980000000002</v>
      </c>
      <c r="I803" s="16" t="s">
        <v>746</v>
      </c>
      <c r="J803" s="16"/>
      <c r="K803" s="16"/>
      <c r="L803" s="37"/>
      <c r="M803" s="37"/>
      <c r="N803" s="37"/>
      <c r="O803" s="37"/>
      <c r="P803" s="37"/>
      <c r="Q803" s="18">
        <v>2.717E-2</v>
      </c>
      <c r="R803" s="18">
        <v>1.8525E-4</v>
      </c>
      <c r="S803" s="18">
        <v>5.1869999999999999E-2</v>
      </c>
      <c r="T803" s="18">
        <v>0.2223</v>
      </c>
      <c r="U803" s="18">
        <v>0.11115</v>
      </c>
      <c r="V803" s="18">
        <v>1.42272</v>
      </c>
      <c r="W803" s="18">
        <v>1.3338000000000001</v>
      </c>
      <c r="X803" s="18">
        <v>0.88919999999999999</v>
      </c>
      <c r="Y803" s="18">
        <v>3.952E-2</v>
      </c>
      <c r="Z803" s="18">
        <v>0.17537</v>
      </c>
      <c r="AA803" s="18">
        <v>0.25688</v>
      </c>
      <c r="AB803" s="18">
        <v>0.45694999999999997</v>
      </c>
      <c r="AC803" s="18">
        <v>0.14079</v>
      </c>
      <c r="AD803" s="18">
        <v>0.74099999999999999</v>
      </c>
    </row>
    <row r="804" spans="2:30" x14ac:dyDescent="0.25">
      <c r="B804" t="s">
        <v>269</v>
      </c>
      <c r="C804" t="s">
        <v>105</v>
      </c>
      <c r="D804" t="s">
        <v>752</v>
      </c>
      <c r="E804" s="35">
        <v>0.9</v>
      </c>
      <c r="F804" s="35">
        <v>6.6</v>
      </c>
      <c r="G804" s="36">
        <v>2.47E-3</v>
      </c>
      <c r="H804" s="18">
        <v>4.4452980000000002</v>
      </c>
      <c r="I804" s="16" t="s">
        <v>746</v>
      </c>
      <c r="J804" s="16"/>
      <c r="K804" s="16"/>
      <c r="L804" s="37"/>
      <c r="M804" s="37"/>
      <c r="N804" s="37"/>
      <c r="O804" s="37"/>
      <c r="P804" s="37"/>
      <c r="Q804" s="18">
        <v>2.717E-2</v>
      </c>
      <c r="R804" s="18">
        <v>1.8525E-4</v>
      </c>
      <c r="S804" s="18">
        <v>5.1869999999999999E-2</v>
      </c>
      <c r="T804" s="18">
        <v>0.2223</v>
      </c>
      <c r="U804" s="18">
        <v>0.11115</v>
      </c>
      <c r="V804" s="18">
        <v>1.42272</v>
      </c>
      <c r="W804" s="18">
        <v>1.3338000000000001</v>
      </c>
      <c r="X804" s="18">
        <v>0.88919999999999999</v>
      </c>
      <c r="Y804" s="18">
        <v>3.952E-2</v>
      </c>
      <c r="Z804" s="18">
        <v>0.17537</v>
      </c>
      <c r="AA804" s="18">
        <v>0.25688</v>
      </c>
      <c r="AB804" s="18">
        <v>0.45694999999999997</v>
      </c>
      <c r="AC804" s="18">
        <v>0.14079</v>
      </c>
      <c r="AD804" s="18">
        <v>0.74099999999999999</v>
      </c>
    </row>
    <row r="805" spans="2:30" x14ac:dyDescent="0.25">
      <c r="B805" t="s">
        <v>269</v>
      </c>
      <c r="C805" t="s">
        <v>105</v>
      </c>
      <c r="D805" t="s">
        <v>752</v>
      </c>
      <c r="E805" s="35">
        <v>0.9</v>
      </c>
      <c r="F805" s="35">
        <v>6.6</v>
      </c>
      <c r="G805" s="36">
        <v>2.47E-3</v>
      </c>
      <c r="H805" s="18">
        <v>4.4452980000000002</v>
      </c>
      <c r="I805" s="16" t="s">
        <v>746</v>
      </c>
      <c r="J805" s="16"/>
      <c r="K805" s="16"/>
      <c r="L805" s="37"/>
      <c r="M805" s="37"/>
      <c r="N805" s="37"/>
      <c r="O805" s="37"/>
      <c r="P805" s="37"/>
      <c r="Q805" s="18">
        <v>2.717E-2</v>
      </c>
      <c r="R805" s="18">
        <v>1.8525E-4</v>
      </c>
      <c r="S805" s="18">
        <v>5.1869999999999999E-2</v>
      </c>
      <c r="T805" s="18">
        <v>0.2223</v>
      </c>
      <c r="U805" s="18">
        <v>0.11115</v>
      </c>
      <c r="V805" s="18">
        <v>1.42272</v>
      </c>
      <c r="W805" s="18">
        <v>1.3338000000000001</v>
      </c>
      <c r="X805" s="18">
        <v>0.88919999999999999</v>
      </c>
      <c r="Y805" s="18">
        <v>3.952E-2</v>
      </c>
      <c r="Z805" s="18">
        <v>0.17537</v>
      </c>
      <c r="AA805" s="18">
        <v>0.25688</v>
      </c>
      <c r="AB805" s="18">
        <v>0.45694999999999997</v>
      </c>
      <c r="AC805" s="18">
        <v>0.14079</v>
      </c>
      <c r="AD805" s="18">
        <v>0.74099999999999999</v>
      </c>
    </row>
    <row r="806" spans="2:30" x14ac:dyDescent="0.25">
      <c r="B806" t="s">
        <v>269</v>
      </c>
      <c r="C806" t="s">
        <v>105</v>
      </c>
      <c r="D806" t="s">
        <v>752</v>
      </c>
      <c r="E806" s="35">
        <v>0.9</v>
      </c>
      <c r="F806" s="35">
        <v>6.6</v>
      </c>
      <c r="G806" s="36">
        <v>2.47E-3</v>
      </c>
      <c r="H806" s="18">
        <v>4.4452980000000002</v>
      </c>
      <c r="I806" s="16" t="s">
        <v>746</v>
      </c>
      <c r="J806" s="16"/>
      <c r="K806" s="16"/>
      <c r="L806" s="37"/>
      <c r="M806" s="37"/>
      <c r="N806" s="37"/>
      <c r="O806" s="37"/>
      <c r="P806" s="37"/>
      <c r="Q806" s="18">
        <v>2.717E-2</v>
      </c>
      <c r="R806" s="18">
        <v>1.8525E-4</v>
      </c>
      <c r="S806" s="18">
        <v>5.1869999999999999E-2</v>
      </c>
      <c r="T806" s="18">
        <v>0.2223</v>
      </c>
      <c r="U806" s="18">
        <v>0.11115</v>
      </c>
      <c r="V806" s="18">
        <v>1.42272</v>
      </c>
      <c r="W806" s="18">
        <v>1.3338000000000001</v>
      </c>
      <c r="X806" s="18">
        <v>0.88919999999999999</v>
      </c>
      <c r="Y806" s="18">
        <v>3.952E-2</v>
      </c>
      <c r="Z806" s="18">
        <v>0.17537</v>
      </c>
      <c r="AA806" s="18">
        <v>0.25688</v>
      </c>
      <c r="AB806" s="18">
        <v>0.45694999999999997</v>
      </c>
      <c r="AC806" s="18">
        <v>0.14079</v>
      </c>
      <c r="AD806" s="18">
        <v>0.74099999999999999</v>
      </c>
    </row>
    <row r="807" spans="2:30" x14ac:dyDescent="0.25">
      <c r="B807" t="s">
        <v>269</v>
      </c>
      <c r="C807" t="s">
        <v>105</v>
      </c>
      <c r="D807" t="s">
        <v>752</v>
      </c>
      <c r="E807" s="35">
        <v>0.9</v>
      </c>
      <c r="F807" s="35">
        <v>6.6</v>
      </c>
      <c r="G807" s="36">
        <v>2.47E-3</v>
      </c>
      <c r="H807" s="18">
        <v>4.4452980000000002</v>
      </c>
      <c r="I807" s="16" t="s">
        <v>746</v>
      </c>
      <c r="J807" s="16"/>
      <c r="K807" s="16"/>
      <c r="L807" s="37"/>
      <c r="M807" s="37"/>
      <c r="N807" s="37"/>
      <c r="O807" s="37"/>
      <c r="P807" s="37"/>
      <c r="Q807" s="18">
        <v>2.717E-2</v>
      </c>
      <c r="R807" s="18">
        <v>1.8525E-4</v>
      </c>
      <c r="S807" s="18">
        <v>5.1869999999999999E-2</v>
      </c>
      <c r="T807" s="18">
        <v>0.2223</v>
      </c>
      <c r="U807" s="18">
        <v>0.11115</v>
      </c>
      <c r="V807" s="18">
        <v>1.42272</v>
      </c>
      <c r="W807" s="18">
        <v>1.3338000000000001</v>
      </c>
      <c r="X807" s="18">
        <v>0.88919999999999999</v>
      </c>
      <c r="Y807" s="18">
        <v>3.952E-2</v>
      </c>
      <c r="Z807" s="18">
        <v>0.17537</v>
      </c>
      <c r="AA807" s="18">
        <v>0.25688</v>
      </c>
      <c r="AB807" s="18">
        <v>0.45694999999999997</v>
      </c>
      <c r="AC807" s="18">
        <v>0.14079</v>
      </c>
      <c r="AD807" s="18">
        <v>0.74099999999999999</v>
      </c>
    </row>
    <row r="808" spans="2:30" x14ac:dyDescent="0.25">
      <c r="B808" t="s">
        <v>269</v>
      </c>
      <c r="C808" t="s">
        <v>105</v>
      </c>
      <c r="D808" t="s">
        <v>752</v>
      </c>
      <c r="E808" s="35">
        <v>0.9</v>
      </c>
      <c r="F808" s="35">
        <v>6.6</v>
      </c>
      <c r="G808" s="36">
        <v>2.47E-3</v>
      </c>
      <c r="H808" s="18">
        <v>4.4452980000000002</v>
      </c>
      <c r="I808" s="16" t="s">
        <v>746</v>
      </c>
      <c r="J808" s="16"/>
      <c r="K808" s="16"/>
      <c r="L808" s="37"/>
      <c r="M808" s="37"/>
      <c r="N808" s="37"/>
      <c r="O808" s="37"/>
      <c r="P808" s="37"/>
      <c r="Q808" s="18">
        <v>2.717E-2</v>
      </c>
      <c r="R808" s="18">
        <v>1.8525E-4</v>
      </c>
      <c r="S808" s="18">
        <v>5.1869999999999999E-2</v>
      </c>
      <c r="T808" s="18">
        <v>0.2223</v>
      </c>
      <c r="U808" s="18">
        <v>0.11115</v>
      </c>
      <c r="V808" s="18">
        <v>1.42272</v>
      </c>
      <c r="W808" s="18">
        <v>1.3338000000000001</v>
      </c>
      <c r="X808" s="18">
        <v>0.88919999999999999</v>
      </c>
      <c r="Y808" s="18">
        <v>3.952E-2</v>
      </c>
      <c r="Z808" s="18">
        <v>0.17537</v>
      </c>
      <c r="AA808" s="18">
        <v>0.25688</v>
      </c>
      <c r="AB808" s="18">
        <v>0.45694999999999997</v>
      </c>
      <c r="AC808" s="18">
        <v>0.14079</v>
      </c>
      <c r="AD808" s="18">
        <v>0.74099999999999999</v>
      </c>
    </row>
    <row r="809" spans="2:30" x14ac:dyDescent="0.25">
      <c r="B809" t="s">
        <v>269</v>
      </c>
      <c r="C809" t="s">
        <v>105</v>
      </c>
      <c r="D809" t="s">
        <v>752</v>
      </c>
      <c r="E809" s="35">
        <v>0.9</v>
      </c>
      <c r="F809" s="35">
        <v>6.6</v>
      </c>
      <c r="G809" s="36">
        <v>2.47E-3</v>
      </c>
      <c r="H809" s="18">
        <v>4.4452980000000002</v>
      </c>
      <c r="I809" s="16" t="s">
        <v>746</v>
      </c>
      <c r="J809" s="16"/>
      <c r="K809" s="16"/>
      <c r="L809" s="37"/>
      <c r="M809" s="37"/>
      <c r="N809" s="37"/>
      <c r="O809" s="37"/>
      <c r="P809" s="37"/>
      <c r="Q809" s="18">
        <v>2.717E-2</v>
      </c>
      <c r="R809" s="18">
        <v>1.8525E-4</v>
      </c>
      <c r="S809" s="18">
        <v>5.1869999999999999E-2</v>
      </c>
      <c r="T809" s="18">
        <v>0.2223</v>
      </c>
      <c r="U809" s="18">
        <v>0.11115</v>
      </c>
      <c r="V809" s="18">
        <v>1.42272</v>
      </c>
      <c r="W809" s="18">
        <v>1.3338000000000001</v>
      </c>
      <c r="X809" s="18">
        <v>0.88919999999999999</v>
      </c>
      <c r="Y809" s="18">
        <v>3.952E-2</v>
      </c>
      <c r="Z809" s="18">
        <v>0.17537</v>
      </c>
      <c r="AA809" s="18">
        <v>0.25688</v>
      </c>
      <c r="AB809" s="18">
        <v>0.45694999999999997</v>
      </c>
      <c r="AC809" s="18">
        <v>0.14079</v>
      </c>
      <c r="AD809" s="18">
        <v>0.74099999999999999</v>
      </c>
    </row>
    <row r="810" spans="2:30" x14ac:dyDescent="0.25">
      <c r="B810" t="s">
        <v>269</v>
      </c>
      <c r="C810" t="s">
        <v>105</v>
      </c>
      <c r="D810" t="s">
        <v>752</v>
      </c>
      <c r="E810" s="35">
        <v>0.9</v>
      </c>
      <c r="F810" s="35">
        <v>6.6</v>
      </c>
      <c r="G810" s="36">
        <v>2.47E-3</v>
      </c>
      <c r="H810" s="18">
        <v>4.4452980000000002</v>
      </c>
      <c r="I810" s="16" t="s">
        <v>746</v>
      </c>
      <c r="J810" s="16"/>
      <c r="K810" s="16"/>
      <c r="L810" s="37"/>
      <c r="M810" s="37"/>
      <c r="N810" s="37"/>
      <c r="O810" s="37"/>
      <c r="P810" s="37"/>
      <c r="Q810" s="18">
        <v>2.717E-2</v>
      </c>
      <c r="R810" s="18">
        <v>1.8525E-4</v>
      </c>
      <c r="S810" s="18">
        <v>5.1869999999999999E-2</v>
      </c>
      <c r="T810" s="18">
        <v>0.2223</v>
      </c>
      <c r="U810" s="18">
        <v>0.11115</v>
      </c>
      <c r="V810" s="18">
        <v>1.42272</v>
      </c>
      <c r="W810" s="18">
        <v>1.3338000000000001</v>
      </c>
      <c r="X810" s="18">
        <v>0.88919999999999999</v>
      </c>
      <c r="Y810" s="18">
        <v>3.952E-2</v>
      </c>
      <c r="Z810" s="18">
        <v>0.17537</v>
      </c>
      <c r="AA810" s="18">
        <v>0.25688</v>
      </c>
      <c r="AB810" s="18">
        <v>0.45694999999999997</v>
      </c>
      <c r="AC810" s="18">
        <v>0.14079</v>
      </c>
      <c r="AD810" s="18">
        <v>0.74099999999999999</v>
      </c>
    </row>
    <row r="811" spans="2:30" x14ac:dyDescent="0.25">
      <c r="B811" t="s">
        <v>269</v>
      </c>
      <c r="C811" t="s">
        <v>105</v>
      </c>
      <c r="D811" t="s">
        <v>752</v>
      </c>
      <c r="E811" s="35">
        <v>0.9</v>
      </c>
      <c r="F811" s="35">
        <v>6.6</v>
      </c>
      <c r="G811" s="36">
        <v>2.47E-3</v>
      </c>
      <c r="H811" s="18">
        <v>4.4452980000000002</v>
      </c>
      <c r="I811" s="16" t="s">
        <v>746</v>
      </c>
      <c r="J811" s="16"/>
      <c r="K811" s="16"/>
      <c r="L811" s="37"/>
      <c r="M811" s="37"/>
      <c r="N811" s="37"/>
      <c r="O811" s="37"/>
      <c r="P811" s="37"/>
      <c r="Q811" s="18">
        <v>2.717E-2</v>
      </c>
      <c r="R811" s="18">
        <v>1.8525E-4</v>
      </c>
      <c r="S811" s="18">
        <v>5.1869999999999999E-2</v>
      </c>
      <c r="T811" s="18">
        <v>0.2223</v>
      </c>
      <c r="U811" s="18">
        <v>0.11115</v>
      </c>
      <c r="V811" s="18">
        <v>1.42272</v>
      </c>
      <c r="W811" s="18">
        <v>1.3338000000000001</v>
      </c>
      <c r="X811" s="18">
        <v>0.88919999999999999</v>
      </c>
      <c r="Y811" s="18">
        <v>3.952E-2</v>
      </c>
      <c r="Z811" s="18">
        <v>0.17537</v>
      </c>
      <c r="AA811" s="18">
        <v>0.25688</v>
      </c>
      <c r="AB811" s="18">
        <v>0.45694999999999997</v>
      </c>
      <c r="AC811" s="18">
        <v>0.14079</v>
      </c>
      <c r="AD811" s="18">
        <v>0.74099999999999999</v>
      </c>
    </row>
    <row r="812" spans="2:30" x14ac:dyDescent="0.25">
      <c r="B812" t="s">
        <v>269</v>
      </c>
      <c r="C812" t="s">
        <v>105</v>
      </c>
      <c r="D812" t="s">
        <v>752</v>
      </c>
      <c r="E812" s="35">
        <v>0.9</v>
      </c>
      <c r="F812" s="35">
        <v>6.6</v>
      </c>
      <c r="G812" s="36">
        <v>2.47E-3</v>
      </c>
      <c r="H812" s="18">
        <v>4.4452980000000002</v>
      </c>
      <c r="I812" s="16" t="s">
        <v>746</v>
      </c>
      <c r="J812" s="16"/>
      <c r="K812" s="16"/>
      <c r="L812" s="37"/>
      <c r="M812" s="37"/>
      <c r="N812" s="37"/>
      <c r="O812" s="37"/>
      <c r="P812" s="37"/>
      <c r="Q812" s="18">
        <v>2.717E-2</v>
      </c>
      <c r="R812" s="18">
        <v>1.8525E-4</v>
      </c>
      <c r="S812" s="18">
        <v>5.1869999999999999E-2</v>
      </c>
      <c r="T812" s="18">
        <v>0.2223</v>
      </c>
      <c r="U812" s="18">
        <v>0.11115</v>
      </c>
      <c r="V812" s="18">
        <v>1.42272</v>
      </c>
      <c r="W812" s="18">
        <v>1.3338000000000001</v>
      </c>
      <c r="X812" s="18">
        <v>0.88919999999999999</v>
      </c>
      <c r="Y812" s="18">
        <v>3.952E-2</v>
      </c>
      <c r="Z812" s="18">
        <v>0.17537</v>
      </c>
      <c r="AA812" s="18">
        <v>0.25688</v>
      </c>
      <c r="AB812" s="18">
        <v>0.45694999999999997</v>
      </c>
      <c r="AC812" s="18">
        <v>0.14079</v>
      </c>
      <c r="AD812" s="18">
        <v>0.74099999999999999</v>
      </c>
    </row>
    <row r="813" spans="2:30" x14ac:dyDescent="0.25">
      <c r="B813" t="s">
        <v>269</v>
      </c>
      <c r="C813" t="s">
        <v>105</v>
      </c>
      <c r="D813" t="s">
        <v>752</v>
      </c>
      <c r="E813" s="35">
        <v>0.9</v>
      </c>
      <c r="F813" s="35">
        <v>6.6</v>
      </c>
      <c r="G813" s="36">
        <v>2.47E-3</v>
      </c>
      <c r="H813" s="18">
        <v>4.4452980000000002</v>
      </c>
      <c r="I813" s="16" t="s">
        <v>746</v>
      </c>
      <c r="J813" s="16"/>
      <c r="K813" s="16"/>
      <c r="L813" s="37"/>
      <c r="M813" s="37"/>
      <c r="N813" s="37"/>
      <c r="O813" s="37"/>
      <c r="P813" s="37"/>
      <c r="Q813" s="18">
        <v>2.717E-2</v>
      </c>
      <c r="R813" s="18">
        <v>1.8525E-4</v>
      </c>
      <c r="S813" s="18">
        <v>5.1869999999999999E-2</v>
      </c>
      <c r="T813" s="18">
        <v>0.2223</v>
      </c>
      <c r="U813" s="18">
        <v>0.11115</v>
      </c>
      <c r="V813" s="18">
        <v>1.42272</v>
      </c>
      <c r="W813" s="18">
        <v>1.3338000000000001</v>
      </c>
      <c r="X813" s="18">
        <v>0.88919999999999999</v>
      </c>
      <c r="Y813" s="18">
        <v>3.952E-2</v>
      </c>
      <c r="Z813" s="18">
        <v>0.17537</v>
      </c>
      <c r="AA813" s="18">
        <v>0.25688</v>
      </c>
      <c r="AB813" s="18">
        <v>0.45694999999999997</v>
      </c>
      <c r="AC813" s="18">
        <v>0.14079</v>
      </c>
      <c r="AD813" s="18">
        <v>0.74099999999999999</v>
      </c>
    </row>
    <row r="814" spans="2:30" x14ac:dyDescent="0.25">
      <c r="B814" t="s">
        <v>269</v>
      </c>
      <c r="C814" t="s">
        <v>105</v>
      </c>
      <c r="D814" t="s">
        <v>752</v>
      </c>
      <c r="E814" s="35">
        <v>0.9</v>
      </c>
      <c r="F814" s="35">
        <v>6.6</v>
      </c>
      <c r="G814" s="36">
        <v>2.47E-3</v>
      </c>
      <c r="H814" s="18">
        <v>4.4452980000000002</v>
      </c>
      <c r="I814" s="16" t="s">
        <v>746</v>
      </c>
      <c r="J814" s="16"/>
      <c r="K814" s="16"/>
      <c r="L814" s="37"/>
      <c r="M814" s="37"/>
      <c r="N814" s="37"/>
      <c r="O814" s="37"/>
      <c r="P814" s="37"/>
      <c r="Q814" s="18">
        <v>2.717E-2</v>
      </c>
      <c r="R814" s="18">
        <v>1.8525E-4</v>
      </c>
      <c r="S814" s="18">
        <v>5.1869999999999999E-2</v>
      </c>
      <c r="T814" s="18">
        <v>0.2223</v>
      </c>
      <c r="U814" s="18">
        <v>0.11115</v>
      </c>
      <c r="V814" s="18">
        <v>1.42272</v>
      </c>
      <c r="W814" s="18">
        <v>1.3338000000000001</v>
      </c>
      <c r="X814" s="18">
        <v>0.88919999999999999</v>
      </c>
      <c r="Y814" s="18">
        <v>3.952E-2</v>
      </c>
      <c r="Z814" s="18">
        <v>0.17537</v>
      </c>
      <c r="AA814" s="18">
        <v>0.25688</v>
      </c>
      <c r="AB814" s="18">
        <v>0.45694999999999997</v>
      </c>
      <c r="AC814" s="18">
        <v>0.14079</v>
      </c>
      <c r="AD814" s="18">
        <v>0.74099999999999999</v>
      </c>
    </row>
    <row r="815" spans="2:30" x14ac:dyDescent="0.25">
      <c r="B815" t="s">
        <v>269</v>
      </c>
      <c r="C815" t="s">
        <v>105</v>
      </c>
      <c r="D815" t="s">
        <v>752</v>
      </c>
      <c r="E815" s="35">
        <v>0.9</v>
      </c>
      <c r="F815" s="35">
        <v>6.6</v>
      </c>
      <c r="G815" s="36">
        <v>2.47E-3</v>
      </c>
      <c r="H815" s="18">
        <v>4.4452980000000002</v>
      </c>
      <c r="I815" s="16" t="s">
        <v>746</v>
      </c>
      <c r="J815" s="16"/>
      <c r="K815" s="16"/>
      <c r="L815" s="37"/>
      <c r="M815" s="37"/>
      <c r="N815" s="37"/>
      <c r="O815" s="37"/>
      <c r="P815" s="37"/>
      <c r="Q815" s="18">
        <v>2.717E-2</v>
      </c>
      <c r="R815" s="18">
        <v>1.8525E-4</v>
      </c>
      <c r="S815" s="18">
        <v>5.1869999999999999E-2</v>
      </c>
      <c r="T815" s="18">
        <v>0.2223</v>
      </c>
      <c r="U815" s="18">
        <v>0.11115</v>
      </c>
      <c r="V815" s="18">
        <v>1.42272</v>
      </c>
      <c r="W815" s="18">
        <v>1.3338000000000001</v>
      </c>
      <c r="X815" s="18">
        <v>0.88919999999999999</v>
      </c>
      <c r="Y815" s="18">
        <v>3.952E-2</v>
      </c>
      <c r="Z815" s="18">
        <v>0.17537</v>
      </c>
      <c r="AA815" s="18">
        <v>0.25688</v>
      </c>
      <c r="AB815" s="18">
        <v>0.45694999999999997</v>
      </c>
      <c r="AC815" s="18">
        <v>0.14079</v>
      </c>
      <c r="AD815" s="18">
        <v>0.74099999999999999</v>
      </c>
    </row>
    <row r="816" spans="2:30" x14ac:dyDescent="0.25">
      <c r="B816" t="s">
        <v>269</v>
      </c>
      <c r="C816" t="s">
        <v>105</v>
      </c>
      <c r="D816" t="s">
        <v>752</v>
      </c>
      <c r="E816" s="35">
        <v>0.9</v>
      </c>
      <c r="F816" s="35">
        <v>6.6</v>
      </c>
      <c r="G816" s="36">
        <v>2.47E-3</v>
      </c>
      <c r="H816" s="18">
        <v>4.4452980000000002</v>
      </c>
      <c r="I816" s="16" t="s">
        <v>746</v>
      </c>
      <c r="J816" s="16"/>
      <c r="K816" s="16"/>
      <c r="L816" s="37"/>
      <c r="M816" s="37"/>
      <c r="N816" s="37"/>
      <c r="O816" s="37"/>
      <c r="P816" s="37"/>
      <c r="Q816" s="18">
        <v>2.717E-2</v>
      </c>
      <c r="R816" s="18">
        <v>1.8525E-4</v>
      </c>
      <c r="S816" s="18">
        <v>5.1869999999999999E-2</v>
      </c>
      <c r="T816" s="18">
        <v>0.2223</v>
      </c>
      <c r="U816" s="18">
        <v>0.11115</v>
      </c>
      <c r="V816" s="18">
        <v>1.42272</v>
      </c>
      <c r="W816" s="18">
        <v>1.3338000000000001</v>
      </c>
      <c r="X816" s="18">
        <v>0.88919999999999999</v>
      </c>
      <c r="Y816" s="18">
        <v>3.952E-2</v>
      </c>
      <c r="Z816" s="18">
        <v>0.17537</v>
      </c>
      <c r="AA816" s="18">
        <v>0.25688</v>
      </c>
      <c r="AB816" s="18">
        <v>0.45694999999999997</v>
      </c>
      <c r="AC816" s="18">
        <v>0.14079</v>
      </c>
      <c r="AD816" s="18">
        <v>0.74099999999999999</v>
      </c>
    </row>
    <row r="817" spans="2:30" x14ac:dyDescent="0.25">
      <c r="B817" t="s">
        <v>269</v>
      </c>
      <c r="C817" t="s">
        <v>105</v>
      </c>
      <c r="D817" t="s">
        <v>752</v>
      </c>
      <c r="E817" s="35">
        <v>0.9</v>
      </c>
      <c r="F817" s="35">
        <v>6.6</v>
      </c>
      <c r="G817" s="36">
        <v>2.47E-3</v>
      </c>
      <c r="H817" s="18">
        <v>4.4452980000000002</v>
      </c>
      <c r="I817" s="16" t="s">
        <v>746</v>
      </c>
      <c r="J817" s="16"/>
      <c r="K817" s="16"/>
      <c r="L817" s="37"/>
      <c r="M817" s="37"/>
      <c r="N817" s="37"/>
      <c r="O817" s="37"/>
      <c r="P817" s="37"/>
      <c r="Q817" s="18">
        <v>2.717E-2</v>
      </c>
      <c r="R817" s="18">
        <v>1.8525E-4</v>
      </c>
      <c r="S817" s="18">
        <v>5.1869999999999999E-2</v>
      </c>
      <c r="T817" s="18">
        <v>0.2223</v>
      </c>
      <c r="U817" s="18">
        <v>0.11115</v>
      </c>
      <c r="V817" s="18">
        <v>1.42272</v>
      </c>
      <c r="W817" s="18">
        <v>1.3338000000000001</v>
      </c>
      <c r="X817" s="18">
        <v>0.88919999999999999</v>
      </c>
      <c r="Y817" s="18">
        <v>3.952E-2</v>
      </c>
      <c r="Z817" s="18">
        <v>0.17537</v>
      </c>
      <c r="AA817" s="18">
        <v>0.25688</v>
      </c>
      <c r="AB817" s="18">
        <v>0.45694999999999997</v>
      </c>
      <c r="AC817" s="18">
        <v>0.14079</v>
      </c>
      <c r="AD817" s="18">
        <v>0.74099999999999999</v>
      </c>
    </row>
    <row r="818" spans="2:30" x14ac:dyDescent="0.25">
      <c r="B818" t="s">
        <v>269</v>
      </c>
      <c r="C818" t="s">
        <v>105</v>
      </c>
      <c r="D818" t="s">
        <v>752</v>
      </c>
      <c r="E818" s="35">
        <v>0.9</v>
      </c>
      <c r="F818" s="35">
        <v>6.6</v>
      </c>
      <c r="G818" s="36">
        <v>2.47E-3</v>
      </c>
      <c r="H818" s="18">
        <v>4.4452980000000002</v>
      </c>
      <c r="I818" s="16" t="s">
        <v>746</v>
      </c>
      <c r="J818" s="16"/>
      <c r="K818" s="16"/>
      <c r="L818" s="37"/>
      <c r="M818" s="37"/>
      <c r="N818" s="37"/>
      <c r="O818" s="37"/>
      <c r="P818" s="37"/>
      <c r="Q818" s="18">
        <v>2.717E-2</v>
      </c>
      <c r="R818" s="18">
        <v>1.8525E-4</v>
      </c>
      <c r="S818" s="18">
        <v>5.1869999999999999E-2</v>
      </c>
      <c r="T818" s="18">
        <v>0.2223</v>
      </c>
      <c r="U818" s="18">
        <v>0.11115</v>
      </c>
      <c r="V818" s="18">
        <v>1.42272</v>
      </c>
      <c r="W818" s="18">
        <v>1.3338000000000001</v>
      </c>
      <c r="X818" s="18">
        <v>0.88919999999999999</v>
      </c>
      <c r="Y818" s="18">
        <v>3.952E-2</v>
      </c>
      <c r="Z818" s="18">
        <v>0.17537</v>
      </c>
      <c r="AA818" s="18">
        <v>0.25688</v>
      </c>
      <c r="AB818" s="18">
        <v>0.45694999999999997</v>
      </c>
      <c r="AC818" s="18">
        <v>0.14079</v>
      </c>
      <c r="AD818" s="18">
        <v>0.74099999999999999</v>
      </c>
    </row>
    <row r="819" spans="2:30" x14ac:dyDescent="0.25">
      <c r="B819" t="s">
        <v>269</v>
      </c>
      <c r="C819" t="s">
        <v>105</v>
      </c>
      <c r="D819" t="s">
        <v>752</v>
      </c>
      <c r="E819" s="35">
        <v>0.9</v>
      </c>
      <c r="F819" s="35">
        <v>6.6</v>
      </c>
      <c r="G819" s="36">
        <v>2.47E-3</v>
      </c>
      <c r="H819" s="18">
        <v>4.4452980000000002</v>
      </c>
      <c r="I819" s="16" t="s">
        <v>746</v>
      </c>
      <c r="J819" s="16"/>
      <c r="K819" s="16"/>
      <c r="L819" s="37"/>
      <c r="M819" s="37"/>
      <c r="N819" s="37"/>
      <c r="O819" s="37"/>
      <c r="P819" s="37"/>
      <c r="Q819" s="18">
        <v>2.717E-2</v>
      </c>
      <c r="R819" s="18">
        <v>1.8525E-4</v>
      </c>
      <c r="S819" s="18">
        <v>5.1869999999999999E-2</v>
      </c>
      <c r="T819" s="18">
        <v>0.2223</v>
      </c>
      <c r="U819" s="18">
        <v>0.11115</v>
      </c>
      <c r="V819" s="18">
        <v>1.42272</v>
      </c>
      <c r="W819" s="18">
        <v>1.3338000000000001</v>
      </c>
      <c r="X819" s="18">
        <v>0.88919999999999999</v>
      </c>
      <c r="Y819" s="18">
        <v>3.952E-2</v>
      </c>
      <c r="Z819" s="18">
        <v>0.17537</v>
      </c>
      <c r="AA819" s="18">
        <v>0.25688</v>
      </c>
      <c r="AB819" s="18">
        <v>0.45694999999999997</v>
      </c>
      <c r="AC819" s="18">
        <v>0.14079</v>
      </c>
      <c r="AD819" s="18">
        <v>0.74099999999999999</v>
      </c>
    </row>
    <row r="820" spans="2:30" x14ac:dyDescent="0.25">
      <c r="B820" t="s">
        <v>269</v>
      </c>
      <c r="C820" t="s">
        <v>105</v>
      </c>
      <c r="D820" t="s">
        <v>752</v>
      </c>
      <c r="E820" s="35">
        <v>0.9</v>
      </c>
      <c r="F820" s="35">
        <v>6.6</v>
      </c>
      <c r="G820" s="36">
        <v>2.47E-3</v>
      </c>
      <c r="H820" s="18">
        <v>4.4452980000000002</v>
      </c>
      <c r="I820" s="16" t="s">
        <v>746</v>
      </c>
      <c r="J820" s="16"/>
      <c r="K820" s="16"/>
      <c r="L820" s="37"/>
      <c r="M820" s="37"/>
      <c r="N820" s="37"/>
      <c r="O820" s="37"/>
      <c r="P820" s="37"/>
      <c r="Q820" s="18">
        <v>2.717E-2</v>
      </c>
      <c r="R820" s="18">
        <v>1.8525E-4</v>
      </c>
      <c r="S820" s="18">
        <v>5.1869999999999999E-2</v>
      </c>
      <c r="T820" s="18">
        <v>0.2223</v>
      </c>
      <c r="U820" s="18">
        <v>0.11115</v>
      </c>
      <c r="V820" s="18">
        <v>1.42272</v>
      </c>
      <c r="W820" s="18">
        <v>1.3338000000000001</v>
      </c>
      <c r="X820" s="18">
        <v>0.88919999999999999</v>
      </c>
      <c r="Y820" s="18">
        <v>3.952E-2</v>
      </c>
      <c r="Z820" s="18">
        <v>0.17537</v>
      </c>
      <c r="AA820" s="18">
        <v>0.25688</v>
      </c>
      <c r="AB820" s="18">
        <v>0.45694999999999997</v>
      </c>
      <c r="AC820" s="18">
        <v>0.14079</v>
      </c>
      <c r="AD820" s="18">
        <v>0.74099999999999999</v>
      </c>
    </row>
    <row r="821" spans="2:30" x14ac:dyDescent="0.25">
      <c r="B821" t="s">
        <v>269</v>
      </c>
      <c r="C821" t="s">
        <v>105</v>
      </c>
      <c r="D821" t="s">
        <v>752</v>
      </c>
      <c r="E821" s="35">
        <v>0.9</v>
      </c>
      <c r="F821" s="35">
        <v>6.6</v>
      </c>
      <c r="G821" s="36">
        <v>2.47E-3</v>
      </c>
      <c r="H821" s="18">
        <v>4.4452980000000002</v>
      </c>
      <c r="I821" s="16" t="s">
        <v>746</v>
      </c>
      <c r="J821" s="16"/>
      <c r="K821" s="16"/>
      <c r="L821" s="37"/>
      <c r="M821" s="37"/>
      <c r="N821" s="37"/>
      <c r="O821" s="37"/>
      <c r="P821" s="37"/>
      <c r="Q821" s="18">
        <v>2.717E-2</v>
      </c>
      <c r="R821" s="18">
        <v>1.8525E-4</v>
      </c>
      <c r="S821" s="18">
        <v>5.1869999999999999E-2</v>
      </c>
      <c r="T821" s="18">
        <v>0.2223</v>
      </c>
      <c r="U821" s="18">
        <v>0.11115</v>
      </c>
      <c r="V821" s="18">
        <v>1.42272</v>
      </c>
      <c r="W821" s="18">
        <v>1.3338000000000001</v>
      </c>
      <c r="X821" s="18">
        <v>0.88919999999999999</v>
      </c>
      <c r="Y821" s="18">
        <v>3.952E-2</v>
      </c>
      <c r="Z821" s="18">
        <v>0.17537</v>
      </c>
      <c r="AA821" s="18">
        <v>0.25688</v>
      </c>
      <c r="AB821" s="18">
        <v>0.45694999999999997</v>
      </c>
      <c r="AC821" s="18">
        <v>0.14079</v>
      </c>
      <c r="AD821" s="18">
        <v>0.74099999999999999</v>
      </c>
    </row>
    <row r="822" spans="2:30" x14ac:dyDescent="0.25">
      <c r="B822" t="s">
        <v>269</v>
      </c>
      <c r="C822" t="s">
        <v>105</v>
      </c>
      <c r="D822" t="s">
        <v>752</v>
      </c>
      <c r="E822" s="35">
        <v>0.9</v>
      </c>
      <c r="F822" s="35">
        <v>6.6</v>
      </c>
      <c r="G822" s="36">
        <v>2.47E-3</v>
      </c>
      <c r="H822" s="18">
        <v>4.4452980000000002</v>
      </c>
      <c r="I822" s="16" t="s">
        <v>746</v>
      </c>
      <c r="J822" s="16"/>
      <c r="K822" s="16"/>
      <c r="L822" s="37"/>
      <c r="M822" s="37"/>
      <c r="N822" s="37"/>
      <c r="O822" s="37"/>
      <c r="P822" s="37"/>
      <c r="Q822" s="18">
        <v>2.717E-2</v>
      </c>
      <c r="R822" s="18">
        <v>1.8525E-4</v>
      </c>
      <c r="S822" s="18">
        <v>5.1869999999999999E-2</v>
      </c>
      <c r="T822" s="18">
        <v>0.2223</v>
      </c>
      <c r="U822" s="18">
        <v>0.11115</v>
      </c>
      <c r="V822" s="18">
        <v>1.42272</v>
      </c>
      <c r="W822" s="18">
        <v>1.3338000000000001</v>
      </c>
      <c r="X822" s="18">
        <v>0.88919999999999999</v>
      </c>
      <c r="Y822" s="18">
        <v>3.952E-2</v>
      </c>
      <c r="Z822" s="18">
        <v>0.17537</v>
      </c>
      <c r="AA822" s="18">
        <v>0.25688</v>
      </c>
      <c r="AB822" s="18">
        <v>0.45694999999999997</v>
      </c>
      <c r="AC822" s="18">
        <v>0.14079</v>
      </c>
      <c r="AD822" s="18">
        <v>0.74099999999999999</v>
      </c>
    </row>
    <row r="823" spans="2:30" x14ac:dyDescent="0.25">
      <c r="B823" t="s">
        <v>269</v>
      </c>
      <c r="C823" t="s">
        <v>105</v>
      </c>
      <c r="D823" t="s">
        <v>752</v>
      </c>
      <c r="E823" s="35">
        <v>0.9</v>
      </c>
      <c r="F823" s="35">
        <v>6.6</v>
      </c>
      <c r="G823" s="36">
        <v>2.47E-3</v>
      </c>
      <c r="H823" s="18">
        <v>4.4452980000000002</v>
      </c>
      <c r="I823" s="16" t="s">
        <v>746</v>
      </c>
      <c r="J823" s="16"/>
      <c r="K823" s="16"/>
      <c r="L823" s="37"/>
      <c r="M823" s="37"/>
      <c r="N823" s="37"/>
      <c r="O823" s="37"/>
      <c r="P823" s="37"/>
      <c r="Q823" s="18">
        <v>2.717E-2</v>
      </c>
      <c r="R823" s="18">
        <v>1.8525E-4</v>
      </c>
      <c r="S823" s="18">
        <v>5.1869999999999999E-2</v>
      </c>
      <c r="T823" s="18">
        <v>0.2223</v>
      </c>
      <c r="U823" s="18">
        <v>0.11115</v>
      </c>
      <c r="V823" s="18">
        <v>1.42272</v>
      </c>
      <c r="W823" s="18">
        <v>1.3338000000000001</v>
      </c>
      <c r="X823" s="18">
        <v>0.88919999999999999</v>
      </c>
      <c r="Y823" s="18">
        <v>3.952E-2</v>
      </c>
      <c r="Z823" s="18">
        <v>0.17537</v>
      </c>
      <c r="AA823" s="18">
        <v>0.25688</v>
      </c>
      <c r="AB823" s="18">
        <v>0.45694999999999997</v>
      </c>
      <c r="AC823" s="18">
        <v>0.14079</v>
      </c>
      <c r="AD823" s="18">
        <v>0.74099999999999999</v>
      </c>
    </row>
    <row r="824" spans="2:30" x14ac:dyDescent="0.25">
      <c r="B824" t="s">
        <v>269</v>
      </c>
      <c r="C824" t="s">
        <v>105</v>
      </c>
      <c r="D824" t="s">
        <v>752</v>
      </c>
      <c r="E824" s="35">
        <v>0.9</v>
      </c>
      <c r="F824" s="35">
        <v>6.6</v>
      </c>
      <c r="G824" s="36">
        <v>2.47E-3</v>
      </c>
      <c r="H824" s="18">
        <v>4.4452980000000002</v>
      </c>
      <c r="I824" s="16" t="s">
        <v>746</v>
      </c>
      <c r="J824" s="16"/>
      <c r="K824" s="16"/>
      <c r="L824" s="37"/>
      <c r="M824" s="37"/>
      <c r="N824" s="37"/>
      <c r="O824" s="37"/>
      <c r="P824" s="37"/>
      <c r="Q824" s="18">
        <v>2.717E-2</v>
      </c>
      <c r="R824" s="18">
        <v>1.8525E-4</v>
      </c>
      <c r="S824" s="18">
        <v>5.1869999999999999E-2</v>
      </c>
      <c r="T824" s="18">
        <v>0.2223</v>
      </c>
      <c r="U824" s="18">
        <v>0.11115</v>
      </c>
      <c r="V824" s="18">
        <v>1.42272</v>
      </c>
      <c r="W824" s="18">
        <v>1.3338000000000001</v>
      </c>
      <c r="X824" s="18">
        <v>0.88919999999999999</v>
      </c>
      <c r="Y824" s="18">
        <v>3.952E-2</v>
      </c>
      <c r="Z824" s="18">
        <v>0.17537</v>
      </c>
      <c r="AA824" s="18">
        <v>0.25688</v>
      </c>
      <c r="AB824" s="18">
        <v>0.45694999999999997</v>
      </c>
      <c r="AC824" s="18">
        <v>0.14079</v>
      </c>
      <c r="AD824" s="18">
        <v>0.74099999999999999</v>
      </c>
    </row>
    <row r="825" spans="2:30" x14ac:dyDescent="0.25">
      <c r="B825" t="s">
        <v>269</v>
      </c>
      <c r="C825" t="s">
        <v>105</v>
      </c>
      <c r="D825" t="s">
        <v>752</v>
      </c>
      <c r="E825" s="35">
        <v>0.9</v>
      </c>
      <c r="F825" s="35">
        <v>6.6</v>
      </c>
      <c r="G825" s="36">
        <v>2.47E-3</v>
      </c>
      <c r="H825" s="18">
        <v>4.4452980000000002</v>
      </c>
      <c r="I825" s="16" t="s">
        <v>746</v>
      </c>
      <c r="J825" s="16"/>
      <c r="K825" s="16"/>
      <c r="L825" s="37"/>
      <c r="M825" s="37"/>
      <c r="N825" s="37"/>
      <c r="O825" s="37"/>
      <c r="P825" s="37"/>
      <c r="Q825" s="18">
        <v>2.717E-2</v>
      </c>
      <c r="R825" s="18">
        <v>1.8525E-4</v>
      </c>
      <c r="S825" s="18">
        <v>5.1869999999999999E-2</v>
      </c>
      <c r="T825" s="18">
        <v>0.2223</v>
      </c>
      <c r="U825" s="18">
        <v>0.11115</v>
      </c>
      <c r="V825" s="18">
        <v>1.42272</v>
      </c>
      <c r="W825" s="18">
        <v>1.3338000000000001</v>
      </c>
      <c r="X825" s="18">
        <v>0.88919999999999999</v>
      </c>
      <c r="Y825" s="18">
        <v>3.952E-2</v>
      </c>
      <c r="Z825" s="18">
        <v>0.17537</v>
      </c>
      <c r="AA825" s="18">
        <v>0.25688</v>
      </c>
      <c r="AB825" s="18">
        <v>0.45694999999999997</v>
      </c>
      <c r="AC825" s="18">
        <v>0.14079</v>
      </c>
      <c r="AD825" s="18">
        <v>0.74099999999999999</v>
      </c>
    </row>
    <row r="826" spans="2:30" x14ac:dyDescent="0.25">
      <c r="B826" t="s">
        <v>269</v>
      </c>
      <c r="C826" t="s">
        <v>105</v>
      </c>
      <c r="D826" t="s">
        <v>752</v>
      </c>
      <c r="E826" s="35">
        <v>0.9</v>
      </c>
      <c r="F826" s="35">
        <v>6.6</v>
      </c>
      <c r="G826" s="36">
        <v>2.47E-3</v>
      </c>
      <c r="H826" s="18">
        <v>4.4452980000000002</v>
      </c>
      <c r="I826" s="16" t="s">
        <v>746</v>
      </c>
      <c r="J826" s="16"/>
      <c r="K826" s="16"/>
      <c r="L826" s="37"/>
      <c r="M826" s="37"/>
      <c r="N826" s="37"/>
      <c r="O826" s="37"/>
      <c r="P826" s="37"/>
      <c r="Q826" s="18">
        <v>2.717E-2</v>
      </c>
      <c r="R826" s="18">
        <v>1.8525E-4</v>
      </c>
      <c r="S826" s="18">
        <v>5.1869999999999999E-2</v>
      </c>
      <c r="T826" s="18">
        <v>0.2223</v>
      </c>
      <c r="U826" s="18">
        <v>0.11115</v>
      </c>
      <c r="V826" s="18">
        <v>1.42272</v>
      </c>
      <c r="W826" s="18">
        <v>1.3338000000000001</v>
      </c>
      <c r="X826" s="18">
        <v>0.88919999999999999</v>
      </c>
      <c r="Y826" s="18">
        <v>3.952E-2</v>
      </c>
      <c r="Z826" s="18">
        <v>0.17537</v>
      </c>
      <c r="AA826" s="18">
        <v>0.25688</v>
      </c>
      <c r="AB826" s="18">
        <v>0.45694999999999997</v>
      </c>
      <c r="AC826" s="18">
        <v>0.14079</v>
      </c>
      <c r="AD826" s="18">
        <v>0.74099999999999999</v>
      </c>
    </row>
    <row r="827" spans="2:30" x14ac:dyDescent="0.25">
      <c r="B827" t="s">
        <v>269</v>
      </c>
      <c r="C827" t="s">
        <v>105</v>
      </c>
      <c r="D827" t="s">
        <v>752</v>
      </c>
      <c r="E827" s="35">
        <v>0.9</v>
      </c>
      <c r="F827" s="35">
        <v>6.6</v>
      </c>
      <c r="G827" s="36">
        <v>2.47E-3</v>
      </c>
      <c r="H827" s="18">
        <v>4.4452980000000002</v>
      </c>
      <c r="I827" s="16" t="s">
        <v>746</v>
      </c>
      <c r="J827" s="16"/>
      <c r="K827" s="16"/>
      <c r="L827" s="37"/>
      <c r="M827" s="37"/>
      <c r="N827" s="37"/>
      <c r="O827" s="37"/>
      <c r="P827" s="37"/>
      <c r="Q827" s="18">
        <v>2.717E-2</v>
      </c>
      <c r="R827" s="18">
        <v>1.8525E-4</v>
      </c>
      <c r="S827" s="18">
        <v>5.1869999999999999E-2</v>
      </c>
      <c r="T827" s="18">
        <v>0.2223</v>
      </c>
      <c r="U827" s="18">
        <v>0.11115</v>
      </c>
      <c r="V827" s="18">
        <v>1.42272</v>
      </c>
      <c r="W827" s="18">
        <v>1.3338000000000001</v>
      </c>
      <c r="X827" s="18">
        <v>0.88919999999999999</v>
      </c>
      <c r="Y827" s="18">
        <v>3.952E-2</v>
      </c>
      <c r="Z827" s="18">
        <v>0.17537</v>
      </c>
      <c r="AA827" s="18">
        <v>0.25688</v>
      </c>
      <c r="AB827" s="18">
        <v>0.45694999999999997</v>
      </c>
      <c r="AC827" s="18">
        <v>0.14079</v>
      </c>
      <c r="AD827" s="18">
        <v>0.74099999999999999</v>
      </c>
    </row>
    <row r="828" spans="2:30" x14ac:dyDescent="0.25">
      <c r="B828" t="s">
        <v>269</v>
      </c>
      <c r="C828" t="s">
        <v>326</v>
      </c>
      <c r="D828" t="s">
        <v>752</v>
      </c>
      <c r="E828" s="35">
        <v>0.9</v>
      </c>
      <c r="F828" s="35">
        <v>6.6</v>
      </c>
      <c r="G828" s="36">
        <v>2.47E-3</v>
      </c>
      <c r="H828" s="18">
        <v>4.4452980000000002</v>
      </c>
      <c r="I828" s="16" t="s">
        <v>746</v>
      </c>
      <c r="J828" s="16"/>
      <c r="K828" s="16"/>
      <c r="L828" s="37"/>
      <c r="M828" s="37"/>
      <c r="N828" s="37"/>
      <c r="O828" s="37"/>
      <c r="P828" s="37"/>
      <c r="Q828" s="18">
        <v>2.717E-2</v>
      </c>
      <c r="R828" s="18">
        <v>1.8525E-4</v>
      </c>
      <c r="S828" s="18">
        <v>5.1869999999999999E-2</v>
      </c>
      <c r="T828" s="18">
        <v>0.2223</v>
      </c>
      <c r="U828" s="18">
        <v>0.11115</v>
      </c>
      <c r="V828" s="18">
        <v>1.42272</v>
      </c>
      <c r="W828" s="18">
        <v>1.3338000000000001</v>
      </c>
      <c r="X828" s="18">
        <v>0.88919999999999999</v>
      </c>
      <c r="Y828" s="18">
        <v>3.952E-2</v>
      </c>
      <c r="Z828" s="18">
        <v>0.17537</v>
      </c>
      <c r="AA828" s="18">
        <v>0.25688</v>
      </c>
      <c r="AB828" s="18">
        <v>0.45694999999999997</v>
      </c>
      <c r="AC828" s="18">
        <v>0.14079</v>
      </c>
      <c r="AD828" s="18">
        <v>0.74099999999999999</v>
      </c>
    </row>
    <row r="829" spans="2:30" x14ac:dyDescent="0.25">
      <c r="B829" t="s">
        <v>269</v>
      </c>
      <c r="C829" t="s">
        <v>326</v>
      </c>
      <c r="D829" t="s">
        <v>752</v>
      </c>
      <c r="E829" s="35">
        <v>0.9</v>
      </c>
      <c r="F829" s="35">
        <v>6.6</v>
      </c>
      <c r="G829" s="36">
        <v>2.47E-3</v>
      </c>
      <c r="H829" s="18">
        <v>4.4452980000000002</v>
      </c>
      <c r="I829" s="16" t="s">
        <v>746</v>
      </c>
      <c r="J829" s="16"/>
      <c r="K829" s="16"/>
      <c r="L829" s="37"/>
      <c r="M829" s="37"/>
      <c r="N829" s="37"/>
      <c r="O829" s="37"/>
      <c r="P829" s="37"/>
      <c r="Q829" s="18">
        <v>2.717E-2</v>
      </c>
      <c r="R829" s="18">
        <v>1.8525E-4</v>
      </c>
      <c r="S829" s="18">
        <v>5.1869999999999999E-2</v>
      </c>
      <c r="T829" s="18">
        <v>0.2223</v>
      </c>
      <c r="U829" s="18">
        <v>0.11115</v>
      </c>
      <c r="V829" s="18">
        <v>1.42272</v>
      </c>
      <c r="W829" s="18">
        <v>1.3338000000000001</v>
      </c>
      <c r="X829" s="18">
        <v>0.88919999999999999</v>
      </c>
      <c r="Y829" s="18">
        <v>3.952E-2</v>
      </c>
      <c r="Z829" s="18">
        <v>0.17537</v>
      </c>
      <c r="AA829" s="18">
        <v>0.25688</v>
      </c>
      <c r="AB829" s="18">
        <v>0.45694999999999997</v>
      </c>
      <c r="AC829" s="18">
        <v>0.14079</v>
      </c>
      <c r="AD829" s="18">
        <v>0.74099999999999999</v>
      </c>
    </row>
    <row r="830" spans="2:30" x14ac:dyDescent="0.25">
      <c r="B830" t="s">
        <v>269</v>
      </c>
      <c r="C830" t="s">
        <v>326</v>
      </c>
      <c r="D830" t="s">
        <v>752</v>
      </c>
      <c r="E830" s="35">
        <v>0.9</v>
      </c>
      <c r="F830" s="35">
        <v>6.6</v>
      </c>
      <c r="G830" s="36">
        <v>2.47E-3</v>
      </c>
      <c r="H830" s="18">
        <v>4.4452980000000002</v>
      </c>
      <c r="I830" s="16" t="s">
        <v>746</v>
      </c>
      <c r="J830" s="16"/>
      <c r="K830" s="16"/>
      <c r="L830" s="37"/>
      <c r="M830" s="37"/>
      <c r="N830" s="37"/>
      <c r="O830" s="37"/>
      <c r="P830" s="37"/>
      <c r="Q830" s="18">
        <v>2.717E-2</v>
      </c>
      <c r="R830" s="18">
        <v>1.8525E-4</v>
      </c>
      <c r="S830" s="18">
        <v>5.1869999999999999E-2</v>
      </c>
      <c r="T830" s="18">
        <v>0.2223</v>
      </c>
      <c r="U830" s="18">
        <v>0.11115</v>
      </c>
      <c r="V830" s="18">
        <v>1.42272</v>
      </c>
      <c r="W830" s="18">
        <v>1.3338000000000001</v>
      </c>
      <c r="X830" s="18">
        <v>0.88919999999999999</v>
      </c>
      <c r="Y830" s="18">
        <v>3.952E-2</v>
      </c>
      <c r="Z830" s="18">
        <v>0.17537</v>
      </c>
      <c r="AA830" s="18">
        <v>0.25688</v>
      </c>
      <c r="AB830" s="18">
        <v>0.45694999999999997</v>
      </c>
      <c r="AC830" s="18">
        <v>0.14079</v>
      </c>
      <c r="AD830" s="18">
        <v>0.74099999999999999</v>
      </c>
    </row>
    <row r="831" spans="2:30" x14ac:dyDescent="0.25">
      <c r="B831" t="s">
        <v>269</v>
      </c>
      <c r="C831" t="s">
        <v>326</v>
      </c>
      <c r="D831" t="s">
        <v>752</v>
      </c>
      <c r="E831" s="35">
        <v>0.9</v>
      </c>
      <c r="F831" s="35">
        <v>6.6</v>
      </c>
      <c r="G831" s="36">
        <v>2.47E-3</v>
      </c>
      <c r="H831" s="18">
        <v>4.4452980000000002</v>
      </c>
      <c r="I831" s="16" t="s">
        <v>746</v>
      </c>
      <c r="J831" s="16"/>
      <c r="K831" s="16"/>
      <c r="L831" s="37"/>
      <c r="M831" s="37"/>
      <c r="N831" s="37"/>
      <c r="O831" s="37"/>
      <c r="P831" s="37"/>
      <c r="Q831" s="18">
        <v>2.717E-2</v>
      </c>
      <c r="R831" s="18">
        <v>1.8525E-4</v>
      </c>
      <c r="S831" s="18">
        <v>5.1869999999999999E-2</v>
      </c>
      <c r="T831" s="18">
        <v>0.2223</v>
      </c>
      <c r="U831" s="18">
        <v>0.11115</v>
      </c>
      <c r="V831" s="18">
        <v>1.42272</v>
      </c>
      <c r="W831" s="18">
        <v>1.3338000000000001</v>
      </c>
      <c r="X831" s="18">
        <v>0.88919999999999999</v>
      </c>
      <c r="Y831" s="18">
        <v>3.952E-2</v>
      </c>
      <c r="Z831" s="18">
        <v>0.17537</v>
      </c>
      <c r="AA831" s="18">
        <v>0.25688</v>
      </c>
      <c r="AB831" s="18">
        <v>0.45694999999999997</v>
      </c>
      <c r="AC831" s="18">
        <v>0.14079</v>
      </c>
      <c r="AD831" s="18">
        <v>0.74099999999999999</v>
      </c>
    </row>
    <row r="832" spans="2:30" x14ac:dyDescent="0.25">
      <c r="B832" t="s">
        <v>269</v>
      </c>
      <c r="C832" t="s">
        <v>326</v>
      </c>
      <c r="D832" t="s">
        <v>752</v>
      </c>
      <c r="E832" s="35">
        <v>0.9</v>
      </c>
      <c r="F832" s="35">
        <v>6.6</v>
      </c>
      <c r="G832" s="36">
        <v>2.47E-3</v>
      </c>
      <c r="H832" s="18">
        <v>4.4452980000000002</v>
      </c>
      <c r="I832" s="16" t="s">
        <v>746</v>
      </c>
      <c r="J832" s="16"/>
      <c r="K832" s="16"/>
      <c r="L832" s="37"/>
      <c r="M832" s="37"/>
      <c r="N832" s="37"/>
      <c r="O832" s="37"/>
      <c r="P832" s="37"/>
      <c r="Q832" s="18">
        <v>2.717E-2</v>
      </c>
      <c r="R832" s="18">
        <v>1.8525E-4</v>
      </c>
      <c r="S832" s="18">
        <v>5.1869999999999999E-2</v>
      </c>
      <c r="T832" s="18">
        <v>0.2223</v>
      </c>
      <c r="U832" s="18">
        <v>0.11115</v>
      </c>
      <c r="V832" s="18">
        <v>1.42272</v>
      </c>
      <c r="W832" s="18">
        <v>1.3338000000000001</v>
      </c>
      <c r="X832" s="18">
        <v>0.88919999999999999</v>
      </c>
      <c r="Y832" s="18">
        <v>3.952E-2</v>
      </c>
      <c r="Z832" s="18">
        <v>0.17537</v>
      </c>
      <c r="AA832" s="18">
        <v>0.25688</v>
      </c>
      <c r="AB832" s="18">
        <v>0.45694999999999997</v>
      </c>
      <c r="AC832" s="18">
        <v>0.14079</v>
      </c>
      <c r="AD832" s="18">
        <v>0.74099999999999999</v>
      </c>
    </row>
    <row r="833" spans="2:30" x14ac:dyDescent="0.25">
      <c r="B833" t="s">
        <v>269</v>
      </c>
      <c r="C833" t="s">
        <v>326</v>
      </c>
      <c r="D833" t="s">
        <v>752</v>
      </c>
      <c r="E833" s="35">
        <v>0.9</v>
      </c>
      <c r="F833" s="35">
        <v>6.6</v>
      </c>
      <c r="G833" s="36">
        <v>2.47E-3</v>
      </c>
      <c r="H833" s="18">
        <v>4.4452980000000002</v>
      </c>
      <c r="I833" s="16" t="s">
        <v>746</v>
      </c>
      <c r="J833" s="16"/>
      <c r="K833" s="16"/>
      <c r="L833" s="37"/>
      <c r="M833" s="37"/>
      <c r="N833" s="37"/>
      <c r="O833" s="37"/>
      <c r="P833" s="37"/>
      <c r="Q833" s="18">
        <v>2.717E-2</v>
      </c>
      <c r="R833" s="18">
        <v>1.8525E-4</v>
      </c>
      <c r="S833" s="18">
        <v>5.1869999999999999E-2</v>
      </c>
      <c r="T833" s="18">
        <v>0.2223</v>
      </c>
      <c r="U833" s="18">
        <v>0.11115</v>
      </c>
      <c r="V833" s="18">
        <v>1.42272</v>
      </c>
      <c r="W833" s="18">
        <v>1.3338000000000001</v>
      </c>
      <c r="X833" s="18">
        <v>0.88919999999999999</v>
      </c>
      <c r="Y833" s="18">
        <v>3.952E-2</v>
      </c>
      <c r="Z833" s="18">
        <v>0.17537</v>
      </c>
      <c r="AA833" s="18">
        <v>0.25688</v>
      </c>
      <c r="AB833" s="18">
        <v>0.45694999999999997</v>
      </c>
      <c r="AC833" s="18">
        <v>0.14079</v>
      </c>
      <c r="AD833" s="18">
        <v>0.74099999999999999</v>
      </c>
    </row>
    <row r="834" spans="2:30" x14ac:dyDescent="0.25">
      <c r="B834" t="s">
        <v>269</v>
      </c>
      <c r="C834" t="s">
        <v>326</v>
      </c>
      <c r="D834" t="s">
        <v>752</v>
      </c>
      <c r="E834" s="35">
        <v>0.9</v>
      </c>
      <c r="F834" s="35">
        <v>6.6</v>
      </c>
      <c r="G834" s="36">
        <v>2.47E-3</v>
      </c>
      <c r="H834" s="18">
        <v>4.4452980000000002</v>
      </c>
      <c r="I834" s="16" t="s">
        <v>746</v>
      </c>
      <c r="J834" s="16"/>
      <c r="K834" s="16"/>
      <c r="L834" s="37"/>
      <c r="M834" s="37"/>
      <c r="N834" s="37"/>
      <c r="O834" s="37"/>
      <c r="P834" s="37"/>
      <c r="Q834" s="18">
        <v>2.717E-2</v>
      </c>
      <c r="R834" s="18">
        <v>1.8525E-4</v>
      </c>
      <c r="S834" s="18">
        <v>5.1869999999999999E-2</v>
      </c>
      <c r="T834" s="18">
        <v>0.2223</v>
      </c>
      <c r="U834" s="18">
        <v>0.11115</v>
      </c>
      <c r="V834" s="18">
        <v>1.42272</v>
      </c>
      <c r="W834" s="18">
        <v>1.3338000000000001</v>
      </c>
      <c r="X834" s="18">
        <v>0.88919999999999999</v>
      </c>
      <c r="Y834" s="18">
        <v>3.952E-2</v>
      </c>
      <c r="Z834" s="18">
        <v>0.17537</v>
      </c>
      <c r="AA834" s="18">
        <v>0.25688</v>
      </c>
      <c r="AB834" s="18">
        <v>0.45694999999999997</v>
      </c>
      <c r="AC834" s="18">
        <v>0.14079</v>
      </c>
      <c r="AD834" s="18">
        <v>0.74099999999999999</v>
      </c>
    </row>
    <row r="835" spans="2:30" x14ac:dyDescent="0.25">
      <c r="B835" t="s">
        <v>269</v>
      </c>
      <c r="C835" t="s">
        <v>326</v>
      </c>
      <c r="D835" t="s">
        <v>752</v>
      </c>
      <c r="E835" s="35">
        <v>0.9</v>
      </c>
      <c r="F835" s="35">
        <v>6.6</v>
      </c>
      <c r="G835" s="36">
        <v>2.47E-3</v>
      </c>
      <c r="H835" s="18">
        <v>4.4452980000000002</v>
      </c>
      <c r="I835" s="16" t="s">
        <v>746</v>
      </c>
      <c r="J835" s="16"/>
      <c r="K835" s="16"/>
      <c r="L835" s="37"/>
      <c r="M835" s="37"/>
      <c r="N835" s="37"/>
      <c r="O835" s="37"/>
      <c r="P835" s="37"/>
      <c r="Q835" s="18">
        <v>2.717E-2</v>
      </c>
      <c r="R835" s="18">
        <v>1.8525E-4</v>
      </c>
      <c r="S835" s="18">
        <v>5.1869999999999999E-2</v>
      </c>
      <c r="T835" s="18">
        <v>0.2223</v>
      </c>
      <c r="U835" s="18">
        <v>0.11115</v>
      </c>
      <c r="V835" s="18">
        <v>1.42272</v>
      </c>
      <c r="W835" s="18">
        <v>1.3338000000000001</v>
      </c>
      <c r="X835" s="18">
        <v>0.88919999999999999</v>
      </c>
      <c r="Y835" s="18">
        <v>3.952E-2</v>
      </c>
      <c r="Z835" s="18">
        <v>0.17537</v>
      </c>
      <c r="AA835" s="18">
        <v>0.25688</v>
      </c>
      <c r="AB835" s="18">
        <v>0.45694999999999997</v>
      </c>
      <c r="AC835" s="18">
        <v>0.14079</v>
      </c>
      <c r="AD835" s="18">
        <v>0.74099999999999999</v>
      </c>
    </row>
    <row r="836" spans="2:30" x14ac:dyDescent="0.25">
      <c r="B836" t="s">
        <v>269</v>
      </c>
      <c r="C836" t="s">
        <v>326</v>
      </c>
      <c r="D836" t="s">
        <v>752</v>
      </c>
      <c r="E836" s="35">
        <v>0.9</v>
      </c>
      <c r="F836" s="35">
        <v>6.6</v>
      </c>
      <c r="G836" s="36">
        <v>2.47E-3</v>
      </c>
      <c r="H836" s="18">
        <v>4.4452980000000002</v>
      </c>
      <c r="I836" s="16" t="s">
        <v>746</v>
      </c>
      <c r="J836" s="16"/>
      <c r="K836" s="16"/>
      <c r="L836" s="37"/>
      <c r="M836" s="37"/>
      <c r="N836" s="37"/>
      <c r="O836" s="37"/>
      <c r="P836" s="37"/>
      <c r="Q836" s="18">
        <v>2.717E-2</v>
      </c>
      <c r="R836" s="18">
        <v>1.8525E-4</v>
      </c>
      <c r="S836" s="18">
        <v>5.1869999999999999E-2</v>
      </c>
      <c r="T836" s="18">
        <v>0.2223</v>
      </c>
      <c r="U836" s="18">
        <v>0.11115</v>
      </c>
      <c r="V836" s="18">
        <v>1.42272</v>
      </c>
      <c r="W836" s="18">
        <v>1.3338000000000001</v>
      </c>
      <c r="X836" s="18">
        <v>0.88919999999999999</v>
      </c>
      <c r="Y836" s="18">
        <v>3.952E-2</v>
      </c>
      <c r="Z836" s="18">
        <v>0.17537</v>
      </c>
      <c r="AA836" s="18">
        <v>0.25688</v>
      </c>
      <c r="AB836" s="18">
        <v>0.45694999999999997</v>
      </c>
      <c r="AC836" s="18">
        <v>0.14079</v>
      </c>
      <c r="AD836" s="18">
        <v>0.74099999999999999</v>
      </c>
    </row>
    <row r="837" spans="2:30" x14ac:dyDescent="0.25">
      <c r="B837" t="s">
        <v>269</v>
      </c>
      <c r="C837" t="s">
        <v>326</v>
      </c>
      <c r="D837" t="s">
        <v>752</v>
      </c>
      <c r="E837" s="35">
        <v>0.9</v>
      </c>
      <c r="F837" s="35">
        <v>6.6</v>
      </c>
      <c r="G837" s="36">
        <v>2.47E-3</v>
      </c>
      <c r="H837" s="18">
        <v>4.4452980000000002</v>
      </c>
      <c r="I837" s="16" t="s">
        <v>746</v>
      </c>
      <c r="J837" s="16"/>
      <c r="K837" s="16"/>
      <c r="L837" s="37"/>
      <c r="M837" s="37"/>
      <c r="N837" s="37"/>
      <c r="O837" s="37"/>
      <c r="P837" s="37"/>
      <c r="Q837" s="18">
        <v>2.717E-2</v>
      </c>
      <c r="R837" s="18">
        <v>1.8525E-4</v>
      </c>
      <c r="S837" s="18">
        <v>5.1869999999999999E-2</v>
      </c>
      <c r="T837" s="18">
        <v>0.2223</v>
      </c>
      <c r="U837" s="18">
        <v>0.11115</v>
      </c>
      <c r="V837" s="18">
        <v>1.42272</v>
      </c>
      <c r="W837" s="18">
        <v>1.3338000000000001</v>
      </c>
      <c r="X837" s="18">
        <v>0.88919999999999999</v>
      </c>
      <c r="Y837" s="18">
        <v>3.952E-2</v>
      </c>
      <c r="Z837" s="18">
        <v>0.17537</v>
      </c>
      <c r="AA837" s="18">
        <v>0.25688</v>
      </c>
      <c r="AB837" s="18">
        <v>0.45694999999999997</v>
      </c>
      <c r="AC837" s="18">
        <v>0.14079</v>
      </c>
      <c r="AD837" s="18">
        <v>0.74099999999999999</v>
      </c>
    </row>
    <row r="838" spans="2:30" x14ac:dyDescent="0.25">
      <c r="B838" t="s">
        <v>269</v>
      </c>
      <c r="C838" t="s">
        <v>326</v>
      </c>
      <c r="D838" t="s">
        <v>752</v>
      </c>
      <c r="E838" s="35">
        <v>0.9</v>
      </c>
      <c r="F838" s="35">
        <v>6.6</v>
      </c>
      <c r="G838" s="36">
        <v>2.47E-3</v>
      </c>
      <c r="H838" s="18">
        <v>4.4452980000000002</v>
      </c>
      <c r="I838" s="16" t="s">
        <v>746</v>
      </c>
      <c r="J838" s="16"/>
      <c r="K838" s="16"/>
      <c r="L838" s="37"/>
      <c r="M838" s="37"/>
      <c r="N838" s="37"/>
      <c r="O838" s="37"/>
      <c r="P838" s="37"/>
      <c r="Q838" s="18">
        <v>2.717E-2</v>
      </c>
      <c r="R838" s="18">
        <v>1.8525E-4</v>
      </c>
      <c r="S838" s="18">
        <v>5.1869999999999999E-2</v>
      </c>
      <c r="T838" s="18">
        <v>0.2223</v>
      </c>
      <c r="U838" s="18">
        <v>0.11115</v>
      </c>
      <c r="V838" s="18">
        <v>1.42272</v>
      </c>
      <c r="W838" s="18">
        <v>1.3338000000000001</v>
      </c>
      <c r="X838" s="18">
        <v>0.88919999999999999</v>
      </c>
      <c r="Y838" s="18">
        <v>3.952E-2</v>
      </c>
      <c r="Z838" s="18">
        <v>0.17537</v>
      </c>
      <c r="AA838" s="18">
        <v>0.25688</v>
      </c>
      <c r="AB838" s="18">
        <v>0.45694999999999997</v>
      </c>
      <c r="AC838" s="18">
        <v>0.14079</v>
      </c>
      <c r="AD838" s="18">
        <v>0.74099999999999999</v>
      </c>
    </row>
    <row r="839" spans="2:30" x14ac:dyDescent="0.25">
      <c r="B839" t="s">
        <v>269</v>
      </c>
      <c r="C839" t="s">
        <v>326</v>
      </c>
      <c r="D839" t="s">
        <v>752</v>
      </c>
      <c r="E839" s="35">
        <v>0.9</v>
      </c>
      <c r="F839" s="35">
        <v>6.6</v>
      </c>
      <c r="G839" s="36">
        <v>2.47E-3</v>
      </c>
      <c r="H839" s="18">
        <v>4.4452980000000002</v>
      </c>
      <c r="I839" s="16" t="s">
        <v>746</v>
      </c>
      <c r="J839" s="16"/>
      <c r="K839" s="16"/>
      <c r="L839" s="37"/>
      <c r="M839" s="37"/>
      <c r="N839" s="37"/>
      <c r="O839" s="37"/>
      <c r="P839" s="37"/>
      <c r="Q839" s="18">
        <v>2.717E-2</v>
      </c>
      <c r="R839" s="18">
        <v>1.8525E-4</v>
      </c>
      <c r="S839" s="18">
        <v>5.1869999999999999E-2</v>
      </c>
      <c r="T839" s="18">
        <v>0.2223</v>
      </c>
      <c r="U839" s="18">
        <v>0.11115</v>
      </c>
      <c r="V839" s="18">
        <v>1.42272</v>
      </c>
      <c r="W839" s="18">
        <v>1.3338000000000001</v>
      </c>
      <c r="X839" s="18">
        <v>0.88919999999999999</v>
      </c>
      <c r="Y839" s="18">
        <v>3.952E-2</v>
      </c>
      <c r="Z839" s="18">
        <v>0.17537</v>
      </c>
      <c r="AA839" s="18">
        <v>0.25688</v>
      </c>
      <c r="AB839" s="18">
        <v>0.45694999999999997</v>
      </c>
      <c r="AC839" s="18">
        <v>0.14079</v>
      </c>
      <c r="AD839" s="18">
        <v>0.74099999999999999</v>
      </c>
    </row>
    <row r="840" spans="2:30" x14ac:dyDescent="0.25">
      <c r="B840" t="s">
        <v>269</v>
      </c>
      <c r="C840" t="s">
        <v>326</v>
      </c>
      <c r="D840" t="s">
        <v>752</v>
      </c>
      <c r="E840" s="35">
        <v>0.9</v>
      </c>
      <c r="F840" s="35">
        <v>6.6</v>
      </c>
      <c r="G840" s="36">
        <v>2.47E-3</v>
      </c>
      <c r="H840" s="18">
        <v>4.4452980000000002</v>
      </c>
      <c r="I840" s="16" t="s">
        <v>746</v>
      </c>
      <c r="J840" s="16"/>
      <c r="K840" s="16"/>
      <c r="L840" s="37"/>
      <c r="M840" s="37"/>
      <c r="N840" s="37"/>
      <c r="O840" s="37"/>
      <c r="P840" s="37"/>
      <c r="Q840" s="18">
        <v>2.717E-2</v>
      </c>
      <c r="R840" s="18">
        <v>1.8525E-4</v>
      </c>
      <c r="S840" s="18">
        <v>5.1869999999999999E-2</v>
      </c>
      <c r="T840" s="18">
        <v>0.2223</v>
      </c>
      <c r="U840" s="18">
        <v>0.11115</v>
      </c>
      <c r="V840" s="18">
        <v>1.42272</v>
      </c>
      <c r="W840" s="18">
        <v>1.3338000000000001</v>
      </c>
      <c r="X840" s="18">
        <v>0.88919999999999999</v>
      </c>
      <c r="Y840" s="18">
        <v>3.952E-2</v>
      </c>
      <c r="Z840" s="18">
        <v>0.17537</v>
      </c>
      <c r="AA840" s="18">
        <v>0.25688</v>
      </c>
      <c r="AB840" s="18">
        <v>0.45694999999999997</v>
      </c>
      <c r="AC840" s="18">
        <v>0.14079</v>
      </c>
      <c r="AD840" s="18">
        <v>0.74099999999999999</v>
      </c>
    </row>
    <row r="841" spans="2:30" x14ac:dyDescent="0.25">
      <c r="B841" t="s">
        <v>269</v>
      </c>
      <c r="C841" t="s">
        <v>326</v>
      </c>
      <c r="D841" t="s">
        <v>752</v>
      </c>
      <c r="E841" s="35">
        <v>0.9</v>
      </c>
      <c r="F841" s="35">
        <v>6.6</v>
      </c>
      <c r="G841" s="36">
        <v>2.47E-3</v>
      </c>
      <c r="H841" s="18">
        <v>4.4452980000000002</v>
      </c>
      <c r="I841" s="16" t="s">
        <v>746</v>
      </c>
      <c r="J841" s="16"/>
      <c r="K841" s="16"/>
      <c r="L841" s="37"/>
      <c r="M841" s="37"/>
      <c r="N841" s="37"/>
      <c r="O841" s="37"/>
      <c r="P841" s="37"/>
      <c r="Q841" s="18">
        <v>2.717E-2</v>
      </c>
      <c r="R841" s="18">
        <v>1.8525E-4</v>
      </c>
      <c r="S841" s="18">
        <v>5.1869999999999999E-2</v>
      </c>
      <c r="T841" s="18">
        <v>0.2223</v>
      </c>
      <c r="U841" s="18">
        <v>0.11115</v>
      </c>
      <c r="V841" s="18">
        <v>1.42272</v>
      </c>
      <c r="W841" s="18">
        <v>1.3338000000000001</v>
      </c>
      <c r="X841" s="18">
        <v>0.88919999999999999</v>
      </c>
      <c r="Y841" s="18">
        <v>3.952E-2</v>
      </c>
      <c r="Z841" s="18">
        <v>0.17537</v>
      </c>
      <c r="AA841" s="18">
        <v>0.25688</v>
      </c>
      <c r="AB841" s="18">
        <v>0.45694999999999997</v>
      </c>
      <c r="AC841" s="18">
        <v>0.14079</v>
      </c>
      <c r="AD841" s="18">
        <v>0.74099999999999999</v>
      </c>
    </row>
    <row r="842" spans="2:30" x14ac:dyDescent="0.25">
      <c r="B842" t="s">
        <v>269</v>
      </c>
      <c r="C842" t="s">
        <v>326</v>
      </c>
      <c r="D842" t="s">
        <v>752</v>
      </c>
      <c r="E842" s="35">
        <v>0.9</v>
      </c>
      <c r="F842" s="35">
        <v>6.6</v>
      </c>
      <c r="G842" s="36">
        <v>2.47E-3</v>
      </c>
      <c r="H842" s="18">
        <v>4.4452980000000002</v>
      </c>
      <c r="I842" s="16" t="s">
        <v>746</v>
      </c>
      <c r="J842" s="16"/>
      <c r="K842" s="16"/>
      <c r="L842" s="37"/>
      <c r="M842" s="37"/>
      <c r="N842" s="37"/>
      <c r="O842" s="37"/>
      <c r="P842" s="37"/>
      <c r="Q842" s="18">
        <v>2.717E-2</v>
      </c>
      <c r="R842" s="18">
        <v>1.8525E-4</v>
      </c>
      <c r="S842" s="18">
        <v>5.1869999999999999E-2</v>
      </c>
      <c r="T842" s="18">
        <v>0.2223</v>
      </c>
      <c r="U842" s="18">
        <v>0.11115</v>
      </c>
      <c r="V842" s="18">
        <v>1.42272</v>
      </c>
      <c r="W842" s="18">
        <v>1.3338000000000001</v>
      </c>
      <c r="X842" s="18">
        <v>0.88919999999999999</v>
      </c>
      <c r="Y842" s="18">
        <v>3.952E-2</v>
      </c>
      <c r="Z842" s="18">
        <v>0.17537</v>
      </c>
      <c r="AA842" s="18">
        <v>0.25688</v>
      </c>
      <c r="AB842" s="18">
        <v>0.45694999999999997</v>
      </c>
      <c r="AC842" s="18">
        <v>0.14079</v>
      </c>
      <c r="AD842" s="18">
        <v>0.74099999999999999</v>
      </c>
    </row>
    <row r="843" spans="2:30" x14ac:dyDescent="0.25">
      <c r="B843" t="s">
        <v>269</v>
      </c>
      <c r="C843" t="s">
        <v>326</v>
      </c>
      <c r="D843" t="s">
        <v>752</v>
      </c>
      <c r="E843" s="35">
        <v>0.9</v>
      </c>
      <c r="F843" s="35">
        <v>6.6</v>
      </c>
      <c r="G843" s="36">
        <v>2.47E-3</v>
      </c>
      <c r="H843" s="18">
        <v>4.4452980000000002</v>
      </c>
      <c r="I843" s="16" t="s">
        <v>746</v>
      </c>
      <c r="J843" s="16"/>
      <c r="K843" s="16"/>
      <c r="L843" s="37"/>
      <c r="M843" s="37"/>
      <c r="N843" s="37"/>
      <c r="O843" s="37"/>
      <c r="P843" s="37"/>
      <c r="Q843" s="18">
        <v>2.717E-2</v>
      </c>
      <c r="R843" s="18">
        <v>1.8525E-4</v>
      </c>
      <c r="S843" s="18">
        <v>5.1869999999999999E-2</v>
      </c>
      <c r="T843" s="18">
        <v>0.2223</v>
      </c>
      <c r="U843" s="18">
        <v>0.11115</v>
      </c>
      <c r="V843" s="18">
        <v>1.42272</v>
      </c>
      <c r="W843" s="18">
        <v>1.3338000000000001</v>
      </c>
      <c r="X843" s="18">
        <v>0.88919999999999999</v>
      </c>
      <c r="Y843" s="18">
        <v>3.952E-2</v>
      </c>
      <c r="Z843" s="18">
        <v>0.17537</v>
      </c>
      <c r="AA843" s="18">
        <v>0.25688</v>
      </c>
      <c r="AB843" s="18">
        <v>0.45694999999999997</v>
      </c>
      <c r="AC843" s="18">
        <v>0.14079</v>
      </c>
      <c r="AD843" s="18">
        <v>0.74099999999999999</v>
      </c>
    </row>
    <row r="844" spans="2:30" x14ac:dyDescent="0.25">
      <c r="B844" t="s">
        <v>269</v>
      </c>
      <c r="C844" t="s">
        <v>326</v>
      </c>
      <c r="D844" t="s">
        <v>752</v>
      </c>
      <c r="E844" s="35">
        <v>0.9</v>
      </c>
      <c r="F844" s="35">
        <v>6.6</v>
      </c>
      <c r="G844" s="36">
        <v>2.47E-3</v>
      </c>
      <c r="H844" s="18">
        <v>4.4452980000000002</v>
      </c>
      <c r="I844" s="16" t="s">
        <v>746</v>
      </c>
      <c r="J844" s="16"/>
      <c r="K844" s="16"/>
      <c r="L844" s="37"/>
      <c r="M844" s="37"/>
      <c r="N844" s="37"/>
      <c r="O844" s="37"/>
      <c r="P844" s="37"/>
      <c r="Q844" s="18">
        <v>2.717E-2</v>
      </c>
      <c r="R844" s="18">
        <v>1.8525E-4</v>
      </c>
      <c r="S844" s="18">
        <v>5.1869999999999999E-2</v>
      </c>
      <c r="T844" s="18">
        <v>0.2223</v>
      </c>
      <c r="U844" s="18">
        <v>0.11115</v>
      </c>
      <c r="V844" s="18">
        <v>1.42272</v>
      </c>
      <c r="W844" s="18">
        <v>1.3338000000000001</v>
      </c>
      <c r="X844" s="18">
        <v>0.88919999999999999</v>
      </c>
      <c r="Y844" s="18">
        <v>3.952E-2</v>
      </c>
      <c r="Z844" s="18">
        <v>0.17537</v>
      </c>
      <c r="AA844" s="18">
        <v>0.25688</v>
      </c>
      <c r="AB844" s="18">
        <v>0.45694999999999997</v>
      </c>
      <c r="AC844" s="18">
        <v>0.14079</v>
      </c>
      <c r="AD844" s="18">
        <v>0.74099999999999999</v>
      </c>
    </row>
    <row r="845" spans="2:30" x14ac:dyDescent="0.25">
      <c r="B845" t="s">
        <v>269</v>
      </c>
      <c r="C845" t="s">
        <v>326</v>
      </c>
      <c r="D845" t="s">
        <v>752</v>
      </c>
      <c r="E845" s="35">
        <v>0.9</v>
      </c>
      <c r="F845" s="35">
        <v>6.6</v>
      </c>
      <c r="G845" s="36">
        <v>2.47E-3</v>
      </c>
      <c r="H845" s="18">
        <v>4.4452980000000002</v>
      </c>
      <c r="I845" s="16" t="s">
        <v>746</v>
      </c>
      <c r="J845" s="16"/>
      <c r="K845" s="16"/>
      <c r="L845" s="37"/>
      <c r="M845" s="37"/>
      <c r="N845" s="37"/>
      <c r="O845" s="37"/>
      <c r="P845" s="37"/>
      <c r="Q845" s="18">
        <v>2.717E-2</v>
      </c>
      <c r="R845" s="18">
        <v>1.8525E-4</v>
      </c>
      <c r="S845" s="18">
        <v>5.1869999999999999E-2</v>
      </c>
      <c r="T845" s="18">
        <v>0.2223</v>
      </c>
      <c r="U845" s="18">
        <v>0.11115</v>
      </c>
      <c r="V845" s="18">
        <v>1.42272</v>
      </c>
      <c r="W845" s="18">
        <v>1.3338000000000001</v>
      </c>
      <c r="X845" s="18">
        <v>0.88919999999999999</v>
      </c>
      <c r="Y845" s="18">
        <v>3.952E-2</v>
      </c>
      <c r="Z845" s="18">
        <v>0.17537</v>
      </c>
      <c r="AA845" s="18">
        <v>0.25688</v>
      </c>
      <c r="AB845" s="18">
        <v>0.45694999999999997</v>
      </c>
      <c r="AC845" s="18">
        <v>0.14079</v>
      </c>
      <c r="AD845" s="18">
        <v>0.74099999999999999</v>
      </c>
    </row>
    <row r="846" spans="2:30" x14ac:dyDescent="0.25">
      <c r="B846" t="s">
        <v>269</v>
      </c>
      <c r="C846" t="s">
        <v>326</v>
      </c>
      <c r="D846" t="s">
        <v>752</v>
      </c>
      <c r="E846" s="35">
        <v>0.9</v>
      </c>
      <c r="F846" s="35">
        <v>6.6</v>
      </c>
      <c r="G846" s="36">
        <v>2.47E-3</v>
      </c>
      <c r="H846" s="18">
        <v>4.4452980000000002</v>
      </c>
      <c r="I846" s="16" t="s">
        <v>746</v>
      </c>
      <c r="J846" s="16"/>
      <c r="K846" s="16"/>
      <c r="L846" s="37"/>
      <c r="M846" s="37"/>
      <c r="N846" s="37"/>
      <c r="O846" s="37"/>
      <c r="P846" s="37"/>
      <c r="Q846" s="18">
        <v>2.717E-2</v>
      </c>
      <c r="R846" s="18">
        <v>1.8525E-4</v>
      </c>
      <c r="S846" s="18">
        <v>5.1869999999999999E-2</v>
      </c>
      <c r="T846" s="18">
        <v>0.2223</v>
      </c>
      <c r="U846" s="18">
        <v>0.11115</v>
      </c>
      <c r="V846" s="18">
        <v>1.42272</v>
      </c>
      <c r="W846" s="18">
        <v>1.3338000000000001</v>
      </c>
      <c r="X846" s="18">
        <v>0.88919999999999999</v>
      </c>
      <c r="Y846" s="18">
        <v>3.952E-2</v>
      </c>
      <c r="Z846" s="18">
        <v>0.17537</v>
      </c>
      <c r="AA846" s="18">
        <v>0.25688</v>
      </c>
      <c r="AB846" s="18">
        <v>0.45694999999999997</v>
      </c>
      <c r="AC846" s="18">
        <v>0.14079</v>
      </c>
      <c r="AD846" s="18">
        <v>0.74099999999999999</v>
      </c>
    </row>
    <row r="847" spans="2:30" x14ac:dyDescent="0.25">
      <c r="B847" t="s">
        <v>269</v>
      </c>
      <c r="C847" t="s">
        <v>326</v>
      </c>
      <c r="D847" t="s">
        <v>752</v>
      </c>
      <c r="E847" s="35">
        <v>0.9</v>
      </c>
      <c r="F847" s="35">
        <v>6.6</v>
      </c>
      <c r="G847" s="36">
        <v>2.47E-3</v>
      </c>
      <c r="H847" s="18">
        <v>4.4452980000000002</v>
      </c>
      <c r="I847" s="16" t="s">
        <v>746</v>
      </c>
      <c r="J847" s="16"/>
      <c r="K847" s="16"/>
      <c r="L847" s="37"/>
      <c r="M847" s="37"/>
      <c r="N847" s="37"/>
      <c r="O847" s="37"/>
      <c r="P847" s="37"/>
      <c r="Q847" s="18">
        <v>2.717E-2</v>
      </c>
      <c r="R847" s="18">
        <v>1.8525E-4</v>
      </c>
      <c r="S847" s="18">
        <v>5.1869999999999999E-2</v>
      </c>
      <c r="T847" s="18">
        <v>0.2223</v>
      </c>
      <c r="U847" s="18">
        <v>0.11115</v>
      </c>
      <c r="V847" s="18">
        <v>1.42272</v>
      </c>
      <c r="W847" s="18">
        <v>1.3338000000000001</v>
      </c>
      <c r="X847" s="18">
        <v>0.88919999999999999</v>
      </c>
      <c r="Y847" s="18">
        <v>3.952E-2</v>
      </c>
      <c r="Z847" s="18">
        <v>0.17537</v>
      </c>
      <c r="AA847" s="18">
        <v>0.25688</v>
      </c>
      <c r="AB847" s="18">
        <v>0.45694999999999997</v>
      </c>
      <c r="AC847" s="18">
        <v>0.14079</v>
      </c>
      <c r="AD847" s="18">
        <v>0.74099999999999999</v>
      </c>
    </row>
    <row r="848" spans="2:30" x14ac:dyDescent="0.25">
      <c r="B848" t="s">
        <v>269</v>
      </c>
      <c r="C848" t="s">
        <v>326</v>
      </c>
      <c r="D848" t="s">
        <v>752</v>
      </c>
      <c r="E848" s="35">
        <v>0.9</v>
      </c>
      <c r="F848" s="35">
        <v>6.6</v>
      </c>
      <c r="G848" s="36">
        <v>2.47E-3</v>
      </c>
      <c r="H848" s="18">
        <v>4.4452980000000002</v>
      </c>
      <c r="I848" s="16" t="s">
        <v>746</v>
      </c>
      <c r="J848" s="16"/>
      <c r="K848" s="16"/>
      <c r="L848" s="37"/>
      <c r="M848" s="37"/>
      <c r="N848" s="37"/>
      <c r="O848" s="37"/>
      <c r="P848" s="37"/>
      <c r="Q848" s="18">
        <v>2.717E-2</v>
      </c>
      <c r="R848" s="18">
        <v>1.8525E-4</v>
      </c>
      <c r="S848" s="18">
        <v>5.1869999999999999E-2</v>
      </c>
      <c r="T848" s="18">
        <v>0.2223</v>
      </c>
      <c r="U848" s="18">
        <v>0.11115</v>
      </c>
      <c r="V848" s="18">
        <v>1.42272</v>
      </c>
      <c r="W848" s="18">
        <v>1.3338000000000001</v>
      </c>
      <c r="X848" s="18">
        <v>0.88919999999999999</v>
      </c>
      <c r="Y848" s="18">
        <v>3.952E-2</v>
      </c>
      <c r="Z848" s="18">
        <v>0.17537</v>
      </c>
      <c r="AA848" s="18">
        <v>0.25688</v>
      </c>
      <c r="AB848" s="18">
        <v>0.45694999999999997</v>
      </c>
      <c r="AC848" s="18">
        <v>0.14079</v>
      </c>
      <c r="AD848" s="18">
        <v>0.74099999999999999</v>
      </c>
    </row>
    <row r="849" spans="2:30" x14ac:dyDescent="0.25">
      <c r="B849" t="s">
        <v>269</v>
      </c>
      <c r="C849" t="s">
        <v>326</v>
      </c>
      <c r="D849" t="s">
        <v>752</v>
      </c>
      <c r="E849" s="35">
        <v>0.9</v>
      </c>
      <c r="F849" s="35">
        <v>6.6</v>
      </c>
      <c r="G849" s="36">
        <v>2.47E-3</v>
      </c>
      <c r="H849" s="18">
        <v>4.4452980000000002</v>
      </c>
      <c r="I849" s="16" t="s">
        <v>746</v>
      </c>
      <c r="J849" s="16"/>
      <c r="K849" s="16"/>
      <c r="L849" s="37"/>
      <c r="M849" s="37"/>
      <c r="N849" s="37"/>
      <c r="O849" s="37"/>
      <c r="P849" s="37"/>
      <c r="Q849" s="18">
        <v>2.717E-2</v>
      </c>
      <c r="R849" s="18">
        <v>1.8525E-4</v>
      </c>
      <c r="S849" s="18">
        <v>5.1869999999999999E-2</v>
      </c>
      <c r="T849" s="18">
        <v>0.2223</v>
      </c>
      <c r="U849" s="18">
        <v>0.11115</v>
      </c>
      <c r="V849" s="18">
        <v>1.42272</v>
      </c>
      <c r="W849" s="18">
        <v>1.3338000000000001</v>
      </c>
      <c r="X849" s="18">
        <v>0.88919999999999999</v>
      </c>
      <c r="Y849" s="18">
        <v>3.952E-2</v>
      </c>
      <c r="Z849" s="18">
        <v>0.17537</v>
      </c>
      <c r="AA849" s="18">
        <v>0.25688</v>
      </c>
      <c r="AB849" s="18">
        <v>0.45694999999999997</v>
      </c>
      <c r="AC849" s="18">
        <v>0.14079</v>
      </c>
      <c r="AD849" s="18">
        <v>0.74099999999999999</v>
      </c>
    </row>
    <row r="850" spans="2:30" x14ac:dyDescent="0.25">
      <c r="B850" t="s">
        <v>269</v>
      </c>
      <c r="C850" t="s">
        <v>326</v>
      </c>
      <c r="D850" t="s">
        <v>752</v>
      </c>
      <c r="E850" s="35">
        <v>0.9</v>
      </c>
      <c r="F850" s="35">
        <v>6.6</v>
      </c>
      <c r="G850" s="36">
        <v>2.47E-3</v>
      </c>
      <c r="H850" s="18">
        <v>4.4452980000000002</v>
      </c>
      <c r="I850" s="16" t="s">
        <v>746</v>
      </c>
      <c r="J850" s="16"/>
      <c r="K850" s="16"/>
      <c r="L850" s="37"/>
      <c r="M850" s="37"/>
      <c r="N850" s="37"/>
      <c r="O850" s="37"/>
      <c r="P850" s="37"/>
      <c r="Q850" s="18">
        <v>2.717E-2</v>
      </c>
      <c r="R850" s="18">
        <v>1.8525E-4</v>
      </c>
      <c r="S850" s="18">
        <v>5.1869999999999999E-2</v>
      </c>
      <c r="T850" s="18">
        <v>0.2223</v>
      </c>
      <c r="U850" s="18">
        <v>0.11115</v>
      </c>
      <c r="V850" s="18">
        <v>1.42272</v>
      </c>
      <c r="W850" s="18">
        <v>1.3338000000000001</v>
      </c>
      <c r="X850" s="18">
        <v>0.88919999999999999</v>
      </c>
      <c r="Y850" s="18">
        <v>3.952E-2</v>
      </c>
      <c r="Z850" s="18">
        <v>0.17537</v>
      </c>
      <c r="AA850" s="18">
        <v>0.25688</v>
      </c>
      <c r="AB850" s="18">
        <v>0.45694999999999997</v>
      </c>
      <c r="AC850" s="18">
        <v>0.14079</v>
      </c>
      <c r="AD850" s="18">
        <v>0.74099999999999999</v>
      </c>
    </row>
    <row r="851" spans="2:30" x14ac:dyDescent="0.25">
      <c r="B851" t="s">
        <v>269</v>
      </c>
      <c r="C851" t="s">
        <v>326</v>
      </c>
      <c r="D851" t="s">
        <v>752</v>
      </c>
      <c r="E851" s="35">
        <v>0.9</v>
      </c>
      <c r="F851" s="35">
        <v>6.6</v>
      </c>
      <c r="G851" s="36">
        <v>2.47E-3</v>
      </c>
      <c r="H851" s="18">
        <v>4.4452980000000002</v>
      </c>
      <c r="I851" s="16" t="s">
        <v>746</v>
      </c>
      <c r="J851" s="16"/>
      <c r="K851" s="16"/>
      <c r="L851" s="37"/>
      <c r="M851" s="37"/>
      <c r="N851" s="37"/>
      <c r="O851" s="37"/>
      <c r="P851" s="37"/>
      <c r="Q851" s="18">
        <v>2.717E-2</v>
      </c>
      <c r="R851" s="18">
        <v>1.8525E-4</v>
      </c>
      <c r="S851" s="18">
        <v>5.1869999999999999E-2</v>
      </c>
      <c r="T851" s="18">
        <v>0.2223</v>
      </c>
      <c r="U851" s="18">
        <v>0.11115</v>
      </c>
      <c r="V851" s="18">
        <v>1.42272</v>
      </c>
      <c r="W851" s="18">
        <v>1.3338000000000001</v>
      </c>
      <c r="X851" s="18">
        <v>0.88919999999999999</v>
      </c>
      <c r="Y851" s="18">
        <v>3.952E-2</v>
      </c>
      <c r="Z851" s="18">
        <v>0.17537</v>
      </c>
      <c r="AA851" s="18">
        <v>0.25688</v>
      </c>
      <c r="AB851" s="18">
        <v>0.45694999999999997</v>
      </c>
      <c r="AC851" s="18">
        <v>0.14079</v>
      </c>
      <c r="AD851" s="18">
        <v>0.74099999999999999</v>
      </c>
    </row>
    <row r="852" spans="2:30" x14ac:dyDescent="0.25">
      <c r="B852" t="s">
        <v>269</v>
      </c>
      <c r="C852" t="s">
        <v>326</v>
      </c>
      <c r="D852" t="s">
        <v>752</v>
      </c>
      <c r="E852" s="35">
        <v>0.9</v>
      </c>
      <c r="F852" s="35">
        <v>6.6</v>
      </c>
      <c r="G852" s="36">
        <v>2.47E-3</v>
      </c>
      <c r="H852" s="18">
        <v>4.4452980000000002</v>
      </c>
      <c r="I852" s="16" t="s">
        <v>746</v>
      </c>
      <c r="J852" s="16"/>
      <c r="K852" s="16"/>
      <c r="L852" s="37"/>
      <c r="M852" s="37"/>
      <c r="N852" s="37"/>
      <c r="O852" s="37"/>
      <c r="P852" s="37"/>
      <c r="Q852" s="18">
        <v>2.717E-2</v>
      </c>
      <c r="R852" s="18">
        <v>1.8525E-4</v>
      </c>
      <c r="S852" s="18">
        <v>5.1869999999999999E-2</v>
      </c>
      <c r="T852" s="18">
        <v>0.2223</v>
      </c>
      <c r="U852" s="18">
        <v>0.11115</v>
      </c>
      <c r="V852" s="18">
        <v>1.42272</v>
      </c>
      <c r="W852" s="18">
        <v>1.3338000000000001</v>
      </c>
      <c r="X852" s="18">
        <v>0.88919999999999999</v>
      </c>
      <c r="Y852" s="18">
        <v>3.952E-2</v>
      </c>
      <c r="Z852" s="18">
        <v>0.17537</v>
      </c>
      <c r="AA852" s="18">
        <v>0.25688</v>
      </c>
      <c r="AB852" s="18">
        <v>0.45694999999999997</v>
      </c>
      <c r="AC852" s="18">
        <v>0.14079</v>
      </c>
      <c r="AD852" s="18">
        <v>0.74099999999999999</v>
      </c>
    </row>
    <row r="853" spans="2:30" x14ac:dyDescent="0.25">
      <c r="B853" t="s">
        <v>269</v>
      </c>
      <c r="C853" t="s">
        <v>326</v>
      </c>
      <c r="D853" t="s">
        <v>752</v>
      </c>
      <c r="E853" s="35">
        <v>0.9</v>
      </c>
      <c r="F853" s="35">
        <v>6.6</v>
      </c>
      <c r="G853" s="36">
        <v>2.47E-3</v>
      </c>
      <c r="H853" s="18">
        <v>4.4452980000000002</v>
      </c>
      <c r="I853" s="16" t="s">
        <v>746</v>
      </c>
      <c r="J853" s="16"/>
      <c r="K853" s="16"/>
      <c r="L853" s="37"/>
      <c r="M853" s="37"/>
      <c r="N853" s="37"/>
      <c r="O853" s="37"/>
      <c r="P853" s="37"/>
      <c r="Q853" s="18">
        <v>2.717E-2</v>
      </c>
      <c r="R853" s="18">
        <v>1.8525E-4</v>
      </c>
      <c r="S853" s="18">
        <v>5.1869999999999999E-2</v>
      </c>
      <c r="T853" s="18">
        <v>0.2223</v>
      </c>
      <c r="U853" s="18">
        <v>0.11115</v>
      </c>
      <c r="V853" s="18">
        <v>1.42272</v>
      </c>
      <c r="W853" s="18">
        <v>1.3338000000000001</v>
      </c>
      <c r="X853" s="18">
        <v>0.88919999999999999</v>
      </c>
      <c r="Y853" s="18">
        <v>3.952E-2</v>
      </c>
      <c r="Z853" s="18">
        <v>0.17537</v>
      </c>
      <c r="AA853" s="18">
        <v>0.25688</v>
      </c>
      <c r="AB853" s="18">
        <v>0.45694999999999997</v>
      </c>
      <c r="AC853" s="18">
        <v>0.14079</v>
      </c>
      <c r="AD853" s="18">
        <v>0.74099999999999999</v>
      </c>
    </row>
    <row r="854" spans="2:30" x14ac:dyDescent="0.25">
      <c r="B854" t="s">
        <v>269</v>
      </c>
      <c r="C854" t="s">
        <v>326</v>
      </c>
      <c r="D854" t="s">
        <v>752</v>
      </c>
      <c r="E854" s="35">
        <v>0.9</v>
      </c>
      <c r="F854" s="35">
        <v>6.6</v>
      </c>
      <c r="G854" s="36">
        <v>2.47E-3</v>
      </c>
      <c r="H854" s="18">
        <v>4.4452980000000002</v>
      </c>
      <c r="I854" s="16" t="s">
        <v>746</v>
      </c>
      <c r="J854" s="16"/>
      <c r="K854" s="16"/>
      <c r="L854" s="37"/>
      <c r="M854" s="37"/>
      <c r="N854" s="37"/>
      <c r="O854" s="37"/>
      <c r="P854" s="37"/>
      <c r="Q854" s="18">
        <v>2.717E-2</v>
      </c>
      <c r="R854" s="18">
        <v>1.8525E-4</v>
      </c>
      <c r="S854" s="18">
        <v>5.1869999999999999E-2</v>
      </c>
      <c r="T854" s="18">
        <v>0.2223</v>
      </c>
      <c r="U854" s="18">
        <v>0.11115</v>
      </c>
      <c r="V854" s="18">
        <v>1.42272</v>
      </c>
      <c r="W854" s="18">
        <v>1.3338000000000001</v>
      </c>
      <c r="X854" s="18">
        <v>0.88919999999999999</v>
      </c>
      <c r="Y854" s="18">
        <v>3.952E-2</v>
      </c>
      <c r="Z854" s="18">
        <v>0.17537</v>
      </c>
      <c r="AA854" s="18">
        <v>0.25688</v>
      </c>
      <c r="AB854" s="18">
        <v>0.45694999999999997</v>
      </c>
      <c r="AC854" s="18">
        <v>0.14079</v>
      </c>
      <c r="AD854" s="18">
        <v>0.74099999999999999</v>
      </c>
    </row>
    <row r="855" spans="2:30" x14ac:dyDescent="0.25">
      <c r="B855" t="s">
        <v>269</v>
      </c>
      <c r="C855" t="s">
        <v>326</v>
      </c>
      <c r="D855" t="s">
        <v>752</v>
      </c>
      <c r="E855" s="35">
        <v>0.9</v>
      </c>
      <c r="F855" s="35">
        <v>6.6</v>
      </c>
      <c r="G855" s="36">
        <v>2.47E-3</v>
      </c>
      <c r="H855" s="18">
        <v>4.4452980000000002</v>
      </c>
      <c r="I855" s="16" t="s">
        <v>746</v>
      </c>
      <c r="J855" s="16"/>
      <c r="K855" s="16"/>
      <c r="L855" s="37"/>
      <c r="M855" s="37"/>
      <c r="N855" s="37"/>
      <c r="O855" s="37"/>
      <c r="P855" s="37"/>
      <c r="Q855" s="18">
        <v>2.717E-2</v>
      </c>
      <c r="R855" s="18">
        <v>1.8525E-4</v>
      </c>
      <c r="S855" s="18">
        <v>5.1869999999999999E-2</v>
      </c>
      <c r="T855" s="18">
        <v>0.2223</v>
      </c>
      <c r="U855" s="18">
        <v>0.11115</v>
      </c>
      <c r="V855" s="18">
        <v>1.42272</v>
      </c>
      <c r="W855" s="18">
        <v>1.3338000000000001</v>
      </c>
      <c r="X855" s="18">
        <v>0.88919999999999999</v>
      </c>
      <c r="Y855" s="18">
        <v>3.952E-2</v>
      </c>
      <c r="Z855" s="18">
        <v>0.17537</v>
      </c>
      <c r="AA855" s="18">
        <v>0.25688</v>
      </c>
      <c r="AB855" s="18">
        <v>0.45694999999999997</v>
      </c>
      <c r="AC855" s="18">
        <v>0.14079</v>
      </c>
      <c r="AD855" s="18">
        <v>0.74099999999999999</v>
      </c>
    </row>
    <row r="856" spans="2:30" x14ac:dyDescent="0.25">
      <c r="B856" t="s">
        <v>269</v>
      </c>
      <c r="C856" t="s">
        <v>326</v>
      </c>
      <c r="D856" t="s">
        <v>752</v>
      </c>
      <c r="E856" s="35">
        <v>0.9</v>
      </c>
      <c r="F856" s="35">
        <v>6.6</v>
      </c>
      <c r="G856" s="36">
        <v>2.47E-3</v>
      </c>
      <c r="H856" s="18">
        <v>4.4452980000000002</v>
      </c>
      <c r="I856" s="16" t="s">
        <v>746</v>
      </c>
      <c r="J856" s="16"/>
      <c r="K856" s="16"/>
      <c r="L856" s="37"/>
      <c r="M856" s="37"/>
      <c r="N856" s="37"/>
      <c r="O856" s="37"/>
      <c r="P856" s="37"/>
      <c r="Q856" s="18">
        <v>2.717E-2</v>
      </c>
      <c r="R856" s="18">
        <v>1.8525E-4</v>
      </c>
      <c r="S856" s="18">
        <v>5.1869999999999999E-2</v>
      </c>
      <c r="T856" s="18">
        <v>0.2223</v>
      </c>
      <c r="U856" s="18">
        <v>0.11115</v>
      </c>
      <c r="V856" s="18">
        <v>1.42272</v>
      </c>
      <c r="W856" s="18">
        <v>1.3338000000000001</v>
      </c>
      <c r="X856" s="18">
        <v>0.88919999999999999</v>
      </c>
      <c r="Y856" s="18">
        <v>3.952E-2</v>
      </c>
      <c r="Z856" s="18">
        <v>0.17537</v>
      </c>
      <c r="AA856" s="18">
        <v>0.25688</v>
      </c>
      <c r="AB856" s="18">
        <v>0.45694999999999997</v>
      </c>
      <c r="AC856" s="18">
        <v>0.14079</v>
      </c>
      <c r="AD856" s="18">
        <v>0.74099999999999999</v>
      </c>
    </row>
    <row r="857" spans="2:30" x14ac:dyDescent="0.25">
      <c r="B857" t="s">
        <v>269</v>
      </c>
      <c r="C857" t="s">
        <v>326</v>
      </c>
      <c r="D857" t="s">
        <v>752</v>
      </c>
      <c r="E857" s="35">
        <v>0.9</v>
      </c>
      <c r="F857" s="35">
        <v>6.6</v>
      </c>
      <c r="G857" s="36">
        <v>2.47E-3</v>
      </c>
      <c r="H857" s="18">
        <v>4.4452980000000002</v>
      </c>
      <c r="I857" s="16" t="s">
        <v>746</v>
      </c>
      <c r="J857" s="16"/>
      <c r="K857" s="16"/>
      <c r="L857" s="37"/>
      <c r="M857" s="37"/>
      <c r="N857" s="37"/>
      <c r="O857" s="37"/>
      <c r="P857" s="37"/>
      <c r="Q857" s="18">
        <v>2.717E-2</v>
      </c>
      <c r="R857" s="18">
        <v>1.8525E-4</v>
      </c>
      <c r="S857" s="18">
        <v>5.1869999999999999E-2</v>
      </c>
      <c r="T857" s="18">
        <v>0.2223</v>
      </c>
      <c r="U857" s="18">
        <v>0.11115</v>
      </c>
      <c r="V857" s="18">
        <v>1.42272</v>
      </c>
      <c r="W857" s="18">
        <v>1.3338000000000001</v>
      </c>
      <c r="X857" s="18">
        <v>0.88919999999999999</v>
      </c>
      <c r="Y857" s="18">
        <v>3.952E-2</v>
      </c>
      <c r="Z857" s="18">
        <v>0.17537</v>
      </c>
      <c r="AA857" s="18">
        <v>0.25688</v>
      </c>
      <c r="AB857" s="18">
        <v>0.45694999999999997</v>
      </c>
      <c r="AC857" s="18">
        <v>0.14079</v>
      </c>
      <c r="AD857" s="18">
        <v>0.74099999999999999</v>
      </c>
    </row>
    <row r="858" spans="2:30" x14ac:dyDescent="0.25">
      <c r="B858" t="s">
        <v>269</v>
      </c>
      <c r="C858" t="s">
        <v>326</v>
      </c>
      <c r="D858" t="s">
        <v>752</v>
      </c>
      <c r="E858" s="35">
        <v>0.9</v>
      </c>
      <c r="F858" s="35">
        <v>6.6</v>
      </c>
      <c r="G858" s="36">
        <v>2.47E-3</v>
      </c>
      <c r="H858" s="18">
        <v>4.4452980000000002</v>
      </c>
      <c r="I858" s="16" t="s">
        <v>746</v>
      </c>
      <c r="J858" s="16"/>
      <c r="K858" s="16"/>
      <c r="L858" s="37"/>
      <c r="M858" s="37"/>
      <c r="N858" s="37"/>
      <c r="O858" s="37"/>
      <c r="P858" s="37"/>
      <c r="Q858" s="18">
        <v>2.717E-2</v>
      </c>
      <c r="R858" s="18">
        <v>1.8525E-4</v>
      </c>
      <c r="S858" s="18">
        <v>5.1869999999999999E-2</v>
      </c>
      <c r="T858" s="18">
        <v>0.2223</v>
      </c>
      <c r="U858" s="18">
        <v>0.11115</v>
      </c>
      <c r="V858" s="18">
        <v>1.42272</v>
      </c>
      <c r="W858" s="18">
        <v>1.3338000000000001</v>
      </c>
      <c r="X858" s="18">
        <v>0.88919999999999999</v>
      </c>
      <c r="Y858" s="18">
        <v>3.952E-2</v>
      </c>
      <c r="Z858" s="18">
        <v>0.17537</v>
      </c>
      <c r="AA858" s="18">
        <v>0.25688</v>
      </c>
      <c r="AB858" s="18">
        <v>0.45694999999999997</v>
      </c>
      <c r="AC858" s="18">
        <v>0.14079</v>
      </c>
      <c r="AD858" s="18">
        <v>0.74099999999999999</v>
      </c>
    </row>
    <row r="859" spans="2:30" x14ac:dyDescent="0.25">
      <c r="B859" t="s">
        <v>269</v>
      </c>
      <c r="C859" t="s">
        <v>326</v>
      </c>
      <c r="D859" t="s">
        <v>752</v>
      </c>
      <c r="E859" s="35">
        <v>0.9</v>
      </c>
      <c r="F859" s="35">
        <v>6.6</v>
      </c>
      <c r="G859" s="36">
        <v>2.47E-3</v>
      </c>
      <c r="H859" s="18">
        <v>4.4452980000000002</v>
      </c>
      <c r="I859" s="16" t="s">
        <v>746</v>
      </c>
      <c r="J859" s="16"/>
      <c r="K859" s="16"/>
      <c r="L859" s="37"/>
      <c r="M859" s="37"/>
      <c r="N859" s="37"/>
      <c r="O859" s="37"/>
      <c r="P859" s="37"/>
      <c r="Q859" s="18">
        <v>2.717E-2</v>
      </c>
      <c r="R859" s="18">
        <v>1.8525E-4</v>
      </c>
      <c r="S859" s="18">
        <v>5.1869999999999999E-2</v>
      </c>
      <c r="T859" s="18">
        <v>0.2223</v>
      </c>
      <c r="U859" s="18">
        <v>0.11115</v>
      </c>
      <c r="V859" s="18">
        <v>1.42272</v>
      </c>
      <c r="W859" s="18">
        <v>1.3338000000000001</v>
      </c>
      <c r="X859" s="18">
        <v>0.88919999999999999</v>
      </c>
      <c r="Y859" s="18">
        <v>3.952E-2</v>
      </c>
      <c r="Z859" s="18">
        <v>0.17537</v>
      </c>
      <c r="AA859" s="18">
        <v>0.25688</v>
      </c>
      <c r="AB859" s="18">
        <v>0.45694999999999997</v>
      </c>
      <c r="AC859" s="18">
        <v>0.14079</v>
      </c>
      <c r="AD859" s="18">
        <v>0.74099999999999999</v>
      </c>
    </row>
    <row r="860" spans="2:30" x14ac:dyDescent="0.25">
      <c r="B860" t="s">
        <v>269</v>
      </c>
      <c r="C860" t="s">
        <v>326</v>
      </c>
      <c r="D860" t="s">
        <v>752</v>
      </c>
      <c r="E860" s="35">
        <v>0.9</v>
      </c>
      <c r="F860" s="35">
        <v>6.6</v>
      </c>
      <c r="G860" s="36">
        <v>2.47E-3</v>
      </c>
      <c r="H860" s="18">
        <v>4.4452980000000002</v>
      </c>
      <c r="I860" s="16" t="s">
        <v>746</v>
      </c>
      <c r="J860" s="16"/>
      <c r="K860" s="16"/>
      <c r="L860" s="37"/>
      <c r="M860" s="37"/>
      <c r="N860" s="37"/>
      <c r="O860" s="37"/>
      <c r="P860" s="37"/>
      <c r="Q860" s="18">
        <v>2.717E-2</v>
      </c>
      <c r="R860" s="18">
        <v>1.8525E-4</v>
      </c>
      <c r="S860" s="18">
        <v>5.1869999999999999E-2</v>
      </c>
      <c r="T860" s="18">
        <v>0.2223</v>
      </c>
      <c r="U860" s="18">
        <v>0.11115</v>
      </c>
      <c r="V860" s="18">
        <v>1.42272</v>
      </c>
      <c r="W860" s="18">
        <v>1.3338000000000001</v>
      </c>
      <c r="X860" s="18">
        <v>0.88919999999999999</v>
      </c>
      <c r="Y860" s="18">
        <v>3.952E-2</v>
      </c>
      <c r="Z860" s="18">
        <v>0.17537</v>
      </c>
      <c r="AA860" s="18">
        <v>0.25688</v>
      </c>
      <c r="AB860" s="18">
        <v>0.45694999999999997</v>
      </c>
      <c r="AC860" s="18">
        <v>0.14079</v>
      </c>
      <c r="AD860" s="18">
        <v>0.74099999999999999</v>
      </c>
    </row>
    <row r="861" spans="2:30" x14ac:dyDescent="0.25">
      <c r="B861" t="s">
        <v>269</v>
      </c>
      <c r="C861" t="s">
        <v>326</v>
      </c>
      <c r="D861" t="s">
        <v>752</v>
      </c>
      <c r="E861" s="35">
        <v>0.9</v>
      </c>
      <c r="F861" s="35">
        <v>6.6</v>
      </c>
      <c r="G861" s="36">
        <v>2.47E-3</v>
      </c>
      <c r="H861" s="18">
        <v>4.4452980000000002</v>
      </c>
      <c r="I861" s="16" t="s">
        <v>746</v>
      </c>
      <c r="J861" s="16"/>
      <c r="K861" s="16"/>
      <c r="L861" s="37"/>
      <c r="M861" s="37"/>
      <c r="N861" s="37"/>
      <c r="O861" s="37"/>
      <c r="P861" s="37"/>
      <c r="Q861" s="18">
        <v>2.717E-2</v>
      </c>
      <c r="R861" s="18">
        <v>1.8525E-4</v>
      </c>
      <c r="S861" s="18">
        <v>5.1869999999999999E-2</v>
      </c>
      <c r="T861" s="18">
        <v>0.2223</v>
      </c>
      <c r="U861" s="18">
        <v>0.11115</v>
      </c>
      <c r="V861" s="18">
        <v>1.42272</v>
      </c>
      <c r="W861" s="18">
        <v>1.3338000000000001</v>
      </c>
      <c r="X861" s="18">
        <v>0.88919999999999999</v>
      </c>
      <c r="Y861" s="18">
        <v>3.952E-2</v>
      </c>
      <c r="Z861" s="18">
        <v>0.17537</v>
      </c>
      <c r="AA861" s="18">
        <v>0.25688</v>
      </c>
      <c r="AB861" s="18">
        <v>0.45694999999999997</v>
      </c>
      <c r="AC861" s="18">
        <v>0.14079</v>
      </c>
      <c r="AD861" s="18">
        <v>0.74099999999999999</v>
      </c>
    </row>
    <row r="862" spans="2:30" x14ac:dyDescent="0.25">
      <c r="B862" t="s">
        <v>269</v>
      </c>
      <c r="C862" t="s">
        <v>326</v>
      </c>
      <c r="D862" t="s">
        <v>752</v>
      </c>
      <c r="E862" s="35">
        <v>0.9</v>
      </c>
      <c r="F862" s="35">
        <v>6.6</v>
      </c>
      <c r="G862" s="36">
        <v>2.47E-3</v>
      </c>
      <c r="H862" s="18">
        <v>4.4452980000000002</v>
      </c>
      <c r="I862" s="16" t="s">
        <v>746</v>
      </c>
      <c r="J862" s="16"/>
      <c r="K862" s="16"/>
      <c r="L862" s="37"/>
      <c r="M862" s="37"/>
      <c r="N862" s="37"/>
      <c r="O862" s="37"/>
      <c r="P862" s="37"/>
      <c r="Q862" s="18">
        <v>2.717E-2</v>
      </c>
      <c r="R862" s="18">
        <v>1.8525E-4</v>
      </c>
      <c r="S862" s="18">
        <v>5.1869999999999999E-2</v>
      </c>
      <c r="T862" s="18">
        <v>0.2223</v>
      </c>
      <c r="U862" s="18">
        <v>0.11115</v>
      </c>
      <c r="V862" s="18">
        <v>1.42272</v>
      </c>
      <c r="W862" s="18">
        <v>1.3338000000000001</v>
      </c>
      <c r="X862" s="18">
        <v>0.88919999999999999</v>
      </c>
      <c r="Y862" s="18">
        <v>3.952E-2</v>
      </c>
      <c r="Z862" s="18">
        <v>0.17537</v>
      </c>
      <c r="AA862" s="18">
        <v>0.25688</v>
      </c>
      <c r="AB862" s="18">
        <v>0.45694999999999997</v>
      </c>
      <c r="AC862" s="18">
        <v>0.14079</v>
      </c>
      <c r="AD862" s="18">
        <v>0.74099999999999999</v>
      </c>
    </row>
    <row r="863" spans="2:30" x14ac:dyDescent="0.25">
      <c r="B863" t="s">
        <v>269</v>
      </c>
      <c r="C863" t="s">
        <v>326</v>
      </c>
      <c r="D863" t="s">
        <v>752</v>
      </c>
      <c r="E863" s="35">
        <v>0.9</v>
      </c>
      <c r="F863" s="35">
        <v>6.6</v>
      </c>
      <c r="G863" s="36">
        <v>2.47E-3</v>
      </c>
      <c r="H863" s="18">
        <v>4.4452980000000002</v>
      </c>
      <c r="I863" s="16" t="s">
        <v>746</v>
      </c>
      <c r="J863" s="16"/>
      <c r="K863" s="16"/>
      <c r="L863" s="37"/>
      <c r="M863" s="37"/>
      <c r="N863" s="37"/>
      <c r="O863" s="37"/>
      <c r="P863" s="37"/>
      <c r="Q863" s="18">
        <v>2.717E-2</v>
      </c>
      <c r="R863" s="18">
        <v>1.8525E-4</v>
      </c>
      <c r="S863" s="18">
        <v>5.1869999999999999E-2</v>
      </c>
      <c r="T863" s="18">
        <v>0.2223</v>
      </c>
      <c r="U863" s="18">
        <v>0.11115</v>
      </c>
      <c r="V863" s="18">
        <v>1.42272</v>
      </c>
      <c r="W863" s="18">
        <v>1.3338000000000001</v>
      </c>
      <c r="X863" s="18">
        <v>0.88919999999999999</v>
      </c>
      <c r="Y863" s="18">
        <v>3.952E-2</v>
      </c>
      <c r="Z863" s="18">
        <v>0.17537</v>
      </c>
      <c r="AA863" s="18">
        <v>0.25688</v>
      </c>
      <c r="AB863" s="18">
        <v>0.45694999999999997</v>
      </c>
      <c r="AC863" s="18">
        <v>0.14079</v>
      </c>
      <c r="AD863" s="18">
        <v>0.74099999999999999</v>
      </c>
    </row>
    <row r="864" spans="2:30" x14ac:dyDescent="0.25">
      <c r="B864" t="s">
        <v>269</v>
      </c>
      <c r="C864" t="s">
        <v>326</v>
      </c>
      <c r="D864" t="s">
        <v>752</v>
      </c>
      <c r="E864" s="35">
        <v>0.9</v>
      </c>
      <c r="F864" s="35">
        <v>6.6</v>
      </c>
      <c r="G864" s="36">
        <v>2.47E-3</v>
      </c>
      <c r="H864" s="18">
        <v>4.4452980000000002</v>
      </c>
      <c r="I864" s="16" t="s">
        <v>746</v>
      </c>
      <c r="J864" s="16"/>
      <c r="K864" s="16"/>
      <c r="L864" s="37"/>
      <c r="M864" s="37"/>
      <c r="N864" s="37"/>
      <c r="O864" s="37"/>
      <c r="P864" s="37"/>
      <c r="Q864" s="18">
        <v>2.717E-2</v>
      </c>
      <c r="R864" s="18">
        <v>1.8525E-4</v>
      </c>
      <c r="S864" s="18">
        <v>5.1869999999999999E-2</v>
      </c>
      <c r="T864" s="18">
        <v>0.2223</v>
      </c>
      <c r="U864" s="18">
        <v>0.11115</v>
      </c>
      <c r="V864" s="18">
        <v>1.42272</v>
      </c>
      <c r="W864" s="18">
        <v>1.3338000000000001</v>
      </c>
      <c r="X864" s="18">
        <v>0.88919999999999999</v>
      </c>
      <c r="Y864" s="18">
        <v>3.952E-2</v>
      </c>
      <c r="Z864" s="18">
        <v>0.17537</v>
      </c>
      <c r="AA864" s="18">
        <v>0.25688</v>
      </c>
      <c r="AB864" s="18">
        <v>0.45694999999999997</v>
      </c>
      <c r="AC864" s="18">
        <v>0.14079</v>
      </c>
      <c r="AD864" s="18">
        <v>0.74099999999999999</v>
      </c>
    </row>
    <row r="865" spans="2:30" x14ac:dyDescent="0.25">
      <c r="B865" t="s">
        <v>269</v>
      </c>
      <c r="C865" t="s">
        <v>326</v>
      </c>
      <c r="D865" t="s">
        <v>752</v>
      </c>
      <c r="E865" s="35">
        <v>0.9</v>
      </c>
      <c r="F865" s="35">
        <v>6.6</v>
      </c>
      <c r="G865" s="36">
        <v>2.47E-3</v>
      </c>
      <c r="H865" s="18">
        <v>4.4452980000000002</v>
      </c>
      <c r="I865" s="16" t="s">
        <v>746</v>
      </c>
      <c r="J865" s="16"/>
      <c r="K865" s="16"/>
      <c r="L865" s="37"/>
      <c r="M865" s="37"/>
      <c r="N865" s="37"/>
      <c r="O865" s="37"/>
      <c r="P865" s="37"/>
      <c r="Q865" s="18">
        <v>2.717E-2</v>
      </c>
      <c r="R865" s="18">
        <v>1.8525E-4</v>
      </c>
      <c r="S865" s="18">
        <v>5.1869999999999999E-2</v>
      </c>
      <c r="T865" s="18">
        <v>0.2223</v>
      </c>
      <c r="U865" s="18">
        <v>0.11115</v>
      </c>
      <c r="V865" s="18">
        <v>1.42272</v>
      </c>
      <c r="W865" s="18">
        <v>1.3338000000000001</v>
      </c>
      <c r="X865" s="18">
        <v>0.88919999999999999</v>
      </c>
      <c r="Y865" s="18">
        <v>3.952E-2</v>
      </c>
      <c r="Z865" s="18">
        <v>0.17537</v>
      </c>
      <c r="AA865" s="18">
        <v>0.25688</v>
      </c>
      <c r="AB865" s="18">
        <v>0.45694999999999997</v>
      </c>
      <c r="AC865" s="18">
        <v>0.14079</v>
      </c>
      <c r="AD865" s="18">
        <v>0.74099999999999999</v>
      </c>
    </row>
    <row r="866" spans="2:30" x14ac:dyDescent="0.25">
      <c r="B866" t="s">
        <v>269</v>
      </c>
      <c r="C866" t="s">
        <v>326</v>
      </c>
      <c r="D866" t="s">
        <v>752</v>
      </c>
      <c r="E866" s="35">
        <v>0.9</v>
      </c>
      <c r="F866" s="35">
        <v>6.6</v>
      </c>
      <c r="G866" s="36">
        <v>2.47E-3</v>
      </c>
      <c r="H866" s="18">
        <v>4.4452980000000002</v>
      </c>
      <c r="I866" s="16" t="s">
        <v>746</v>
      </c>
      <c r="J866" s="16"/>
      <c r="K866" s="16"/>
      <c r="L866" s="37"/>
      <c r="M866" s="37"/>
      <c r="N866" s="37"/>
      <c r="O866" s="37"/>
      <c r="P866" s="37"/>
      <c r="Q866" s="18">
        <v>2.717E-2</v>
      </c>
      <c r="R866" s="18">
        <v>1.8525E-4</v>
      </c>
      <c r="S866" s="18">
        <v>5.1869999999999999E-2</v>
      </c>
      <c r="T866" s="18">
        <v>0.2223</v>
      </c>
      <c r="U866" s="18">
        <v>0.11115</v>
      </c>
      <c r="V866" s="18">
        <v>1.42272</v>
      </c>
      <c r="W866" s="18">
        <v>1.3338000000000001</v>
      </c>
      <c r="X866" s="18">
        <v>0.88919999999999999</v>
      </c>
      <c r="Y866" s="18">
        <v>3.952E-2</v>
      </c>
      <c r="Z866" s="18">
        <v>0.17537</v>
      </c>
      <c r="AA866" s="18">
        <v>0.25688</v>
      </c>
      <c r="AB866" s="18">
        <v>0.45694999999999997</v>
      </c>
      <c r="AC866" s="18">
        <v>0.14079</v>
      </c>
      <c r="AD866" s="18">
        <v>0.74099999999999999</v>
      </c>
    </row>
    <row r="867" spans="2:30" x14ac:dyDescent="0.25">
      <c r="B867" t="s">
        <v>269</v>
      </c>
      <c r="C867" t="s">
        <v>326</v>
      </c>
      <c r="D867" t="s">
        <v>752</v>
      </c>
      <c r="E867" s="35">
        <v>0.9</v>
      </c>
      <c r="F867" s="35">
        <v>6.6</v>
      </c>
      <c r="G867" s="36">
        <v>2.47E-3</v>
      </c>
      <c r="H867" s="18">
        <v>4.4452980000000002</v>
      </c>
      <c r="I867" s="16" t="s">
        <v>746</v>
      </c>
      <c r="J867" s="16"/>
      <c r="K867" s="16"/>
      <c r="L867" s="37"/>
      <c r="M867" s="37"/>
      <c r="N867" s="37"/>
      <c r="O867" s="37"/>
      <c r="P867" s="37"/>
      <c r="Q867" s="18">
        <v>2.717E-2</v>
      </c>
      <c r="R867" s="18">
        <v>1.8525E-4</v>
      </c>
      <c r="S867" s="18">
        <v>5.1869999999999999E-2</v>
      </c>
      <c r="T867" s="18">
        <v>0.2223</v>
      </c>
      <c r="U867" s="18">
        <v>0.11115</v>
      </c>
      <c r="V867" s="18">
        <v>1.42272</v>
      </c>
      <c r="W867" s="18">
        <v>1.3338000000000001</v>
      </c>
      <c r="X867" s="18">
        <v>0.88919999999999999</v>
      </c>
      <c r="Y867" s="18">
        <v>3.952E-2</v>
      </c>
      <c r="Z867" s="18">
        <v>0.17537</v>
      </c>
      <c r="AA867" s="18">
        <v>0.25688</v>
      </c>
      <c r="AB867" s="18">
        <v>0.45694999999999997</v>
      </c>
      <c r="AC867" s="18">
        <v>0.14079</v>
      </c>
      <c r="AD867" s="18">
        <v>0.74099999999999999</v>
      </c>
    </row>
    <row r="868" spans="2:30" x14ac:dyDescent="0.25">
      <c r="B868" t="s">
        <v>269</v>
      </c>
      <c r="C868" t="s">
        <v>326</v>
      </c>
      <c r="D868" t="s">
        <v>752</v>
      </c>
      <c r="E868" s="35">
        <v>0.9</v>
      </c>
      <c r="F868" s="35">
        <v>6.6</v>
      </c>
      <c r="G868" s="36">
        <v>2.47E-3</v>
      </c>
      <c r="H868" s="18">
        <v>4.4452980000000002</v>
      </c>
      <c r="I868" s="16" t="s">
        <v>746</v>
      </c>
      <c r="J868" s="16"/>
      <c r="K868" s="16"/>
      <c r="L868" s="37"/>
      <c r="M868" s="37"/>
      <c r="N868" s="37"/>
      <c r="O868" s="37"/>
      <c r="P868" s="37"/>
      <c r="Q868" s="18">
        <v>2.717E-2</v>
      </c>
      <c r="R868" s="18">
        <v>1.8525E-4</v>
      </c>
      <c r="S868" s="18">
        <v>5.1869999999999999E-2</v>
      </c>
      <c r="T868" s="18">
        <v>0.2223</v>
      </c>
      <c r="U868" s="18">
        <v>0.11115</v>
      </c>
      <c r="V868" s="18">
        <v>1.42272</v>
      </c>
      <c r="W868" s="18">
        <v>1.3338000000000001</v>
      </c>
      <c r="X868" s="18">
        <v>0.88919999999999999</v>
      </c>
      <c r="Y868" s="18">
        <v>3.952E-2</v>
      </c>
      <c r="Z868" s="18">
        <v>0.17537</v>
      </c>
      <c r="AA868" s="18">
        <v>0.25688</v>
      </c>
      <c r="AB868" s="18">
        <v>0.45694999999999997</v>
      </c>
      <c r="AC868" s="18">
        <v>0.14079</v>
      </c>
      <c r="AD868" s="18">
        <v>0.74099999999999999</v>
      </c>
    </row>
    <row r="869" spans="2:30" x14ac:dyDescent="0.25">
      <c r="B869" t="s">
        <v>269</v>
      </c>
      <c r="C869" t="s">
        <v>326</v>
      </c>
      <c r="D869" t="s">
        <v>752</v>
      </c>
      <c r="E869" s="35">
        <v>0.9</v>
      </c>
      <c r="F869" s="35">
        <v>6.6</v>
      </c>
      <c r="G869" s="36">
        <v>2.47E-3</v>
      </c>
      <c r="H869" s="18">
        <v>4.4452980000000002</v>
      </c>
      <c r="I869" s="16" t="s">
        <v>746</v>
      </c>
      <c r="J869" s="16"/>
      <c r="K869" s="16"/>
      <c r="L869" s="37"/>
      <c r="M869" s="37"/>
      <c r="N869" s="37"/>
      <c r="O869" s="37"/>
      <c r="P869" s="37"/>
      <c r="Q869" s="18">
        <v>2.717E-2</v>
      </c>
      <c r="R869" s="18">
        <v>1.8525E-4</v>
      </c>
      <c r="S869" s="18">
        <v>5.1869999999999999E-2</v>
      </c>
      <c r="T869" s="18">
        <v>0.2223</v>
      </c>
      <c r="U869" s="18">
        <v>0.11115</v>
      </c>
      <c r="V869" s="18">
        <v>1.42272</v>
      </c>
      <c r="W869" s="18">
        <v>1.3338000000000001</v>
      </c>
      <c r="X869" s="18">
        <v>0.88919999999999999</v>
      </c>
      <c r="Y869" s="18">
        <v>3.952E-2</v>
      </c>
      <c r="Z869" s="18">
        <v>0.17537</v>
      </c>
      <c r="AA869" s="18">
        <v>0.25688</v>
      </c>
      <c r="AB869" s="18">
        <v>0.45694999999999997</v>
      </c>
      <c r="AC869" s="18">
        <v>0.14079</v>
      </c>
      <c r="AD869" s="18">
        <v>0.74099999999999999</v>
      </c>
    </row>
    <row r="870" spans="2:30" x14ac:dyDescent="0.25">
      <c r="B870" t="s">
        <v>269</v>
      </c>
      <c r="C870" t="s">
        <v>326</v>
      </c>
      <c r="D870" t="s">
        <v>752</v>
      </c>
      <c r="E870" s="35">
        <v>0.9</v>
      </c>
      <c r="F870" s="35">
        <v>6.6</v>
      </c>
      <c r="G870" s="36">
        <v>2.47E-3</v>
      </c>
      <c r="H870" s="18">
        <v>4.4452980000000002</v>
      </c>
      <c r="I870" s="16" t="s">
        <v>746</v>
      </c>
      <c r="J870" s="16"/>
      <c r="K870" s="16"/>
      <c r="L870" s="37"/>
      <c r="M870" s="37"/>
      <c r="N870" s="37"/>
      <c r="O870" s="37"/>
      <c r="P870" s="37"/>
      <c r="Q870" s="18">
        <v>2.717E-2</v>
      </c>
      <c r="R870" s="18">
        <v>1.8525E-4</v>
      </c>
      <c r="S870" s="18">
        <v>5.1869999999999999E-2</v>
      </c>
      <c r="T870" s="18">
        <v>0.2223</v>
      </c>
      <c r="U870" s="18">
        <v>0.11115</v>
      </c>
      <c r="V870" s="18">
        <v>1.42272</v>
      </c>
      <c r="W870" s="18">
        <v>1.3338000000000001</v>
      </c>
      <c r="X870" s="18">
        <v>0.88919999999999999</v>
      </c>
      <c r="Y870" s="18">
        <v>3.952E-2</v>
      </c>
      <c r="Z870" s="18">
        <v>0.17537</v>
      </c>
      <c r="AA870" s="18">
        <v>0.25688</v>
      </c>
      <c r="AB870" s="18">
        <v>0.45694999999999997</v>
      </c>
      <c r="AC870" s="18">
        <v>0.14079</v>
      </c>
      <c r="AD870" s="18">
        <v>0.74099999999999999</v>
      </c>
    </row>
    <row r="871" spans="2:30" x14ac:dyDescent="0.25">
      <c r="B871" t="s">
        <v>269</v>
      </c>
      <c r="C871" t="s">
        <v>326</v>
      </c>
      <c r="D871" t="s">
        <v>752</v>
      </c>
      <c r="E871" s="35">
        <v>0.9</v>
      </c>
      <c r="F871" s="35">
        <v>6.6</v>
      </c>
      <c r="G871" s="36">
        <v>2.47E-3</v>
      </c>
      <c r="H871" s="18">
        <v>4.4452980000000002</v>
      </c>
      <c r="I871" s="16" t="s">
        <v>746</v>
      </c>
      <c r="J871" s="16"/>
      <c r="K871" s="16"/>
      <c r="L871" s="37"/>
      <c r="M871" s="37"/>
      <c r="N871" s="37"/>
      <c r="O871" s="37"/>
      <c r="P871" s="37"/>
      <c r="Q871" s="18">
        <v>2.717E-2</v>
      </c>
      <c r="R871" s="18">
        <v>1.8525E-4</v>
      </c>
      <c r="S871" s="18">
        <v>5.1869999999999999E-2</v>
      </c>
      <c r="T871" s="18">
        <v>0.2223</v>
      </c>
      <c r="U871" s="18">
        <v>0.11115</v>
      </c>
      <c r="V871" s="18">
        <v>1.42272</v>
      </c>
      <c r="W871" s="18">
        <v>1.3338000000000001</v>
      </c>
      <c r="X871" s="18">
        <v>0.88919999999999999</v>
      </c>
      <c r="Y871" s="18">
        <v>3.952E-2</v>
      </c>
      <c r="Z871" s="18">
        <v>0.17537</v>
      </c>
      <c r="AA871" s="18">
        <v>0.25688</v>
      </c>
      <c r="AB871" s="18">
        <v>0.45694999999999997</v>
      </c>
      <c r="AC871" s="18">
        <v>0.14079</v>
      </c>
      <c r="AD871" s="18">
        <v>0.74099999999999999</v>
      </c>
    </row>
    <row r="872" spans="2:30" x14ac:dyDescent="0.25">
      <c r="B872" t="s">
        <v>269</v>
      </c>
      <c r="C872" t="s">
        <v>326</v>
      </c>
      <c r="D872" t="s">
        <v>752</v>
      </c>
      <c r="E872" s="35">
        <v>0.9</v>
      </c>
      <c r="F872" s="35">
        <v>6.6</v>
      </c>
      <c r="G872" s="36">
        <v>2.47E-3</v>
      </c>
      <c r="H872" s="18">
        <v>4.4452980000000002</v>
      </c>
      <c r="I872" s="16" t="s">
        <v>746</v>
      </c>
      <c r="J872" s="16"/>
      <c r="K872" s="16"/>
      <c r="L872" s="37"/>
      <c r="M872" s="37"/>
      <c r="N872" s="37"/>
      <c r="O872" s="37"/>
      <c r="P872" s="37"/>
      <c r="Q872" s="18">
        <v>2.717E-2</v>
      </c>
      <c r="R872" s="18">
        <v>1.8525E-4</v>
      </c>
      <c r="S872" s="18">
        <v>5.1869999999999999E-2</v>
      </c>
      <c r="T872" s="18">
        <v>0.2223</v>
      </c>
      <c r="U872" s="18">
        <v>0.11115</v>
      </c>
      <c r="V872" s="18">
        <v>1.42272</v>
      </c>
      <c r="W872" s="18">
        <v>1.3338000000000001</v>
      </c>
      <c r="X872" s="18">
        <v>0.88919999999999999</v>
      </c>
      <c r="Y872" s="18">
        <v>3.952E-2</v>
      </c>
      <c r="Z872" s="18">
        <v>0.17537</v>
      </c>
      <c r="AA872" s="18">
        <v>0.25688</v>
      </c>
      <c r="AB872" s="18">
        <v>0.45694999999999997</v>
      </c>
      <c r="AC872" s="18">
        <v>0.14079</v>
      </c>
      <c r="AD872" s="18">
        <v>0.74099999999999999</v>
      </c>
    </row>
    <row r="873" spans="2:30" x14ac:dyDescent="0.25">
      <c r="B873" t="s">
        <v>269</v>
      </c>
      <c r="C873" t="s">
        <v>326</v>
      </c>
      <c r="D873" t="s">
        <v>752</v>
      </c>
      <c r="E873" s="35">
        <v>0.9</v>
      </c>
      <c r="F873" s="35">
        <v>6.6</v>
      </c>
      <c r="G873" s="36">
        <v>2.47E-3</v>
      </c>
      <c r="H873" s="18">
        <v>4.4452980000000002</v>
      </c>
      <c r="I873" s="16" t="s">
        <v>746</v>
      </c>
      <c r="J873" s="16"/>
      <c r="K873" s="16"/>
      <c r="L873" s="37"/>
      <c r="M873" s="37"/>
      <c r="N873" s="37"/>
      <c r="O873" s="37"/>
      <c r="P873" s="37"/>
      <c r="Q873" s="18">
        <v>2.717E-2</v>
      </c>
      <c r="R873" s="18">
        <v>1.8525E-4</v>
      </c>
      <c r="S873" s="18">
        <v>5.1869999999999999E-2</v>
      </c>
      <c r="T873" s="18">
        <v>0.2223</v>
      </c>
      <c r="U873" s="18">
        <v>0.11115</v>
      </c>
      <c r="V873" s="18">
        <v>1.42272</v>
      </c>
      <c r="W873" s="18">
        <v>1.3338000000000001</v>
      </c>
      <c r="X873" s="18">
        <v>0.88919999999999999</v>
      </c>
      <c r="Y873" s="18">
        <v>3.952E-2</v>
      </c>
      <c r="Z873" s="18">
        <v>0.17537</v>
      </c>
      <c r="AA873" s="18">
        <v>0.25688</v>
      </c>
      <c r="AB873" s="18">
        <v>0.45694999999999997</v>
      </c>
      <c r="AC873" s="18">
        <v>0.14079</v>
      </c>
      <c r="AD873" s="18">
        <v>0.74099999999999999</v>
      </c>
    </row>
    <row r="874" spans="2:30" x14ac:dyDescent="0.25">
      <c r="B874" t="s">
        <v>269</v>
      </c>
      <c r="C874" t="s">
        <v>326</v>
      </c>
      <c r="D874" t="s">
        <v>752</v>
      </c>
      <c r="E874" s="35">
        <v>0.9</v>
      </c>
      <c r="F874" s="35">
        <v>6.6</v>
      </c>
      <c r="G874" s="36">
        <v>2.47E-3</v>
      </c>
      <c r="H874" s="18">
        <v>4.4452980000000002</v>
      </c>
      <c r="I874" s="16" t="s">
        <v>746</v>
      </c>
      <c r="J874" s="16"/>
      <c r="K874" s="16"/>
      <c r="L874" s="37"/>
      <c r="M874" s="37"/>
      <c r="N874" s="37"/>
      <c r="O874" s="37"/>
      <c r="P874" s="37"/>
      <c r="Q874" s="18">
        <v>2.717E-2</v>
      </c>
      <c r="R874" s="18">
        <v>1.8525E-4</v>
      </c>
      <c r="S874" s="18">
        <v>5.1869999999999999E-2</v>
      </c>
      <c r="T874" s="18">
        <v>0.2223</v>
      </c>
      <c r="U874" s="18">
        <v>0.11115</v>
      </c>
      <c r="V874" s="18">
        <v>1.42272</v>
      </c>
      <c r="W874" s="18">
        <v>1.3338000000000001</v>
      </c>
      <c r="X874" s="18">
        <v>0.88919999999999999</v>
      </c>
      <c r="Y874" s="18">
        <v>3.952E-2</v>
      </c>
      <c r="Z874" s="18">
        <v>0.17537</v>
      </c>
      <c r="AA874" s="18">
        <v>0.25688</v>
      </c>
      <c r="AB874" s="18">
        <v>0.45694999999999997</v>
      </c>
      <c r="AC874" s="18">
        <v>0.14079</v>
      </c>
      <c r="AD874" s="18">
        <v>0.74099999999999999</v>
      </c>
    </row>
    <row r="875" spans="2:30" x14ac:dyDescent="0.25">
      <c r="B875" t="s">
        <v>269</v>
      </c>
      <c r="C875" t="s">
        <v>463</v>
      </c>
      <c r="D875" t="s">
        <v>747</v>
      </c>
      <c r="E875" s="35">
        <v>0.9</v>
      </c>
      <c r="F875" s="35">
        <v>6.6</v>
      </c>
      <c r="G875" s="36">
        <v>4.9449999999999997E-3</v>
      </c>
      <c r="H875" s="18">
        <v>8.9002979999999994</v>
      </c>
      <c r="I875" s="16" t="s">
        <v>746</v>
      </c>
      <c r="J875" s="16"/>
      <c r="K875" s="16"/>
      <c r="L875" s="37"/>
      <c r="M875" s="37"/>
      <c r="N875" s="37"/>
      <c r="O875" s="37"/>
      <c r="P875" s="37"/>
      <c r="Q875" s="18">
        <v>5.4394999999999999E-2</v>
      </c>
      <c r="R875" s="18">
        <v>3.7087499999999995E-4</v>
      </c>
      <c r="S875" s="18">
        <v>0.10384499999999999</v>
      </c>
      <c r="T875" s="18">
        <v>0.44505</v>
      </c>
      <c r="U875" s="18">
        <v>0.222525</v>
      </c>
      <c r="V875" s="18">
        <v>2.8483199999999997</v>
      </c>
      <c r="W875" s="18">
        <v>2.6702999999999997</v>
      </c>
      <c r="X875" s="18">
        <v>1.7802</v>
      </c>
      <c r="Y875" s="18">
        <v>7.9119999999999996E-2</v>
      </c>
      <c r="Z875" s="18">
        <v>0.35109499999999999</v>
      </c>
      <c r="AA875" s="18">
        <v>0.51427999999999996</v>
      </c>
      <c r="AB875" s="18">
        <v>0.914825</v>
      </c>
      <c r="AC875" s="18">
        <v>0.28186499999999998</v>
      </c>
      <c r="AD875" s="18">
        <v>1.4834999999999998</v>
      </c>
    </row>
    <row r="876" spans="2:30" x14ac:dyDescent="0.25">
      <c r="B876" t="s">
        <v>269</v>
      </c>
      <c r="C876" t="s">
        <v>463</v>
      </c>
      <c r="D876" t="s">
        <v>748</v>
      </c>
      <c r="E876" s="35">
        <v>0.9</v>
      </c>
      <c r="F876" s="35">
        <v>6.6</v>
      </c>
      <c r="G876" s="36">
        <v>4.1200000000000004E-3</v>
      </c>
      <c r="H876" s="18">
        <v>7.4152979999999999</v>
      </c>
      <c r="I876" s="16" t="s">
        <v>746</v>
      </c>
      <c r="J876" s="16"/>
      <c r="K876" s="16"/>
      <c r="L876" s="37"/>
      <c r="M876" s="37"/>
      <c r="N876" s="37"/>
      <c r="O876" s="37"/>
      <c r="P876" s="37"/>
      <c r="Q876" s="18">
        <v>4.5320000000000006E-2</v>
      </c>
      <c r="R876" s="18">
        <v>3.0900000000000003E-4</v>
      </c>
      <c r="S876" s="18">
        <v>8.6520000000000014E-2</v>
      </c>
      <c r="T876" s="18">
        <v>0.37080000000000002</v>
      </c>
      <c r="U876" s="18">
        <v>0.18540000000000001</v>
      </c>
      <c r="V876" s="18">
        <v>2.3731200000000001</v>
      </c>
      <c r="W876" s="18">
        <v>2.2248000000000001</v>
      </c>
      <c r="X876" s="18">
        <v>1.4832000000000001</v>
      </c>
      <c r="Y876" s="18">
        <v>6.5920000000000006E-2</v>
      </c>
      <c r="Z876" s="18">
        <v>0.29252</v>
      </c>
      <c r="AA876" s="18">
        <v>0.42848000000000003</v>
      </c>
      <c r="AB876" s="18">
        <v>0.7622000000000001</v>
      </c>
      <c r="AC876" s="18">
        <v>0.23484000000000002</v>
      </c>
      <c r="AD876" s="18">
        <v>1.2360000000000002</v>
      </c>
    </row>
    <row r="877" spans="2:30" x14ac:dyDescent="0.25">
      <c r="B877" t="s">
        <v>269</v>
      </c>
      <c r="C877" t="s">
        <v>463</v>
      </c>
      <c r="D877" t="s">
        <v>747</v>
      </c>
      <c r="E877" s="35">
        <v>0.9</v>
      </c>
      <c r="F877" s="35">
        <v>6.6</v>
      </c>
      <c r="G877" s="36">
        <v>4.9449999999999997E-3</v>
      </c>
      <c r="H877" s="18">
        <v>8.9002979999999994</v>
      </c>
      <c r="I877" s="16" t="s">
        <v>746</v>
      </c>
      <c r="J877" s="16"/>
      <c r="K877" s="16"/>
      <c r="L877" s="37"/>
      <c r="M877" s="37"/>
      <c r="N877" s="37"/>
      <c r="O877" s="37"/>
      <c r="P877" s="37"/>
      <c r="Q877" s="18">
        <v>5.4394999999999999E-2</v>
      </c>
      <c r="R877" s="18">
        <v>3.7087499999999995E-4</v>
      </c>
      <c r="S877" s="18">
        <v>0.10384499999999999</v>
      </c>
      <c r="T877" s="18">
        <v>0.44505</v>
      </c>
      <c r="U877" s="18">
        <v>0.222525</v>
      </c>
      <c r="V877" s="18">
        <v>2.8483199999999997</v>
      </c>
      <c r="W877" s="18">
        <v>2.6702999999999997</v>
      </c>
      <c r="X877" s="18">
        <v>1.7802</v>
      </c>
      <c r="Y877" s="18">
        <v>7.9119999999999996E-2</v>
      </c>
      <c r="Z877" s="18">
        <v>0.35109499999999999</v>
      </c>
      <c r="AA877" s="18">
        <v>0.51427999999999996</v>
      </c>
      <c r="AB877" s="18">
        <v>0.914825</v>
      </c>
      <c r="AC877" s="18">
        <v>0.28186499999999998</v>
      </c>
      <c r="AD877" s="18">
        <v>1.4834999999999998</v>
      </c>
    </row>
    <row r="878" spans="2:30" x14ac:dyDescent="0.25">
      <c r="B878" t="s">
        <v>269</v>
      </c>
      <c r="C878" t="s">
        <v>463</v>
      </c>
      <c r="D878" t="s">
        <v>748</v>
      </c>
      <c r="E878" s="35">
        <v>0.9</v>
      </c>
      <c r="F878" s="35">
        <v>6.6</v>
      </c>
      <c r="G878" s="36">
        <v>4.1200000000000004E-3</v>
      </c>
      <c r="H878" s="18">
        <v>7.4152979999999999</v>
      </c>
      <c r="I878" s="16" t="s">
        <v>746</v>
      </c>
      <c r="J878" s="16"/>
      <c r="K878" s="16"/>
      <c r="L878" s="37"/>
      <c r="M878" s="37"/>
      <c r="N878" s="37"/>
      <c r="O878" s="37"/>
      <c r="P878" s="37"/>
      <c r="Q878" s="18">
        <v>4.5320000000000006E-2</v>
      </c>
      <c r="R878" s="18">
        <v>3.0900000000000003E-4</v>
      </c>
      <c r="S878" s="18">
        <v>8.6520000000000014E-2</v>
      </c>
      <c r="T878" s="18">
        <v>0.37080000000000002</v>
      </c>
      <c r="U878" s="18">
        <v>0.18540000000000001</v>
      </c>
      <c r="V878" s="18">
        <v>2.3731200000000001</v>
      </c>
      <c r="W878" s="18">
        <v>2.2248000000000001</v>
      </c>
      <c r="X878" s="18">
        <v>1.4832000000000001</v>
      </c>
      <c r="Y878" s="18">
        <v>6.5920000000000006E-2</v>
      </c>
      <c r="Z878" s="18">
        <v>0.29252</v>
      </c>
      <c r="AA878" s="18">
        <v>0.42848000000000003</v>
      </c>
      <c r="AB878" s="18">
        <v>0.7622000000000001</v>
      </c>
      <c r="AC878" s="18">
        <v>0.23484000000000002</v>
      </c>
      <c r="AD878" s="18">
        <v>1.2360000000000002</v>
      </c>
    </row>
    <row r="879" spans="2:30" x14ac:dyDescent="0.25">
      <c r="B879" t="s">
        <v>269</v>
      </c>
      <c r="C879" t="s">
        <v>463</v>
      </c>
      <c r="D879" t="s">
        <v>748</v>
      </c>
      <c r="E879" s="35">
        <v>0.9</v>
      </c>
      <c r="F879" s="35">
        <v>6.6</v>
      </c>
      <c r="G879" s="36">
        <v>4.1200000000000004E-3</v>
      </c>
      <c r="H879" s="18">
        <v>7.4152979999999999</v>
      </c>
      <c r="I879" s="16" t="s">
        <v>746</v>
      </c>
      <c r="J879" s="16"/>
      <c r="K879" s="16"/>
      <c r="L879" s="37"/>
      <c r="M879" s="37"/>
      <c r="N879" s="37"/>
      <c r="O879" s="37"/>
      <c r="P879" s="37"/>
      <c r="Q879" s="18">
        <v>4.5320000000000006E-2</v>
      </c>
      <c r="R879" s="18">
        <v>3.0900000000000003E-4</v>
      </c>
      <c r="S879" s="18">
        <v>8.6520000000000014E-2</v>
      </c>
      <c r="T879" s="18">
        <v>0.37080000000000002</v>
      </c>
      <c r="U879" s="18">
        <v>0.18540000000000001</v>
      </c>
      <c r="V879" s="18">
        <v>2.3731200000000001</v>
      </c>
      <c r="W879" s="18">
        <v>2.2248000000000001</v>
      </c>
      <c r="X879" s="18">
        <v>1.4832000000000001</v>
      </c>
      <c r="Y879" s="18">
        <v>6.5920000000000006E-2</v>
      </c>
      <c r="Z879" s="18">
        <v>0.29252</v>
      </c>
      <c r="AA879" s="18">
        <v>0.42848000000000003</v>
      </c>
      <c r="AB879" s="18">
        <v>0.7622000000000001</v>
      </c>
      <c r="AC879" s="18">
        <v>0.23484000000000002</v>
      </c>
      <c r="AD879" s="18">
        <v>1.2360000000000002</v>
      </c>
    </row>
    <row r="880" spans="2:30" x14ac:dyDescent="0.25">
      <c r="B880" t="s">
        <v>269</v>
      </c>
      <c r="C880" t="s">
        <v>463</v>
      </c>
      <c r="D880" t="s">
        <v>747</v>
      </c>
      <c r="E880" s="35">
        <v>0.9</v>
      </c>
      <c r="F880" s="35">
        <v>6.6</v>
      </c>
      <c r="G880" s="36">
        <v>4.9449999999999997E-3</v>
      </c>
      <c r="H880" s="18">
        <v>8.9002979999999994</v>
      </c>
      <c r="I880" s="16" t="s">
        <v>746</v>
      </c>
      <c r="J880" s="16"/>
      <c r="K880" s="16"/>
      <c r="L880" s="37"/>
      <c r="M880" s="37"/>
      <c r="N880" s="37"/>
      <c r="O880" s="37"/>
      <c r="P880" s="37"/>
      <c r="Q880" s="18">
        <v>5.4394999999999999E-2</v>
      </c>
      <c r="R880" s="18">
        <v>3.7087499999999995E-4</v>
      </c>
      <c r="S880" s="18">
        <v>0.10384499999999999</v>
      </c>
      <c r="T880" s="18">
        <v>0.44505</v>
      </c>
      <c r="U880" s="18">
        <v>0.222525</v>
      </c>
      <c r="V880" s="18">
        <v>2.8483199999999997</v>
      </c>
      <c r="W880" s="18">
        <v>2.6702999999999997</v>
      </c>
      <c r="X880" s="18">
        <v>1.7802</v>
      </c>
      <c r="Y880" s="18">
        <v>7.9119999999999996E-2</v>
      </c>
      <c r="Z880" s="18">
        <v>0.35109499999999999</v>
      </c>
      <c r="AA880" s="18">
        <v>0.51427999999999996</v>
      </c>
      <c r="AB880" s="18">
        <v>0.914825</v>
      </c>
      <c r="AC880" s="18">
        <v>0.28186499999999998</v>
      </c>
      <c r="AD880" s="18">
        <v>1.4834999999999998</v>
      </c>
    </row>
    <row r="881" spans="2:30" x14ac:dyDescent="0.25">
      <c r="B881" t="s">
        <v>269</v>
      </c>
      <c r="C881" t="s">
        <v>463</v>
      </c>
      <c r="D881" t="s">
        <v>747</v>
      </c>
      <c r="E881" s="35">
        <v>0.9</v>
      </c>
      <c r="F881" s="35">
        <v>6.6</v>
      </c>
      <c r="G881" s="36">
        <v>4.9449999999999997E-3</v>
      </c>
      <c r="H881" s="18">
        <v>8.9002979999999994</v>
      </c>
      <c r="I881" s="16" t="s">
        <v>746</v>
      </c>
      <c r="J881" s="16"/>
      <c r="K881" s="16"/>
      <c r="L881" s="37"/>
      <c r="M881" s="37"/>
      <c r="N881" s="37"/>
      <c r="O881" s="37"/>
      <c r="P881" s="37"/>
      <c r="Q881" s="18">
        <v>5.4394999999999999E-2</v>
      </c>
      <c r="R881" s="18">
        <v>3.7087499999999995E-4</v>
      </c>
      <c r="S881" s="18">
        <v>0.10384499999999999</v>
      </c>
      <c r="T881" s="18">
        <v>0.44505</v>
      </c>
      <c r="U881" s="18">
        <v>0.222525</v>
      </c>
      <c r="V881" s="18">
        <v>2.8483199999999997</v>
      </c>
      <c r="W881" s="18">
        <v>2.6702999999999997</v>
      </c>
      <c r="X881" s="18">
        <v>1.7802</v>
      </c>
      <c r="Y881" s="18">
        <v>7.9119999999999996E-2</v>
      </c>
      <c r="Z881" s="18">
        <v>0.35109499999999999</v>
      </c>
      <c r="AA881" s="18">
        <v>0.51427999999999996</v>
      </c>
      <c r="AB881" s="18">
        <v>0.914825</v>
      </c>
      <c r="AC881" s="18">
        <v>0.28186499999999998</v>
      </c>
      <c r="AD881" s="18">
        <v>1.4834999999999998</v>
      </c>
    </row>
    <row r="882" spans="2:30" x14ac:dyDescent="0.25">
      <c r="B882" t="s">
        <v>269</v>
      </c>
      <c r="C882" t="s">
        <v>463</v>
      </c>
      <c r="D882" t="s">
        <v>748</v>
      </c>
      <c r="E882" s="35">
        <v>0.9</v>
      </c>
      <c r="F882" s="35">
        <v>6.6</v>
      </c>
      <c r="G882" s="36">
        <v>4.1200000000000004E-3</v>
      </c>
      <c r="H882" s="18">
        <v>7.4152979999999999</v>
      </c>
      <c r="I882" s="16" t="s">
        <v>746</v>
      </c>
      <c r="J882" s="16"/>
      <c r="K882" s="16"/>
      <c r="L882" s="37"/>
      <c r="M882" s="37"/>
      <c r="N882" s="37"/>
      <c r="O882" s="37"/>
      <c r="P882" s="37"/>
      <c r="Q882" s="18">
        <v>4.5320000000000006E-2</v>
      </c>
      <c r="R882" s="18">
        <v>3.0900000000000003E-4</v>
      </c>
      <c r="S882" s="18">
        <v>8.6520000000000014E-2</v>
      </c>
      <c r="T882" s="18">
        <v>0.37080000000000002</v>
      </c>
      <c r="U882" s="18">
        <v>0.18540000000000001</v>
      </c>
      <c r="V882" s="18">
        <v>2.3731200000000001</v>
      </c>
      <c r="W882" s="18">
        <v>2.2248000000000001</v>
      </c>
      <c r="X882" s="18">
        <v>1.4832000000000001</v>
      </c>
      <c r="Y882" s="18">
        <v>6.5920000000000006E-2</v>
      </c>
      <c r="Z882" s="18">
        <v>0.29252</v>
      </c>
      <c r="AA882" s="18">
        <v>0.42848000000000003</v>
      </c>
      <c r="AB882" s="18">
        <v>0.7622000000000001</v>
      </c>
      <c r="AC882" s="18">
        <v>0.23484000000000002</v>
      </c>
      <c r="AD882" s="18">
        <v>1.2360000000000002</v>
      </c>
    </row>
    <row r="883" spans="2:30" x14ac:dyDescent="0.25">
      <c r="B883" t="s">
        <v>269</v>
      </c>
      <c r="C883" t="s">
        <v>463</v>
      </c>
      <c r="D883" t="s">
        <v>748</v>
      </c>
      <c r="E883" s="35">
        <v>0.9</v>
      </c>
      <c r="F883" s="35">
        <v>6.6</v>
      </c>
      <c r="G883" s="36">
        <v>4.1200000000000004E-3</v>
      </c>
      <c r="H883" s="18">
        <v>7.4152979999999999</v>
      </c>
      <c r="I883" s="16" t="s">
        <v>746</v>
      </c>
      <c r="J883" s="16"/>
      <c r="K883" s="16"/>
      <c r="L883" s="37"/>
      <c r="M883" s="37"/>
      <c r="N883" s="37"/>
      <c r="O883" s="37"/>
      <c r="P883" s="37"/>
      <c r="Q883" s="18">
        <v>4.5320000000000006E-2</v>
      </c>
      <c r="R883" s="18">
        <v>3.0900000000000003E-4</v>
      </c>
      <c r="S883" s="18">
        <v>8.6520000000000014E-2</v>
      </c>
      <c r="T883" s="18">
        <v>0.37080000000000002</v>
      </c>
      <c r="U883" s="18">
        <v>0.18540000000000001</v>
      </c>
      <c r="V883" s="18">
        <v>2.3731200000000001</v>
      </c>
      <c r="W883" s="18">
        <v>2.2248000000000001</v>
      </c>
      <c r="X883" s="18">
        <v>1.4832000000000001</v>
      </c>
      <c r="Y883" s="18">
        <v>6.5920000000000006E-2</v>
      </c>
      <c r="Z883" s="18">
        <v>0.29252</v>
      </c>
      <c r="AA883" s="18">
        <v>0.42848000000000003</v>
      </c>
      <c r="AB883" s="18">
        <v>0.7622000000000001</v>
      </c>
      <c r="AC883" s="18">
        <v>0.23484000000000002</v>
      </c>
      <c r="AD883" s="18">
        <v>1.2360000000000002</v>
      </c>
    </row>
    <row r="884" spans="2:30" x14ac:dyDescent="0.25">
      <c r="B884" t="s">
        <v>269</v>
      </c>
      <c r="C884" t="s">
        <v>463</v>
      </c>
      <c r="D884" t="s">
        <v>750</v>
      </c>
      <c r="E884" s="35">
        <v>0.9</v>
      </c>
      <c r="F884" s="35">
        <v>6.6</v>
      </c>
      <c r="G884" s="36">
        <v>3.0200000000000001E-3</v>
      </c>
      <c r="H884" s="18">
        <v>5.4352980000000004</v>
      </c>
      <c r="I884" s="16" t="s">
        <v>746</v>
      </c>
      <c r="J884" s="16"/>
      <c r="K884" s="16"/>
      <c r="L884" s="37"/>
      <c r="M884" s="37"/>
      <c r="N884" s="37"/>
      <c r="O884" s="37"/>
      <c r="P884" s="37"/>
      <c r="Q884" s="18">
        <v>3.322E-2</v>
      </c>
      <c r="R884" s="18">
        <v>2.265E-4</v>
      </c>
      <c r="S884" s="18">
        <v>6.3420000000000004E-2</v>
      </c>
      <c r="T884" s="18">
        <v>0.27179999999999999</v>
      </c>
      <c r="U884" s="18">
        <v>0.13589999999999999</v>
      </c>
      <c r="V884" s="18">
        <v>1.7395200000000002</v>
      </c>
      <c r="W884" s="18">
        <v>1.6308</v>
      </c>
      <c r="X884" s="18">
        <v>1.0871999999999999</v>
      </c>
      <c r="Y884" s="18">
        <v>4.8320000000000002E-2</v>
      </c>
      <c r="Z884" s="18">
        <v>0.21442</v>
      </c>
      <c r="AA884" s="18">
        <v>0.31408000000000003</v>
      </c>
      <c r="AB884" s="18">
        <v>0.55869999999999997</v>
      </c>
      <c r="AC884" s="18">
        <v>0.17214000000000002</v>
      </c>
      <c r="AD884" s="18">
        <v>0.90600000000000003</v>
      </c>
    </row>
    <row r="885" spans="2:30" x14ac:dyDescent="0.25">
      <c r="B885" t="s">
        <v>269</v>
      </c>
      <c r="C885" t="s">
        <v>463</v>
      </c>
      <c r="D885" t="s">
        <v>750</v>
      </c>
      <c r="E885" s="35">
        <v>0.9</v>
      </c>
      <c r="F885" s="35">
        <v>6.6</v>
      </c>
      <c r="G885" s="36">
        <v>3.0200000000000001E-3</v>
      </c>
      <c r="H885" s="18">
        <v>5.4352980000000004</v>
      </c>
      <c r="I885" s="16" t="s">
        <v>746</v>
      </c>
      <c r="J885" s="16"/>
      <c r="K885" s="16"/>
      <c r="L885" s="37"/>
      <c r="M885" s="37"/>
      <c r="N885" s="37"/>
      <c r="O885" s="37"/>
      <c r="P885" s="37"/>
      <c r="Q885" s="18">
        <v>3.322E-2</v>
      </c>
      <c r="R885" s="18">
        <v>2.265E-4</v>
      </c>
      <c r="S885" s="18">
        <v>6.3420000000000004E-2</v>
      </c>
      <c r="T885" s="18">
        <v>0.27179999999999999</v>
      </c>
      <c r="U885" s="18">
        <v>0.13589999999999999</v>
      </c>
      <c r="V885" s="18">
        <v>1.7395200000000002</v>
      </c>
      <c r="W885" s="18">
        <v>1.6308</v>
      </c>
      <c r="X885" s="18">
        <v>1.0871999999999999</v>
      </c>
      <c r="Y885" s="18">
        <v>4.8320000000000002E-2</v>
      </c>
      <c r="Z885" s="18">
        <v>0.21442</v>
      </c>
      <c r="AA885" s="18">
        <v>0.31408000000000003</v>
      </c>
      <c r="AB885" s="18">
        <v>0.55869999999999997</v>
      </c>
      <c r="AC885" s="18">
        <v>0.17214000000000002</v>
      </c>
      <c r="AD885" s="18">
        <v>0.90600000000000003</v>
      </c>
    </row>
    <row r="886" spans="2:30" x14ac:dyDescent="0.25">
      <c r="B886" t="s">
        <v>269</v>
      </c>
      <c r="C886" t="s">
        <v>463</v>
      </c>
      <c r="D886" t="s">
        <v>747</v>
      </c>
      <c r="E886" s="35">
        <v>0.9</v>
      </c>
      <c r="F886" s="35">
        <v>6.6</v>
      </c>
      <c r="G886" s="36">
        <v>4.9449999999999997E-3</v>
      </c>
      <c r="H886" s="18">
        <v>8.9002979999999994</v>
      </c>
      <c r="I886" s="16" t="s">
        <v>746</v>
      </c>
      <c r="J886" s="16"/>
      <c r="K886" s="16"/>
      <c r="L886" s="37"/>
      <c r="M886" s="37"/>
      <c r="N886" s="37"/>
      <c r="O886" s="37"/>
      <c r="P886" s="37"/>
      <c r="Q886" s="18">
        <v>5.4394999999999999E-2</v>
      </c>
      <c r="R886" s="18">
        <v>3.7087499999999995E-4</v>
      </c>
      <c r="S886" s="18">
        <v>0.10384499999999999</v>
      </c>
      <c r="T886" s="18">
        <v>0.44505</v>
      </c>
      <c r="U886" s="18">
        <v>0.222525</v>
      </c>
      <c r="V886" s="18">
        <v>2.8483199999999997</v>
      </c>
      <c r="W886" s="18">
        <v>2.6702999999999997</v>
      </c>
      <c r="X886" s="18">
        <v>1.7802</v>
      </c>
      <c r="Y886" s="18">
        <v>7.9119999999999996E-2</v>
      </c>
      <c r="Z886" s="18">
        <v>0.35109499999999999</v>
      </c>
      <c r="AA886" s="18">
        <v>0.51427999999999996</v>
      </c>
      <c r="AB886" s="18">
        <v>0.914825</v>
      </c>
      <c r="AC886" s="18">
        <v>0.28186499999999998</v>
      </c>
      <c r="AD886" s="18">
        <v>1.4834999999999998</v>
      </c>
    </row>
    <row r="887" spans="2:30" x14ac:dyDescent="0.25">
      <c r="B887" t="s">
        <v>269</v>
      </c>
      <c r="C887" t="s">
        <v>463</v>
      </c>
      <c r="D887" t="s">
        <v>748</v>
      </c>
      <c r="E887" s="35">
        <v>0.9</v>
      </c>
      <c r="F887" s="35">
        <v>6.6</v>
      </c>
      <c r="G887" s="36">
        <v>4.1200000000000004E-3</v>
      </c>
      <c r="H887" s="18">
        <v>7.4152979999999999</v>
      </c>
      <c r="I887" s="16" t="s">
        <v>746</v>
      </c>
      <c r="J887" s="16"/>
      <c r="K887" s="16"/>
      <c r="L887" s="37"/>
      <c r="M887" s="37"/>
      <c r="N887" s="37"/>
      <c r="O887" s="37"/>
      <c r="P887" s="37"/>
      <c r="Q887" s="18">
        <v>4.5320000000000006E-2</v>
      </c>
      <c r="R887" s="18">
        <v>3.0900000000000003E-4</v>
      </c>
      <c r="S887" s="18">
        <v>8.6520000000000014E-2</v>
      </c>
      <c r="T887" s="18">
        <v>0.37080000000000002</v>
      </c>
      <c r="U887" s="18">
        <v>0.18540000000000001</v>
      </c>
      <c r="V887" s="18">
        <v>2.3731200000000001</v>
      </c>
      <c r="W887" s="18">
        <v>2.2248000000000001</v>
      </c>
      <c r="X887" s="18">
        <v>1.4832000000000001</v>
      </c>
      <c r="Y887" s="18">
        <v>6.5920000000000006E-2</v>
      </c>
      <c r="Z887" s="18">
        <v>0.29252</v>
      </c>
      <c r="AA887" s="18">
        <v>0.42848000000000003</v>
      </c>
      <c r="AB887" s="18">
        <v>0.7622000000000001</v>
      </c>
      <c r="AC887" s="18">
        <v>0.23484000000000002</v>
      </c>
      <c r="AD887" s="18">
        <v>1.2360000000000002</v>
      </c>
    </row>
    <row r="888" spans="2:30" x14ac:dyDescent="0.25">
      <c r="B888" t="s">
        <v>269</v>
      </c>
      <c r="C888" t="s">
        <v>463</v>
      </c>
      <c r="D888" t="s">
        <v>753</v>
      </c>
      <c r="E888" s="35">
        <v>0.9</v>
      </c>
      <c r="F888" s="35">
        <v>6.6</v>
      </c>
      <c r="G888" s="36">
        <v>5.77E-3</v>
      </c>
      <c r="H888" s="18">
        <v>10.385298000000001</v>
      </c>
      <c r="I888" s="16" t="s">
        <v>746</v>
      </c>
      <c r="J888" s="16"/>
      <c r="K888" s="16"/>
      <c r="L888" s="37"/>
      <c r="M888" s="37"/>
      <c r="N888" s="37"/>
      <c r="O888" s="37"/>
      <c r="P888" s="37"/>
      <c r="Q888" s="18">
        <v>6.3469999999999999E-2</v>
      </c>
      <c r="R888" s="18">
        <v>4.3274999999999997E-4</v>
      </c>
      <c r="S888" s="18">
        <v>0.12117</v>
      </c>
      <c r="T888" s="18">
        <v>0.51929999999999998</v>
      </c>
      <c r="U888" s="18">
        <v>0.25964999999999999</v>
      </c>
      <c r="V888" s="18">
        <v>3.3235199999999998</v>
      </c>
      <c r="W888" s="18">
        <v>3.1158000000000001</v>
      </c>
      <c r="X888" s="18">
        <v>2.0771999999999999</v>
      </c>
      <c r="Y888" s="18">
        <v>9.2319999999999999E-2</v>
      </c>
      <c r="Z888" s="18">
        <v>0.40966999999999998</v>
      </c>
      <c r="AA888" s="18">
        <v>0.60007999999999995</v>
      </c>
      <c r="AB888" s="18">
        <v>1.06745</v>
      </c>
      <c r="AC888" s="18">
        <v>0.32889000000000002</v>
      </c>
      <c r="AD888" s="18">
        <v>1.7310000000000001</v>
      </c>
    </row>
    <row r="889" spans="2:30" x14ac:dyDescent="0.25">
      <c r="B889" t="s">
        <v>269</v>
      </c>
      <c r="C889" t="s">
        <v>463</v>
      </c>
      <c r="D889" t="s">
        <v>753</v>
      </c>
      <c r="E889" s="35">
        <v>0.9</v>
      </c>
      <c r="F889" s="35">
        <v>6.6</v>
      </c>
      <c r="G889" s="36">
        <v>5.77E-3</v>
      </c>
      <c r="H889" s="18">
        <v>10.385298000000001</v>
      </c>
      <c r="I889" s="16" t="s">
        <v>746</v>
      </c>
      <c r="J889" s="16"/>
      <c r="K889" s="16"/>
      <c r="L889" s="37"/>
      <c r="M889" s="37"/>
      <c r="N889" s="37"/>
      <c r="O889" s="37"/>
      <c r="P889" s="37"/>
      <c r="Q889" s="18">
        <v>6.3469999999999999E-2</v>
      </c>
      <c r="R889" s="18">
        <v>4.3274999999999997E-4</v>
      </c>
      <c r="S889" s="18">
        <v>0.12117</v>
      </c>
      <c r="T889" s="18">
        <v>0.51929999999999998</v>
      </c>
      <c r="U889" s="18">
        <v>0.25964999999999999</v>
      </c>
      <c r="V889" s="18">
        <v>3.3235199999999998</v>
      </c>
      <c r="W889" s="18">
        <v>3.1158000000000001</v>
      </c>
      <c r="X889" s="18">
        <v>2.0771999999999999</v>
      </c>
      <c r="Y889" s="18">
        <v>9.2319999999999999E-2</v>
      </c>
      <c r="Z889" s="18">
        <v>0.40966999999999998</v>
      </c>
      <c r="AA889" s="18">
        <v>0.60007999999999995</v>
      </c>
      <c r="AB889" s="18">
        <v>1.06745</v>
      </c>
      <c r="AC889" s="18">
        <v>0.32889000000000002</v>
      </c>
      <c r="AD889" s="18">
        <v>1.7310000000000001</v>
      </c>
    </row>
    <row r="890" spans="2:30" x14ac:dyDescent="0.25">
      <c r="B890" t="s">
        <v>269</v>
      </c>
      <c r="C890" t="s">
        <v>463</v>
      </c>
      <c r="D890" t="s">
        <v>753</v>
      </c>
      <c r="E890" s="35">
        <v>0.9</v>
      </c>
      <c r="F890" s="35">
        <v>6.6</v>
      </c>
      <c r="G890" s="36">
        <v>5.77E-3</v>
      </c>
      <c r="H890" s="18">
        <v>10.385298000000001</v>
      </c>
      <c r="I890" s="16" t="s">
        <v>746</v>
      </c>
      <c r="J890" s="16"/>
      <c r="K890" s="16"/>
      <c r="L890" s="37"/>
      <c r="M890" s="37"/>
      <c r="N890" s="37"/>
      <c r="O890" s="37"/>
      <c r="P890" s="37"/>
      <c r="Q890" s="18">
        <v>6.3469999999999999E-2</v>
      </c>
      <c r="R890" s="18">
        <v>4.3274999999999997E-4</v>
      </c>
      <c r="S890" s="18">
        <v>0.12117</v>
      </c>
      <c r="T890" s="18">
        <v>0.51929999999999998</v>
      </c>
      <c r="U890" s="18">
        <v>0.25964999999999999</v>
      </c>
      <c r="V890" s="18">
        <v>3.3235199999999998</v>
      </c>
      <c r="W890" s="18">
        <v>3.1158000000000001</v>
      </c>
      <c r="X890" s="18">
        <v>2.0771999999999999</v>
      </c>
      <c r="Y890" s="18">
        <v>9.2319999999999999E-2</v>
      </c>
      <c r="Z890" s="18">
        <v>0.40966999999999998</v>
      </c>
      <c r="AA890" s="18">
        <v>0.60007999999999995</v>
      </c>
      <c r="AB890" s="18">
        <v>1.06745</v>
      </c>
      <c r="AC890" s="18">
        <v>0.32889000000000002</v>
      </c>
      <c r="AD890" s="18">
        <v>1.7310000000000001</v>
      </c>
    </row>
    <row r="891" spans="2:30" x14ac:dyDescent="0.25">
      <c r="B891" t="s">
        <v>269</v>
      </c>
      <c r="C891" t="s">
        <v>463</v>
      </c>
      <c r="D891" t="s">
        <v>748</v>
      </c>
      <c r="E891" s="35">
        <v>0.9</v>
      </c>
      <c r="F891" s="35">
        <v>6.6</v>
      </c>
      <c r="G891" s="36">
        <v>4.1200000000000004E-3</v>
      </c>
      <c r="H891" s="18">
        <v>7.4152979999999999</v>
      </c>
      <c r="I891" s="16" t="s">
        <v>746</v>
      </c>
      <c r="J891" s="16"/>
      <c r="K891" s="16"/>
      <c r="L891" s="37"/>
      <c r="M891" s="37"/>
      <c r="N891" s="37"/>
      <c r="O891" s="37"/>
      <c r="P891" s="37"/>
      <c r="Q891" s="18">
        <v>4.5320000000000006E-2</v>
      </c>
      <c r="R891" s="18">
        <v>3.0900000000000003E-4</v>
      </c>
      <c r="S891" s="18">
        <v>8.6520000000000014E-2</v>
      </c>
      <c r="T891" s="18">
        <v>0.37080000000000002</v>
      </c>
      <c r="U891" s="18">
        <v>0.18540000000000001</v>
      </c>
      <c r="V891" s="18">
        <v>2.3731200000000001</v>
      </c>
      <c r="W891" s="18">
        <v>2.2248000000000001</v>
      </c>
      <c r="X891" s="18">
        <v>1.4832000000000001</v>
      </c>
      <c r="Y891" s="18">
        <v>6.5920000000000006E-2</v>
      </c>
      <c r="Z891" s="18">
        <v>0.29252</v>
      </c>
      <c r="AA891" s="18">
        <v>0.42848000000000003</v>
      </c>
      <c r="AB891" s="18">
        <v>0.7622000000000001</v>
      </c>
      <c r="AC891" s="18">
        <v>0.23484000000000002</v>
      </c>
      <c r="AD891" s="18">
        <v>1.2360000000000002</v>
      </c>
    </row>
    <row r="892" spans="2:30" x14ac:dyDescent="0.25">
      <c r="B892" t="s">
        <v>269</v>
      </c>
      <c r="C892" t="s">
        <v>463</v>
      </c>
      <c r="D892" t="s">
        <v>747</v>
      </c>
      <c r="E892" s="35">
        <v>0.9</v>
      </c>
      <c r="F892" s="35">
        <v>6.6</v>
      </c>
      <c r="G892" s="36">
        <v>4.9449999999999997E-3</v>
      </c>
      <c r="H892" s="18">
        <v>8.9002979999999994</v>
      </c>
      <c r="I892" s="16" t="s">
        <v>746</v>
      </c>
      <c r="J892" s="16"/>
      <c r="K892" s="16"/>
      <c r="L892" s="37"/>
      <c r="M892" s="37"/>
      <c r="N892" s="37"/>
      <c r="O892" s="37"/>
      <c r="P892" s="37"/>
      <c r="Q892" s="18">
        <v>5.4394999999999999E-2</v>
      </c>
      <c r="R892" s="18">
        <v>3.7087499999999995E-4</v>
      </c>
      <c r="S892" s="18">
        <v>0.10384499999999999</v>
      </c>
      <c r="T892" s="18">
        <v>0.44505</v>
      </c>
      <c r="U892" s="18">
        <v>0.222525</v>
      </c>
      <c r="V892" s="18">
        <v>2.8483199999999997</v>
      </c>
      <c r="W892" s="18">
        <v>2.6702999999999997</v>
      </c>
      <c r="X892" s="18">
        <v>1.7802</v>
      </c>
      <c r="Y892" s="18">
        <v>7.9119999999999996E-2</v>
      </c>
      <c r="Z892" s="18">
        <v>0.35109499999999999</v>
      </c>
      <c r="AA892" s="18">
        <v>0.51427999999999996</v>
      </c>
      <c r="AB892" s="18">
        <v>0.914825</v>
      </c>
      <c r="AC892" s="18">
        <v>0.28186499999999998</v>
      </c>
      <c r="AD892" s="18">
        <v>1.4834999999999998</v>
      </c>
    </row>
    <row r="893" spans="2:30" x14ac:dyDescent="0.25">
      <c r="B893" t="s">
        <v>269</v>
      </c>
      <c r="C893" t="s">
        <v>463</v>
      </c>
      <c r="D893" t="s">
        <v>753</v>
      </c>
      <c r="E893" s="35">
        <v>0.9</v>
      </c>
      <c r="F893" s="35">
        <v>6.6</v>
      </c>
      <c r="G893" s="36">
        <v>5.77E-3</v>
      </c>
      <c r="H893" s="18">
        <v>10.385298000000001</v>
      </c>
      <c r="I893" s="16" t="s">
        <v>746</v>
      </c>
      <c r="J893" s="16"/>
      <c r="K893" s="16"/>
      <c r="L893" s="37"/>
      <c r="M893" s="37"/>
      <c r="N893" s="37"/>
      <c r="O893" s="37"/>
      <c r="P893" s="37"/>
      <c r="Q893" s="18">
        <v>6.3469999999999999E-2</v>
      </c>
      <c r="R893" s="18">
        <v>4.3274999999999997E-4</v>
      </c>
      <c r="S893" s="18">
        <v>0.12117</v>
      </c>
      <c r="T893" s="18">
        <v>0.51929999999999998</v>
      </c>
      <c r="U893" s="18">
        <v>0.25964999999999999</v>
      </c>
      <c r="V893" s="18">
        <v>3.3235199999999998</v>
      </c>
      <c r="W893" s="18">
        <v>3.1158000000000001</v>
      </c>
      <c r="X893" s="18">
        <v>2.0771999999999999</v>
      </c>
      <c r="Y893" s="18">
        <v>9.2319999999999999E-2</v>
      </c>
      <c r="Z893" s="18">
        <v>0.40966999999999998</v>
      </c>
      <c r="AA893" s="18">
        <v>0.60007999999999995</v>
      </c>
      <c r="AB893" s="18">
        <v>1.06745</v>
      </c>
      <c r="AC893" s="18">
        <v>0.32889000000000002</v>
      </c>
      <c r="AD893" s="18">
        <v>1.7310000000000001</v>
      </c>
    </row>
    <row r="894" spans="2:30" x14ac:dyDescent="0.25">
      <c r="B894" t="s">
        <v>269</v>
      </c>
      <c r="C894" t="s">
        <v>463</v>
      </c>
      <c r="D894" t="s">
        <v>748</v>
      </c>
      <c r="E894" s="35">
        <v>0.9</v>
      </c>
      <c r="F894" s="35">
        <v>6.6</v>
      </c>
      <c r="G894" s="36">
        <v>4.1200000000000004E-3</v>
      </c>
      <c r="H894" s="18">
        <v>7.4152979999999999</v>
      </c>
      <c r="I894" s="16" t="s">
        <v>746</v>
      </c>
      <c r="J894" s="16"/>
      <c r="K894" s="16"/>
      <c r="L894" s="37"/>
      <c r="M894" s="37"/>
      <c r="N894" s="37"/>
      <c r="O894" s="37"/>
      <c r="P894" s="37"/>
      <c r="Q894" s="18">
        <v>4.5320000000000006E-2</v>
      </c>
      <c r="R894" s="18">
        <v>3.0900000000000003E-4</v>
      </c>
      <c r="S894" s="18">
        <v>8.6520000000000014E-2</v>
      </c>
      <c r="T894" s="18">
        <v>0.37080000000000002</v>
      </c>
      <c r="U894" s="18">
        <v>0.18540000000000001</v>
      </c>
      <c r="V894" s="18">
        <v>2.3731200000000001</v>
      </c>
      <c r="W894" s="18">
        <v>2.2248000000000001</v>
      </c>
      <c r="X894" s="18">
        <v>1.4832000000000001</v>
      </c>
      <c r="Y894" s="18">
        <v>6.5920000000000006E-2</v>
      </c>
      <c r="Z894" s="18">
        <v>0.29252</v>
      </c>
      <c r="AA894" s="18">
        <v>0.42848000000000003</v>
      </c>
      <c r="AB894" s="18">
        <v>0.7622000000000001</v>
      </c>
      <c r="AC894" s="18">
        <v>0.23484000000000002</v>
      </c>
      <c r="AD894" s="18">
        <v>1.2360000000000002</v>
      </c>
    </row>
    <row r="895" spans="2:30" x14ac:dyDescent="0.25">
      <c r="B895" t="s">
        <v>269</v>
      </c>
      <c r="C895" t="s">
        <v>463</v>
      </c>
      <c r="D895" t="s">
        <v>748</v>
      </c>
      <c r="E895" s="35">
        <v>0.9</v>
      </c>
      <c r="F895" s="35">
        <v>6.6</v>
      </c>
      <c r="G895" s="36">
        <v>4.1200000000000004E-3</v>
      </c>
      <c r="H895" s="18">
        <v>7.4152979999999999</v>
      </c>
      <c r="I895" s="16" t="s">
        <v>746</v>
      </c>
      <c r="J895" s="16"/>
      <c r="K895" s="16"/>
      <c r="L895" s="37"/>
      <c r="M895" s="37"/>
      <c r="N895" s="37"/>
      <c r="O895" s="37"/>
      <c r="P895" s="37"/>
      <c r="Q895" s="18">
        <v>4.5320000000000006E-2</v>
      </c>
      <c r="R895" s="18">
        <v>3.0900000000000003E-4</v>
      </c>
      <c r="S895" s="18">
        <v>8.6520000000000014E-2</v>
      </c>
      <c r="T895" s="18">
        <v>0.37080000000000002</v>
      </c>
      <c r="U895" s="18">
        <v>0.18540000000000001</v>
      </c>
      <c r="V895" s="18">
        <v>2.3731200000000001</v>
      </c>
      <c r="W895" s="18">
        <v>2.2248000000000001</v>
      </c>
      <c r="X895" s="18">
        <v>1.4832000000000001</v>
      </c>
      <c r="Y895" s="18">
        <v>6.5920000000000006E-2</v>
      </c>
      <c r="Z895" s="18">
        <v>0.29252</v>
      </c>
      <c r="AA895" s="18">
        <v>0.42848000000000003</v>
      </c>
      <c r="AB895" s="18">
        <v>0.7622000000000001</v>
      </c>
      <c r="AC895" s="18">
        <v>0.23484000000000002</v>
      </c>
      <c r="AD895" s="18">
        <v>1.2360000000000002</v>
      </c>
    </row>
    <row r="896" spans="2:30" x14ac:dyDescent="0.25">
      <c r="B896" t="s">
        <v>269</v>
      </c>
      <c r="C896" t="s">
        <v>463</v>
      </c>
      <c r="D896" t="s">
        <v>748</v>
      </c>
      <c r="E896" s="35">
        <v>0.9</v>
      </c>
      <c r="F896" s="35">
        <v>6.6</v>
      </c>
      <c r="G896" s="36">
        <v>4.1200000000000004E-3</v>
      </c>
      <c r="H896" s="18">
        <v>7.4152979999999999</v>
      </c>
      <c r="I896" s="16" t="s">
        <v>746</v>
      </c>
      <c r="J896" s="16"/>
      <c r="K896" s="16"/>
      <c r="L896" s="37"/>
      <c r="M896" s="37"/>
      <c r="N896" s="37"/>
      <c r="O896" s="37"/>
      <c r="P896" s="37"/>
      <c r="Q896" s="18">
        <v>4.5320000000000006E-2</v>
      </c>
      <c r="R896" s="18">
        <v>3.0900000000000003E-4</v>
      </c>
      <c r="S896" s="18">
        <v>8.6520000000000014E-2</v>
      </c>
      <c r="T896" s="18">
        <v>0.37080000000000002</v>
      </c>
      <c r="U896" s="18">
        <v>0.18540000000000001</v>
      </c>
      <c r="V896" s="18">
        <v>2.3731200000000001</v>
      </c>
      <c r="W896" s="18">
        <v>2.2248000000000001</v>
      </c>
      <c r="X896" s="18">
        <v>1.4832000000000001</v>
      </c>
      <c r="Y896" s="18">
        <v>6.5920000000000006E-2</v>
      </c>
      <c r="Z896" s="18">
        <v>0.29252</v>
      </c>
      <c r="AA896" s="18">
        <v>0.42848000000000003</v>
      </c>
      <c r="AB896" s="18">
        <v>0.7622000000000001</v>
      </c>
      <c r="AC896" s="18">
        <v>0.23484000000000002</v>
      </c>
      <c r="AD896" s="18">
        <v>1.2360000000000002</v>
      </c>
    </row>
    <row r="897" spans="2:30" x14ac:dyDescent="0.25">
      <c r="B897" t="s">
        <v>269</v>
      </c>
      <c r="C897" t="s">
        <v>463</v>
      </c>
      <c r="D897" t="s">
        <v>748</v>
      </c>
      <c r="E897" s="35">
        <v>0.9</v>
      </c>
      <c r="F897" s="35">
        <v>6.6</v>
      </c>
      <c r="G897" s="36">
        <v>4.1200000000000004E-3</v>
      </c>
      <c r="H897" s="18">
        <v>7.4152979999999999</v>
      </c>
      <c r="I897" s="16" t="s">
        <v>746</v>
      </c>
      <c r="J897" s="16"/>
      <c r="K897" s="16"/>
      <c r="L897" s="37"/>
      <c r="M897" s="37"/>
      <c r="N897" s="37"/>
      <c r="O897" s="37"/>
      <c r="P897" s="37"/>
      <c r="Q897" s="18">
        <v>4.5320000000000006E-2</v>
      </c>
      <c r="R897" s="18">
        <v>3.0900000000000003E-4</v>
      </c>
      <c r="S897" s="18">
        <v>8.6520000000000014E-2</v>
      </c>
      <c r="T897" s="18">
        <v>0.37080000000000002</v>
      </c>
      <c r="U897" s="18">
        <v>0.18540000000000001</v>
      </c>
      <c r="V897" s="18">
        <v>2.3731200000000001</v>
      </c>
      <c r="W897" s="18">
        <v>2.2248000000000001</v>
      </c>
      <c r="X897" s="18">
        <v>1.4832000000000001</v>
      </c>
      <c r="Y897" s="18">
        <v>6.5920000000000006E-2</v>
      </c>
      <c r="Z897" s="18">
        <v>0.29252</v>
      </c>
      <c r="AA897" s="18">
        <v>0.42848000000000003</v>
      </c>
      <c r="AB897" s="18">
        <v>0.7622000000000001</v>
      </c>
      <c r="AC897" s="18">
        <v>0.23484000000000002</v>
      </c>
      <c r="AD897" s="18">
        <v>1.2360000000000002</v>
      </c>
    </row>
    <row r="898" spans="2:30" x14ac:dyDescent="0.25">
      <c r="B898" t="s">
        <v>269</v>
      </c>
      <c r="C898" t="s">
        <v>463</v>
      </c>
      <c r="D898" t="s">
        <v>748</v>
      </c>
      <c r="E898" s="35">
        <v>0.9</v>
      </c>
      <c r="F898" s="35">
        <v>6.6</v>
      </c>
      <c r="G898" s="36">
        <v>4.1200000000000004E-3</v>
      </c>
      <c r="H898" s="18">
        <v>7.4152979999999999</v>
      </c>
      <c r="I898" s="16" t="s">
        <v>746</v>
      </c>
      <c r="J898" s="16"/>
      <c r="K898" s="16"/>
      <c r="L898" s="37"/>
      <c r="M898" s="37"/>
      <c r="N898" s="37"/>
      <c r="O898" s="37"/>
      <c r="P898" s="37"/>
      <c r="Q898" s="18">
        <v>4.5320000000000006E-2</v>
      </c>
      <c r="R898" s="18">
        <v>3.0900000000000003E-4</v>
      </c>
      <c r="S898" s="18">
        <v>8.6520000000000014E-2</v>
      </c>
      <c r="T898" s="18">
        <v>0.37080000000000002</v>
      </c>
      <c r="U898" s="18">
        <v>0.18540000000000001</v>
      </c>
      <c r="V898" s="18">
        <v>2.3731200000000001</v>
      </c>
      <c r="W898" s="18">
        <v>2.2248000000000001</v>
      </c>
      <c r="X898" s="18">
        <v>1.4832000000000001</v>
      </c>
      <c r="Y898" s="18">
        <v>6.5920000000000006E-2</v>
      </c>
      <c r="Z898" s="18">
        <v>0.29252</v>
      </c>
      <c r="AA898" s="18">
        <v>0.42848000000000003</v>
      </c>
      <c r="AB898" s="18">
        <v>0.7622000000000001</v>
      </c>
      <c r="AC898" s="18">
        <v>0.23484000000000002</v>
      </c>
      <c r="AD898" s="18">
        <v>1.2360000000000002</v>
      </c>
    </row>
    <row r="899" spans="2:30" x14ac:dyDescent="0.25">
      <c r="B899" t="s">
        <v>269</v>
      </c>
      <c r="C899" t="s">
        <v>463</v>
      </c>
      <c r="D899" t="s">
        <v>748</v>
      </c>
      <c r="E899" s="35">
        <v>0.9</v>
      </c>
      <c r="F899" s="35">
        <v>6.6</v>
      </c>
      <c r="G899" s="36">
        <v>4.1200000000000004E-3</v>
      </c>
      <c r="H899" s="18">
        <v>7.4152979999999999</v>
      </c>
      <c r="I899" s="16" t="s">
        <v>746</v>
      </c>
      <c r="J899" s="16"/>
      <c r="K899" s="16"/>
      <c r="L899" s="37"/>
      <c r="M899" s="37"/>
      <c r="N899" s="37"/>
      <c r="O899" s="37"/>
      <c r="P899" s="37"/>
      <c r="Q899" s="18">
        <v>4.5320000000000006E-2</v>
      </c>
      <c r="R899" s="18">
        <v>3.0900000000000003E-4</v>
      </c>
      <c r="S899" s="18">
        <v>8.6520000000000014E-2</v>
      </c>
      <c r="T899" s="18">
        <v>0.37080000000000002</v>
      </c>
      <c r="U899" s="18">
        <v>0.18540000000000001</v>
      </c>
      <c r="V899" s="18">
        <v>2.3731200000000001</v>
      </c>
      <c r="W899" s="18">
        <v>2.2248000000000001</v>
      </c>
      <c r="X899" s="18">
        <v>1.4832000000000001</v>
      </c>
      <c r="Y899" s="18">
        <v>6.5920000000000006E-2</v>
      </c>
      <c r="Z899" s="18">
        <v>0.29252</v>
      </c>
      <c r="AA899" s="18">
        <v>0.42848000000000003</v>
      </c>
      <c r="AB899" s="18">
        <v>0.7622000000000001</v>
      </c>
      <c r="AC899" s="18">
        <v>0.23484000000000002</v>
      </c>
      <c r="AD899" s="18">
        <v>1.2360000000000002</v>
      </c>
    </row>
    <row r="900" spans="2:30" x14ac:dyDescent="0.25">
      <c r="B900" t="s">
        <v>269</v>
      </c>
      <c r="C900" t="s">
        <v>463</v>
      </c>
      <c r="D900" t="s">
        <v>748</v>
      </c>
      <c r="E900" s="35">
        <v>0.9</v>
      </c>
      <c r="F900" s="35">
        <v>6.6</v>
      </c>
      <c r="G900" s="36">
        <v>4.1200000000000004E-3</v>
      </c>
      <c r="H900" s="18">
        <v>7.4152979999999999</v>
      </c>
      <c r="I900" s="16" t="s">
        <v>746</v>
      </c>
      <c r="J900" s="16"/>
      <c r="K900" s="16"/>
      <c r="L900" s="37"/>
      <c r="M900" s="37"/>
      <c r="N900" s="37"/>
      <c r="O900" s="37"/>
      <c r="P900" s="37"/>
      <c r="Q900" s="18">
        <v>4.5320000000000006E-2</v>
      </c>
      <c r="R900" s="18">
        <v>3.0900000000000003E-4</v>
      </c>
      <c r="S900" s="18">
        <v>8.6520000000000014E-2</v>
      </c>
      <c r="T900" s="18">
        <v>0.37080000000000002</v>
      </c>
      <c r="U900" s="18">
        <v>0.18540000000000001</v>
      </c>
      <c r="V900" s="18">
        <v>2.3731200000000001</v>
      </c>
      <c r="W900" s="18">
        <v>2.2248000000000001</v>
      </c>
      <c r="X900" s="18">
        <v>1.4832000000000001</v>
      </c>
      <c r="Y900" s="18">
        <v>6.5920000000000006E-2</v>
      </c>
      <c r="Z900" s="18">
        <v>0.29252</v>
      </c>
      <c r="AA900" s="18">
        <v>0.42848000000000003</v>
      </c>
      <c r="AB900" s="18">
        <v>0.7622000000000001</v>
      </c>
      <c r="AC900" s="18">
        <v>0.23484000000000002</v>
      </c>
      <c r="AD900" s="18">
        <v>1.2360000000000002</v>
      </c>
    </row>
    <row r="901" spans="2:30" x14ac:dyDescent="0.25">
      <c r="B901" t="s">
        <v>269</v>
      </c>
      <c r="C901" t="s">
        <v>463</v>
      </c>
      <c r="D901" t="s">
        <v>748</v>
      </c>
      <c r="E901" s="35">
        <v>0.9</v>
      </c>
      <c r="F901" s="35">
        <v>6.6</v>
      </c>
      <c r="G901" s="36">
        <v>4.1200000000000004E-3</v>
      </c>
      <c r="H901" s="18">
        <v>7.4152979999999999</v>
      </c>
      <c r="I901" s="16" t="s">
        <v>746</v>
      </c>
      <c r="J901" s="16"/>
      <c r="K901" s="16"/>
      <c r="L901" s="37"/>
      <c r="M901" s="37"/>
      <c r="N901" s="37"/>
      <c r="O901" s="37"/>
      <c r="P901" s="37"/>
      <c r="Q901" s="18">
        <v>4.5320000000000006E-2</v>
      </c>
      <c r="R901" s="18">
        <v>3.0900000000000003E-4</v>
      </c>
      <c r="S901" s="18">
        <v>8.6520000000000014E-2</v>
      </c>
      <c r="T901" s="18">
        <v>0.37080000000000002</v>
      </c>
      <c r="U901" s="18">
        <v>0.18540000000000001</v>
      </c>
      <c r="V901" s="18">
        <v>2.3731200000000001</v>
      </c>
      <c r="W901" s="18">
        <v>2.2248000000000001</v>
      </c>
      <c r="X901" s="18">
        <v>1.4832000000000001</v>
      </c>
      <c r="Y901" s="18">
        <v>6.5920000000000006E-2</v>
      </c>
      <c r="Z901" s="18">
        <v>0.29252</v>
      </c>
      <c r="AA901" s="18">
        <v>0.42848000000000003</v>
      </c>
      <c r="AB901" s="18">
        <v>0.7622000000000001</v>
      </c>
      <c r="AC901" s="18">
        <v>0.23484000000000002</v>
      </c>
      <c r="AD901" s="18">
        <v>1.2360000000000002</v>
      </c>
    </row>
    <row r="902" spans="2:30" x14ac:dyDescent="0.25">
      <c r="B902" t="s">
        <v>269</v>
      </c>
      <c r="C902" t="s">
        <v>463</v>
      </c>
      <c r="D902" t="s">
        <v>748</v>
      </c>
      <c r="E902" s="35">
        <v>0.9</v>
      </c>
      <c r="F902" s="35">
        <v>6.6</v>
      </c>
      <c r="G902" s="36">
        <v>4.1200000000000004E-3</v>
      </c>
      <c r="H902" s="18">
        <v>7.4152979999999999</v>
      </c>
      <c r="I902" s="16" t="s">
        <v>746</v>
      </c>
      <c r="J902" s="16"/>
      <c r="K902" s="16"/>
      <c r="L902" s="37"/>
      <c r="M902" s="37"/>
      <c r="N902" s="37"/>
      <c r="O902" s="37"/>
      <c r="P902" s="37"/>
      <c r="Q902" s="18">
        <v>4.5320000000000006E-2</v>
      </c>
      <c r="R902" s="18">
        <v>3.0900000000000003E-4</v>
      </c>
      <c r="S902" s="18">
        <v>8.6520000000000014E-2</v>
      </c>
      <c r="T902" s="18">
        <v>0.37080000000000002</v>
      </c>
      <c r="U902" s="18">
        <v>0.18540000000000001</v>
      </c>
      <c r="V902" s="18">
        <v>2.3731200000000001</v>
      </c>
      <c r="W902" s="18">
        <v>2.2248000000000001</v>
      </c>
      <c r="X902" s="18">
        <v>1.4832000000000001</v>
      </c>
      <c r="Y902" s="18">
        <v>6.5920000000000006E-2</v>
      </c>
      <c r="Z902" s="18">
        <v>0.29252</v>
      </c>
      <c r="AA902" s="18">
        <v>0.42848000000000003</v>
      </c>
      <c r="AB902" s="18">
        <v>0.7622000000000001</v>
      </c>
      <c r="AC902" s="18">
        <v>0.23484000000000002</v>
      </c>
      <c r="AD902" s="18">
        <v>1.2360000000000002</v>
      </c>
    </row>
    <row r="903" spans="2:30" x14ac:dyDescent="0.25">
      <c r="B903" t="s">
        <v>269</v>
      </c>
      <c r="C903" t="s">
        <v>570</v>
      </c>
      <c r="D903" t="s">
        <v>749</v>
      </c>
      <c r="E903" s="35">
        <v>0.9</v>
      </c>
      <c r="F903" s="35">
        <v>6.6</v>
      </c>
      <c r="G903" s="36">
        <v>3.5699999999999998E-3</v>
      </c>
      <c r="H903" s="18">
        <v>6.4252979999999997</v>
      </c>
      <c r="I903" s="16" t="s">
        <v>746</v>
      </c>
      <c r="J903" s="16"/>
      <c r="K903" s="16"/>
      <c r="L903" s="37"/>
      <c r="M903" s="37"/>
      <c r="N903" s="37"/>
      <c r="O903" s="37"/>
      <c r="P903" s="37"/>
      <c r="Q903" s="18">
        <v>3.9269999999999999E-2</v>
      </c>
      <c r="R903" s="18">
        <v>2.6774999999999998E-4</v>
      </c>
      <c r="S903" s="18">
        <v>7.4969999999999995E-2</v>
      </c>
      <c r="T903" s="18">
        <v>0.32129999999999997</v>
      </c>
      <c r="U903" s="18">
        <v>0.16064999999999999</v>
      </c>
      <c r="V903" s="18">
        <v>2.0563199999999999</v>
      </c>
      <c r="W903" s="18">
        <v>1.9278</v>
      </c>
      <c r="X903" s="18">
        <v>1.2851999999999999</v>
      </c>
      <c r="Y903" s="18">
        <v>5.7119999999999997E-2</v>
      </c>
      <c r="Z903" s="18">
        <v>0.25346999999999997</v>
      </c>
      <c r="AA903" s="18">
        <v>0.37128</v>
      </c>
      <c r="AB903" s="18">
        <v>0.66044999999999998</v>
      </c>
      <c r="AC903" s="18">
        <v>0.20348999999999998</v>
      </c>
      <c r="AD903" s="18">
        <v>1.071</v>
      </c>
    </row>
    <row r="904" spans="2:30" x14ac:dyDescent="0.25">
      <c r="B904" t="s">
        <v>269</v>
      </c>
      <c r="C904" t="s">
        <v>570</v>
      </c>
      <c r="D904" t="s">
        <v>749</v>
      </c>
      <c r="E904" s="35">
        <v>0.9</v>
      </c>
      <c r="F904" s="35">
        <v>6.6</v>
      </c>
      <c r="G904" s="36">
        <v>3.5699999999999998E-3</v>
      </c>
      <c r="H904" s="18">
        <v>6.4252979999999997</v>
      </c>
      <c r="I904" s="16" t="s">
        <v>746</v>
      </c>
      <c r="J904" s="16"/>
      <c r="K904" s="16"/>
      <c r="L904" s="37"/>
      <c r="M904" s="37"/>
      <c r="N904" s="37"/>
      <c r="O904" s="37"/>
      <c r="P904" s="37"/>
      <c r="Q904" s="18">
        <v>3.9269999999999999E-2</v>
      </c>
      <c r="R904" s="18">
        <v>2.6774999999999998E-4</v>
      </c>
      <c r="S904" s="18">
        <v>7.4969999999999995E-2</v>
      </c>
      <c r="T904" s="18">
        <v>0.32129999999999997</v>
      </c>
      <c r="U904" s="18">
        <v>0.16064999999999999</v>
      </c>
      <c r="V904" s="18">
        <v>2.0563199999999999</v>
      </c>
      <c r="W904" s="18">
        <v>1.9278</v>
      </c>
      <c r="X904" s="18">
        <v>1.2851999999999999</v>
      </c>
      <c r="Y904" s="18">
        <v>5.7119999999999997E-2</v>
      </c>
      <c r="Z904" s="18">
        <v>0.25346999999999997</v>
      </c>
      <c r="AA904" s="18">
        <v>0.37128</v>
      </c>
      <c r="AB904" s="18">
        <v>0.66044999999999998</v>
      </c>
      <c r="AC904" s="18">
        <v>0.20348999999999998</v>
      </c>
      <c r="AD904" s="18">
        <v>1.071</v>
      </c>
    </row>
    <row r="905" spans="2:30" x14ac:dyDescent="0.25">
      <c r="B905" t="s">
        <v>269</v>
      </c>
      <c r="C905" t="s">
        <v>570</v>
      </c>
      <c r="D905" t="s">
        <v>748</v>
      </c>
      <c r="E905" s="35">
        <v>0.9</v>
      </c>
      <c r="F905" s="35">
        <v>6.6</v>
      </c>
      <c r="G905" s="36">
        <v>4.1200000000000004E-3</v>
      </c>
      <c r="H905" s="18">
        <v>7.4152979999999999</v>
      </c>
      <c r="I905" s="16" t="s">
        <v>746</v>
      </c>
      <c r="J905" s="16"/>
      <c r="K905" s="16"/>
      <c r="L905" s="37"/>
      <c r="M905" s="37"/>
      <c r="N905" s="37"/>
      <c r="O905" s="37"/>
      <c r="P905" s="37"/>
      <c r="Q905" s="18">
        <v>4.5320000000000006E-2</v>
      </c>
      <c r="R905" s="18">
        <v>3.0900000000000003E-4</v>
      </c>
      <c r="S905" s="18">
        <v>8.6520000000000014E-2</v>
      </c>
      <c r="T905" s="18">
        <v>0.37080000000000002</v>
      </c>
      <c r="U905" s="18">
        <v>0.18540000000000001</v>
      </c>
      <c r="V905" s="18">
        <v>2.3731200000000001</v>
      </c>
      <c r="W905" s="18">
        <v>2.2248000000000001</v>
      </c>
      <c r="X905" s="18">
        <v>1.4832000000000001</v>
      </c>
      <c r="Y905" s="18">
        <v>6.5920000000000006E-2</v>
      </c>
      <c r="Z905" s="18">
        <v>0.29252</v>
      </c>
      <c r="AA905" s="18">
        <v>0.42848000000000003</v>
      </c>
      <c r="AB905" s="18">
        <v>0.7622000000000001</v>
      </c>
      <c r="AC905" s="18">
        <v>0.23484000000000002</v>
      </c>
      <c r="AD905" s="18">
        <v>1.2360000000000002</v>
      </c>
    </row>
    <row r="906" spans="2:30" x14ac:dyDescent="0.25">
      <c r="B906" t="s">
        <v>269</v>
      </c>
      <c r="C906" t="s">
        <v>570</v>
      </c>
      <c r="D906" t="s">
        <v>749</v>
      </c>
      <c r="E906" s="35">
        <v>0.9</v>
      </c>
      <c r="F906" s="35">
        <v>6.6</v>
      </c>
      <c r="G906" s="36">
        <v>3.5699999999999998E-3</v>
      </c>
      <c r="H906" s="18">
        <v>6.4252979999999997</v>
      </c>
      <c r="I906" s="16" t="s">
        <v>746</v>
      </c>
      <c r="J906" s="16"/>
      <c r="K906" s="16"/>
      <c r="L906" s="37"/>
      <c r="M906" s="37"/>
      <c r="N906" s="37"/>
      <c r="O906" s="37"/>
      <c r="P906" s="37"/>
      <c r="Q906" s="18">
        <v>3.9269999999999999E-2</v>
      </c>
      <c r="R906" s="18">
        <v>2.6774999999999998E-4</v>
      </c>
      <c r="S906" s="18">
        <v>7.4969999999999995E-2</v>
      </c>
      <c r="T906" s="18">
        <v>0.32129999999999997</v>
      </c>
      <c r="U906" s="18">
        <v>0.16064999999999999</v>
      </c>
      <c r="V906" s="18">
        <v>2.0563199999999999</v>
      </c>
      <c r="W906" s="18">
        <v>1.9278</v>
      </c>
      <c r="X906" s="18">
        <v>1.2851999999999999</v>
      </c>
      <c r="Y906" s="18">
        <v>5.7119999999999997E-2</v>
      </c>
      <c r="Z906" s="18">
        <v>0.25346999999999997</v>
      </c>
      <c r="AA906" s="18">
        <v>0.37128</v>
      </c>
      <c r="AB906" s="18">
        <v>0.66044999999999998</v>
      </c>
      <c r="AC906" s="18">
        <v>0.20348999999999998</v>
      </c>
      <c r="AD906" s="18">
        <v>1.071</v>
      </c>
    </row>
    <row r="907" spans="2:30" x14ac:dyDescent="0.25">
      <c r="B907" t="s">
        <v>269</v>
      </c>
      <c r="C907" t="s">
        <v>570</v>
      </c>
      <c r="D907" t="s">
        <v>750</v>
      </c>
      <c r="E907" s="35">
        <v>0.9</v>
      </c>
      <c r="F907" s="35">
        <v>6.6</v>
      </c>
      <c r="G907" s="36">
        <v>3.0200000000000001E-3</v>
      </c>
      <c r="H907" s="18">
        <v>5.4352980000000004</v>
      </c>
      <c r="I907" s="16" t="s">
        <v>746</v>
      </c>
      <c r="J907" s="16"/>
      <c r="K907" s="16"/>
      <c r="L907" s="37"/>
      <c r="M907" s="37"/>
      <c r="N907" s="37"/>
      <c r="O907" s="37"/>
      <c r="P907" s="37"/>
      <c r="Q907" s="18">
        <v>3.322E-2</v>
      </c>
      <c r="R907" s="18">
        <v>2.265E-4</v>
      </c>
      <c r="S907" s="18">
        <v>6.3420000000000004E-2</v>
      </c>
      <c r="T907" s="18">
        <v>0.27179999999999999</v>
      </c>
      <c r="U907" s="18">
        <v>0.13589999999999999</v>
      </c>
      <c r="V907" s="18">
        <v>1.7395200000000002</v>
      </c>
      <c r="W907" s="18">
        <v>1.6308</v>
      </c>
      <c r="X907" s="18">
        <v>1.0871999999999999</v>
      </c>
      <c r="Y907" s="18">
        <v>4.8320000000000002E-2</v>
      </c>
      <c r="Z907" s="18">
        <v>0.21442</v>
      </c>
      <c r="AA907" s="18">
        <v>0.31408000000000003</v>
      </c>
      <c r="AB907" s="18">
        <v>0.55869999999999997</v>
      </c>
      <c r="AC907" s="18">
        <v>0.17214000000000002</v>
      </c>
      <c r="AD907" s="18">
        <v>0.90600000000000003</v>
      </c>
    </row>
    <row r="908" spans="2:30" x14ac:dyDescent="0.25">
      <c r="B908" t="s">
        <v>269</v>
      </c>
      <c r="C908" t="s">
        <v>570</v>
      </c>
      <c r="D908" t="s">
        <v>750</v>
      </c>
      <c r="E908" s="35">
        <v>0.9</v>
      </c>
      <c r="F908" s="35">
        <v>6.6</v>
      </c>
      <c r="G908" s="36">
        <v>3.0200000000000001E-3</v>
      </c>
      <c r="H908" s="18">
        <v>5.4352980000000004</v>
      </c>
      <c r="I908" s="16" t="s">
        <v>746</v>
      </c>
      <c r="J908" s="16"/>
      <c r="K908" s="16"/>
      <c r="L908" s="37"/>
      <c r="M908" s="37"/>
      <c r="N908" s="37"/>
      <c r="O908" s="37"/>
      <c r="P908" s="37"/>
      <c r="Q908" s="18">
        <v>3.322E-2</v>
      </c>
      <c r="R908" s="18">
        <v>2.265E-4</v>
      </c>
      <c r="S908" s="18">
        <v>6.3420000000000004E-2</v>
      </c>
      <c r="T908" s="18">
        <v>0.27179999999999999</v>
      </c>
      <c r="U908" s="18">
        <v>0.13589999999999999</v>
      </c>
      <c r="V908" s="18">
        <v>1.7395200000000002</v>
      </c>
      <c r="W908" s="18">
        <v>1.6308</v>
      </c>
      <c r="X908" s="18">
        <v>1.0871999999999999</v>
      </c>
      <c r="Y908" s="18">
        <v>4.8320000000000002E-2</v>
      </c>
      <c r="Z908" s="18">
        <v>0.21442</v>
      </c>
      <c r="AA908" s="18">
        <v>0.31408000000000003</v>
      </c>
      <c r="AB908" s="18">
        <v>0.55869999999999997</v>
      </c>
      <c r="AC908" s="18">
        <v>0.17214000000000002</v>
      </c>
      <c r="AD908" s="18">
        <v>0.90600000000000003</v>
      </c>
    </row>
    <row r="909" spans="2:30" x14ac:dyDescent="0.25">
      <c r="B909" t="s">
        <v>269</v>
      </c>
      <c r="C909" t="s">
        <v>570</v>
      </c>
      <c r="D909" t="s">
        <v>748</v>
      </c>
      <c r="E909" s="35">
        <v>0.9</v>
      </c>
      <c r="F909" s="35">
        <v>6.6</v>
      </c>
      <c r="G909" s="36">
        <v>4.1200000000000004E-3</v>
      </c>
      <c r="H909" s="18">
        <v>7.4152979999999999</v>
      </c>
      <c r="I909" s="16" t="s">
        <v>746</v>
      </c>
      <c r="J909" s="16"/>
      <c r="K909" s="16"/>
      <c r="L909" s="37"/>
      <c r="M909" s="37"/>
      <c r="N909" s="37"/>
      <c r="O909" s="37"/>
      <c r="P909" s="37"/>
      <c r="Q909" s="18">
        <v>4.5320000000000006E-2</v>
      </c>
      <c r="R909" s="18">
        <v>3.0900000000000003E-4</v>
      </c>
      <c r="S909" s="18">
        <v>8.6520000000000014E-2</v>
      </c>
      <c r="T909" s="18">
        <v>0.37080000000000002</v>
      </c>
      <c r="U909" s="18">
        <v>0.18540000000000001</v>
      </c>
      <c r="V909" s="18">
        <v>2.3731200000000001</v>
      </c>
      <c r="W909" s="18">
        <v>2.2248000000000001</v>
      </c>
      <c r="X909" s="18">
        <v>1.4832000000000001</v>
      </c>
      <c r="Y909" s="18">
        <v>6.5920000000000006E-2</v>
      </c>
      <c r="Z909" s="18">
        <v>0.29252</v>
      </c>
      <c r="AA909" s="18">
        <v>0.42848000000000003</v>
      </c>
      <c r="AB909" s="18">
        <v>0.7622000000000001</v>
      </c>
      <c r="AC909" s="18">
        <v>0.23484000000000002</v>
      </c>
      <c r="AD909" s="18">
        <v>1.2360000000000002</v>
      </c>
    </row>
    <row r="910" spans="2:30" x14ac:dyDescent="0.25">
      <c r="B910" t="s">
        <v>269</v>
      </c>
      <c r="C910" t="s">
        <v>570</v>
      </c>
      <c r="D910" t="s">
        <v>750</v>
      </c>
      <c r="E910" s="35">
        <v>0.9</v>
      </c>
      <c r="F910" s="35">
        <v>6.6</v>
      </c>
      <c r="G910" s="36">
        <v>3.0200000000000001E-3</v>
      </c>
      <c r="H910" s="18">
        <v>5.4352980000000004</v>
      </c>
      <c r="I910" s="16" t="s">
        <v>746</v>
      </c>
      <c r="J910" s="16"/>
      <c r="K910" s="16"/>
      <c r="L910" s="37"/>
      <c r="M910" s="37"/>
      <c r="N910" s="37"/>
      <c r="O910" s="37"/>
      <c r="P910" s="37"/>
      <c r="Q910" s="18">
        <v>3.322E-2</v>
      </c>
      <c r="R910" s="18">
        <v>2.265E-4</v>
      </c>
      <c r="S910" s="18">
        <v>6.3420000000000004E-2</v>
      </c>
      <c r="T910" s="18">
        <v>0.27179999999999999</v>
      </c>
      <c r="U910" s="18">
        <v>0.13589999999999999</v>
      </c>
      <c r="V910" s="18">
        <v>1.7395200000000002</v>
      </c>
      <c r="W910" s="18">
        <v>1.6308</v>
      </c>
      <c r="X910" s="18">
        <v>1.0871999999999999</v>
      </c>
      <c r="Y910" s="18">
        <v>4.8320000000000002E-2</v>
      </c>
      <c r="Z910" s="18">
        <v>0.21442</v>
      </c>
      <c r="AA910" s="18">
        <v>0.31408000000000003</v>
      </c>
      <c r="AB910" s="18">
        <v>0.55869999999999997</v>
      </c>
      <c r="AC910" s="18">
        <v>0.17214000000000002</v>
      </c>
      <c r="AD910" s="18">
        <v>0.90600000000000003</v>
      </c>
    </row>
    <row r="911" spans="2:30" x14ac:dyDescent="0.25">
      <c r="B911" t="s">
        <v>269</v>
      </c>
      <c r="C911" t="s">
        <v>570</v>
      </c>
      <c r="D911" t="s">
        <v>750</v>
      </c>
      <c r="E911" s="35">
        <v>0.9</v>
      </c>
      <c r="F911" s="35">
        <v>6.6</v>
      </c>
      <c r="G911" s="36">
        <v>3.0200000000000001E-3</v>
      </c>
      <c r="H911" s="18">
        <v>5.4352980000000004</v>
      </c>
      <c r="I911" s="16" t="s">
        <v>746</v>
      </c>
      <c r="J911" s="16"/>
      <c r="K911" s="16"/>
      <c r="L911" s="37"/>
      <c r="M911" s="37"/>
      <c r="N911" s="37"/>
      <c r="O911" s="37"/>
      <c r="P911" s="37"/>
      <c r="Q911" s="18">
        <v>3.322E-2</v>
      </c>
      <c r="R911" s="18">
        <v>2.265E-4</v>
      </c>
      <c r="S911" s="18">
        <v>6.3420000000000004E-2</v>
      </c>
      <c r="T911" s="18">
        <v>0.27179999999999999</v>
      </c>
      <c r="U911" s="18">
        <v>0.13589999999999999</v>
      </c>
      <c r="V911" s="18">
        <v>1.7395200000000002</v>
      </c>
      <c r="W911" s="18">
        <v>1.6308</v>
      </c>
      <c r="X911" s="18">
        <v>1.0871999999999999</v>
      </c>
      <c r="Y911" s="18">
        <v>4.8320000000000002E-2</v>
      </c>
      <c r="Z911" s="18">
        <v>0.21442</v>
      </c>
      <c r="AA911" s="18">
        <v>0.31408000000000003</v>
      </c>
      <c r="AB911" s="18">
        <v>0.55869999999999997</v>
      </c>
      <c r="AC911" s="18">
        <v>0.17214000000000002</v>
      </c>
      <c r="AD911" s="18">
        <v>0.90600000000000003</v>
      </c>
    </row>
    <row r="912" spans="2:30" x14ac:dyDescent="0.25">
      <c r="B912" t="s">
        <v>269</v>
      </c>
      <c r="C912" t="s">
        <v>570</v>
      </c>
      <c r="D912" t="s">
        <v>747</v>
      </c>
      <c r="E912" s="35">
        <v>0.9</v>
      </c>
      <c r="F912" s="35">
        <v>6.6</v>
      </c>
      <c r="G912" s="36">
        <v>4.9449999999999997E-3</v>
      </c>
      <c r="H912" s="18">
        <v>8.9002979999999994</v>
      </c>
      <c r="I912" s="16" t="s">
        <v>746</v>
      </c>
      <c r="J912" s="16"/>
      <c r="K912" s="16"/>
      <c r="L912" s="37"/>
      <c r="M912" s="37"/>
      <c r="N912" s="37"/>
      <c r="O912" s="37"/>
      <c r="P912" s="37"/>
      <c r="Q912" s="18">
        <v>5.4394999999999999E-2</v>
      </c>
      <c r="R912" s="18">
        <v>3.7087499999999995E-4</v>
      </c>
      <c r="S912" s="18">
        <v>0.10384499999999999</v>
      </c>
      <c r="T912" s="18">
        <v>0.44505</v>
      </c>
      <c r="U912" s="18">
        <v>0.222525</v>
      </c>
      <c r="V912" s="18">
        <v>2.8483199999999997</v>
      </c>
      <c r="W912" s="18">
        <v>2.6702999999999997</v>
      </c>
      <c r="X912" s="18">
        <v>1.7802</v>
      </c>
      <c r="Y912" s="18">
        <v>7.9119999999999996E-2</v>
      </c>
      <c r="Z912" s="18">
        <v>0.35109499999999999</v>
      </c>
      <c r="AA912" s="18">
        <v>0.51427999999999996</v>
      </c>
      <c r="AB912" s="18">
        <v>0.914825</v>
      </c>
      <c r="AC912" s="18">
        <v>0.28186499999999998</v>
      </c>
      <c r="AD912" s="18">
        <v>1.4834999999999998</v>
      </c>
    </row>
    <row r="913" spans="2:30" x14ac:dyDescent="0.25">
      <c r="B913" t="s">
        <v>269</v>
      </c>
      <c r="C913" t="s">
        <v>570</v>
      </c>
      <c r="D913" t="s">
        <v>748</v>
      </c>
      <c r="E913" s="35">
        <v>0.9</v>
      </c>
      <c r="F913" s="35">
        <v>6.6</v>
      </c>
      <c r="G913" s="36">
        <v>4.1200000000000004E-3</v>
      </c>
      <c r="H913" s="18">
        <v>7.4152979999999999</v>
      </c>
      <c r="I913" s="16" t="s">
        <v>746</v>
      </c>
      <c r="J913" s="16"/>
      <c r="K913" s="16"/>
      <c r="L913" s="37"/>
      <c r="M913" s="37"/>
      <c r="N913" s="37"/>
      <c r="O913" s="37"/>
      <c r="P913" s="37"/>
      <c r="Q913" s="18">
        <v>4.5320000000000006E-2</v>
      </c>
      <c r="R913" s="18">
        <v>3.0900000000000003E-4</v>
      </c>
      <c r="S913" s="18">
        <v>8.6520000000000014E-2</v>
      </c>
      <c r="T913" s="18">
        <v>0.37080000000000002</v>
      </c>
      <c r="U913" s="18">
        <v>0.18540000000000001</v>
      </c>
      <c r="V913" s="18">
        <v>2.3731200000000001</v>
      </c>
      <c r="W913" s="18">
        <v>2.2248000000000001</v>
      </c>
      <c r="X913" s="18">
        <v>1.4832000000000001</v>
      </c>
      <c r="Y913" s="18">
        <v>6.5920000000000006E-2</v>
      </c>
      <c r="Z913" s="18">
        <v>0.29252</v>
      </c>
      <c r="AA913" s="18">
        <v>0.42848000000000003</v>
      </c>
      <c r="AB913" s="18">
        <v>0.7622000000000001</v>
      </c>
      <c r="AC913" s="18">
        <v>0.23484000000000002</v>
      </c>
      <c r="AD913" s="18">
        <v>1.2360000000000002</v>
      </c>
    </row>
    <row r="914" spans="2:30" x14ac:dyDescent="0.25">
      <c r="B914" t="s">
        <v>269</v>
      </c>
      <c r="C914" t="s">
        <v>570</v>
      </c>
      <c r="D914" t="s">
        <v>747</v>
      </c>
      <c r="E914" s="35">
        <v>0.9</v>
      </c>
      <c r="F914" s="35">
        <v>6.6</v>
      </c>
      <c r="G914" s="36">
        <v>4.9449999999999997E-3</v>
      </c>
      <c r="H914" s="18">
        <v>8.9002979999999994</v>
      </c>
      <c r="I914" s="16" t="s">
        <v>746</v>
      </c>
      <c r="J914" s="16"/>
      <c r="K914" s="16"/>
      <c r="L914" s="37"/>
      <c r="M914" s="37"/>
      <c r="N914" s="37"/>
      <c r="O914" s="37"/>
      <c r="P914" s="37"/>
      <c r="Q914" s="18">
        <v>5.4394999999999999E-2</v>
      </c>
      <c r="R914" s="18">
        <v>3.7087499999999995E-4</v>
      </c>
      <c r="S914" s="18">
        <v>0.10384499999999999</v>
      </c>
      <c r="T914" s="18">
        <v>0.44505</v>
      </c>
      <c r="U914" s="18">
        <v>0.222525</v>
      </c>
      <c r="V914" s="18">
        <v>2.8483199999999997</v>
      </c>
      <c r="W914" s="18">
        <v>2.6702999999999997</v>
      </c>
      <c r="X914" s="18">
        <v>1.7802</v>
      </c>
      <c r="Y914" s="18">
        <v>7.9119999999999996E-2</v>
      </c>
      <c r="Z914" s="18">
        <v>0.35109499999999999</v>
      </c>
      <c r="AA914" s="18">
        <v>0.51427999999999996</v>
      </c>
      <c r="AB914" s="18">
        <v>0.914825</v>
      </c>
      <c r="AC914" s="18">
        <v>0.28186499999999998</v>
      </c>
      <c r="AD914" s="18">
        <v>1.4834999999999998</v>
      </c>
    </row>
    <row r="915" spans="2:30" x14ac:dyDescent="0.25">
      <c r="B915" t="s">
        <v>269</v>
      </c>
      <c r="C915" t="s">
        <v>570</v>
      </c>
      <c r="D915" t="s">
        <v>748</v>
      </c>
      <c r="E915" s="35">
        <v>0.9</v>
      </c>
      <c r="F915" s="35">
        <v>6.6</v>
      </c>
      <c r="G915" s="36">
        <v>4.1200000000000004E-3</v>
      </c>
      <c r="H915" s="18">
        <v>7.4152979999999999</v>
      </c>
      <c r="I915" s="16" t="s">
        <v>746</v>
      </c>
      <c r="J915" s="16"/>
      <c r="K915" s="16"/>
      <c r="L915" s="37"/>
      <c r="M915" s="37"/>
      <c r="N915" s="37"/>
      <c r="O915" s="37"/>
      <c r="P915" s="37"/>
      <c r="Q915" s="18">
        <v>4.5320000000000006E-2</v>
      </c>
      <c r="R915" s="18">
        <v>3.0900000000000003E-4</v>
      </c>
      <c r="S915" s="18">
        <v>8.6520000000000014E-2</v>
      </c>
      <c r="T915" s="18">
        <v>0.37080000000000002</v>
      </c>
      <c r="U915" s="18">
        <v>0.18540000000000001</v>
      </c>
      <c r="V915" s="18">
        <v>2.3731200000000001</v>
      </c>
      <c r="W915" s="18">
        <v>2.2248000000000001</v>
      </c>
      <c r="X915" s="18">
        <v>1.4832000000000001</v>
      </c>
      <c r="Y915" s="18">
        <v>6.5920000000000006E-2</v>
      </c>
      <c r="Z915" s="18">
        <v>0.29252</v>
      </c>
      <c r="AA915" s="18">
        <v>0.42848000000000003</v>
      </c>
      <c r="AB915" s="18">
        <v>0.7622000000000001</v>
      </c>
      <c r="AC915" s="18">
        <v>0.23484000000000002</v>
      </c>
      <c r="AD915" s="18">
        <v>1.2360000000000002</v>
      </c>
    </row>
    <row r="916" spans="2:30" x14ac:dyDescent="0.25">
      <c r="B916" t="s">
        <v>269</v>
      </c>
      <c r="C916" t="s">
        <v>570</v>
      </c>
      <c r="D916" t="s">
        <v>753</v>
      </c>
      <c r="E916" s="35">
        <v>0.9</v>
      </c>
      <c r="F916" s="35">
        <v>6.6</v>
      </c>
      <c r="G916" s="36">
        <v>5.77E-3</v>
      </c>
      <c r="H916" s="18">
        <v>10.385298000000001</v>
      </c>
      <c r="I916" s="16" t="s">
        <v>746</v>
      </c>
      <c r="J916" s="16"/>
      <c r="K916" s="16"/>
      <c r="L916" s="37"/>
      <c r="M916" s="37"/>
      <c r="N916" s="37"/>
      <c r="O916" s="37"/>
      <c r="P916" s="37"/>
      <c r="Q916" s="18">
        <v>6.3469999999999999E-2</v>
      </c>
      <c r="R916" s="18">
        <v>4.3274999999999997E-4</v>
      </c>
      <c r="S916" s="18">
        <v>0.12117</v>
      </c>
      <c r="T916" s="18">
        <v>0.51929999999999998</v>
      </c>
      <c r="U916" s="18">
        <v>0.25964999999999999</v>
      </c>
      <c r="V916" s="18">
        <v>3.3235199999999998</v>
      </c>
      <c r="W916" s="18">
        <v>3.1158000000000001</v>
      </c>
      <c r="X916" s="18">
        <v>2.0771999999999999</v>
      </c>
      <c r="Y916" s="18">
        <v>9.2319999999999999E-2</v>
      </c>
      <c r="Z916" s="18">
        <v>0.40966999999999998</v>
      </c>
      <c r="AA916" s="18">
        <v>0.60007999999999995</v>
      </c>
      <c r="AB916" s="18">
        <v>1.06745</v>
      </c>
      <c r="AC916" s="18">
        <v>0.32889000000000002</v>
      </c>
      <c r="AD916" s="18">
        <v>1.7310000000000001</v>
      </c>
    </row>
    <row r="917" spans="2:30" x14ac:dyDescent="0.25">
      <c r="B917" t="s">
        <v>269</v>
      </c>
      <c r="C917" t="s">
        <v>570</v>
      </c>
      <c r="D917" t="s">
        <v>748</v>
      </c>
      <c r="E917" s="35">
        <v>0.9</v>
      </c>
      <c r="F917" s="35">
        <v>6.6</v>
      </c>
      <c r="G917" s="36">
        <v>4.1200000000000004E-3</v>
      </c>
      <c r="H917" s="18">
        <v>7.4152979999999999</v>
      </c>
      <c r="I917" s="16" t="s">
        <v>746</v>
      </c>
      <c r="J917" s="16"/>
      <c r="K917" s="16"/>
      <c r="L917" s="37"/>
      <c r="M917" s="37"/>
      <c r="N917" s="37"/>
      <c r="O917" s="37"/>
      <c r="P917" s="37"/>
      <c r="Q917" s="18">
        <v>4.5320000000000006E-2</v>
      </c>
      <c r="R917" s="18">
        <v>3.0900000000000003E-4</v>
      </c>
      <c r="S917" s="18">
        <v>8.6520000000000014E-2</v>
      </c>
      <c r="T917" s="18">
        <v>0.37080000000000002</v>
      </c>
      <c r="U917" s="18">
        <v>0.18540000000000001</v>
      </c>
      <c r="V917" s="18">
        <v>2.3731200000000001</v>
      </c>
      <c r="W917" s="18">
        <v>2.2248000000000001</v>
      </c>
      <c r="X917" s="18">
        <v>1.4832000000000001</v>
      </c>
      <c r="Y917" s="18">
        <v>6.5920000000000006E-2</v>
      </c>
      <c r="Z917" s="18">
        <v>0.29252</v>
      </c>
      <c r="AA917" s="18">
        <v>0.42848000000000003</v>
      </c>
      <c r="AB917" s="18">
        <v>0.7622000000000001</v>
      </c>
      <c r="AC917" s="18">
        <v>0.23484000000000002</v>
      </c>
      <c r="AD917" s="18">
        <v>1.2360000000000002</v>
      </c>
    </row>
    <row r="918" spans="2:30" x14ac:dyDescent="0.25">
      <c r="B918" t="s">
        <v>269</v>
      </c>
      <c r="C918" t="s">
        <v>570</v>
      </c>
      <c r="D918" t="s">
        <v>749</v>
      </c>
      <c r="E918" s="35">
        <v>0.9</v>
      </c>
      <c r="F918" s="35">
        <v>6.6</v>
      </c>
      <c r="G918" s="36">
        <v>3.5699999999999998E-3</v>
      </c>
      <c r="H918" s="18">
        <v>6.4252979999999997</v>
      </c>
      <c r="I918" s="16" t="s">
        <v>746</v>
      </c>
      <c r="J918" s="16"/>
      <c r="K918" s="16"/>
      <c r="L918" s="37"/>
      <c r="M918" s="37"/>
      <c r="N918" s="37"/>
      <c r="O918" s="37"/>
      <c r="P918" s="37"/>
      <c r="Q918" s="18">
        <v>3.9269999999999999E-2</v>
      </c>
      <c r="R918" s="18">
        <v>2.6774999999999998E-4</v>
      </c>
      <c r="S918" s="18">
        <v>7.4969999999999995E-2</v>
      </c>
      <c r="T918" s="18">
        <v>0.32129999999999997</v>
      </c>
      <c r="U918" s="18">
        <v>0.16064999999999999</v>
      </c>
      <c r="V918" s="18">
        <v>2.0563199999999999</v>
      </c>
      <c r="W918" s="18">
        <v>1.9278</v>
      </c>
      <c r="X918" s="18">
        <v>1.2851999999999999</v>
      </c>
      <c r="Y918" s="18">
        <v>5.7119999999999997E-2</v>
      </c>
      <c r="Z918" s="18">
        <v>0.25346999999999997</v>
      </c>
      <c r="AA918" s="18">
        <v>0.37128</v>
      </c>
      <c r="AB918" s="18">
        <v>0.66044999999999998</v>
      </c>
      <c r="AC918" s="18">
        <v>0.20348999999999998</v>
      </c>
      <c r="AD918" s="18">
        <v>1.071</v>
      </c>
    </row>
    <row r="919" spans="2:30" x14ac:dyDescent="0.25">
      <c r="B919" t="s">
        <v>269</v>
      </c>
      <c r="C919" t="s">
        <v>570</v>
      </c>
      <c r="D919" t="s">
        <v>750</v>
      </c>
      <c r="E919" s="35">
        <v>0.9</v>
      </c>
      <c r="F919" s="35">
        <v>6.6</v>
      </c>
      <c r="G919" s="36">
        <v>3.0200000000000001E-3</v>
      </c>
      <c r="H919" s="18">
        <v>5.4352980000000004</v>
      </c>
      <c r="I919" s="16" t="s">
        <v>746</v>
      </c>
      <c r="J919" s="16"/>
      <c r="K919" s="16"/>
      <c r="L919" s="37"/>
      <c r="M919" s="37"/>
      <c r="N919" s="37"/>
      <c r="O919" s="37"/>
      <c r="P919" s="37"/>
      <c r="Q919" s="18">
        <v>3.322E-2</v>
      </c>
      <c r="R919" s="18">
        <v>2.265E-4</v>
      </c>
      <c r="S919" s="18">
        <v>6.3420000000000004E-2</v>
      </c>
      <c r="T919" s="18">
        <v>0.27179999999999999</v>
      </c>
      <c r="U919" s="18">
        <v>0.13589999999999999</v>
      </c>
      <c r="V919" s="18">
        <v>1.7395200000000002</v>
      </c>
      <c r="W919" s="18">
        <v>1.6308</v>
      </c>
      <c r="X919" s="18">
        <v>1.0871999999999999</v>
      </c>
      <c r="Y919" s="18">
        <v>4.8320000000000002E-2</v>
      </c>
      <c r="Z919" s="18">
        <v>0.21442</v>
      </c>
      <c r="AA919" s="18">
        <v>0.31408000000000003</v>
      </c>
      <c r="AB919" s="18">
        <v>0.55869999999999997</v>
      </c>
      <c r="AC919" s="18">
        <v>0.17214000000000002</v>
      </c>
      <c r="AD919" s="18">
        <v>0.90600000000000003</v>
      </c>
    </row>
    <row r="920" spans="2:30" x14ac:dyDescent="0.25">
      <c r="B920" t="s">
        <v>269</v>
      </c>
      <c r="C920" t="s">
        <v>570</v>
      </c>
      <c r="D920" t="s">
        <v>750</v>
      </c>
      <c r="E920" s="35">
        <v>0.9</v>
      </c>
      <c r="F920" s="35">
        <v>6.6</v>
      </c>
      <c r="G920" s="36">
        <v>3.0200000000000001E-3</v>
      </c>
      <c r="H920" s="18">
        <v>5.4352980000000004</v>
      </c>
      <c r="I920" s="16" t="s">
        <v>746</v>
      </c>
      <c r="J920" s="16"/>
      <c r="K920" s="16"/>
      <c r="L920" s="37"/>
      <c r="M920" s="37"/>
      <c r="N920" s="37"/>
      <c r="O920" s="37"/>
      <c r="P920" s="37"/>
      <c r="Q920" s="18">
        <v>3.322E-2</v>
      </c>
      <c r="R920" s="18">
        <v>2.265E-4</v>
      </c>
      <c r="S920" s="18">
        <v>6.3420000000000004E-2</v>
      </c>
      <c r="T920" s="18">
        <v>0.27179999999999999</v>
      </c>
      <c r="U920" s="18">
        <v>0.13589999999999999</v>
      </c>
      <c r="V920" s="18">
        <v>1.7395200000000002</v>
      </c>
      <c r="W920" s="18">
        <v>1.6308</v>
      </c>
      <c r="X920" s="18">
        <v>1.0871999999999999</v>
      </c>
      <c r="Y920" s="18">
        <v>4.8320000000000002E-2</v>
      </c>
      <c r="Z920" s="18">
        <v>0.21442</v>
      </c>
      <c r="AA920" s="18">
        <v>0.31408000000000003</v>
      </c>
      <c r="AB920" s="18">
        <v>0.55869999999999997</v>
      </c>
      <c r="AC920" s="18">
        <v>0.17214000000000002</v>
      </c>
      <c r="AD920" s="18">
        <v>0.90600000000000003</v>
      </c>
    </row>
    <row r="921" spans="2:30" x14ac:dyDescent="0.25">
      <c r="B921" t="s">
        <v>269</v>
      </c>
      <c r="C921" t="s">
        <v>570</v>
      </c>
      <c r="D921" t="s">
        <v>747</v>
      </c>
      <c r="E921" s="35">
        <v>0.9</v>
      </c>
      <c r="F921" s="35">
        <v>6.6</v>
      </c>
      <c r="G921" s="36">
        <v>4.9449999999999997E-3</v>
      </c>
      <c r="H921" s="18">
        <v>8.9002979999999994</v>
      </c>
      <c r="I921" s="16" t="s">
        <v>746</v>
      </c>
      <c r="J921" s="16"/>
      <c r="K921" s="16"/>
      <c r="L921" s="37"/>
      <c r="M921" s="37"/>
      <c r="N921" s="37"/>
      <c r="O921" s="37"/>
      <c r="P921" s="37"/>
      <c r="Q921" s="18">
        <v>5.4394999999999999E-2</v>
      </c>
      <c r="R921" s="18">
        <v>3.7087499999999995E-4</v>
      </c>
      <c r="S921" s="18">
        <v>0.10384499999999999</v>
      </c>
      <c r="T921" s="18">
        <v>0.44505</v>
      </c>
      <c r="U921" s="18">
        <v>0.222525</v>
      </c>
      <c r="V921" s="18">
        <v>2.8483199999999997</v>
      </c>
      <c r="W921" s="18">
        <v>2.6702999999999997</v>
      </c>
      <c r="X921" s="18">
        <v>1.7802</v>
      </c>
      <c r="Y921" s="18">
        <v>7.9119999999999996E-2</v>
      </c>
      <c r="Z921" s="18">
        <v>0.35109499999999999</v>
      </c>
      <c r="AA921" s="18">
        <v>0.51427999999999996</v>
      </c>
      <c r="AB921" s="18">
        <v>0.914825</v>
      </c>
      <c r="AC921" s="18">
        <v>0.28186499999999998</v>
      </c>
      <c r="AD921" s="18">
        <v>1.4834999999999998</v>
      </c>
    </row>
    <row r="922" spans="2:30" x14ac:dyDescent="0.25">
      <c r="B922" t="s">
        <v>269</v>
      </c>
      <c r="C922" t="s">
        <v>570</v>
      </c>
      <c r="D922" t="s">
        <v>747</v>
      </c>
      <c r="E922" s="35">
        <v>0.9</v>
      </c>
      <c r="F922" s="35">
        <v>6.6</v>
      </c>
      <c r="G922" s="36">
        <v>4.9449999999999997E-3</v>
      </c>
      <c r="H922" s="18">
        <v>8.9002979999999994</v>
      </c>
      <c r="I922" s="16" t="s">
        <v>746</v>
      </c>
      <c r="J922" s="16"/>
      <c r="K922" s="16"/>
      <c r="L922" s="37"/>
      <c r="M922" s="37"/>
      <c r="N922" s="37"/>
      <c r="O922" s="37"/>
      <c r="P922" s="37"/>
      <c r="Q922" s="18">
        <v>5.4394999999999999E-2</v>
      </c>
      <c r="R922" s="18">
        <v>3.7087499999999995E-4</v>
      </c>
      <c r="S922" s="18">
        <v>0.10384499999999999</v>
      </c>
      <c r="T922" s="18">
        <v>0.44505</v>
      </c>
      <c r="U922" s="18">
        <v>0.222525</v>
      </c>
      <c r="V922" s="18">
        <v>2.8483199999999997</v>
      </c>
      <c r="W922" s="18">
        <v>2.6702999999999997</v>
      </c>
      <c r="X922" s="18">
        <v>1.7802</v>
      </c>
      <c r="Y922" s="18">
        <v>7.9119999999999996E-2</v>
      </c>
      <c r="Z922" s="18">
        <v>0.35109499999999999</v>
      </c>
      <c r="AA922" s="18">
        <v>0.51427999999999996</v>
      </c>
      <c r="AB922" s="18">
        <v>0.914825</v>
      </c>
      <c r="AC922" s="18">
        <v>0.28186499999999998</v>
      </c>
      <c r="AD922" s="18">
        <v>1.4834999999999998</v>
      </c>
    </row>
    <row r="923" spans="2:30" x14ac:dyDescent="0.25">
      <c r="B923" t="s">
        <v>269</v>
      </c>
      <c r="C923" t="s">
        <v>570</v>
      </c>
      <c r="D923" t="s">
        <v>753</v>
      </c>
      <c r="E923" s="35">
        <v>0.9</v>
      </c>
      <c r="F923" s="35">
        <v>6.6</v>
      </c>
      <c r="G923" s="36">
        <v>5.77E-3</v>
      </c>
      <c r="H923" s="18">
        <v>10.385298000000001</v>
      </c>
      <c r="I923" s="16" t="s">
        <v>746</v>
      </c>
      <c r="J923" s="16"/>
      <c r="K923" s="16"/>
      <c r="L923" s="37"/>
      <c r="M923" s="37"/>
      <c r="N923" s="37"/>
      <c r="O923" s="37"/>
      <c r="P923" s="37"/>
      <c r="Q923" s="18">
        <v>6.3469999999999999E-2</v>
      </c>
      <c r="R923" s="18">
        <v>4.3274999999999997E-4</v>
      </c>
      <c r="S923" s="18">
        <v>0.12117</v>
      </c>
      <c r="T923" s="18">
        <v>0.51929999999999998</v>
      </c>
      <c r="U923" s="18">
        <v>0.25964999999999999</v>
      </c>
      <c r="V923" s="18">
        <v>3.3235199999999998</v>
      </c>
      <c r="W923" s="18">
        <v>3.1158000000000001</v>
      </c>
      <c r="X923" s="18">
        <v>2.0771999999999999</v>
      </c>
      <c r="Y923" s="18">
        <v>9.2319999999999999E-2</v>
      </c>
      <c r="Z923" s="18">
        <v>0.40966999999999998</v>
      </c>
      <c r="AA923" s="18">
        <v>0.60007999999999995</v>
      </c>
      <c r="AB923" s="18">
        <v>1.06745</v>
      </c>
      <c r="AC923" s="18">
        <v>0.32889000000000002</v>
      </c>
      <c r="AD923" s="18">
        <v>1.7310000000000001</v>
      </c>
    </row>
    <row r="924" spans="2:30" x14ac:dyDescent="0.25">
      <c r="B924" t="s">
        <v>269</v>
      </c>
      <c r="C924" t="s">
        <v>570</v>
      </c>
      <c r="D924" t="s">
        <v>748</v>
      </c>
      <c r="E924" s="35">
        <v>0.9</v>
      </c>
      <c r="F924" s="35">
        <v>6.6</v>
      </c>
      <c r="G924" s="36">
        <v>4.1200000000000004E-3</v>
      </c>
      <c r="H924" s="18">
        <v>7.4152979999999999</v>
      </c>
      <c r="I924" s="16" t="s">
        <v>746</v>
      </c>
      <c r="J924" s="16"/>
      <c r="K924" s="16"/>
      <c r="L924" s="37"/>
      <c r="M924" s="37"/>
      <c r="N924" s="37"/>
      <c r="O924" s="37"/>
      <c r="P924" s="37"/>
      <c r="Q924" s="18">
        <v>4.5320000000000006E-2</v>
      </c>
      <c r="R924" s="18">
        <v>3.0900000000000003E-4</v>
      </c>
      <c r="S924" s="18">
        <v>8.6520000000000014E-2</v>
      </c>
      <c r="T924" s="18">
        <v>0.37080000000000002</v>
      </c>
      <c r="U924" s="18">
        <v>0.18540000000000001</v>
      </c>
      <c r="V924" s="18">
        <v>2.3731200000000001</v>
      </c>
      <c r="W924" s="18">
        <v>2.2248000000000001</v>
      </c>
      <c r="X924" s="18">
        <v>1.4832000000000001</v>
      </c>
      <c r="Y924" s="18">
        <v>6.5920000000000006E-2</v>
      </c>
      <c r="Z924" s="18">
        <v>0.29252</v>
      </c>
      <c r="AA924" s="18">
        <v>0.42848000000000003</v>
      </c>
      <c r="AB924" s="18">
        <v>0.7622000000000001</v>
      </c>
      <c r="AC924" s="18">
        <v>0.23484000000000002</v>
      </c>
      <c r="AD924" s="18">
        <v>1.2360000000000002</v>
      </c>
    </row>
    <row r="925" spans="2:30" x14ac:dyDescent="0.25">
      <c r="B925" t="s">
        <v>269</v>
      </c>
      <c r="C925" t="s">
        <v>570</v>
      </c>
      <c r="D925" t="s">
        <v>749</v>
      </c>
      <c r="E925" s="35">
        <v>0.9</v>
      </c>
      <c r="F925" s="35">
        <v>6.6</v>
      </c>
      <c r="G925" s="36">
        <v>3.5699999999999998E-3</v>
      </c>
      <c r="H925" s="18">
        <v>6.4252979999999997</v>
      </c>
      <c r="I925" s="16" t="s">
        <v>746</v>
      </c>
      <c r="J925" s="16"/>
      <c r="K925" s="16"/>
      <c r="L925" s="37"/>
      <c r="M925" s="37"/>
      <c r="N925" s="37"/>
      <c r="O925" s="37"/>
      <c r="P925" s="37"/>
      <c r="Q925" s="18">
        <v>3.9269999999999999E-2</v>
      </c>
      <c r="R925" s="18">
        <v>2.6774999999999998E-4</v>
      </c>
      <c r="S925" s="18">
        <v>7.4969999999999995E-2</v>
      </c>
      <c r="T925" s="18">
        <v>0.32129999999999997</v>
      </c>
      <c r="U925" s="18">
        <v>0.16064999999999999</v>
      </c>
      <c r="V925" s="18">
        <v>2.0563199999999999</v>
      </c>
      <c r="W925" s="18">
        <v>1.9278</v>
      </c>
      <c r="X925" s="18">
        <v>1.2851999999999999</v>
      </c>
      <c r="Y925" s="18">
        <v>5.7119999999999997E-2</v>
      </c>
      <c r="Z925" s="18">
        <v>0.25346999999999997</v>
      </c>
      <c r="AA925" s="18">
        <v>0.37128</v>
      </c>
      <c r="AB925" s="18">
        <v>0.66044999999999998</v>
      </c>
      <c r="AC925" s="18">
        <v>0.20348999999999998</v>
      </c>
      <c r="AD925" s="18">
        <v>1.071</v>
      </c>
    </row>
    <row r="926" spans="2:30" x14ac:dyDescent="0.25">
      <c r="B926" t="s">
        <v>269</v>
      </c>
      <c r="C926" t="s">
        <v>570</v>
      </c>
      <c r="D926" t="s">
        <v>749</v>
      </c>
      <c r="E926" s="35">
        <v>0.9</v>
      </c>
      <c r="F926" s="35">
        <v>6.6</v>
      </c>
      <c r="G926" s="36">
        <v>3.5699999999999998E-3</v>
      </c>
      <c r="H926" s="18">
        <v>6.4252979999999997</v>
      </c>
      <c r="I926" s="16" t="s">
        <v>746</v>
      </c>
      <c r="J926" s="16"/>
      <c r="K926" s="16"/>
      <c r="L926" s="37"/>
      <c r="M926" s="37"/>
      <c r="N926" s="37"/>
      <c r="O926" s="37"/>
      <c r="P926" s="37"/>
      <c r="Q926" s="18">
        <v>3.9269999999999999E-2</v>
      </c>
      <c r="R926" s="18">
        <v>2.6774999999999998E-4</v>
      </c>
      <c r="S926" s="18">
        <v>7.4969999999999995E-2</v>
      </c>
      <c r="T926" s="18">
        <v>0.32129999999999997</v>
      </c>
      <c r="U926" s="18">
        <v>0.16064999999999999</v>
      </c>
      <c r="V926" s="18">
        <v>2.0563199999999999</v>
      </c>
      <c r="W926" s="18">
        <v>1.9278</v>
      </c>
      <c r="X926" s="18">
        <v>1.2851999999999999</v>
      </c>
      <c r="Y926" s="18">
        <v>5.7119999999999997E-2</v>
      </c>
      <c r="Z926" s="18">
        <v>0.25346999999999997</v>
      </c>
      <c r="AA926" s="18">
        <v>0.37128</v>
      </c>
      <c r="AB926" s="18">
        <v>0.66044999999999998</v>
      </c>
      <c r="AC926" s="18">
        <v>0.20348999999999998</v>
      </c>
      <c r="AD926" s="18">
        <v>1.071</v>
      </c>
    </row>
    <row r="927" spans="2:30" x14ac:dyDescent="0.25">
      <c r="B927" t="s">
        <v>269</v>
      </c>
      <c r="C927" t="s">
        <v>570</v>
      </c>
      <c r="D927" t="s">
        <v>750</v>
      </c>
      <c r="E927" s="35">
        <v>0.9</v>
      </c>
      <c r="F927" s="35">
        <v>6.6</v>
      </c>
      <c r="G927" s="36">
        <v>3.0200000000000001E-3</v>
      </c>
      <c r="H927" s="18">
        <v>5.4352980000000004</v>
      </c>
      <c r="I927" s="16" t="s">
        <v>746</v>
      </c>
      <c r="J927" s="16"/>
      <c r="K927" s="16"/>
      <c r="L927" s="37"/>
      <c r="M927" s="37"/>
      <c r="N927" s="37"/>
      <c r="O927" s="37"/>
      <c r="P927" s="37"/>
      <c r="Q927" s="18">
        <v>3.322E-2</v>
      </c>
      <c r="R927" s="18">
        <v>2.265E-4</v>
      </c>
      <c r="S927" s="18">
        <v>6.3420000000000004E-2</v>
      </c>
      <c r="T927" s="18">
        <v>0.27179999999999999</v>
      </c>
      <c r="U927" s="18">
        <v>0.13589999999999999</v>
      </c>
      <c r="V927" s="18">
        <v>1.7395200000000002</v>
      </c>
      <c r="W927" s="18">
        <v>1.6308</v>
      </c>
      <c r="X927" s="18">
        <v>1.0871999999999999</v>
      </c>
      <c r="Y927" s="18">
        <v>4.8320000000000002E-2</v>
      </c>
      <c r="Z927" s="18">
        <v>0.21442</v>
      </c>
      <c r="AA927" s="18">
        <v>0.31408000000000003</v>
      </c>
      <c r="AB927" s="18">
        <v>0.55869999999999997</v>
      </c>
      <c r="AC927" s="18">
        <v>0.17214000000000002</v>
      </c>
      <c r="AD927" s="18">
        <v>0.90600000000000003</v>
      </c>
    </row>
    <row r="928" spans="2:30" x14ac:dyDescent="0.25">
      <c r="B928" t="s">
        <v>269</v>
      </c>
      <c r="C928" t="s">
        <v>570</v>
      </c>
      <c r="D928" t="s">
        <v>749</v>
      </c>
      <c r="E928" s="35">
        <v>0.9</v>
      </c>
      <c r="F928" s="35">
        <v>6.6</v>
      </c>
      <c r="G928" s="36">
        <v>3.5699999999999998E-3</v>
      </c>
      <c r="H928" s="18">
        <v>6.4252979999999997</v>
      </c>
      <c r="I928" s="16" t="s">
        <v>746</v>
      </c>
      <c r="J928" s="16"/>
      <c r="K928" s="16"/>
      <c r="L928" s="37"/>
      <c r="M928" s="37"/>
      <c r="N928" s="37"/>
      <c r="O928" s="37"/>
      <c r="P928" s="37"/>
      <c r="Q928" s="18">
        <v>3.9269999999999999E-2</v>
      </c>
      <c r="R928" s="18">
        <v>2.6774999999999998E-4</v>
      </c>
      <c r="S928" s="18">
        <v>7.4969999999999995E-2</v>
      </c>
      <c r="T928" s="18">
        <v>0.32129999999999997</v>
      </c>
      <c r="U928" s="18">
        <v>0.16064999999999999</v>
      </c>
      <c r="V928" s="18">
        <v>2.0563199999999999</v>
      </c>
      <c r="W928" s="18">
        <v>1.9278</v>
      </c>
      <c r="X928" s="18">
        <v>1.2851999999999999</v>
      </c>
      <c r="Y928" s="18">
        <v>5.7119999999999997E-2</v>
      </c>
      <c r="Z928" s="18">
        <v>0.25346999999999997</v>
      </c>
      <c r="AA928" s="18">
        <v>0.37128</v>
      </c>
      <c r="AB928" s="18">
        <v>0.66044999999999998</v>
      </c>
      <c r="AC928" s="18">
        <v>0.20348999999999998</v>
      </c>
      <c r="AD928" s="18">
        <v>1.071</v>
      </c>
    </row>
    <row r="929" spans="2:30" x14ac:dyDescent="0.25">
      <c r="B929" t="s">
        <v>269</v>
      </c>
      <c r="C929" t="s">
        <v>570</v>
      </c>
      <c r="D929" t="s">
        <v>750</v>
      </c>
      <c r="E929" s="35">
        <v>0.9</v>
      </c>
      <c r="F929" s="35">
        <v>6.6</v>
      </c>
      <c r="G929" s="36">
        <v>3.0200000000000001E-3</v>
      </c>
      <c r="H929" s="18">
        <v>5.4352980000000004</v>
      </c>
      <c r="I929" s="16" t="s">
        <v>746</v>
      </c>
      <c r="J929" s="16"/>
      <c r="K929" s="16"/>
      <c r="L929" s="37"/>
      <c r="M929" s="37"/>
      <c r="N929" s="37"/>
      <c r="O929" s="37"/>
      <c r="P929" s="37"/>
      <c r="Q929" s="18">
        <v>3.322E-2</v>
      </c>
      <c r="R929" s="18">
        <v>2.265E-4</v>
      </c>
      <c r="S929" s="18">
        <v>6.3420000000000004E-2</v>
      </c>
      <c r="T929" s="18">
        <v>0.27179999999999999</v>
      </c>
      <c r="U929" s="18">
        <v>0.13589999999999999</v>
      </c>
      <c r="V929" s="18">
        <v>1.7395200000000002</v>
      </c>
      <c r="W929" s="18">
        <v>1.6308</v>
      </c>
      <c r="X929" s="18">
        <v>1.0871999999999999</v>
      </c>
      <c r="Y929" s="18">
        <v>4.8320000000000002E-2</v>
      </c>
      <c r="Z929" s="18">
        <v>0.21442</v>
      </c>
      <c r="AA929" s="18">
        <v>0.31408000000000003</v>
      </c>
      <c r="AB929" s="18">
        <v>0.55869999999999997</v>
      </c>
      <c r="AC929" s="18">
        <v>0.17214000000000002</v>
      </c>
      <c r="AD929" s="18">
        <v>0.90600000000000003</v>
      </c>
    </row>
    <row r="930" spans="2:30" x14ac:dyDescent="0.25">
      <c r="B930" t="s">
        <v>269</v>
      </c>
      <c r="C930" t="s">
        <v>570</v>
      </c>
      <c r="D930" t="s">
        <v>749</v>
      </c>
      <c r="E930" s="35">
        <v>0.9</v>
      </c>
      <c r="F930" s="35">
        <v>6.6</v>
      </c>
      <c r="G930" s="36">
        <v>3.5699999999999998E-3</v>
      </c>
      <c r="H930" s="18">
        <v>6.4252979999999997</v>
      </c>
      <c r="I930" s="16" t="s">
        <v>746</v>
      </c>
      <c r="J930" s="16"/>
      <c r="K930" s="16"/>
      <c r="L930" s="37"/>
      <c r="M930" s="37"/>
      <c r="N930" s="37"/>
      <c r="O930" s="37"/>
      <c r="P930" s="37"/>
      <c r="Q930" s="18">
        <v>3.9269999999999999E-2</v>
      </c>
      <c r="R930" s="18">
        <v>2.6774999999999998E-4</v>
      </c>
      <c r="S930" s="18">
        <v>7.4969999999999995E-2</v>
      </c>
      <c r="T930" s="18">
        <v>0.32129999999999997</v>
      </c>
      <c r="U930" s="18">
        <v>0.16064999999999999</v>
      </c>
      <c r="V930" s="18">
        <v>2.0563199999999999</v>
      </c>
      <c r="W930" s="18">
        <v>1.9278</v>
      </c>
      <c r="X930" s="18">
        <v>1.2851999999999999</v>
      </c>
      <c r="Y930" s="18">
        <v>5.7119999999999997E-2</v>
      </c>
      <c r="Z930" s="18">
        <v>0.25346999999999997</v>
      </c>
      <c r="AA930" s="18">
        <v>0.37128</v>
      </c>
      <c r="AB930" s="18">
        <v>0.66044999999999998</v>
      </c>
      <c r="AC930" s="18">
        <v>0.20348999999999998</v>
      </c>
      <c r="AD930" s="18">
        <v>1.071</v>
      </c>
    </row>
    <row r="931" spans="2:30" x14ac:dyDescent="0.25">
      <c r="B931" t="s">
        <v>269</v>
      </c>
      <c r="C931" t="s">
        <v>570</v>
      </c>
      <c r="D931" t="s">
        <v>749</v>
      </c>
      <c r="E931" s="35">
        <v>0.9</v>
      </c>
      <c r="F931" s="35">
        <v>6.6</v>
      </c>
      <c r="G931" s="36">
        <v>3.5699999999999998E-3</v>
      </c>
      <c r="H931" s="18">
        <v>6.4252979999999997</v>
      </c>
      <c r="I931" s="16" t="s">
        <v>746</v>
      </c>
      <c r="J931" s="16"/>
      <c r="K931" s="16"/>
      <c r="L931" s="37"/>
      <c r="M931" s="37"/>
      <c r="N931" s="37"/>
      <c r="O931" s="37"/>
      <c r="P931" s="37"/>
      <c r="Q931" s="18">
        <v>3.9269999999999999E-2</v>
      </c>
      <c r="R931" s="18">
        <v>2.6774999999999998E-4</v>
      </c>
      <c r="S931" s="18">
        <v>7.4969999999999995E-2</v>
      </c>
      <c r="T931" s="18">
        <v>0.32129999999999997</v>
      </c>
      <c r="U931" s="18">
        <v>0.16064999999999999</v>
      </c>
      <c r="V931" s="18">
        <v>2.0563199999999999</v>
      </c>
      <c r="W931" s="18">
        <v>1.9278</v>
      </c>
      <c r="X931" s="18">
        <v>1.2851999999999999</v>
      </c>
      <c r="Y931" s="18">
        <v>5.7119999999999997E-2</v>
      </c>
      <c r="Z931" s="18">
        <v>0.25346999999999997</v>
      </c>
      <c r="AA931" s="18">
        <v>0.37128</v>
      </c>
      <c r="AB931" s="18">
        <v>0.66044999999999998</v>
      </c>
      <c r="AC931" s="18">
        <v>0.20348999999999998</v>
      </c>
      <c r="AD931" s="18">
        <v>1.071</v>
      </c>
    </row>
    <row r="932" spans="2:30" x14ac:dyDescent="0.25">
      <c r="B932" t="s">
        <v>269</v>
      </c>
      <c r="C932" t="s">
        <v>570</v>
      </c>
      <c r="D932" t="s">
        <v>747</v>
      </c>
      <c r="E932" s="35">
        <v>0.9</v>
      </c>
      <c r="F932" s="35">
        <v>6.6</v>
      </c>
      <c r="G932" s="36">
        <v>4.9449999999999997E-3</v>
      </c>
      <c r="H932" s="18">
        <v>8.9002979999999994</v>
      </c>
      <c r="I932" s="16" t="s">
        <v>746</v>
      </c>
      <c r="J932" s="16"/>
      <c r="K932" s="16"/>
      <c r="L932" s="37"/>
      <c r="M932" s="37"/>
      <c r="N932" s="37"/>
      <c r="O932" s="37"/>
      <c r="P932" s="37"/>
      <c r="Q932" s="18">
        <v>5.4394999999999999E-2</v>
      </c>
      <c r="R932" s="18">
        <v>3.7087499999999995E-4</v>
      </c>
      <c r="S932" s="18">
        <v>0.10384499999999999</v>
      </c>
      <c r="T932" s="18">
        <v>0.44505</v>
      </c>
      <c r="U932" s="18">
        <v>0.222525</v>
      </c>
      <c r="V932" s="18">
        <v>2.8483199999999997</v>
      </c>
      <c r="W932" s="18">
        <v>2.6702999999999997</v>
      </c>
      <c r="X932" s="18">
        <v>1.7802</v>
      </c>
      <c r="Y932" s="18">
        <v>7.9119999999999996E-2</v>
      </c>
      <c r="Z932" s="18">
        <v>0.35109499999999999</v>
      </c>
      <c r="AA932" s="18">
        <v>0.51427999999999996</v>
      </c>
      <c r="AB932" s="18">
        <v>0.914825</v>
      </c>
      <c r="AC932" s="18">
        <v>0.28186499999999998</v>
      </c>
      <c r="AD932" s="18">
        <v>1.4834999999999998</v>
      </c>
    </row>
    <row r="933" spans="2:30" x14ac:dyDescent="0.25">
      <c r="B933" t="s">
        <v>269</v>
      </c>
      <c r="C933" t="s">
        <v>570</v>
      </c>
      <c r="D933" t="s">
        <v>747</v>
      </c>
      <c r="E933" s="35">
        <v>0.9</v>
      </c>
      <c r="F933" s="35">
        <v>6.6</v>
      </c>
      <c r="G933" s="36">
        <v>4.9449999999999997E-3</v>
      </c>
      <c r="H933" s="18">
        <v>8.9002979999999994</v>
      </c>
      <c r="I933" s="16" t="s">
        <v>746</v>
      </c>
      <c r="J933" s="16"/>
      <c r="K933" s="16"/>
      <c r="L933" s="37"/>
      <c r="M933" s="37"/>
      <c r="N933" s="37"/>
      <c r="O933" s="37"/>
      <c r="P933" s="37"/>
      <c r="Q933" s="18">
        <v>5.4394999999999999E-2</v>
      </c>
      <c r="R933" s="18">
        <v>3.7087499999999995E-4</v>
      </c>
      <c r="S933" s="18">
        <v>0.10384499999999999</v>
      </c>
      <c r="T933" s="18">
        <v>0.44505</v>
      </c>
      <c r="U933" s="18">
        <v>0.222525</v>
      </c>
      <c r="V933" s="18">
        <v>2.8483199999999997</v>
      </c>
      <c r="W933" s="18">
        <v>2.6702999999999997</v>
      </c>
      <c r="X933" s="18">
        <v>1.7802</v>
      </c>
      <c r="Y933" s="18">
        <v>7.9119999999999996E-2</v>
      </c>
      <c r="Z933" s="18">
        <v>0.35109499999999999</v>
      </c>
      <c r="AA933" s="18">
        <v>0.51427999999999996</v>
      </c>
      <c r="AB933" s="18">
        <v>0.914825</v>
      </c>
      <c r="AC933" s="18">
        <v>0.28186499999999998</v>
      </c>
      <c r="AD933" s="18">
        <v>1.4834999999999998</v>
      </c>
    </row>
    <row r="934" spans="2:30" x14ac:dyDescent="0.25">
      <c r="B934" t="s">
        <v>269</v>
      </c>
      <c r="C934" t="s">
        <v>570</v>
      </c>
      <c r="D934" t="s">
        <v>748</v>
      </c>
      <c r="E934" s="35">
        <v>0.9</v>
      </c>
      <c r="F934" s="35">
        <v>6.6</v>
      </c>
      <c r="G934" s="36">
        <v>4.1200000000000004E-3</v>
      </c>
      <c r="H934" s="18">
        <v>7.4152979999999999</v>
      </c>
      <c r="I934" s="16" t="s">
        <v>746</v>
      </c>
      <c r="J934" s="16"/>
      <c r="K934" s="16"/>
      <c r="L934" s="37"/>
      <c r="M934" s="37"/>
      <c r="N934" s="37"/>
      <c r="O934" s="37"/>
      <c r="P934" s="37"/>
      <c r="Q934" s="18">
        <v>4.5320000000000006E-2</v>
      </c>
      <c r="R934" s="18">
        <v>3.0900000000000003E-4</v>
      </c>
      <c r="S934" s="18">
        <v>8.6520000000000014E-2</v>
      </c>
      <c r="T934" s="18">
        <v>0.37080000000000002</v>
      </c>
      <c r="U934" s="18">
        <v>0.18540000000000001</v>
      </c>
      <c r="V934" s="18">
        <v>2.3731200000000001</v>
      </c>
      <c r="W934" s="18">
        <v>2.2248000000000001</v>
      </c>
      <c r="X934" s="18">
        <v>1.4832000000000001</v>
      </c>
      <c r="Y934" s="18">
        <v>6.5920000000000006E-2</v>
      </c>
      <c r="Z934" s="18">
        <v>0.29252</v>
      </c>
      <c r="AA934" s="18">
        <v>0.42848000000000003</v>
      </c>
      <c r="AB934" s="18">
        <v>0.7622000000000001</v>
      </c>
      <c r="AC934" s="18">
        <v>0.23484000000000002</v>
      </c>
      <c r="AD934" s="18">
        <v>1.2360000000000002</v>
      </c>
    </row>
    <row r="935" spans="2:30" x14ac:dyDescent="0.25">
      <c r="B935" t="s">
        <v>269</v>
      </c>
      <c r="C935" t="s">
        <v>570</v>
      </c>
      <c r="D935" t="s">
        <v>748</v>
      </c>
      <c r="E935" s="35">
        <v>0.9</v>
      </c>
      <c r="F935" s="35">
        <v>6.6</v>
      </c>
      <c r="G935" s="36">
        <v>4.1200000000000004E-3</v>
      </c>
      <c r="H935" s="18">
        <v>7.4152979999999999</v>
      </c>
      <c r="I935" s="16" t="s">
        <v>746</v>
      </c>
      <c r="J935" s="16"/>
      <c r="K935" s="16"/>
      <c r="L935" s="37"/>
      <c r="M935" s="37"/>
      <c r="N935" s="37"/>
      <c r="O935" s="37"/>
      <c r="P935" s="37"/>
      <c r="Q935" s="18">
        <v>4.5320000000000006E-2</v>
      </c>
      <c r="R935" s="18">
        <v>3.0900000000000003E-4</v>
      </c>
      <c r="S935" s="18">
        <v>8.6520000000000014E-2</v>
      </c>
      <c r="T935" s="18">
        <v>0.37080000000000002</v>
      </c>
      <c r="U935" s="18">
        <v>0.18540000000000001</v>
      </c>
      <c r="V935" s="18">
        <v>2.3731200000000001</v>
      </c>
      <c r="W935" s="18">
        <v>2.2248000000000001</v>
      </c>
      <c r="X935" s="18">
        <v>1.4832000000000001</v>
      </c>
      <c r="Y935" s="18">
        <v>6.5920000000000006E-2</v>
      </c>
      <c r="Z935" s="18">
        <v>0.29252</v>
      </c>
      <c r="AA935" s="18">
        <v>0.42848000000000003</v>
      </c>
      <c r="AB935" s="18">
        <v>0.7622000000000001</v>
      </c>
      <c r="AC935" s="18">
        <v>0.23484000000000002</v>
      </c>
      <c r="AD935" s="18">
        <v>1.2360000000000002</v>
      </c>
    </row>
    <row r="936" spans="2:30" x14ac:dyDescent="0.25">
      <c r="B936" t="s">
        <v>269</v>
      </c>
      <c r="C936" t="s">
        <v>570</v>
      </c>
      <c r="D936" t="s">
        <v>747</v>
      </c>
      <c r="E936" s="35">
        <v>0.9</v>
      </c>
      <c r="F936" s="35">
        <v>6.6</v>
      </c>
      <c r="G936" s="36">
        <v>4.9449999999999997E-3</v>
      </c>
      <c r="H936" s="18">
        <v>8.9002979999999994</v>
      </c>
      <c r="I936" s="16" t="s">
        <v>746</v>
      </c>
      <c r="J936" s="16"/>
      <c r="K936" s="16"/>
      <c r="L936" s="37"/>
      <c r="M936" s="37"/>
      <c r="N936" s="37"/>
      <c r="O936" s="37"/>
      <c r="P936" s="37"/>
      <c r="Q936" s="18">
        <v>5.4394999999999999E-2</v>
      </c>
      <c r="R936" s="18">
        <v>3.7087499999999995E-4</v>
      </c>
      <c r="S936" s="18">
        <v>0.10384499999999999</v>
      </c>
      <c r="T936" s="18">
        <v>0.44505</v>
      </c>
      <c r="U936" s="18">
        <v>0.222525</v>
      </c>
      <c r="V936" s="18">
        <v>2.8483199999999997</v>
      </c>
      <c r="W936" s="18">
        <v>2.6702999999999997</v>
      </c>
      <c r="X936" s="18">
        <v>1.7802</v>
      </c>
      <c r="Y936" s="18">
        <v>7.9119999999999996E-2</v>
      </c>
      <c r="Z936" s="18">
        <v>0.35109499999999999</v>
      </c>
      <c r="AA936" s="18">
        <v>0.51427999999999996</v>
      </c>
      <c r="AB936" s="18">
        <v>0.914825</v>
      </c>
      <c r="AC936" s="18">
        <v>0.28186499999999998</v>
      </c>
      <c r="AD936" s="18">
        <v>1.4834999999999998</v>
      </c>
    </row>
    <row r="937" spans="2:30" x14ac:dyDescent="0.25">
      <c r="B937" t="s">
        <v>269</v>
      </c>
      <c r="C937" t="s">
        <v>570</v>
      </c>
      <c r="D937" t="s">
        <v>748</v>
      </c>
      <c r="E937" s="35">
        <v>0.9</v>
      </c>
      <c r="F937" s="35">
        <v>6.6</v>
      </c>
      <c r="G937" s="36">
        <v>4.1200000000000004E-3</v>
      </c>
      <c r="H937" s="18">
        <v>7.4152979999999999</v>
      </c>
      <c r="I937" s="16" t="s">
        <v>746</v>
      </c>
      <c r="J937" s="16"/>
      <c r="K937" s="16"/>
      <c r="L937" s="37"/>
      <c r="M937" s="37"/>
      <c r="N937" s="37"/>
      <c r="O937" s="37"/>
      <c r="P937" s="37"/>
      <c r="Q937" s="18">
        <v>4.5320000000000006E-2</v>
      </c>
      <c r="R937" s="18">
        <v>3.0900000000000003E-4</v>
      </c>
      <c r="S937" s="18">
        <v>8.6520000000000014E-2</v>
      </c>
      <c r="T937" s="18">
        <v>0.37080000000000002</v>
      </c>
      <c r="U937" s="18">
        <v>0.18540000000000001</v>
      </c>
      <c r="V937" s="18">
        <v>2.3731200000000001</v>
      </c>
      <c r="W937" s="18">
        <v>2.2248000000000001</v>
      </c>
      <c r="X937" s="18">
        <v>1.4832000000000001</v>
      </c>
      <c r="Y937" s="18">
        <v>6.5920000000000006E-2</v>
      </c>
      <c r="Z937" s="18">
        <v>0.29252</v>
      </c>
      <c r="AA937" s="18">
        <v>0.42848000000000003</v>
      </c>
      <c r="AB937" s="18">
        <v>0.7622000000000001</v>
      </c>
      <c r="AC937" s="18">
        <v>0.23484000000000002</v>
      </c>
      <c r="AD937" s="18">
        <v>1.2360000000000002</v>
      </c>
    </row>
    <row r="938" spans="2:30" x14ac:dyDescent="0.25">
      <c r="B938" t="s">
        <v>269</v>
      </c>
      <c r="C938" t="s">
        <v>570</v>
      </c>
      <c r="D938" t="s">
        <v>748</v>
      </c>
      <c r="E938" s="35">
        <v>0.9</v>
      </c>
      <c r="F938" s="35">
        <v>6.6</v>
      </c>
      <c r="G938" s="36">
        <v>4.1200000000000004E-3</v>
      </c>
      <c r="H938" s="18">
        <v>7.4152979999999999</v>
      </c>
      <c r="I938" s="16" t="s">
        <v>746</v>
      </c>
      <c r="J938" s="16"/>
      <c r="K938" s="16"/>
      <c r="L938" s="37"/>
      <c r="M938" s="37"/>
      <c r="N938" s="37"/>
      <c r="O938" s="37"/>
      <c r="P938" s="37"/>
      <c r="Q938" s="18">
        <v>4.5320000000000006E-2</v>
      </c>
      <c r="R938" s="18">
        <v>3.0900000000000003E-4</v>
      </c>
      <c r="S938" s="18">
        <v>8.6520000000000014E-2</v>
      </c>
      <c r="T938" s="18">
        <v>0.37080000000000002</v>
      </c>
      <c r="U938" s="18">
        <v>0.18540000000000001</v>
      </c>
      <c r="V938" s="18">
        <v>2.3731200000000001</v>
      </c>
      <c r="W938" s="18">
        <v>2.2248000000000001</v>
      </c>
      <c r="X938" s="18">
        <v>1.4832000000000001</v>
      </c>
      <c r="Y938" s="18">
        <v>6.5920000000000006E-2</v>
      </c>
      <c r="Z938" s="18">
        <v>0.29252</v>
      </c>
      <c r="AA938" s="18">
        <v>0.42848000000000003</v>
      </c>
      <c r="AB938" s="18">
        <v>0.7622000000000001</v>
      </c>
      <c r="AC938" s="18">
        <v>0.23484000000000002</v>
      </c>
      <c r="AD938" s="18">
        <v>1.2360000000000002</v>
      </c>
    </row>
    <row r="939" spans="2:30" x14ac:dyDescent="0.25">
      <c r="B939" t="s">
        <v>269</v>
      </c>
      <c r="C939" t="s">
        <v>570</v>
      </c>
      <c r="D939" t="s">
        <v>747</v>
      </c>
      <c r="E939" s="35">
        <v>0.9</v>
      </c>
      <c r="F939" s="35">
        <v>6.6</v>
      </c>
      <c r="G939" s="36">
        <v>4.9449999999999997E-3</v>
      </c>
      <c r="H939" s="18">
        <v>8.9002979999999994</v>
      </c>
      <c r="I939" s="16" t="s">
        <v>746</v>
      </c>
      <c r="J939" s="16"/>
      <c r="K939" s="16"/>
      <c r="L939" s="37"/>
      <c r="M939" s="37"/>
      <c r="N939" s="37"/>
      <c r="O939" s="37"/>
      <c r="P939" s="37"/>
      <c r="Q939" s="18">
        <v>5.4394999999999999E-2</v>
      </c>
      <c r="R939" s="18">
        <v>3.7087499999999995E-4</v>
      </c>
      <c r="S939" s="18">
        <v>0.10384499999999999</v>
      </c>
      <c r="T939" s="18">
        <v>0.44505</v>
      </c>
      <c r="U939" s="18">
        <v>0.222525</v>
      </c>
      <c r="V939" s="18">
        <v>2.8483199999999997</v>
      </c>
      <c r="W939" s="18">
        <v>2.6702999999999997</v>
      </c>
      <c r="X939" s="18">
        <v>1.7802</v>
      </c>
      <c r="Y939" s="18">
        <v>7.9119999999999996E-2</v>
      </c>
      <c r="Z939" s="18">
        <v>0.35109499999999999</v>
      </c>
      <c r="AA939" s="18">
        <v>0.51427999999999996</v>
      </c>
      <c r="AB939" s="18">
        <v>0.914825</v>
      </c>
      <c r="AC939" s="18">
        <v>0.28186499999999998</v>
      </c>
      <c r="AD939" s="18">
        <v>1.4834999999999998</v>
      </c>
    </row>
    <row r="940" spans="2:30" x14ac:dyDescent="0.25">
      <c r="B940" t="s">
        <v>269</v>
      </c>
      <c r="C940" t="s">
        <v>570</v>
      </c>
      <c r="D940" t="s">
        <v>747</v>
      </c>
      <c r="E940" s="35">
        <v>0.9</v>
      </c>
      <c r="F940" s="35">
        <v>6.6</v>
      </c>
      <c r="G940" s="36">
        <v>4.9449999999999997E-3</v>
      </c>
      <c r="H940" s="18">
        <v>8.9002979999999994</v>
      </c>
      <c r="I940" s="16" t="s">
        <v>746</v>
      </c>
      <c r="J940" s="16"/>
      <c r="K940" s="16"/>
      <c r="L940" s="37"/>
      <c r="M940" s="37"/>
      <c r="N940" s="37"/>
      <c r="O940" s="37"/>
      <c r="P940" s="37"/>
      <c r="Q940" s="18">
        <v>5.4394999999999999E-2</v>
      </c>
      <c r="R940" s="18">
        <v>3.7087499999999995E-4</v>
      </c>
      <c r="S940" s="18">
        <v>0.10384499999999999</v>
      </c>
      <c r="T940" s="18">
        <v>0.44505</v>
      </c>
      <c r="U940" s="18">
        <v>0.222525</v>
      </c>
      <c r="V940" s="18">
        <v>2.8483199999999997</v>
      </c>
      <c r="W940" s="18">
        <v>2.6702999999999997</v>
      </c>
      <c r="X940" s="18">
        <v>1.7802</v>
      </c>
      <c r="Y940" s="18">
        <v>7.9119999999999996E-2</v>
      </c>
      <c r="Z940" s="18">
        <v>0.35109499999999999</v>
      </c>
      <c r="AA940" s="18">
        <v>0.51427999999999996</v>
      </c>
      <c r="AB940" s="18">
        <v>0.914825</v>
      </c>
      <c r="AC940" s="18">
        <v>0.28186499999999998</v>
      </c>
      <c r="AD940" s="18">
        <v>1.4834999999999998</v>
      </c>
    </row>
    <row r="941" spans="2:30" x14ac:dyDescent="0.25">
      <c r="B941" t="s">
        <v>269</v>
      </c>
      <c r="C941" t="s">
        <v>570</v>
      </c>
      <c r="D941" t="s">
        <v>748</v>
      </c>
      <c r="E941" s="35">
        <v>0.9</v>
      </c>
      <c r="F941" s="35">
        <v>6.6</v>
      </c>
      <c r="G941" s="36">
        <v>4.1200000000000004E-3</v>
      </c>
      <c r="H941" s="18">
        <v>7.4152979999999999</v>
      </c>
      <c r="I941" s="16" t="s">
        <v>746</v>
      </c>
      <c r="J941" s="16"/>
      <c r="K941" s="16"/>
      <c r="L941" s="37"/>
      <c r="M941" s="37"/>
      <c r="N941" s="37"/>
      <c r="O941" s="37"/>
      <c r="P941" s="37"/>
      <c r="Q941" s="18">
        <v>4.5320000000000006E-2</v>
      </c>
      <c r="R941" s="18">
        <v>3.0900000000000003E-4</v>
      </c>
      <c r="S941" s="18">
        <v>8.6520000000000014E-2</v>
      </c>
      <c r="T941" s="18">
        <v>0.37080000000000002</v>
      </c>
      <c r="U941" s="18">
        <v>0.18540000000000001</v>
      </c>
      <c r="V941" s="18">
        <v>2.3731200000000001</v>
      </c>
      <c r="W941" s="18">
        <v>2.2248000000000001</v>
      </c>
      <c r="X941" s="18">
        <v>1.4832000000000001</v>
      </c>
      <c r="Y941" s="18">
        <v>6.5920000000000006E-2</v>
      </c>
      <c r="Z941" s="18">
        <v>0.29252</v>
      </c>
      <c r="AA941" s="18">
        <v>0.42848000000000003</v>
      </c>
      <c r="AB941" s="18">
        <v>0.7622000000000001</v>
      </c>
      <c r="AC941" s="18">
        <v>0.23484000000000002</v>
      </c>
      <c r="AD941" s="18">
        <v>1.2360000000000002</v>
      </c>
    </row>
    <row r="942" spans="2:30" x14ac:dyDescent="0.25">
      <c r="B942" t="s">
        <v>269</v>
      </c>
      <c r="C942" t="s">
        <v>570</v>
      </c>
      <c r="D942" t="s">
        <v>747</v>
      </c>
      <c r="E942" s="35">
        <v>0.9</v>
      </c>
      <c r="F942" s="35">
        <v>6.6</v>
      </c>
      <c r="G942" s="36">
        <v>4.9449999999999997E-3</v>
      </c>
      <c r="H942" s="18">
        <v>8.9002979999999994</v>
      </c>
      <c r="I942" s="16" t="s">
        <v>746</v>
      </c>
      <c r="J942" s="16"/>
      <c r="K942" s="16"/>
      <c r="L942" s="37"/>
      <c r="M942" s="37"/>
      <c r="N942" s="37"/>
      <c r="O942" s="37"/>
      <c r="P942" s="37"/>
      <c r="Q942" s="18">
        <v>5.4394999999999999E-2</v>
      </c>
      <c r="R942" s="18">
        <v>3.7087499999999995E-4</v>
      </c>
      <c r="S942" s="18">
        <v>0.10384499999999999</v>
      </c>
      <c r="T942" s="18">
        <v>0.44505</v>
      </c>
      <c r="U942" s="18">
        <v>0.222525</v>
      </c>
      <c r="V942" s="18">
        <v>2.8483199999999997</v>
      </c>
      <c r="W942" s="18">
        <v>2.6702999999999997</v>
      </c>
      <c r="X942" s="18">
        <v>1.7802</v>
      </c>
      <c r="Y942" s="18">
        <v>7.9119999999999996E-2</v>
      </c>
      <c r="Z942" s="18">
        <v>0.35109499999999999</v>
      </c>
      <c r="AA942" s="18">
        <v>0.51427999999999996</v>
      </c>
      <c r="AB942" s="18">
        <v>0.914825</v>
      </c>
      <c r="AC942" s="18">
        <v>0.28186499999999998</v>
      </c>
      <c r="AD942" s="18">
        <v>1.4834999999999998</v>
      </c>
    </row>
    <row r="943" spans="2:30" x14ac:dyDescent="0.25">
      <c r="B943" t="s">
        <v>269</v>
      </c>
      <c r="C943" t="s">
        <v>570</v>
      </c>
      <c r="D943" t="s">
        <v>748</v>
      </c>
      <c r="E943" s="35">
        <v>0.9</v>
      </c>
      <c r="F943" s="35">
        <v>6.6</v>
      </c>
      <c r="G943" s="36">
        <v>4.1200000000000004E-3</v>
      </c>
      <c r="H943" s="18">
        <v>7.4152979999999999</v>
      </c>
      <c r="I943" s="16" t="s">
        <v>746</v>
      </c>
      <c r="J943" s="16"/>
      <c r="K943" s="16"/>
      <c r="L943" s="37"/>
      <c r="M943" s="37"/>
      <c r="N943" s="37"/>
      <c r="O943" s="37"/>
      <c r="P943" s="37"/>
      <c r="Q943" s="18">
        <v>4.5320000000000006E-2</v>
      </c>
      <c r="R943" s="18">
        <v>3.0900000000000003E-4</v>
      </c>
      <c r="S943" s="18">
        <v>8.6520000000000014E-2</v>
      </c>
      <c r="T943" s="18">
        <v>0.37080000000000002</v>
      </c>
      <c r="U943" s="18">
        <v>0.18540000000000001</v>
      </c>
      <c r="V943" s="18">
        <v>2.3731200000000001</v>
      </c>
      <c r="W943" s="18">
        <v>2.2248000000000001</v>
      </c>
      <c r="X943" s="18">
        <v>1.4832000000000001</v>
      </c>
      <c r="Y943" s="18">
        <v>6.5920000000000006E-2</v>
      </c>
      <c r="Z943" s="18">
        <v>0.29252</v>
      </c>
      <c r="AA943" s="18">
        <v>0.42848000000000003</v>
      </c>
      <c r="AB943" s="18">
        <v>0.7622000000000001</v>
      </c>
      <c r="AC943" s="18">
        <v>0.23484000000000002</v>
      </c>
      <c r="AD943" s="18">
        <v>1.2360000000000002</v>
      </c>
    </row>
    <row r="944" spans="2:30" x14ac:dyDescent="0.25">
      <c r="B944" t="s">
        <v>269</v>
      </c>
      <c r="C944" t="s">
        <v>570</v>
      </c>
      <c r="D944" t="s">
        <v>747</v>
      </c>
      <c r="E944" s="35">
        <v>0.9</v>
      </c>
      <c r="F944" s="35">
        <v>6.6</v>
      </c>
      <c r="G944" s="36">
        <v>4.9449999999999997E-3</v>
      </c>
      <c r="H944" s="18">
        <v>8.9002979999999994</v>
      </c>
      <c r="I944" s="16" t="s">
        <v>746</v>
      </c>
      <c r="J944" s="16"/>
      <c r="K944" s="16"/>
      <c r="L944" s="37"/>
      <c r="M944" s="37"/>
      <c r="N944" s="37"/>
      <c r="O944" s="37"/>
      <c r="P944" s="37"/>
      <c r="Q944" s="18">
        <v>5.4394999999999999E-2</v>
      </c>
      <c r="R944" s="18">
        <v>3.7087499999999995E-4</v>
      </c>
      <c r="S944" s="18">
        <v>0.10384499999999999</v>
      </c>
      <c r="T944" s="18">
        <v>0.44505</v>
      </c>
      <c r="U944" s="18">
        <v>0.222525</v>
      </c>
      <c r="V944" s="18">
        <v>2.8483199999999997</v>
      </c>
      <c r="W944" s="18">
        <v>2.6702999999999997</v>
      </c>
      <c r="X944" s="18">
        <v>1.7802</v>
      </c>
      <c r="Y944" s="18">
        <v>7.9119999999999996E-2</v>
      </c>
      <c r="Z944" s="18">
        <v>0.35109499999999999</v>
      </c>
      <c r="AA944" s="18">
        <v>0.51427999999999996</v>
      </c>
      <c r="AB944" s="18">
        <v>0.914825</v>
      </c>
      <c r="AC944" s="18">
        <v>0.28186499999999998</v>
      </c>
      <c r="AD944" s="18">
        <v>1.4834999999999998</v>
      </c>
    </row>
    <row r="945" spans="2:30" x14ac:dyDescent="0.25">
      <c r="B945" t="s">
        <v>269</v>
      </c>
      <c r="C945" t="s">
        <v>570</v>
      </c>
      <c r="D945" t="s">
        <v>748</v>
      </c>
      <c r="E945" s="35">
        <v>0.9</v>
      </c>
      <c r="F945" s="35">
        <v>6.6</v>
      </c>
      <c r="G945" s="36">
        <v>4.1200000000000004E-3</v>
      </c>
      <c r="H945" s="18">
        <v>7.4152979999999999</v>
      </c>
      <c r="I945" s="16" t="s">
        <v>746</v>
      </c>
      <c r="J945" s="16"/>
      <c r="K945" s="16"/>
      <c r="L945" s="37"/>
      <c r="M945" s="37"/>
      <c r="N945" s="37"/>
      <c r="O945" s="37"/>
      <c r="P945" s="37"/>
      <c r="Q945" s="18">
        <v>4.5320000000000006E-2</v>
      </c>
      <c r="R945" s="18">
        <v>3.0900000000000003E-4</v>
      </c>
      <c r="S945" s="18">
        <v>8.6520000000000014E-2</v>
      </c>
      <c r="T945" s="18">
        <v>0.37080000000000002</v>
      </c>
      <c r="U945" s="18">
        <v>0.18540000000000001</v>
      </c>
      <c r="V945" s="18">
        <v>2.3731200000000001</v>
      </c>
      <c r="W945" s="18">
        <v>2.2248000000000001</v>
      </c>
      <c r="X945" s="18">
        <v>1.4832000000000001</v>
      </c>
      <c r="Y945" s="18">
        <v>6.5920000000000006E-2</v>
      </c>
      <c r="Z945" s="18">
        <v>0.29252</v>
      </c>
      <c r="AA945" s="18">
        <v>0.42848000000000003</v>
      </c>
      <c r="AB945" s="18">
        <v>0.7622000000000001</v>
      </c>
      <c r="AC945" s="18">
        <v>0.23484000000000002</v>
      </c>
      <c r="AD945" s="18">
        <v>1.2360000000000002</v>
      </c>
    </row>
    <row r="946" spans="2:30" x14ac:dyDescent="0.25">
      <c r="B946" t="s">
        <v>269</v>
      </c>
      <c r="C946" t="s">
        <v>570</v>
      </c>
      <c r="D946" t="s">
        <v>750</v>
      </c>
      <c r="E946" s="35">
        <v>0.9</v>
      </c>
      <c r="F946" s="35">
        <v>6.6</v>
      </c>
      <c r="G946" s="36">
        <v>3.0200000000000001E-3</v>
      </c>
      <c r="H946" s="18">
        <v>5.4352980000000004</v>
      </c>
      <c r="I946" s="16" t="s">
        <v>746</v>
      </c>
      <c r="J946" s="16"/>
      <c r="K946" s="16"/>
      <c r="L946" s="37"/>
      <c r="M946" s="37"/>
      <c r="N946" s="37"/>
      <c r="O946" s="37"/>
      <c r="P946" s="37"/>
      <c r="Q946" s="18">
        <v>3.322E-2</v>
      </c>
      <c r="R946" s="18">
        <v>2.265E-4</v>
      </c>
      <c r="S946" s="18">
        <v>6.3420000000000004E-2</v>
      </c>
      <c r="T946" s="18">
        <v>0.27179999999999999</v>
      </c>
      <c r="U946" s="18">
        <v>0.13589999999999999</v>
      </c>
      <c r="V946" s="18">
        <v>1.7395200000000002</v>
      </c>
      <c r="W946" s="18">
        <v>1.6308</v>
      </c>
      <c r="X946" s="18">
        <v>1.0871999999999999</v>
      </c>
      <c r="Y946" s="18">
        <v>4.8320000000000002E-2</v>
      </c>
      <c r="Z946" s="18">
        <v>0.21442</v>
      </c>
      <c r="AA946" s="18">
        <v>0.31408000000000003</v>
      </c>
      <c r="AB946" s="18">
        <v>0.55869999999999997</v>
      </c>
      <c r="AC946" s="18">
        <v>0.17214000000000002</v>
      </c>
      <c r="AD946" s="18">
        <v>0.90600000000000003</v>
      </c>
    </row>
    <row r="947" spans="2:30" x14ac:dyDescent="0.25">
      <c r="B947" t="s">
        <v>269</v>
      </c>
      <c r="C947" t="s">
        <v>463</v>
      </c>
      <c r="D947" t="s">
        <v>757</v>
      </c>
      <c r="E947" s="35">
        <v>0.9</v>
      </c>
      <c r="F947" s="35">
        <v>6.6</v>
      </c>
      <c r="G947" s="36">
        <v>6.3682000000000002E-2</v>
      </c>
      <c r="H947" s="18">
        <v>114.627583</v>
      </c>
      <c r="I947" s="16" t="s">
        <v>746</v>
      </c>
      <c r="J947" s="16"/>
      <c r="K947" s="16"/>
      <c r="L947" s="37"/>
      <c r="M947" s="37"/>
      <c r="N947" s="37"/>
      <c r="O947" s="37"/>
      <c r="P947" s="37"/>
      <c r="Q947" s="18">
        <v>0.70050200000000007</v>
      </c>
      <c r="R947" s="18">
        <v>4.7761499999999998E-3</v>
      </c>
      <c r="S947" s="18">
        <v>1.3373220000000001</v>
      </c>
      <c r="T947" s="18">
        <v>5.7313800000000006</v>
      </c>
      <c r="U947" s="18">
        <v>2.8656900000000003</v>
      </c>
      <c r="V947" s="18">
        <v>36.680832000000002</v>
      </c>
      <c r="W947" s="18">
        <v>34.388280000000002</v>
      </c>
      <c r="X947" s="18">
        <v>22.925520000000002</v>
      </c>
      <c r="Y947" s="18">
        <v>1.018912</v>
      </c>
      <c r="Z947" s="18">
        <v>4.5214220000000003</v>
      </c>
      <c r="AA947" s="18">
        <v>6.6229279999999999</v>
      </c>
      <c r="AB947" s="18">
        <v>11.781170000000001</v>
      </c>
      <c r="AC947" s="18">
        <v>3.629874</v>
      </c>
      <c r="AD947" s="18">
        <v>19.104600000000001</v>
      </c>
    </row>
    <row r="948" spans="2:30" x14ac:dyDescent="0.25">
      <c r="B948" t="s">
        <v>269</v>
      </c>
      <c r="C948" t="s">
        <v>463</v>
      </c>
      <c r="D948" t="s">
        <v>753</v>
      </c>
      <c r="E948" s="35">
        <v>0.9</v>
      </c>
      <c r="F948" s="35">
        <v>6.6</v>
      </c>
      <c r="G948" s="36">
        <v>5.77E-3</v>
      </c>
      <c r="H948" s="18">
        <v>10.385298000000001</v>
      </c>
      <c r="I948" s="16" t="s">
        <v>746</v>
      </c>
      <c r="J948" s="16"/>
      <c r="K948" s="16"/>
      <c r="L948" s="37"/>
      <c r="M948" s="37"/>
      <c r="N948" s="37"/>
      <c r="O948" s="37"/>
      <c r="P948" s="37"/>
      <c r="Q948" s="18">
        <v>6.3469999999999999E-2</v>
      </c>
      <c r="R948" s="18">
        <v>4.3274999999999997E-4</v>
      </c>
      <c r="S948" s="18">
        <v>0.12117</v>
      </c>
      <c r="T948" s="18">
        <v>0.51929999999999998</v>
      </c>
      <c r="U948" s="18">
        <v>0.25964999999999999</v>
      </c>
      <c r="V948" s="18">
        <v>3.3235199999999998</v>
      </c>
      <c r="W948" s="18">
        <v>3.1158000000000001</v>
      </c>
      <c r="X948" s="18">
        <v>2.0771999999999999</v>
      </c>
      <c r="Y948" s="18">
        <v>9.2319999999999999E-2</v>
      </c>
      <c r="Z948" s="18">
        <v>0.40966999999999998</v>
      </c>
      <c r="AA948" s="18">
        <v>0.60007999999999995</v>
      </c>
      <c r="AB948" s="18">
        <v>1.06745</v>
      </c>
      <c r="AC948" s="18">
        <v>0.32889000000000002</v>
      </c>
      <c r="AD948" s="18">
        <v>1.7310000000000001</v>
      </c>
    </row>
    <row r="949" spans="2:30" x14ac:dyDescent="0.25">
      <c r="B949" t="s">
        <v>269</v>
      </c>
      <c r="C949" t="s">
        <v>463</v>
      </c>
      <c r="D949" t="s">
        <v>750</v>
      </c>
      <c r="E949" s="35">
        <v>0.9</v>
      </c>
      <c r="F949" s="35">
        <v>6.6</v>
      </c>
      <c r="G949" s="36">
        <v>3.0200000000000001E-3</v>
      </c>
      <c r="H949" s="18">
        <v>5.4352980000000004</v>
      </c>
      <c r="I949" s="16" t="s">
        <v>746</v>
      </c>
      <c r="J949" s="16"/>
      <c r="K949" s="16"/>
      <c r="L949" s="37"/>
      <c r="M949" s="37"/>
      <c r="N949" s="37"/>
      <c r="O949" s="37"/>
      <c r="P949" s="37"/>
      <c r="Q949" s="18">
        <v>3.322E-2</v>
      </c>
      <c r="R949" s="18">
        <v>2.265E-4</v>
      </c>
      <c r="S949" s="18">
        <v>6.3420000000000004E-2</v>
      </c>
      <c r="T949" s="18">
        <v>0.27179999999999999</v>
      </c>
      <c r="U949" s="18">
        <v>0.13589999999999999</v>
      </c>
      <c r="V949" s="18">
        <v>1.7395200000000002</v>
      </c>
      <c r="W949" s="18">
        <v>1.6308</v>
      </c>
      <c r="X949" s="18">
        <v>1.0871999999999999</v>
      </c>
      <c r="Y949" s="18">
        <v>4.8320000000000002E-2</v>
      </c>
      <c r="Z949" s="18">
        <v>0.21442</v>
      </c>
      <c r="AA949" s="18">
        <v>0.31408000000000003</v>
      </c>
      <c r="AB949" s="18">
        <v>0.55869999999999997</v>
      </c>
      <c r="AC949" s="18">
        <v>0.17214000000000002</v>
      </c>
      <c r="AD949" s="18">
        <v>0.90600000000000003</v>
      </c>
    </row>
    <row r="950" spans="2:30" x14ac:dyDescent="0.25">
      <c r="B950" t="s">
        <v>269</v>
      </c>
      <c r="C950" t="s">
        <v>463</v>
      </c>
      <c r="D950" t="s">
        <v>748</v>
      </c>
      <c r="E950" s="35">
        <v>0.9</v>
      </c>
      <c r="F950" s="35">
        <v>6.6</v>
      </c>
      <c r="G950" s="36">
        <v>4.1200000000000004E-3</v>
      </c>
      <c r="H950" s="18">
        <v>7.4152979999999999</v>
      </c>
      <c r="I950" s="16" t="s">
        <v>746</v>
      </c>
      <c r="J950" s="16"/>
      <c r="K950" s="16"/>
      <c r="L950" s="37"/>
      <c r="M950" s="37"/>
      <c r="N950" s="37"/>
      <c r="O950" s="37"/>
      <c r="P950" s="37"/>
      <c r="Q950" s="18">
        <v>4.5320000000000006E-2</v>
      </c>
      <c r="R950" s="18">
        <v>3.0900000000000003E-4</v>
      </c>
      <c r="S950" s="18">
        <v>8.6520000000000014E-2</v>
      </c>
      <c r="T950" s="18">
        <v>0.37080000000000002</v>
      </c>
      <c r="U950" s="18">
        <v>0.18540000000000001</v>
      </c>
      <c r="V950" s="18">
        <v>2.3731200000000001</v>
      </c>
      <c r="W950" s="18">
        <v>2.2248000000000001</v>
      </c>
      <c r="X950" s="18">
        <v>1.4832000000000001</v>
      </c>
      <c r="Y950" s="18">
        <v>6.5920000000000006E-2</v>
      </c>
      <c r="Z950" s="18">
        <v>0.29252</v>
      </c>
      <c r="AA950" s="18">
        <v>0.42848000000000003</v>
      </c>
      <c r="AB950" s="18">
        <v>0.7622000000000001</v>
      </c>
      <c r="AC950" s="18">
        <v>0.23484000000000002</v>
      </c>
      <c r="AD950" s="18">
        <v>1.2360000000000002</v>
      </c>
    </row>
    <row r="951" spans="2:30" x14ac:dyDescent="0.25">
      <c r="B951" t="s">
        <v>269</v>
      </c>
      <c r="C951" t="s">
        <v>463</v>
      </c>
      <c r="D951" t="s">
        <v>752</v>
      </c>
      <c r="E951" s="35">
        <v>0.9</v>
      </c>
      <c r="F951" s="35">
        <v>6.6</v>
      </c>
      <c r="G951" s="36">
        <v>2.47E-3</v>
      </c>
      <c r="H951" s="18">
        <v>4.4452980000000002</v>
      </c>
      <c r="I951" s="16" t="s">
        <v>746</v>
      </c>
      <c r="J951" s="16"/>
      <c r="K951" s="16"/>
      <c r="L951" s="37"/>
      <c r="M951" s="37"/>
      <c r="N951" s="37"/>
      <c r="O951" s="37"/>
      <c r="P951" s="37"/>
      <c r="Q951" s="18">
        <v>2.717E-2</v>
      </c>
      <c r="R951" s="18">
        <v>1.8525E-4</v>
      </c>
      <c r="S951" s="18">
        <v>5.1869999999999999E-2</v>
      </c>
      <c r="T951" s="18">
        <v>0.2223</v>
      </c>
      <c r="U951" s="18">
        <v>0.11115</v>
      </c>
      <c r="V951" s="18">
        <v>1.42272</v>
      </c>
      <c r="W951" s="18">
        <v>1.3338000000000001</v>
      </c>
      <c r="X951" s="18">
        <v>0.88919999999999999</v>
      </c>
      <c r="Y951" s="18">
        <v>3.952E-2</v>
      </c>
      <c r="Z951" s="18">
        <v>0.17537</v>
      </c>
      <c r="AA951" s="18">
        <v>0.25688</v>
      </c>
      <c r="AB951" s="18">
        <v>0.45694999999999997</v>
      </c>
      <c r="AC951" s="18">
        <v>0.14079</v>
      </c>
      <c r="AD951" s="18">
        <v>0.74099999999999999</v>
      </c>
    </row>
    <row r="952" spans="2:30" x14ac:dyDescent="0.25">
      <c r="B952" t="s">
        <v>269</v>
      </c>
      <c r="C952" t="s">
        <v>463</v>
      </c>
      <c r="D952" t="s">
        <v>748</v>
      </c>
      <c r="E952" s="35">
        <v>0.9</v>
      </c>
      <c r="F952" s="35">
        <v>6.6</v>
      </c>
      <c r="G952" s="36">
        <v>4.1200000000000004E-3</v>
      </c>
      <c r="H952" s="18">
        <v>7.4152979999999999</v>
      </c>
      <c r="I952" s="16" t="s">
        <v>746</v>
      </c>
      <c r="J952" s="16"/>
      <c r="K952" s="16"/>
      <c r="L952" s="37"/>
      <c r="M952" s="37"/>
      <c r="N952" s="37"/>
      <c r="O952" s="37"/>
      <c r="P952" s="37"/>
      <c r="Q952" s="18">
        <v>4.5320000000000006E-2</v>
      </c>
      <c r="R952" s="18">
        <v>3.0900000000000003E-4</v>
      </c>
      <c r="S952" s="18">
        <v>8.6520000000000014E-2</v>
      </c>
      <c r="T952" s="18">
        <v>0.37080000000000002</v>
      </c>
      <c r="U952" s="18">
        <v>0.18540000000000001</v>
      </c>
      <c r="V952" s="18">
        <v>2.3731200000000001</v>
      </c>
      <c r="W952" s="18">
        <v>2.2248000000000001</v>
      </c>
      <c r="X952" s="18">
        <v>1.4832000000000001</v>
      </c>
      <c r="Y952" s="18">
        <v>6.5920000000000006E-2</v>
      </c>
      <c r="Z952" s="18">
        <v>0.29252</v>
      </c>
      <c r="AA952" s="18">
        <v>0.42848000000000003</v>
      </c>
      <c r="AB952" s="18">
        <v>0.7622000000000001</v>
      </c>
      <c r="AC952" s="18">
        <v>0.23484000000000002</v>
      </c>
      <c r="AD952" s="18">
        <v>1.2360000000000002</v>
      </c>
    </row>
    <row r="953" spans="2:30" x14ac:dyDescent="0.25">
      <c r="B953" t="s">
        <v>269</v>
      </c>
      <c r="C953" t="s">
        <v>463</v>
      </c>
      <c r="D953" t="s">
        <v>748</v>
      </c>
      <c r="E953" s="35">
        <v>0.9</v>
      </c>
      <c r="F953" s="35">
        <v>6.6</v>
      </c>
      <c r="G953" s="36">
        <v>4.1200000000000004E-3</v>
      </c>
      <c r="H953" s="18">
        <v>7.4152979999999999</v>
      </c>
      <c r="I953" s="16" t="s">
        <v>746</v>
      </c>
      <c r="J953" s="16"/>
      <c r="K953" s="16"/>
      <c r="L953" s="37"/>
      <c r="M953" s="37"/>
      <c r="N953" s="37"/>
      <c r="O953" s="37"/>
      <c r="P953" s="37"/>
      <c r="Q953" s="18">
        <v>4.5320000000000006E-2</v>
      </c>
      <c r="R953" s="18">
        <v>3.0900000000000003E-4</v>
      </c>
      <c r="S953" s="18">
        <v>8.6520000000000014E-2</v>
      </c>
      <c r="T953" s="18">
        <v>0.37080000000000002</v>
      </c>
      <c r="U953" s="18">
        <v>0.18540000000000001</v>
      </c>
      <c r="V953" s="18">
        <v>2.3731200000000001</v>
      </c>
      <c r="W953" s="18">
        <v>2.2248000000000001</v>
      </c>
      <c r="X953" s="18">
        <v>1.4832000000000001</v>
      </c>
      <c r="Y953" s="18">
        <v>6.5920000000000006E-2</v>
      </c>
      <c r="Z953" s="18">
        <v>0.29252</v>
      </c>
      <c r="AA953" s="18">
        <v>0.42848000000000003</v>
      </c>
      <c r="AB953" s="18">
        <v>0.7622000000000001</v>
      </c>
      <c r="AC953" s="18">
        <v>0.23484000000000002</v>
      </c>
      <c r="AD953" s="18">
        <v>1.2360000000000002</v>
      </c>
    </row>
    <row r="954" spans="2:30" x14ac:dyDescent="0.25">
      <c r="B954" t="s">
        <v>269</v>
      </c>
      <c r="C954" t="s">
        <v>463</v>
      </c>
      <c r="D954" t="s">
        <v>748</v>
      </c>
      <c r="E954" s="35">
        <v>0.9</v>
      </c>
      <c r="F954" s="35">
        <v>6.6</v>
      </c>
      <c r="G954" s="36">
        <v>4.1200000000000004E-3</v>
      </c>
      <c r="H954" s="18">
        <v>7.4152979999999999</v>
      </c>
      <c r="I954" s="16" t="s">
        <v>746</v>
      </c>
      <c r="J954" s="16"/>
      <c r="K954" s="16"/>
      <c r="L954" s="37"/>
      <c r="M954" s="37"/>
      <c r="N954" s="37"/>
      <c r="O954" s="37"/>
      <c r="P954" s="37"/>
      <c r="Q954" s="18">
        <v>4.5320000000000006E-2</v>
      </c>
      <c r="R954" s="18">
        <v>3.0900000000000003E-4</v>
      </c>
      <c r="S954" s="18">
        <v>8.6520000000000014E-2</v>
      </c>
      <c r="T954" s="18">
        <v>0.37080000000000002</v>
      </c>
      <c r="U954" s="18">
        <v>0.18540000000000001</v>
      </c>
      <c r="V954" s="18">
        <v>2.3731200000000001</v>
      </c>
      <c r="W954" s="18">
        <v>2.2248000000000001</v>
      </c>
      <c r="X954" s="18">
        <v>1.4832000000000001</v>
      </c>
      <c r="Y954" s="18">
        <v>6.5920000000000006E-2</v>
      </c>
      <c r="Z954" s="18">
        <v>0.29252</v>
      </c>
      <c r="AA954" s="18">
        <v>0.42848000000000003</v>
      </c>
      <c r="AB954" s="18">
        <v>0.7622000000000001</v>
      </c>
      <c r="AC954" s="18">
        <v>0.23484000000000002</v>
      </c>
      <c r="AD954" s="18">
        <v>1.2360000000000002</v>
      </c>
    </row>
    <row r="955" spans="2:30" x14ac:dyDescent="0.25">
      <c r="B955" t="s">
        <v>269</v>
      </c>
      <c r="C955" t="s">
        <v>463</v>
      </c>
      <c r="D955" t="s">
        <v>748</v>
      </c>
      <c r="E955" s="35">
        <v>0.9</v>
      </c>
      <c r="F955" s="35">
        <v>6.6</v>
      </c>
      <c r="G955" s="36">
        <v>4.1200000000000004E-3</v>
      </c>
      <c r="H955" s="18">
        <v>7.4152979999999999</v>
      </c>
      <c r="I955" s="16" t="s">
        <v>746</v>
      </c>
      <c r="J955" s="16"/>
      <c r="K955" s="16"/>
      <c r="L955" s="37"/>
      <c r="M955" s="37"/>
      <c r="N955" s="37"/>
      <c r="O955" s="37"/>
      <c r="P955" s="37"/>
      <c r="Q955" s="18">
        <v>4.5320000000000006E-2</v>
      </c>
      <c r="R955" s="18">
        <v>3.0900000000000003E-4</v>
      </c>
      <c r="S955" s="18">
        <v>8.6520000000000014E-2</v>
      </c>
      <c r="T955" s="18">
        <v>0.37080000000000002</v>
      </c>
      <c r="U955" s="18">
        <v>0.18540000000000001</v>
      </c>
      <c r="V955" s="18">
        <v>2.3731200000000001</v>
      </c>
      <c r="W955" s="18">
        <v>2.2248000000000001</v>
      </c>
      <c r="X955" s="18">
        <v>1.4832000000000001</v>
      </c>
      <c r="Y955" s="18">
        <v>6.5920000000000006E-2</v>
      </c>
      <c r="Z955" s="18">
        <v>0.29252</v>
      </c>
      <c r="AA955" s="18">
        <v>0.42848000000000003</v>
      </c>
      <c r="AB955" s="18">
        <v>0.7622000000000001</v>
      </c>
      <c r="AC955" s="18">
        <v>0.23484000000000002</v>
      </c>
      <c r="AD955" s="18">
        <v>1.2360000000000002</v>
      </c>
    </row>
    <row r="956" spans="2:30" x14ac:dyDescent="0.25">
      <c r="B956" t="s">
        <v>269</v>
      </c>
      <c r="C956" t="s">
        <v>463</v>
      </c>
      <c r="D956" t="s">
        <v>748</v>
      </c>
      <c r="E956" s="35">
        <v>0.9</v>
      </c>
      <c r="F956" s="35">
        <v>6.6</v>
      </c>
      <c r="G956" s="36">
        <v>4.1200000000000004E-3</v>
      </c>
      <c r="H956" s="18">
        <v>7.4152979999999999</v>
      </c>
      <c r="I956" s="16" t="s">
        <v>746</v>
      </c>
      <c r="J956" s="16"/>
      <c r="K956" s="16"/>
      <c r="L956" s="37"/>
      <c r="M956" s="37"/>
      <c r="N956" s="37"/>
      <c r="O956" s="37"/>
      <c r="P956" s="37"/>
      <c r="Q956" s="18">
        <v>4.5320000000000006E-2</v>
      </c>
      <c r="R956" s="18">
        <v>3.0900000000000003E-4</v>
      </c>
      <c r="S956" s="18">
        <v>8.6520000000000014E-2</v>
      </c>
      <c r="T956" s="18">
        <v>0.37080000000000002</v>
      </c>
      <c r="U956" s="18">
        <v>0.18540000000000001</v>
      </c>
      <c r="V956" s="18">
        <v>2.3731200000000001</v>
      </c>
      <c r="W956" s="18">
        <v>2.2248000000000001</v>
      </c>
      <c r="X956" s="18">
        <v>1.4832000000000001</v>
      </c>
      <c r="Y956" s="18">
        <v>6.5920000000000006E-2</v>
      </c>
      <c r="Z956" s="18">
        <v>0.29252</v>
      </c>
      <c r="AA956" s="18">
        <v>0.42848000000000003</v>
      </c>
      <c r="AB956" s="18">
        <v>0.7622000000000001</v>
      </c>
      <c r="AC956" s="18">
        <v>0.23484000000000002</v>
      </c>
      <c r="AD956" s="18">
        <v>1.2360000000000002</v>
      </c>
    </row>
    <row r="957" spans="2:30" x14ac:dyDescent="0.25">
      <c r="B957" t="s">
        <v>269</v>
      </c>
      <c r="C957" t="s">
        <v>463</v>
      </c>
      <c r="D957" t="s">
        <v>748</v>
      </c>
      <c r="E957" s="35">
        <v>0.9</v>
      </c>
      <c r="F957" s="35">
        <v>6.6</v>
      </c>
      <c r="G957" s="36">
        <v>4.1200000000000004E-3</v>
      </c>
      <c r="H957" s="18">
        <v>7.4152979999999999</v>
      </c>
      <c r="I957" s="16" t="s">
        <v>746</v>
      </c>
      <c r="J957" s="16"/>
      <c r="K957" s="16"/>
      <c r="L957" s="37"/>
      <c r="M957" s="37"/>
      <c r="N957" s="37"/>
      <c r="O957" s="37"/>
      <c r="P957" s="37"/>
      <c r="Q957" s="18">
        <v>4.5320000000000006E-2</v>
      </c>
      <c r="R957" s="18">
        <v>3.0900000000000003E-4</v>
      </c>
      <c r="S957" s="18">
        <v>8.6520000000000014E-2</v>
      </c>
      <c r="T957" s="18">
        <v>0.37080000000000002</v>
      </c>
      <c r="U957" s="18">
        <v>0.18540000000000001</v>
      </c>
      <c r="V957" s="18">
        <v>2.3731200000000001</v>
      </c>
      <c r="W957" s="18">
        <v>2.2248000000000001</v>
      </c>
      <c r="X957" s="18">
        <v>1.4832000000000001</v>
      </c>
      <c r="Y957" s="18">
        <v>6.5920000000000006E-2</v>
      </c>
      <c r="Z957" s="18">
        <v>0.29252</v>
      </c>
      <c r="AA957" s="18">
        <v>0.42848000000000003</v>
      </c>
      <c r="AB957" s="18">
        <v>0.7622000000000001</v>
      </c>
      <c r="AC957" s="18">
        <v>0.23484000000000002</v>
      </c>
      <c r="AD957" s="18">
        <v>1.2360000000000002</v>
      </c>
    </row>
    <row r="958" spans="2:30" x14ac:dyDescent="0.25">
      <c r="B958" t="s">
        <v>269</v>
      </c>
      <c r="C958" t="s">
        <v>463</v>
      </c>
      <c r="D958" t="s">
        <v>748</v>
      </c>
      <c r="E958" s="35">
        <v>0.9</v>
      </c>
      <c r="F958" s="35">
        <v>6.6</v>
      </c>
      <c r="G958" s="36">
        <v>4.1200000000000004E-3</v>
      </c>
      <c r="H958" s="18">
        <v>7.4152979999999999</v>
      </c>
      <c r="I958" s="16" t="s">
        <v>746</v>
      </c>
      <c r="J958" s="16"/>
      <c r="K958" s="16"/>
      <c r="L958" s="37"/>
      <c r="M958" s="37"/>
      <c r="N958" s="37"/>
      <c r="O958" s="37"/>
      <c r="P958" s="37"/>
      <c r="Q958" s="18">
        <v>4.5320000000000006E-2</v>
      </c>
      <c r="R958" s="18">
        <v>3.0900000000000003E-4</v>
      </c>
      <c r="S958" s="18">
        <v>8.6520000000000014E-2</v>
      </c>
      <c r="T958" s="18">
        <v>0.37080000000000002</v>
      </c>
      <c r="U958" s="18">
        <v>0.18540000000000001</v>
      </c>
      <c r="V958" s="18">
        <v>2.3731200000000001</v>
      </c>
      <c r="W958" s="18">
        <v>2.2248000000000001</v>
      </c>
      <c r="X958" s="18">
        <v>1.4832000000000001</v>
      </c>
      <c r="Y958" s="18">
        <v>6.5920000000000006E-2</v>
      </c>
      <c r="Z958" s="18">
        <v>0.29252</v>
      </c>
      <c r="AA958" s="18">
        <v>0.42848000000000003</v>
      </c>
      <c r="AB958" s="18">
        <v>0.7622000000000001</v>
      </c>
      <c r="AC958" s="18">
        <v>0.23484000000000002</v>
      </c>
      <c r="AD958" s="18">
        <v>1.2360000000000002</v>
      </c>
    </row>
    <row r="959" spans="2:30" x14ac:dyDescent="0.25">
      <c r="B959" t="s">
        <v>269</v>
      </c>
      <c r="C959" t="s">
        <v>463</v>
      </c>
      <c r="D959" t="s">
        <v>748</v>
      </c>
      <c r="E959" s="35">
        <v>0.9</v>
      </c>
      <c r="F959" s="35">
        <v>6.6</v>
      </c>
      <c r="G959" s="36">
        <v>4.1200000000000004E-3</v>
      </c>
      <c r="H959" s="18">
        <v>7.4152979999999999</v>
      </c>
      <c r="I959" s="16" t="s">
        <v>746</v>
      </c>
      <c r="J959" s="16"/>
      <c r="K959" s="16"/>
      <c r="L959" s="37"/>
      <c r="M959" s="37"/>
      <c r="N959" s="37"/>
      <c r="O959" s="37"/>
      <c r="P959" s="37"/>
      <c r="Q959" s="18">
        <v>4.5320000000000006E-2</v>
      </c>
      <c r="R959" s="18">
        <v>3.0900000000000003E-4</v>
      </c>
      <c r="S959" s="18">
        <v>8.6520000000000014E-2</v>
      </c>
      <c r="T959" s="18">
        <v>0.37080000000000002</v>
      </c>
      <c r="U959" s="18">
        <v>0.18540000000000001</v>
      </c>
      <c r="V959" s="18">
        <v>2.3731200000000001</v>
      </c>
      <c r="W959" s="18">
        <v>2.2248000000000001</v>
      </c>
      <c r="X959" s="18">
        <v>1.4832000000000001</v>
      </c>
      <c r="Y959" s="18">
        <v>6.5920000000000006E-2</v>
      </c>
      <c r="Z959" s="18">
        <v>0.29252</v>
      </c>
      <c r="AA959" s="18">
        <v>0.42848000000000003</v>
      </c>
      <c r="AB959" s="18">
        <v>0.7622000000000001</v>
      </c>
      <c r="AC959" s="18">
        <v>0.23484000000000002</v>
      </c>
      <c r="AD959" s="18">
        <v>1.2360000000000002</v>
      </c>
    </row>
    <row r="960" spans="2:30" x14ac:dyDescent="0.25">
      <c r="B960" t="s">
        <v>269</v>
      </c>
      <c r="C960" t="s">
        <v>463</v>
      </c>
      <c r="D960" t="s">
        <v>748</v>
      </c>
      <c r="E960" s="35">
        <v>0.9</v>
      </c>
      <c r="F960" s="35">
        <v>6.6</v>
      </c>
      <c r="G960" s="36">
        <v>4.1200000000000004E-3</v>
      </c>
      <c r="H960" s="18">
        <v>7.4152979999999999</v>
      </c>
      <c r="I960" s="16" t="s">
        <v>746</v>
      </c>
      <c r="J960" s="16"/>
      <c r="K960" s="16"/>
      <c r="L960" s="37"/>
      <c r="M960" s="37"/>
      <c r="N960" s="37"/>
      <c r="O960" s="37"/>
      <c r="P960" s="37"/>
      <c r="Q960" s="18">
        <v>4.5320000000000006E-2</v>
      </c>
      <c r="R960" s="18">
        <v>3.0900000000000003E-4</v>
      </c>
      <c r="S960" s="18">
        <v>8.6520000000000014E-2</v>
      </c>
      <c r="T960" s="18">
        <v>0.37080000000000002</v>
      </c>
      <c r="U960" s="18">
        <v>0.18540000000000001</v>
      </c>
      <c r="V960" s="18">
        <v>2.3731200000000001</v>
      </c>
      <c r="W960" s="18">
        <v>2.2248000000000001</v>
      </c>
      <c r="X960" s="18">
        <v>1.4832000000000001</v>
      </c>
      <c r="Y960" s="18">
        <v>6.5920000000000006E-2</v>
      </c>
      <c r="Z960" s="18">
        <v>0.29252</v>
      </c>
      <c r="AA960" s="18">
        <v>0.42848000000000003</v>
      </c>
      <c r="AB960" s="18">
        <v>0.7622000000000001</v>
      </c>
      <c r="AC960" s="18">
        <v>0.23484000000000002</v>
      </c>
      <c r="AD960" s="18">
        <v>1.2360000000000002</v>
      </c>
    </row>
    <row r="961" spans="2:30" x14ac:dyDescent="0.25">
      <c r="B961" t="s">
        <v>269</v>
      </c>
      <c r="C961" t="s">
        <v>463</v>
      </c>
      <c r="D961" t="s">
        <v>748</v>
      </c>
      <c r="E961" s="35">
        <v>0.9</v>
      </c>
      <c r="F961" s="35">
        <v>6.6</v>
      </c>
      <c r="G961" s="36">
        <v>4.1200000000000004E-3</v>
      </c>
      <c r="H961" s="18">
        <v>7.4152979999999999</v>
      </c>
      <c r="I961" s="16" t="s">
        <v>746</v>
      </c>
      <c r="J961" s="16"/>
      <c r="K961" s="16"/>
      <c r="L961" s="37"/>
      <c r="M961" s="37"/>
      <c r="N961" s="37"/>
      <c r="O961" s="37"/>
      <c r="P961" s="37"/>
      <c r="Q961" s="18">
        <v>4.5320000000000006E-2</v>
      </c>
      <c r="R961" s="18">
        <v>3.0900000000000003E-4</v>
      </c>
      <c r="S961" s="18">
        <v>8.6520000000000014E-2</v>
      </c>
      <c r="T961" s="18">
        <v>0.37080000000000002</v>
      </c>
      <c r="U961" s="18">
        <v>0.18540000000000001</v>
      </c>
      <c r="V961" s="18">
        <v>2.3731200000000001</v>
      </c>
      <c r="W961" s="18">
        <v>2.2248000000000001</v>
      </c>
      <c r="X961" s="18">
        <v>1.4832000000000001</v>
      </c>
      <c r="Y961" s="18">
        <v>6.5920000000000006E-2</v>
      </c>
      <c r="Z961" s="18">
        <v>0.29252</v>
      </c>
      <c r="AA961" s="18">
        <v>0.42848000000000003</v>
      </c>
      <c r="AB961" s="18">
        <v>0.7622000000000001</v>
      </c>
      <c r="AC961" s="18">
        <v>0.23484000000000002</v>
      </c>
      <c r="AD961" s="18">
        <v>1.2360000000000002</v>
      </c>
    </row>
    <row r="962" spans="2:30" x14ac:dyDescent="0.25">
      <c r="B962" t="s">
        <v>269</v>
      </c>
      <c r="C962" t="s">
        <v>463</v>
      </c>
      <c r="D962" t="s">
        <v>748</v>
      </c>
      <c r="E962" s="35">
        <v>0.9</v>
      </c>
      <c r="F962" s="35">
        <v>6.6</v>
      </c>
      <c r="G962" s="36">
        <v>4.1200000000000004E-3</v>
      </c>
      <c r="H962" s="18">
        <v>7.4152979999999999</v>
      </c>
      <c r="I962" s="16" t="s">
        <v>746</v>
      </c>
      <c r="J962" s="16"/>
      <c r="K962" s="16"/>
      <c r="L962" s="37"/>
      <c r="M962" s="37"/>
      <c r="N962" s="37"/>
      <c r="O962" s="37"/>
      <c r="P962" s="37"/>
      <c r="Q962" s="18">
        <v>4.5320000000000006E-2</v>
      </c>
      <c r="R962" s="18">
        <v>3.0900000000000003E-4</v>
      </c>
      <c r="S962" s="18">
        <v>8.6520000000000014E-2</v>
      </c>
      <c r="T962" s="18">
        <v>0.37080000000000002</v>
      </c>
      <c r="U962" s="18">
        <v>0.18540000000000001</v>
      </c>
      <c r="V962" s="18">
        <v>2.3731200000000001</v>
      </c>
      <c r="W962" s="18">
        <v>2.2248000000000001</v>
      </c>
      <c r="X962" s="18">
        <v>1.4832000000000001</v>
      </c>
      <c r="Y962" s="18">
        <v>6.5920000000000006E-2</v>
      </c>
      <c r="Z962" s="18">
        <v>0.29252</v>
      </c>
      <c r="AA962" s="18">
        <v>0.42848000000000003</v>
      </c>
      <c r="AB962" s="18">
        <v>0.7622000000000001</v>
      </c>
      <c r="AC962" s="18">
        <v>0.23484000000000002</v>
      </c>
      <c r="AD962" s="18">
        <v>1.2360000000000002</v>
      </c>
    </row>
    <row r="963" spans="2:30" x14ac:dyDescent="0.25">
      <c r="B963" t="s">
        <v>269</v>
      </c>
      <c r="C963" t="s">
        <v>463</v>
      </c>
      <c r="D963" t="s">
        <v>748</v>
      </c>
      <c r="E963" s="35">
        <v>0.9</v>
      </c>
      <c r="F963" s="35">
        <v>6.6</v>
      </c>
      <c r="G963" s="36">
        <v>4.1200000000000004E-3</v>
      </c>
      <c r="H963" s="18">
        <v>7.4152979999999999</v>
      </c>
      <c r="I963" s="16" t="s">
        <v>746</v>
      </c>
      <c r="J963" s="16"/>
      <c r="K963" s="16"/>
      <c r="L963" s="37"/>
      <c r="M963" s="37"/>
      <c r="N963" s="37"/>
      <c r="O963" s="37"/>
      <c r="P963" s="37"/>
      <c r="Q963" s="18">
        <v>4.5320000000000006E-2</v>
      </c>
      <c r="R963" s="18">
        <v>3.0900000000000003E-4</v>
      </c>
      <c r="S963" s="18">
        <v>8.6520000000000014E-2</v>
      </c>
      <c r="T963" s="18">
        <v>0.37080000000000002</v>
      </c>
      <c r="U963" s="18">
        <v>0.18540000000000001</v>
      </c>
      <c r="V963" s="18">
        <v>2.3731200000000001</v>
      </c>
      <c r="W963" s="18">
        <v>2.2248000000000001</v>
      </c>
      <c r="X963" s="18">
        <v>1.4832000000000001</v>
      </c>
      <c r="Y963" s="18">
        <v>6.5920000000000006E-2</v>
      </c>
      <c r="Z963" s="18">
        <v>0.29252</v>
      </c>
      <c r="AA963" s="18">
        <v>0.42848000000000003</v>
      </c>
      <c r="AB963" s="18">
        <v>0.7622000000000001</v>
      </c>
      <c r="AC963" s="18">
        <v>0.23484000000000002</v>
      </c>
      <c r="AD963" s="18">
        <v>1.2360000000000002</v>
      </c>
    </row>
    <row r="964" spans="2:30" x14ac:dyDescent="0.25">
      <c r="B964" t="s">
        <v>269</v>
      </c>
      <c r="C964" t="s">
        <v>463</v>
      </c>
      <c r="D964" t="s">
        <v>750</v>
      </c>
      <c r="E964" s="35">
        <v>0.9</v>
      </c>
      <c r="F964" s="35">
        <v>6.6</v>
      </c>
      <c r="G964" s="36">
        <v>3.0200000000000001E-3</v>
      </c>
      <c r="H964" s="18">
        <v>5.4352980000000004</v>
      </c>
      <c r="I964" s="16" t="s">
        <v>746</v>
      </c>
      <c r="J964" s="16"/>
      <c r="K964" s="16"/>
      <c r="L964" s="37"/>
      <c r="M964" s="37"/>
      <c r="N964" s="37"/>
      <c r="O964" s="37"/>
      <c r="P964" s="37"/>
      <c r="Q964" s="18">
        <v>3.322E-2</v>
      </c>
      <c r="R964" s="18">
        <v>2.265E-4</v>
      </c>
      <c r="S964" s="18">
        <v>6.3420000000000004E-2</v>
      </c>
      <c r="T964" s="18">
        <v>0.27179999999999999</v>
      </c>
      <c r="U964" s="18">
        <v>0.13589999999999999</v>
      </c>
      <c r="V964" s="18">
        <v>1.7395200000000002</v>
      </c>
      <c r="W964" s="18">
        <v>1.6308</v>
      </c>
      <c r="X964" s="18">
        <v>1.0871999999999999</v>
      </c>
      <c r="Y964" s="18">
        <v>4.8320000000000002E-2</v>
      </c>
      <c r="Z964" s="18">
        <v>0.21442</v>
      </c>
      <c r="AA964" s="18">
        <v>0.31408000000000003</v>
      </c>
      <c r="AB964" s="18">
        <v>0.55869999999999997</v>
      </c>
      <c r="AC964" s="18">
        <v>0.17214000000000002</v>
      </c>
      <c r="AD964" s="18">
        <v>0.90600000000000003</v>
      </c>
    </row>
    <row r="965" spans="2:30" x14ac:dyDescent="0.25">
      <c r="B965" t="s">
        <v>269</v>
      </c>
      <c r="C965" t="s">
        <v>463</v>
      </c>
      <c r="D965" t="s">
        <v>748</v>
      </c>
      <c r="E965" s="35">
        <v>0.9</v>
      </c>
      <c r="F965" s="35">
        <v>6.6</v>
      </c>
      <c r="G965" s="36">
        <v>4.1200000000000004E-3</v>
      </c>
      <c r="H965" s="18">
        <v>7.4152979999999999</v>
      </c>
      <c r="I965" s="16" t="s">
        <v>746</v>
      </c>
      <c r="J965" s="16"/>
      <c r="K965" s="16"/>
      <c r="L965" s="37"/>
      <c r="M965" s="37"/>
      <c r="N965" s="37"/>
      <c r="O965" s="37"/>
      <c r="P965" s="37"/>
      <c r="Q965" s="18">
        <v>4.5320000000000006E-2</v>
      </c>
      <c r="R965" s="18">
        <v>3.0900000000000003E-4</v>
      </c>
      <c r="S965" s="18">
        <v>8.6520000000000014E-2</v>
      </c>
      <c r="T965" s="18">
        <v>0.37080000000000002</v>
      </c>
      <c r="U965" s="18">
        <v>0.18540000000000001</v>
      </c>
      <c r="V965" s="18">
        <v>2.3731200000000001</v>
      </c>
      <c r="W965" s="18">
        <v>2.2248000000000001</v>
      </c>
      <c r="X965" s="18">
        <v>1.4832000000000001</v>
      </c>
      <c r="Y965" s="18">
        <v>6.5920000000000006E-2</v>
      </c>
      <c r="Z965" s="18">
        <v>0.29252</v>
      </c>
      <c r="AA965" s="18">
        <v>0.42848000000000003</v>
      </c>
      <c r="AB965" s="18">
        <v>0.7622000000000001</v>
      </c>
      <c r="AC965" s="18">
        <v>0.23484000000000002</v>
      </c>
      <c r="AD965" s="18">
        <v>1.2360000000000002</v>
      </c>
    </row>
    <row r="966" spans="2:30" x14ac:dyDescent="0.25">
      <c r="B966" t="s">
        <v>269</v>
      </c>
      <c r="C966" t="s">
        <v>463</v>
      </c>
      <c r="D966" t="s">
        <v>750</v>
      </c>
      <c r="E966" s="35">
        <v>0.9</v>
      </c>
      <c r="F966" s="35">
        <v>6.6</v>
      </c>
      <c r="G966" s="36">
        <v>3.0200000000000001E-3</v>
      </c>
      <c r="H966" s="18">
        <v>5.4352980000000004</v>
      </c>
      <c r="I966" s="16" t="s">
        <v>746</v>
      </c>
      <c r="J966" s="16"/>
      <c r="K966" s="16"/>
      <c r="L966" s="37"/>
      <c r="M966" s="37"/>
      <c r="N966" s="37"/>
      <c r="O966" s="37"/>
      <c r="P966" s="37"/>
      <c r="Q966" s="18">
        <v>3.322E-2</v>
      </c>
      <c r="R966" s="18">
        <v>2.265E-4</v>
      </c>
      <c r="S966" s="18">
        <v>6.3420000000000004E-2</v>
      </c>
      <c r="T966" s="18">
        <v>0.27179999999999999</v>
      </c>
      <c r="U966" s="18">
        <v>0.13589999999999999</v>
      </c>
      <c r="V966" s="18">
        <v>1.7395200000000002</v>
      </c>
      <c r="W966" s="18">
        <v>1.6308</v>
      </c>
      <c r="X966" s="18">
        <v>1.0871999999999999</v>
      </c>
      <c r="Y966" s="18">
        <v>4.8320000000000002E-2</v>
      </c>
      <c r="Z966" s="18">
        <v>0.21442</v>
      </c>
      <c r="AA966" s="18">
        <v>0.31408000000000003</v>
      </c>
      <c r="AB966" s="18">
        <v>0.55869999999999997</v>
      </c>
      <c r="AC966" s="18">
        <v>0.17214000000000002</v>
      </c>
      <c r="AD966" s="18">
        <v>0.90600000000000003</v>
      </c>
    </row>
    <row r="967" spans="2:30" x14ac:dyDescent="0.25">
      <c r="B967" t="s">
        <v>269</v>
      </c>
      <c r="C967" t="s">
        <v>463</v>
      </c>
      <c r="D967" t="s">
        <v>750</v>
      </c>
      <c r="E967" s="35">
        <v>0.9</v>
      </c>
      <c r="F967" s="35">
        <v>6.6</v>
      </c>
      <c r="G967" s="36">
        <v>3.0200000000000001E-3</v>
      </c>
      <c r="H967" s="18">
        <v>5.4352980000000004</v>
      </c>
      <c r="I967" s="16" t="s">
        <v>746</v>
      </c>
      <c r="J967" s="16"/>
      <c r="K967" s="16"/>
      <c r="L967" s="37"/>
      <c r="M967" s="37"/>
      <c r="N967" s="37"/>
      <c r="O967" s="37"/>
      <c r="P967" s="37"/>
      <c r="Q967" s="18">
        <v>3.322E-2</v>
      </c>
      <c r="R967" s="18">
        <v>2.265E-4</v>
      </c>
      <c r="S967" s="18">
        <v>6.3420000000000004E-2</v>
      </c>
      <c r="T967" s="18">
        <v>0.27179999999999999</v>
      </c>
      <c r="U967" s="18">
        <v>0.13589999999999999</v>
      </c>
      <c r="V967" s="18">
        <v>1.7395200000000002</v>
      </c>
      <c r="W967" s="18">
        <v>1.6308</v>
      </c>
      <c r="X967" s="18">
        <v>1.0871999999999999</v>
      </c>
      <c r="Y967" s="18">
        <v>4.8320000000000002E-2</v>
      </c>
      <c r="Z967" s="18">
        <v>0.21442</v>
      </c>
      <c r="AA967" s="18">
        <v>0.31408000000000003</v>
      </c>
      <c r="AB967" s="18">
        <v>0.55869999999999997</v>
      </c>
      <c r="AC967" s="18">
        <v>0.17214000000000002</v>
      </c>
      <c r="AD967" s="18">
        <v>0.90600000000000003</v>
      </c>
    </row>
    <row r="968" spans="2:30" x14ac:dyDescent="0.25">
      <c r="B968" t="s">
        <v>269</v>
      </c>
      <c r="C968" t="s">
        <v>463</v>
      </c>
      <c r="D968" t="s">
        <v>749</v>
      </c>
      <c r="E968" s="35">
        <v>0.9</v>
      </c>
      <c r="F968" s="35">
        <v>6.6</v>
      </c>
      <c r="G968" s="36">
        <v>3.5699999999999998E-3</v>
      </c>
      <c r="H968" s="18">
        <v>6.4252979999999997</v>
      </c>
      <c r="I968" s="16" t="s">
        <v>746</v>
      </c>
      <c r="J968" s="16"/>
      <c r="K968" s="16"/>
      <c r="L968" s="37"/>
      <c r="M968" s="37"/>
      <c r="N968" s="37"/>
      <c r="O968" s="37"/>
      <c r="P968" s="37"/>
      <c r="Q968" s="18">
        <v>3.9269999999999999E-2</v>
      </c>
      <c r="R968" s="18">
        <v>2.6774999999999998E-4</v>
      </c>
      <c r="S968" s="18">
        <v>7.4969999999999995E-2</v>
      </c>
      <c r="T968" s="18">
        <v>0.32129999999999997</v>
      </c>
      <c r="U968" s="18">
        <v>0.16064999999999999</v>
      </c>
      <c r="V968" s="18">
        <v>2.0563199999999999</v>
      </c>
      <c r="W968" s="18">
        <v>1.9278</v>
      </c>
      <c r="X968" s="18">
        <v>1.2851999999999999</v>
      </c>
      <c r="Y968" s="18">
        <v>5.7119999999999997E-2</v>
      </c>
      <c r="Z968" s="18">
        <v>0.25346999999999997</v>
      </c>
      <c r="AA968" s="18">
        <v>0.37128</v>
      </c>
      <c r="AB968" s="18">
        <v>0.66044999999999998</v>
      </c>
      <c r="AC968" s="18">
        <v>0.20348999999999998</v>
      </c>
      <c r="AD968" s="18">
        <v>1.071</v>
      </c>
    </row>
    <row r="969" spans="2:30" x14ac:dyDescent="0.25">
      <c r="B969" t="s">
        <v>269</v>
      </c>
      <c r="C969" t="s">
        <v>463</v>
      </c>
      <c r="D969" t="s">
        <v>750</v>
      </c>
      <c r="E969" s="35">
        <v>0.9</v>
      </c>
      <c r="F969" s="35">
        <v>6.6</v>
      </c>
      <c r="G969" s="36">
        <v>3.0200000000000001E-3</v>
      </c>
      <c r="H969" s="18">
        <v>5.4352980000000004</v>
      </c>
      <c r="I969" s="16" t="s">
        <v>746</v>
      </c>
      <c r="J969" s="16"/>
      <c r="K969" s="16"/>
      <c r="L969" s="37"/>
      <c r="M969" s="37"/>
      <c r="N969" s="37"/>
      <c r="O969" s="37"/>
      <c r="P969" s="37"/>
      <c r="Q969" s="18">
        <v>3.322E-2</v>
      </c>
      <c r="R969" s="18">
        <v>2.265E-4</v>
      </c>
      <c r="S969" s="18">
        <v>6.3420000000000004E-2</v>
      </c>
      <c r="T969" s="18">
        <v>0.27179999999999999</v>
      </c>
      <c r="U969" s="18">
        <v>0.13589999999999999</v>
      </c>
      <c r="V969" s="18">
        <v>1.7395200000000002</v>
      </c>
      <c r="W969" s="18">
        <v>1.6308</v>
      </c>
      <c r="X969" s="18">
        <v>1.0871999999999999</v>
      </c>
      <c r="Y969" s="18">
        <v>4.8320000000000002E-2</v>
      </c>
      <c r="Z969" s="18">
        <v>0.21442</v>
      </c>
      <c r="AA969" s="18">
        <v>0.31408000000000003</v>
      </c>
      <c r="AB969" s="18">
        <v>0.55869999999999997</v>
      </c>
      <c r="AC969" s="18">
        <v>0.17214000000000002</v>
      </c>
      <c r="AD969" s="18">
        <v>0.90600000000000003</v>
      </c>
    </row>
    <row r="970" spans="2:30" x14ac:dyDescent="0.25">
      <c r="B970" t="s">
        <v>269</v>
      </c>
      <c r="C970" t="s">
        <v>463</v>
      </c>
      <c r="D970" t="s">
        <v>750</v>
      </c>
      <c r="E970" s="35">
        <v>0.9</v>
      </c>
      <c r="F970" s="35">
        <v>6.6</v>
      </c>
      <c r="G970" s="36">
        <v>3.0200000000000001E-3</v>
      </c>
      <c r="H970" s="18">
        <v>5.4352980000000004</v>
      </c>
      <c r="I970" s="16" t="s">
        <v>746</v>
      </c>
      <c r="J970" s="16"/>
      <c r="K970" s="16"/>
      <c r="L970" s="37"/>
      <c r="M970" s="37"/>
      <c r="N970" s="37"/>
      <c r="O970" s="37"/>
      <c r="P970" s="37"/>
      <c r="Q970" s="18">
        <v>3.322E-2</v>
      </c>
      <c r="R970" s="18">
        <v>2.265E-4</v>
      </c>
      <c r="S970" s="18">
        <v>6.3420000000000004E-2</v>
      </c>
      <c r="T970" s="18">
        <v>0.27179999999999999</v>
      </c>
      <c r="U970" s="18">
        <v>0.13589999999999999</v>
      </c>
      <c r="V970" s="18">
        <v>1.7395200000000002</v>
      </c>
      <c r="W970" s="18">
        <v>1.6308</v>
      </c>
      <c r="X970" s="18">
        <v>1.0871999999999999</v>
      </c>
      <c r="Y970" s="18">
        <v>4.8320000000000002E-2</v>
      </c>
      <c r="Z970" s="18">
        <v>0.21442</v>
      </c>
      <c r="AA970" s="18">
        <v>0.31408000000000003</v>
      </c>
      <c r="AB970" s="18">
        <v>0.55869999999999997</v>
      </c>
      <c r="AC970" s="18">
        <v>0.17214000000000002</v>
      </c>
      <c r="AD970" s="18">
        <v>0.90600000000000003</v>
      </c>
    </row>
    <row r="971" spans="2:30" x14ac:dyDescent="0.25">
      <c r="B971" t="s">
        <v>269</v>
      </c>
      <c r="C971" t="s">
        <v>463</v>
      </c>
      <c r="D971" t="s">
        <v>748</v>
      </c>
      <c r="E971" s="35">
        <v>0.9</v>
      </c>
      <c r="F971" s="35">
        <v>6.6</v>
      </c>
      <c r="G971" s="36">
        <v>4.1200000000000004E-3</v>
      </c>
      <c r="H971" s="18">
        <v>7.4152979999999999</v>
      </c>
      <c r="I971" s="16" t="s">
        <v>746</v>
      </c>
      <c r="J971" s="16"/>
      <c r="K971" s="16"/>
      <c r="L971" s="37"/>
      <c r="M971" s="37"/>
      <c r="N971" s="37"/>
      <c r="O971" s="37"/>
      <c r="P971" s="37"/>
      <c r="Q971" s="18">
        <v>4.5320000000000006E-2</v>
      </c>
      <c r="R971" s="18">
        <v>3.0900000000000003E-4</v>
      </c>
      <c r="S971" s="18">
        <v>8.6520000000000014E-2</v>
      </c>
      <c r="T971" s="18">
        <v>0.37080000000000002</v>
      </c>
      <c r="U971" s="18">
        <v>0.18540000000000001</v>
      </c>
      <c r="V971" s="18">
        <v>2.3731200000000001</v>
      </c>
      <c r="W971" s="18">
        <v>2.2248000000000001</v>
      </c>
      <c r="X971" s="18">
        <v>1.4832000000000001</v>
      </c>
      <c r="Y971" s="18">
        <v>6.5920000000000006E-2</v>
      </c>
      <c r="Z971" s="18">
        <v>0.29252</v>
      </c>
      <c r="AA971" s="18">
        <v>0.42848000000000003</v>
      </c>
      <c r="AB971" s="18">
        <v>0.7622000000000001</v>
      </c>
      <c r="AC971" s="18">
        <v>0.23484000000000002</v>
      </c>
      <c r="AD971" s="18">
        <v>1.2360000000000002</v>
      </c>
    </row>
    <row r="972" spans="2:30" x14ac:dyDescent="0.25">
      <c r="B972" t="s">
        <v>269</v>
      </c>
      <c r="C972" t="s">
        <v>463</v>
      </c>
      <c r="D972" t="s">
        <v>748</v>
      </c>
      <c r="E972" s="35">
        <v>0.9</v>
      </c>
      <c r="F972" s="35">
        <v>6.6</v>
      </c>
      <c r="G972" s="36">
        <v>4.1200000000000004E-3</v>
      </c>
      <c r="H972" s="18">
        <v>7.4152979999999999</v>
      </c>
      <c r="I972" s="16" t="s">
        <v>746</v>
      </c>
      <c r="J972" s="16"/>
      <c r="K972" s="16"/>
      <c r="L972" s="37"/>
      <c r="M972" s="37"/>
      <c r="N972" s="37"/>
      <c r="O972" s="37"/>
      <c r="P972" s="37"/>
      <c r="Q972" s="18">
        <v>4.5320000000000006E-2</v>
      </c>
      <c r="R972" s="18">
        <v>3.0900000000000003E-4</v>
      </c>
      <c r="S972" s="18">
        <v>8.6520000000000014E-2</v>
      </c>
      <c r="T972" s="18">
        <v>0.37080000000000002</v>
      </c>
      <c r="U972" s="18">
        <v>0.18540000000000001</v>
      </c>
      <c r="V972" s="18">
        <v>2.3731200000000001</v>
      </c>
      <c r="W972" s="18">
        <v>2.2248000000000001</v>
      </c>
      <c r="X972" s="18">
        <v>1.4832000000000001</v>
      </c>
      <c r="Y972" s="18">
        <v>6.5920000000000006E-2</v>
      </c>
      <c r="Z972" s="18">
        <v>0.29252</v>
      </c>
      <c r="AA972" s="18">
        <v>0.42848000000000003</v>
      </c>
      <c r="AB972" s="18">
        <v>0.7622000000000001</v>
      </c>
      <c r="AC972" s="18">
        <v>0.23484000000000002</v>
      </c>
      <c r="AD972" s="18">
        <v>1.2360000000000002</v>
      </c>
    </row>
    <row r="973" spans="2:30" x14ac:dyDescent="0.25">
      <c r="B973" t="s">
        <v>269</v>
      </c>
      <c r="C973" t="s">
        <v>463</v>
      </c>
      <c r="D973" t="s">
        <v>750</v>
      </c>
      <c r="E973" s="35">
        <v>0.9</v>
      </c>
      <c r="F973" s="35">
        <v>6.6</v>
      </c>
      <c r="G973" s="36">
        <v>3.0200000000000001E-3</v>
      </c>
      <c r="H973" s="18">
        <v>5.4352980000000004</v>
      </c>
      <c r="I973" s="16" t="s">
        <v>746</v>
      </c>
      <c r="J973" s="16"/>
      <c r="K973" s="16"/>
      <c r="L973" s="37"/>
      <c r="M973" s="37"/>
      <c r="N973" s="37"/>
      <c r="O973" s="37"/>
      <c r="P973" s="37"/>
      <c r="Q973" s="18">
        <v>3.322E-2</v>
      </c>
      <c r="R973" s="18">
        <v>2.265E-4</v>
      </c>
      <c r="S973" s="18">
        <v>6.3420000000000004E-2</v>
      </c>
      <c r="T973" s="18">
        <v>0.27179999999999999</v>
      </c>
      <c r="U973" s="18">
        <v>0.13589999999999999</v>
      </c>
      <c r="V973" s="18">
        <v>1.7395200000000002</v>
      </c>
      <c r="W973" s="18">
        <v>1.6308</v>
      </c>
      <c r="X973" s="18">
        <v>1.0871999999999999</v>
      </c>
      <c r="Y973" s="18">
        <v>4.8320000000000002E-2</v>
      </c>
      <c r="Z973" s="18">
        <v>0.21442</v>
      </c>
      <c r="AA973" s="18">
        <v>0.31408000000000003</v>
      </c>
      <c r="AB973" s="18">
        <v>0.55869999999999997</v>
      </c>
      <c r="AC973" s="18">
        <v>0.17214000000000002</v>
      </c>
      <c r="AD973" s="18">
        <v>0.90600000000000003</v>
      </c>
    </row>
    <row r="974" spans="2:30" x14ac:dyDescent="0.25">
      <c r="B974" t="s">
        <v>269</v>
      </c>
      <c r="C974" t="s">
        <v>463</v>
      </c>
      <c r="D974" t="s">
        <v>750</v>
      </c>
      <c r="E974" s="35">
        <v>0.9</v>
      </c>
      <c r="F974" s="35">
        <v>6.6</v>
      </c>
      <c r="G974" s="36">
        <v>3.0200000000000001E-3</v>
      </c>
      <c r="H974" s="18">
        <v>5.4352980000000004</v>
      </c>
      <c r="I974" s="16" t="s">
        <v>746</v>
      </c>
      <c r="J974" s="16"/>
      <c r="K974" s="16"/>
      <c r="L974" s="37"/>
      <c r="M974" s="37"/>
      <c r="N974" s="37"/>
      <c r="O974" s="37"/>
      <c r="P974" s="37"/>
      <c r="Q974" s="18">
        <v>3.322E-2</v>
      </c>
      <c r="R974" s="18">
        <v>2.265E-4</v>
      </c>
      <c r="S974" s="18">
        <v>6.3420000000000004E-2</v>
      </c>
      <c r="T974" s="18">
        <v>0.27179999999999999</v>
      </c>
      <c r="U974" s="18">
        <v>0.13589999999999999</v>
      </c>
      <c r="V974" s="18">
        <v>1.7395200000000002</v>
      </c>
      <c r="W974" s="18">
        <v>1.6308</v>
      </c>
      <c r="X974" s="18">
        <v>1.0871999999999999</v>
      </c>
      <c r="Y974" s="18">
        <v>4.8320000000000002E-2</v>
      </c>
      <c r="Z974" s="18">
        <v>0.21442</v>
      </c>
      <c r="AA974" s="18">
        <v>0.31408000000000003</v>
      </c>
      <c r="AB974" s="18">
        <v>0.55869999999999997</v>
      </c>
      <c r="AC974" s="18">
        <v>0.17214000000000002</v>
      </c>
      <c r="AD974" s="18">
        <v>0.90600000000000003</v>
      </c>
    </row>
    <row r="975" spans="2:30" x14ac:dyDescent="0.25">
      <c r="B975" t="s">
        <v>269</v>
      </c>
      <c r="C975" t="s">
        <v>463</v>
      </c>
      <c r="D975" t="s">
        <v>749</v>
      </c>
      <c r="E975" s="35">
        <v>0.9</v>
      </c>
      <c r="F975" s="35">
        <v>6.6</v>
      </c>
      <c r="G975" s="36">
        <v>3.5699999999999998E-3</v>
      </c>
      <c r="H975" s="18">
        <v>6.4252979999999997</v>
      </c>
      <c r="I975" s="16" t="s">
        <v>746</v>
      </c>
      <c r="J975" s="16"/>
      <c r="K975" s="16"/>
      <c r="L975" s="37"/>
      <c r="M975" s="37"/>
      <c r="N975" s="37"/>
      <c r="O975" s="37"/>
      <c r="P975" s="37"/>
      <c r="Q975" s="18">
        <v>3.9269999999999999E-2</v>
      </c>
      <c r="R975" s="18">
        <v>2.6774999999999998E-4</v>
      </c>
      <c r="S975" s="18">
        <v>7.4969999999999995E-2</v>
      </c>
      <c r="T975" s="18">
        <v>0.32129999999999997</v>
      </c>
      <c r="U975" s="18">
        <v>0.16064999999999999</v>
      </c>
      <c r="V975" s="18">
        <v>2.0563199999999999</v>
      </c>
      <c r="W975" s="18">
        <v>1.9278</v>
      </c>
      <c r="X975" s="18">
        <v>1.2851999999999999</v>
      </c>
      <c r="Y975" s="18">
        <v>5.7119999999999997E-2</v>
      </c>
      <c r="Z975" s="18">
        <v>0.25346999999999997</v>
      </c>
      <c r="AA975" s="18">
        <v>0.37128</v>
      </c>
      <c r="AB975" s="18">
        <v>0.66044999999999998</v>
      </c>
      <c r="AC975" s="18">
        <v>0.20348999999999998</v>
      </c>
      <c r="AD975" s="18">
        <v>1.071</v>
      </c>
    </row>
    <row r="976" spans="2:30" x14ac:dyDescent="0.25">
      <c r="B976" t="s">
        <v>269</v>
      </c>
      <c r="C976" t="s">
        <v>463</v>
      </c>
      <c r="D976" t="s">
        <v>749</v>
      </c>
      <c r="E976" s="35">
        <v>0.9</v>
      </c>
      <c r="F976" s="35">
        <v>6.6</v>
      </c>
      <c r="G976" s="36">
        <v>3.5699999999999998E-3</v>
      </c>
      <c r="H976" s="18">
        <v>6.4252979999999997</v>
      </c>
      <c r="I976" s="16" t="s">
        <v>746</v>
      </c>
      <c r="J976" s="16"/>
      <c r="K976" s="16"/>
      <c r="L976" s="37"/>
      <c r="M976" s="37"/>
      <c r="N976" s="37"/>
      <c r="O976" s="37"/>
      <c r="P976" s="37"/>
      <c r="Q976" s="18">
        <v>3.9269999999999999E-2</v>
      </c>
      <c r="R976" s="18">
        <v>2.6774999999999998E-4</v>
      </c>
      <c r="S976" s="18">
        <v>7.4969999999999995E-2</v>
      </c>
      <c r="T976" s="18">
        <v>0.32129999999999997</v>
      </c>
      <c r="U976" s="18">
        <v>0.16064999999999999</v>
      </c>
      <c r="V976" s="18">
        <v>2.0563199999999999</v>
      </c>
      <c r="W976" s="18">
        <v>1.9278</v>
      </c>
      <c r="X976" s="18">
        <v>1.2851999999999999</v>
      </c>
      <c r="Y976" s="18">
        <v>5.7119999999999997E-2</v>
      </c>
      <c r="Z976" s="18">
        <v>0.25346999999999997</v>
      </c>
      <c r="AA976" s="18">
        <v>0.37128</v>
      </c>
      <c r="AB976" s="18">
        <v>0.66044999999999998</v>
      </c>
      <c r="AC976" s="18">
        <v>0.20348999999999998</v>
      </c>
      <c r="AD976" s="18">
        <v>1.071</v>
      </c>
    </row>
    <row r="977" spans="2:30" x14ac:dyDescent="0.25">
      <c r="B977" t="s">
        <v>269</v>
      </c>
      <c r="C977" t="s">
        <v>463</v>
      </c>
      <c r="D977" t="s">
        <v>749</v>
      </c>
      <c r="E977" s="35">
        <v>0.9</v>
      </c>
      <c r="F977" s="35">
        <v>6.6</v>
      </c>
      <c r="G977" s="36">
        <v>3.5699999999999998E-3</v>
      </c>
      <c r="H977" s="18">
        <v>6.4252979999999997</v>
      </c>
      <c r="I977" s="16" t="s">
        <v>746</v>
      </c>
      <c r="J977" s="16"/>
      <c r="K977" s="16"/>
      <c r="L977" s="37"/>
      <c r="M977" s="37"/>
      <c r="N977" s="37"/>
      <c r="O977" s="37"/>
      <c r="P977" s="37"/>
      <c r="Q977" s="18">
        <v>3.9269999999999999E-2</v>
      </c>
      <c r="R977" s="18">
        <v>2.6774999999999998E-4</v>
      </c>
      <c r="S977" s="18">
        <v>7.4969999999999995E-2</v>
      </c>
      <c r="T977" s="18">
        <v>0.32129999999999997</v>
      </c>
      <c r="U977" s="18">
        <v>0.16064999999999999</v>
      </c>
      <c r="V977" s="18">
        <v>2.0563199999999999</v>
      </c>
      <c r="W977" s="18">
        <v>1.9278</v>
      </c>
      <c r="X977" s="18">
        <v>1.2851999999999999</v>
      </c>
      <c r="Y977" s="18">
        <v>5.7119999999999997E-2</v>
      </c>
      <c r="Z977" s="18">
        <v>0.25346999999999997</v>
      </c>
      <c r="AA977" s="18">
        <v>0.37128</v>
      </c>
      <c r="AB977" s="18">
        <v>0.66044999999999998</v>
      </c>
      <c r="AC977" s="18">
        <v>0.20348999999999998</v>
      </c>
      <c r="AD977" s="18">
        <v>1.071</v>
      </c>
    </row>
    <row r="978" spans="2:30" x14ac:dyDescent="0.25">
      <c r="B978" t="s">
        <v>269</v>
      </c>
      <c r="C978" t="s">
        <v>463</v>
      </c>
      <c r="D978" t="s">
        <v>748</v>
      </c>
      <c r="E978" s="35">
        <v>0.9</v>
      </c>
      <c r="F978" s="35">
        <v>6.6</v>
      </c>
      <c r="G978" s="36">
        <v>4.1200000000000004E-3</v>
      </c>
      <c r="H978" s="18">
        <v>7.4152979999999999</v>
      </c>
      <c r="I978" s="16" t="s">
        <v>746</v>
      </c>
      <c r="J978" s="16"/>
      <c r="K978" s="16"/>
      <c r="L978" s="37"/>
      <c r="M978" s="37"/>
      <c r="N978" s="37"/>
      <c r="O978" s="37"/>
      <c r="P978" s="37"/>
      <c r="Q978" s="18">
        <v>4.5320000000000006E-2</v>
      </c>
      <c r="R978" s="18">
        <v>3.0900000000000003E-4</v>
      </c>
      <c r="S978" s="18">
        <v>8.6520000000000014E-2</v>
      </c>
      <c r="T978" s="18">
        <v>0.37080000000000002</v>
      </c>
      <c r="U978" s="18">
        <v>0.18540000000000001</v>
      </c>
      <c r="V978" s="18">
        <v>2.3731200000000001</v>
      </c>
      <c r="W978" s="18">
        <v>2.2248000000000001</v>
      </c>
      <c r="X978" s="18">
        <v>1.4832000000000001</v>
      </c>
      <c r="Y978" s="18">
        <v>6.5920000000000006E-2</v>
      </c>
      <c r="Z978" s="18">
        <v>0.29252</v>
      </c>
      <c r="AA978" s="18">
        <v>0.42848000000000003</v>
      </c>
      <c r="AB978" s="18">
        <v>0.7622000000000001</v>
      </c>
      <c r="AC978" s="18">
        <v>0.23484000000000002</v>
      </c>
      <c r="AD978" s="18">
        <v>1.2360000000000002</v>
      </c>
    </row>
    <row r="979" spans="2:30" x14ac:dyDescent="0.25">
      <c r="B979" t="s">
        <v>269</v>
      </c>
      <c r="C979" t="s">
        <v>463</v>
      </c>
      <c r="D979" t="s">
        <v>749</v>
      </c>
      <c r="E979" s="35">
        <v>0.9</v>
      </c>
      <c r="F979" s="35">
        <v>6.6</v>
      </c>
      <c r="G979" s="36">
        <v>3.5699999999999998E-3</v>
      </c>
      <c r="H979" s="18">
        <v>6.4252979999999997</v>
      </c>
      <c r="I979" s="16" t="s">
        <v>746</v>
      </c>
      <c r="J979" s="16"/>
      <c r="K979" s="16"/>
      <c r="L979" s="37"/>
      <c r="M979" s="37"/>
      <c r="N979" s="37"/>
      <c r="O979" s="37"/>
      <c r="P979" s="37"/>
      <c r="Q979" s="18">
        <v>3.9269999999999999E-2</v>
      </c>
      <c r="R979" s="18">
        <v>2.6774999999999998E-4</v>
      </c>
      <c r="S979" s="18">
        <v>7.4969999999999995E-2</v>
      </c>
      <c r="T979" s="18">
        <v>0.32129999999999997</v>
      </c>
      <c r="U979" s="18">
        <v>0.16064999999999999</v>
      </c>
      <c r="V979" s="18">
        <v>2.0563199999999999</v>
      </c>
      <c r="W979" s="18">
        <v>1.9278</v>
      </c>
      <c r="X979" s="18">
        <v>1.2851999999999999</v>
      </c>
      <c r="Y979" s="18">
        <v>5.7119999999999997E-2</v>
      </c>
      <c r="Z979" s="18">
        <v>0.25346999999999997</v>
      </c>
      <c r="AA979" s="18">
        <v>0.37128</v>
      </c>
      <c r="AB979" s="18">
        <v>0.66044999999999998</v>
      </c>
      <c r="AC979" s="18">
        <v>0.20348999999999998</v>
      </c>
      <c r="AD979" s="18">
        <v>1.071</v>
      </c>
    </row>
    <row r="980" spans="2:30" x14ac:dyDescent="0.25">
      <c r="B980" t="s">
        <v>269</v>
      </c>
      <c r="C980" t="s">
        <v>463</v>
      </c>
      <c r="D980" t="s">
        <v>749</v>
      </c>
      <c r="E980" s="35">
        <v>0.9</v>
      </c>
      <c r="F980" s="35">
        <v>6.6</v>
      </c>
      <c r="G980" s="36">
        <v>3.5699999999999998E-3</v>
      </c>
      <c r="H980" s="18">
        <v>6.4252979999999997</v>
      </c>
      <c r="I980" s="16" t="s">
        <v>746</v>
      </c>
      <c r="J980" s="16"/>
      <c r="K980" s="16"/>
      <c r="L980" s="37"/>
      <c r="M980" s="37"/>
      <c r="N980" s="37"/>
      <c r="O980" s="37"/>
      <c r="P980" s="37"/>
      <c r="Q980" s="18">
        <v>3.9269999999999999E-2</v>
      </c>
      <c r="R980" s="18">
        <v>2.6774999999999998E-4</v>
      </c>
      <c r="S980" s="18">
        <v>7.4969999999999995E-2</v>
      </c>
      <c r="T980" s="18">
        <v>0.32129999999999997</v>
      </c>
      <c r="U980" s="18">
        <v>0.16064999999999999</v>
      </c>
      <c r="V980" s="18">
        <v>2.0563199999999999</v>
      </c>
      <c r="W980" s="18">
        <v>1.9278</v>
      </c>
      <c r="X980" s="18">
        <v>1.2851999999999999</v>
      </c>
      <c r="Y980" s="18">
        <v>5.7119999999999997E-2</v>
      </c>
      <c r="Z980" s="18">
        <v>0.25346999999999997</v>
      </c>
      <c r="AA980" s="18">
        <v>0.37128</v>
      </c>
      <c r="AB980" s="18">
        <v>0.66044999999999998</v>
      </c>
      <c r="AC980" s="18">
        <v>0.20348999999999998</v>
      </c>
      <c r="AD980" s="18">
        <v>1.071</v>
      </c>
    </row>
    <row r="981" spans="2:30" x14ac:dyDescent="0.25">
      <c r="B981" t="s">
        <v>269</v>
      </c>
      <c r="C981" t="s">
        <v>463</v>
      </c>
      <c r="D981" t="s">
        <v>748</v>
      </c>
      <c r="E981" s="35">
        <v>0.9</v>
      </c>
      <c r="F981" s="35">
        <v>6.6</v>
      </c>
      <c r="G981" s="36">
        <v>4.1200000000000004E-3</v>
      </c>
      <c r="H981" s="18">
        <v>7.4152979999999999</v>
      </c>
      <c r="I981" s="16" t="s">
        <v>746</v>
      </c>
      <c r="J981" s="16"/>
      <c r="K981" s="16"/>
      <c r="L981" s="37"/>
      <c r="M981" s="37"/>
      <c r="N981" s="37"/>
      <c r="O981" s="37"/>
      <c r="P981" s="37"/>
      <c r="Q981" s="18">
        <v>4.5320000000000006E-2</v>
      </c>
      <c r="R981" s="18">
        <v>3.0900000000000003E-4</v>
      </c>
      <c r="S981" s="18">
        <v>8.6520000000000014E-2</v>
      </c>
      <c r="T981" s="18">
        <v>0.37080000000000002</v>
      </c>
      <c r="U981" s="18">
        <v>0.18540000000000001</v>
      </c>
      <c r="V981" s="18">
        <v>2.3731200000000001</v>
      </c>
      <c r="W981" s="18">
        <v>2.2248000000000001</v>
      </c>
      <c r="X981" s="18">
        <v>1.4832000000000001</v>
      </c>
      <c r="Y981" s="18">
        <v>6.5920000000000006E-2</v>
      </c>
      <c r="Z981" s="18">
        <v>0.29252</v>
      </c>
      <c r="AA981" s="18">
        <v>0.42848000000000003</v>
      </c>
      <c r="AB981" s="18">
        <v>0.7622000000000001</v>
      </c>
      <c r="AC981" s="18">
        <v>0.23484000000000002</v>
      </c>
      <c r="AD981" s="18">
        <v>1.2360000000000002</v>
      </c>
    </row>
    <row r="982" spans="2:30" x14ac:dyDescent="0.25">
      <c r="B982" t="s">
        <v>269</v>
      </c>
      <c r="C982" t="s">
        <v>463</v>
      </c>
      <c r="D982" t="s">
        <v>748</v>
      </c>
      <c r="E982" s="35">
        <v>0.9</v>
      </c>
      <c r="F982" s="35">
        <v>6.6</v>
      </c>
      <c r="G982" s="36">
        <v>4.1200000000000004E-3</v>
      </c>
      <c r="H982" s="18">
        <v>7.4152979999999999</v>
      </c>
      <c r="I982" s="16" t="s">
        <v>746</v>
      </c>
      <c r="J982" s="16"/>
      <c r="K982" s="16"/>
      <c r="L982" s="37"/>
      <c r="M982" s="37"/>
      <c r="N982" s="37"/>
      <c r="O982" s="37"/>
      <c r="P982" s="37"/>
      <c r="Q982" s="18">
        <v>4.5320000000000006E-2</v>
      </c>
      <c r="R982" s="18">
        <v>3.0900000000000003E-4</v>
      </c>
      <c r="S982" s="18">
        <v>8.6520000000000014E-2</v>
      </c>
      <c r="T982" s="18">
        <v>0.37080000000000002</v>
      </c>
      <c r="U982" s="18">
        <v>0.18540000000000001</v>
      </c>
      <c r="V982" s="18">
        <v>2.3731200000000001</v>
      </c>
      <c r="W982" s="18">
        <v>2.2248000000000001</v>
      </c>
      <c r="X982" s="18">
        <v>1.4832000000000001</v>
      </c>
      <c r="Y982" s="18">
        <v>6.5920000000000006E-2</v>
      </c>
      <c r="Z982" s="18">
        <v>0.29252</v>
      </c>
      <c r="AA982" s="18">
        <v>0.42848000000000003</v>
      </c>
      <c r="AB982" s="18">
        <v>0.7622000000000001</v>
      </c>
      <c r="AC982" s="18">
        <v>0.23484000000000002</v>
      </c>
      <c r="AD982" s="18">
        <v>1.2360000000000002</v>
      </c>
    </row>
    <row r="983" spans="2:30" x14ac:dyDescent="0.25">
      <c r="B983" t="s">
        <v>269</v>
      </c>
      <c r="C983" t="s">
        <v>463</v>
      </c>
      <c r="D983" t="s">
        <v>749</v>
      </c>
      <c r="E983" s="35">
        <v>0.9</v>
      </c>
      <c r="F983" s="35">
        <v>6.6</v>
      </c>
      <c r="G983" s="36">
        <v>3.5699999999999998E-3</v>
      </c>
      <c r="H983" s="18">
        <v>6.4252979999999997</v>
      </c>
      <c r="I983" s="16" t="s">
        <v>746</v>
      </c>
      <c r="J983" s="16"/>
      <c r="K983" s="16"/>
      <c r="L983" s="37"/>
      <c r="M983" s="37"/>
      <c r="N983" s="37"/>
      <c r="O983" s="37"/>
      <c r="P983" s="37"/>
      <c r="Q983" s="18">
        <v>3.9269999999999999E-2</v>
      </c>
      <c r="R983" s="18">
        <v>2.6774999999999998E-4</v>
      </c>
      <c r="S983" s="18">
        <v>7.4969999999999995E-2</v>
      </c>
      <c r="T983" s="18">
        <v>0.32129999999999997</v>
      </c>
      <c r="U983" s="18">
        <v>0.16064999999999999</v>
      </c>
      <c r="V983" s="18">
        <v>2.0563199999999999</v>
      </c>
      <c r="W983" s="18">
        <v>1.9278</v>
      </c>
      <c r="X983" s="18">
        <v>1.2851999999999999</v>
      </c>
      <c r="Y983" s="18">
        <v>5.7119999999999997E-2</v>
      </c>
      <c r="Z983" s="18">
        <v>0.25346999999999997</v>
      </c>
      <c r="AA983" s="18">
        <v>0.37128</v>
      </c>
      <c r="AB983" s="18">
        <v>0.66044999999999998</v>
      </c>
      <c r="AC983" s="18">
        <v>0.20348999999999998</v>
      </c>
      <c r="AD983" s="18">
        <v>1.071</v>
      </c>
    </row>
    <row r="984" spans="2:30" x14ac:dyDescent="0.25">
      <c r="B984" t="s">
        <v>269</v>
      </c>
      <c r="C984" t="s">
        <v>463</v>
      </c>
      <c r="D984" t="s">
        <v>750</v>
      </c>
      <c r="E984" s="35">
        <v>0.9</v>
      </c>
      <c r="F984" s="35">
        <v>6.6</v>
      </c>
      <c r="G984" s="36">
        <v>3.0200000000000001E-3</v>
      </c>
      <c r="H984" s="18">
        <v>5.4352980000000004</v>
      </c>
      <c r="I984" s="16" t="s">
        <v>746</v>
      </c>
      <c r="J984" s="16"/>
      <c r="K984" s="16"/>
      <c r="L984" s="37"/>
      <c r="M984" s="37"/>
      <c r="N984" s="37"/>
      <c r="O984" s="37"/>
      <c r="P984" s="37"/>
      <c r="Q984" s="18">
        <v>3.322E-2</v>
      </c>
      <c r="R984" s="18">
        <v>2.265E-4</v>
      </c>
      <c r="S984" s="18">
        <v>6.3420000000000004E-2</v>
      </c>
      <c r="T984" s="18">
        <v>0.27179999999999999</v>
      </c>
      <c r="U984" s="18">
        <v>0.13589999999999999</v>
      </c>
      <c r="V984" s="18">
        <v>1.7395200000000002</v>
      </c>
      <c r="W984" s="18">
        <v>1.6308</v>
      </c>
      <c r="X984" s="18">
        <v>1.0871999999999999</v>
      </c>
      <c r="Y984" s="18">
        <v>4.8320000000000002E-2</v>
      </c>
      <c r="Z984" s="18">
        <v>0.21442</v>
      </c>
      <c r="AA984" s="18">
        <v>0.31408000000000003</v>
      </c>
      <c r="AB984" s="18">
        <v>0.55869999999999997</v>
      </c>
      <c r="AC984" s="18">
        <v>0.17214000000000002</v>
      </c>
      <c r="AD984" s="18">
        <v>0.90600000000000003</v>
      </c>
    </row>
    <row r="985" spans="2:30" x14ac:dyDescent="0.25">
      <c r="B985" t="s">
        <v>269</v>
      </c>
      <c r="C985" t="s">
        <v>463</v>
      </c>
      <c r="D985" t="s">
        <v>748</v>
      </c>
      <c r="E985" s="35">
        <v>0.9</v>
      </c>
      <c r="F985" s="35">
        <v>6.6</v>
      </c>
      <c r="G985" s="36">
        <v>4.1200000000000004E-3</v>
      </c>
      <c r="H985" s="18">
        <v>7.4152979999999999</v>
      </c>
      <c r="I985" s="16" t="s">
        <v>746</v>
      </c>
      <c r="J985" s="16"/>
      <c r="K985" s="16"/>
      <c r="L985" s="37"/>
      <c r="M985" s="37"/>
      <c r="N985" s="37"/>
      <c r="O985" s="37"/>
      <c r="P985" s="37"/>
      <c r="Q985" s="18">
        <v>4.5320000000000006E-2</v>
      </c>
      <c r="R985" s="18">
        <v>3.0900000000000003E-4</v>
      </c>
      <c r="S985" s="18">
        <v>8.6520000000000014E-2</v>
      </c>
      <c r="T985" s="18">
        <v>0.37080000000000002</v>
      </c>
      <c r="U985" s="18">
        <v>0.18540000000000001</v>
      </c>
      <c r="V985" s="18">
        <v>2.3731200000000001</v>
      </c>
      <c r="W985" s="18">
        <v>2.2248000000000001</v>
      </c>
      <c r="X985" s="18">
        <v>1.4832000000000001</v>
      </c>
      <c r="Y985" s="18">
        <v>6.5920000000000006E-2</v>
      </c>
      <c r="Z985" s="18">
        <v>0.29252</v>
      </c>
      <c r="AA985" s="18">
        <v>0.42848000000000003</v>
      </c>
      <c r="AB985" s="18">
        <v>0.7622000000000001</v>
      </c>
      <c r="AC985" s="18">
        <v>0.23484000000000002</v>
      </c>
      <c r="AD985" s="18">
        <v>1.2360000000000002</v>
      </c>
    </row>
    <row r="986" spans="2:30" x14ac:dyDescent="0.25">
      <c r="B986" t="s">
        <v>269</v>
      </c>
      <c r="C986" t="s">
        <v>463</v>
      </c>
      <c r="D986" t="s">
        <v>750</v>
      </c>
      <c r="E986" s="35">
        <v>0.9</v>
      </c>
      <c r="F986" s="35">
        <v>6.6</v>
      </c>
      <c r="G986" s="36">
        <v>3.0200000000000001E-3</v>
      </c>
      <c r="H986" s="18">
        <v>5.4352980000000004</v>
      </c>
      <c r="I986" s="16" t="s">
        <v>746</v>
      </c>
      <c r="J986" s="16"/>
      <c r="K986" s="16"/>
      <c r="L986" s="37"/>
      <c r="M986" s="37"/>
      <c r="N986" s="37"/>
      <c r="O986" s="37"/>
      <c r="P986" s="37"/>
      <c r="Q986" s="18">
        <v>3.322E-2</v>
      </c>
      <c r="R986" s="18">
        <v>2.265E-4</v>
      </c>
      <c r="S986" s="18">
        <v>6.3420000000000004E-2</v>
      </c>
      <c r="T986" s="18">
        <v>0.27179999999999999</v>
      </c>
      <c r="U986" s="18">
        <v>0.13589999999999999</v>
      </c>
      <c r="V986" s="18">
        <v>1.7395200000000002</v>
      </c>
      <c r="W986" s="18">
        <v>1.6308</v>
      </c>
      <c r="X986" s="18">
        <v>1.0871999999999999</v>
      </c>
      <c r="Y986" s="18">
        <v>4.8320000000000002E-2</v>
      </c>
      <c r="Z986" s="18">
        <v>0.21442</v>
      </c>
      <c r="AA986" s="18">
        <v>0.31408000000000003</v>
      </c>
      <c r="AB986" s="18">
        <v>0.55869999999999997</v>
      </c>
      <c r="AC986" s="18">
        <v>0.17214000000000002</v>
      </c>
      <c r="AD986" s="18">
        <v>0.90600000000000003</v>
      </c>
    </row>
    <row r="987" spans="2:30" x14ac:dyDescent="0.25">
      <c r="B987" t="s">
        <v>269</v>
      </c>
      <c r="C987" t="s">
        <v>463</v>
      </c>
      <c r="D987" t="s">
        <v>750</v>
      </c>
      <c r="E987" s="35">
        <v>0.9</v>
      </c>
      <c r="F987" s="35">
        <v>6.6</v>
      </c>
      <c r="G987" s="36">
        <v>3.0200000000000001E-3</v>
      </c>
      <c r="H987" s="18">
        <v>5.4352980000000004</v>
      </c>
      <c r="I987" s="16" t="s">
        <v>746</v>
      </c>
      <c r="J987" s="16"/>
      <c r="K987" s="16"/>
      <c r="L987" s="37"/>
      <c r="M987" s="37"/>
      <c r="N987" s="37"/>
      <c r="O987" s="37"/>
      <c r="P987" s="37"/>
      <c r="Q987" s="18">
        <v>3.322E-2</v>
      </c>
      <c r="R987" s="18">
        <v>2.265E-4</v>
      </c>
      <c r="S987" s="18">
        <v>6.3420000000000004E-2</v>
      </c>
      <c r="T987" s="18">
        <v>0.27179999999999999</v>
      </c>
      <c r="U987" s="18">
        <v>0.13589999999999999</v>
      </c>
      <c r="V987" s="18">
        <v>1.7395200000000002</v>
      </c>
      <c r="W987" s="18">
        <v>1.6308</v>
      </c>
      <c r="X987" s="18">
        <v>1.0871999999999999</v>
      </c>
      <c r="Y987" s="18">
        <v>4.8320000000000002E-2</v>
      </c>
      <c r="Z987" s="18">
        <v>0.21442</v>
      </c>
      <c r="AA987" s="18">
        <v>0.31408000000000003</v>
      </c>
      <c r="AB987" s="18">
        <v>0.55869999999999997</v>
      </c>
      <c r="AC987" s="18">
        <v>0.17214000000000002</v>
      </c>
      <c r="AD987" s="18">
        <v>0.90600000000000003</v>
      </c>
    </row>
    <row r="988" spans="2:30" x14ac:dyDescent="0.25">
      <c r="B988" t="s">
        <v>269</v>
      </c>
      <c r="C988" t="s">
        <v>463</v>
      </c>
      <c r="D988" t="s">
        <v>748</v>
      </c>
      <c r="E988" s="35">
        <v>0.9</v>
      </c>
      <c r="F988" s="35">
        <v>6.6</v>
      </c>
      <c r="G988" s="36">
        <v>4.1200000000000004E-3</v>
      </c>
      <c r="H988" s="18">
        <v>7.4152979999999999</v>
      </c>
      <c r="I988" s="16" t="s">
        <v>746</v>
      </c>
      <c r="J988" s="16"/>
      <c r="K988" s="16"/>
      <c r="L988" s="37"/>
      <c r="M988" s="37"/>
      <c r="N988" s="37"/>
      <c r="O988" s="37"/>
      <c r="P988" s="37"/>
      <c r="Q988" s="18">
        <v>4.5320000000000006E-2</v>
      </c>
      <c r="R988" s="18">
        <v>3.0900000000000003E-4</v>
      </c>
      <c r="S988" s="18">
        <v>8.6520000000000014E-2</v>
      </c>
      <c r="T988" s="18">
        <v>0.37080000000000002</v>
      </c>
      <c r="U988" s="18">
        <v>0.18540000000000001</v>
      </c>
      <c r="V988" s="18">
        <v>2.3731200000000001</v>
      </c>
      <c r="W988" s="18">
        <v>2.2248000000000001</v>
      </c>
      <c r="X988" s="18">
        <v>1.4832000000000001</v>
      </c>
      <c r="Y988" s="18">
        <v>6.5920000000000006E-2</v>
      </c>
      <c r="Z988" s="18">
        <v>0.29252</v>
      </c>
      <c r="AA988" s="18">
        <v>0.42848000000000003</v>
      </c>
      <c r="AB988" s="18">
        <v>0.7622000000000001</v>
      </c>
      <c r="AC988" s="18">
        <v>0.23484000000000002</v>
      </c>
      <c r="AD988" s="18">
        <v>1.2360000000000002</v>
      </c>
    </row>
    <row r="989" spans="2:30" x14ac:dyDescent="0.25">
      <c r="B989" t="s">
        <v>269</v>
      </c>
      <c r="C989" t="s">
        <v>463</v>
      </c>
      <c r="D989" t="s">
        <v>748</v>
      </c>
      <c r="E989" s="35">
        <v>0.9</v>
      </c>
      <c r="F989" s="35">
        <v>6.6</v>
      </c>
      <c r="G989" s="36">
        <v>4.1200000000000004E-3</v>
      </c>
      <c r="H989" s="18">
        <v>7.4152979999999999</v>
      </c>
      <c r="I989" s="16" t="s">
        <v>746</v>
      </c>
      <c r="J989" s="16"/>
      <c r="K989" s="16"/>
      <c r="L989" s="37"/>
      <c r="M989" s="37"/>
      <c r="N989" s="37"/>
      <c r="O989" s="37"/>
      <c r="P989" s="37"/>
      <c r="Q989" s="18">
        <v>4.5320000000000006E-2</v>
      </c>
      <c r="R989" s="18">
        <v>3.0900000000000003E-4</v>
      </c>
      <c r="S989" s="18">
        <v>8.6520000000000014E-2</v>
      </c>
      <c r="T989" s="18">
        <v>0.37080000000000002</v>
      </c>
      <c r="U989" s="18">
        <v>0.18540000000000001</v>
      </c>
      <c r="V989" s="18">
        <v>2.3731200000000001</v>
      </c>
      <c r="W989" s="18">
        <v>2.2248000000000001</v>
      </c>
      <c r="X989" s="18">
        <v>1.4832000000000001</v>
      </c>
      <c r="Y989" s="18">
        <v>6.5920000000000006E-2</v>
      </c>
      <c r="Z989" s="18">
        <v>0.29252</v>
      </c>
      <c r="AA989" s="18">
        <v>0.42848000000000003</v>
      </c>
      <c r="AB989" s="18">
        <v>0.7622000000000001</v>
      </c>
      <c r="AC989" s="18">
        <v>0.23484000000000002</v>
      </c>
      <c r="AD989" s="18">
        <v>1.2360000000000002</v>
      </c>
    </row>
    <row r="990" spans="2:30" x14ac:dyDescent="0.25">
      <c r="B990" t="s">
        <v>269</v>
      </c>
      <c r="C990" t="s">
        <v>463</v>
      </c>
      <c r="D990" t="s">
        <v>750</v>
      </c>
      <c r="E990" s="35">
        <v>0.9</v>
      </c>
      <c r="F990" s="35">
        <v>6.6</v>
      </c>
      <c r="G990" s="36">
        <v>3.0200000000000001E-3</v>
      </c>
      <c r="H990" s="18">
        <v>5.4352980000000004</v>
      </c>
      <c r="I990" s="16" t="s">
        <v>746</v>
      </c>
      <c r="J990" s="16"/>
      <c r="K990" s="16"/>
      <c r="L990" s="37"/>
      <c r="M990" s="37"/>
      <c r="N990" s="37"/>
      <c r="O990" s="37"/>
      <c r="P990" s="37"/>
      <c r="Q990" s="18">
        <v>3.322E-2</v>
      </c>
      <c r="R990" s="18">
        <v>2.265E-4</v>
      </c>
      <c r="S990" s="18">
        <v>6.3420000000000004E-2</v>
      </c>
      <c r="T990" s="18">
        <v>0.27179999999999999</v>
      </c>
      <c r="U990" s="18">
        <v>0.13589999999999999</v>
      </c>
      <c r="V990" s="18">
        <v>1.7395200000000002</v>
      </c>
      <c r="W990" s="18">
        <v>1.6308</v>
      </c>
      <c r="X990" s="18">
        <v>1.0871999999999999</v>
      </c>
      <c r="Y990" s="18">
        <v>4.8320000000000002E-2</v>
      </c>
      <c r="Z990" s="18">
        <v>0.21442</v>
      </c>
      <c r="AA990" s="18">
        <v>0.31408000000000003</v>
      </c>
      <c r="AB990" s="18">
        <v>0.55869999999999997</v>
      </c>
      <c r="AC990" s="18">
        <v>0.17214000000000002</v>
      </c>
      <c r="AD990" s="18">
        <v>0.90600000000000003</v>
      </c>
    </row>
    <row r="991" spans="2:30" x14ac:dyDescent="0.25">
      <c r="B991" t="s">
        <v>269</v>
      </c>
      <c r="C991" t="s">
        <v>463</v>
      </c>
      <c r="D991" t="s">
        <v>749</v>
      </c>
      <c r="E991" s="35">
        <v>0.9</v>
      </c>
      <c r="F991" s="35">
        <v>6.6</v>
      </c>
      <c r="G991" s="36">
        <v>3.5699999999999998E-3</v>
      </c>
      <c r="H991" s="18">
        <v>6.4252979999999997</v>
      </c>
      <c r="I991" s="16" t="s">
        <v>746</v>
      </c>
      <c r="J991" s="16"/>
      <c r="K991" s="16"/>
      <c r="L991" s="37"/>
      <c r="M991" s="37"/>
      <c r="N991" s="37"/>
      <c r="O991" s="37"/>
      <c r="P991" s="37"/>
      <c r="Q991" s="18">
        <v>3.9269999999999999E-2</v>
      </c>
      <c r="R991" s="18">
        <v>2.6774999999999998E-4</v>
      </c>
      <c r="S991" s="18">
        <v>7.4969999999999995E-2</v>
      </c>
      <c r="T991" s="18">
        <v>0.32129999999999997</v>
      </c>
      <c r="U991" s="18">
        <v>0.16064999999999999</v>
      </c>
      <c r="V991" s="18">
        <v>2.0563199999999999</v>
      </c>
      <c r="W991" s="18">
        <v>1.9278</v>
      </c>
      <c r="X991" s="18">
        <v>1.2851999999999999</v>
      </c>
      <c r="Y991" s="18">
        <v>5.7119999999999997E-2</v>
      </c>
      <c r="Z991" s="18">
        <v>0.25346999999999997</v>
      </c>
      <c r="AA991" s="18">
        <v>0.37128</v>
      </c>
      <c r="AB991" s="18">
        <v>0.66044999999999998</v>
      </c>
      <c r="AC991" s="18">
        <v>0.20348999999999998</v>
      </c>
      <c r="AD991" s="18">
        <v>1.071</v>
      </c>
    </row>
    <row r="992" spans="2:30" x14ac:dyDescent="0.25">
      <c r="B992" t="s">
        <v>269</v>
      </c>
      <c r="C992" t="s">
        <v>463</v>
      </c>
      <c r="D992" t="s">
        <v>748</v>
      </c>
      <c r="E992" s="35">
        <v>0.9</v>
      </c>
      <c r="F992" s="35">
        <v>6.6</v>
      </c>
      <c r="G992" s="36">
        <v>4.1200000000000004E-3</v>
      </c>
      <c r="H992" s="18">
        <v>7.4152979999999999</v>
      </c>
      <c r="I992" s="16" t="s">
        <v>746</v>
      </c>
      <c r="J992" s="16"/>
      <c r="K992" s="16"/>
      <c r="L992" s="37"/>
      <c r="M992" s="37"/>
      <c r="N992" s="37"/>
      <c r="O992" s="37"/>
      <c r="P992" s="37"/>
      <c r="Q992" s="18">
        <v>4.5320000000000006E-2</v>
      </c>
      <c r="R992" s="18">
        <v>3.0900000000000003E-4</v>
      </c>
      <c r="S992" s="18">
        <v>8.6520000000000014E-2</v>
      </c>
      <c r="T992" s="18">
        <v>0.37080000000000002</v>
      </c>
      <c r="U992" s="18">
        <v>0.18540000000000001</v>
      </c>
      <c r="V992" s="18">
        <v>2.3731200000000001</v>
      </c>
      <c r="W992" s="18">
        <v>2.2248000000000001</v>
      </c>
      <c r="X992" s="18">
        <v>1.4832000000000001</v>
      </c>
      <c r="Y992" s="18">
        <v>6.5920000000000006E-2</v>
      </c>
      <c r="Z992" s="18">
        <v>0.29252</v>
      </c>
      <c r="AA992" s="18">
        <v>0.42848000000000003</v>
      </c>
      <c r="AB992" s="18">
        <v>0.7622000000000001</v>
      </c>
      <c r="AC992" s="18">
        <v>0.23484000000000002</v>
      </c>
      <c r="AD992" s="18">
        <v>1.2360000000000002</v>
      </c>
    </row>
    <row r="993" spans="2:30" x14ac:dyDescent="0.25">
      <c r="B993" t="s">
        <v>269</v>
      </c>
      <c r="C993" t="s">
        <v>463</v>
      </c>
      <c r="D993" t="s">
        <v>748</v>
      </c>
      <c r="E993" s="35">
        <v>0.9</v>
      </c>
      <c r="F993" s="35">
        <v>6.6</v>
      </c>
      <c r="G993" s="36">
        <v>4.1200000000000004E-3</v>
      </c>
      <c r="H993" s="18">
        <v>7.4152979999999999</v>
      </c>
      <c r="I993" s="16" t="s">
        <v>746</v>
      </c>
      <c r="J993" s="16"/>
      <c r="K993" s="16"/>
      <c r="L993" s="37"/>
      <c r="M993" s="37"/>
      <c r="N993" s="37"/>
      <c r="O993" s="37"/>
      <c r="P993" s="37"/>
      <c r="Q993" s="18">
        <v>4.5320000000000006E-2</v>
      </c>
      <c r="R993" s="18">
        <v>3.0900000000000003E-4</v>
      </c>
      <c r="S993" s="18">
        <v>8.6520000000000014E-2</v>
      </c>
      <c r="T993" s="18">
        <v>0.37080000000000002</v>
      </c>
      <c r="U993" s="18">
        <v>0.18540000000000001</v>
      </c>
      <c r="V993" s="18">
        <v>2.3731200000000001</v>
      </c>
      <c r="W993" s="18">
        <v>2.2248000000000001</v>
      </c>
      <c r="X993" s="18">
        <v>1.4832000000000001</v>
      </c>
      <c r="Y993" s="18">
        <v>6.5920000000000006E-2</v>
      </c>
      <c r="Z993" s="18">
        <v>0.29252</v>
      </c>
      <c r="AA993" s="18">
        <v>0.42848000000000003</v>
      </c>
      <c r="AB993" s="18">
        <v>0.7622000000000001</v>
      </c>
      <c r="AC993" s="18">
        <v>0.23484000000000002</v>
      </c>
      <c r="AD993" s="18">
        <v>1.2360000000000002</v>
      </c>
    </row>
    <row r="994" spans="2:30" x14ac:dyDescent="0.25">
      <c r="B994" t="s">
        <v>269</v>
      </c>
      <c r="C994" t="s">
        <v>463</v>
      </c>
      <c r="D994" t="s">
        <v>750</v>
      </c>
      <c r="E994" s="35">
        <v>0.9</v>
      </c>
      <c r="F994" s="35">
        <v>6.6</v>
      </c>
      <c r="G994" s="36">
        <v>3.0200000000000001E-3</v>
      </c>
      <c r="H994" s="18">
        <v>5.4352980000000004</v>
      </c>
      <c r="I994" s="16" t="s">
        <v>746</v>
      </c>
      <c r="J994" s="16"/>
      <c r="K994" s="16"/>
      <c r="L994" s="37"/>
      <c r="M994" s="37"/>
      <c r="N994" s="37"/>
      <c r="O994" s="37"/>
      <c r="P994" s="37"/>
      <c r="Q994" s="18">
        <v>3.322E-2</v>
      </c>
      <c r="R994" s="18">
        <v>2.265E-4</v>
      </c>
      <c r="S994" s="18">
        <v>6.3420000000000004E-2</v>
      </c>
      <c r="T994" s="18">
        <v>0.27179999999999999</v>
      </c>
      <c r="U994" s="18">
        <v>0.13589999999999999</v>
      </c>
      <c r="V994" s="18">
        <v>1.7395200000000002</v>
      </c>
      <c r="W994" s="18">
        <v>1.6308</v>
      </c>
      <c r="X994" s="18">
        <v>1.0871999999999999</v>
      </c>
      <c r="Y994" s="18">
        <v>4.8320000000000002E-2</v>
      </c>
      <c r="Z994" s="18">
        <v>0.21442</v>
      </c>
      <c r="AA994" s="18">
        <v>0.31408000000000003</v>
      </c>
      <c r="AB994" s="18">
        <v>0.55869999999999997</v>
      </c>
      <c r="AC994" s="18">
        <v>0.17214000000000002</v>
      </c>
      <c r="AD994" s="18">
        <v>0.90600000000000003</v>
      </c>
    </row>
    <row r="995" spans="2:30" x14ac:dyDescent="0.25">
      <c r="B995" t="s">
        <v>269</v>
      </c>
      <c r="C995" t="s">
        <v>463</v>
      </c>
      <c r="D995" t="s">
        <v>750</v>
      </c>
      <c r="E995" s="35">
        <v>0.9</v>
      </c>
      <c r="F995" s="35">
        <v>6.6</v>
      </c>
      <c r="G995" s="36">
        <v>3.0200000000000001E-3</v>
      </c>
      <c r="H995" s="18">
        <v>5.4352980000000004</v>
      </c>
      <c r="I995" s="16" t="s">
        <v>746</v>
      </c>
      <c r="J995" s="16"/>
      <c r="K995" s="16"/>
      <c r="L995" s="37"/>
      <c r="M995" s="37"/>
      <c r="N995" s="37"/>
      <c r="O995" s="37"/>
      <c r="P995" s="37"/>
      <c r="Q995" s="18">
        <v>3.322E-2</v>
      </c>
      <c r="R995" s="18">
        <v>2.265E-4</v>
      </c>
      <c r="S995" s="18">
        <v>6.3420000000000004E-2</v>
      </c>
      <c r="T995" s="18">
        <v>0.27179999999999999</v>
      </c>
      <c r="U995" s="18">
        <v>0.13589999999999999</v>
      </c>
      <c r="V995" s="18">
        <v>1.7395200000000002</v>
      </c>
      <c r="W995" s="18">
        <v>1.6308</v>
      </c>
      <c r="X995" s="18">
        <v>1.0871999999999999</v>
      </c>
      <c r="Y995" s="18">
        <v>4.8320000000000002E-2</v>
      </c>
      <c r="Z995" s="18">
        <v>0.21442</v>
      </c>
      <c r="AA995" s="18">
        <v>0.31408000000000003</v>
      </c>
      <c r="AB995" s="18">
        <v>0.55869999999999997</v>
      </c>
      <c r="AC995" s="18">
        <v>0.17214000000000002</v>
      </c>
      <c r="AD995" s="18">
        <v>0.90600000000000003</v>
      </c>
    </row>
    <row r="996" spans="2:30" x14ac:dyDescent="0.25">
      <c r="B996" t="s">
        <v>269</v>
      </c>
      <c r="C996" t="s">
        <v>463</v>
      </c>
      <c r="D996" t="s">
        <v>749</v>
      </c>
      <c r="E996" s="35">
        <v>0.9</v>
      </c>
      <c r="F996" s="35">
        <v>6.6</v>
      </c>
      <c r="G996" s="36">
        <v>3.5699999999999998E-3</v>
      </c>
      <c r="H996" s="18">
        <v>6.4252979999999997</v>
      </c>
      <c r="I996" s="16" t="s">
        <v>746</v>
      </c>
      <c r="J996" s="16"/>
      <c r="K996" s="16"/>
      <c r="L996" s="37"/>
      <c r="M996" s="37"/>
      <c r="N996" s="37"/>
      <c r="O996" s="37"/>
      <c r="P996" s="37"/>
      <c r="Q996" s="18">
        <v>3.9269999999999999E-2</v>
      </c>
      <c r="R996" s="18">
        <v>2.6774999999999998E-4</v>
      </c>
      <c r="S996" s="18">
        <v>7.4969999999999995E-2</v>
      </c>
      <c r="T996" s="18">
        <v>0.32129999999999997</v>
      </c>
      <c r="U996" s="18">
        <v>0.16064999999999999</v>
      </c>
      <c r="V996" s="18">
        <v>2.0563199999999999</v>
      </c>
      <c r="W996" s="18">
        <v>1.9278</v>
      </c>
      <c r="X996" s="18">
        <v>1.2851999999999999</v>
      </c>
      <c r="Y996" s="18">
        <v>5.7119999999999997E-2</v>
      </c>
      <c r="Z996" s="18">
        <v>0.25346999999999997</v>
      </c>
      <c r="AA996" s="18">
        <v>0.37128</v>
      </c>
      <c r="AB996" s="18">
        <v>0.66044999999999998</v>
      </c>
      <c r="AC996" s="18">
        <v>0.20348999999999998</v>
      </c>
      <c r="AD996" s="18">
        <v>1.071</v>
      </c>
    </row>
    <row r="997" spans="2:30" x14ac:dyDescent="0.25">
      <c r="B997" t="s">
        <v>269</v>
      </c>
      <c r="C997" t="s">
        <v>463</v>
      </c>
      <c r="D997" t="s">
        <v>748</v>
      </c>
      <c r="E997" s="35">
        <v>0.9</v>
      </c>
      <c r="F997" s="35">
        <v>6.6</v>
      </c>
      <c r="G997" s="36">
        <v>4.1200000000000004E-3</v>
      </c>
      <c r="H997" s="18">
        <v>7.4152979999999999</v>
      </c>
      <c r="I997" s="16" t="s">
        <v>746</v>
      </c>
      <c r="J997" s="16"/>
      <c r="K997" s="16"/>
      <c r="L997" s="37"/>
      <c r="M997" s="37"/>
      <c r="N997" s="37"/>
      <c r="O997" s="37"/>
      <c r="P997" s="37"/>
      <c r="Q997" s="18">
        <v>4.5320000000000006E-2</v>
      </c>
      <c r="R997" s="18">
        <v>3.0900000000000003E-4</v>
      </c>
      <c r="S997" s="18">
        <v>8.6520000000000014E-2</v>
      </c>
      <c r="T997" s="18">
        <v>0.37080000000000002</v>
      </c>
      <c r="U997" s="18">
        <v>0.18540000000000001</v>
      </c>
      <c r="V997" s="18">
        <v>2.3731200000000001</v>
      </c>
      <c r="W997" s="18">
        <v>2.2248000000000001</v>
      </c>
      <c r="X997" s="18">
        <v>1.4832000000000001</v>
      </c>
      <c r="Y997" s="18">
        <v>6.5920000000000006E-2</v>
      </c>
      <c r="Z997" s="18">
        <v>0.29252</v>
      </c>
      <c r="AA997" s="18">
        <v>0.42848000000000003</v>
      </c>
      <c r="AB997" s="18">
        <v>0.7622000000000001</v>
      </c>
      <c r="AC997" s="18">
        <v>0.23484000000000002</v>
      </c>
      <c r="AD997" s="18">
        <v>1.2360000000000002</v>
      </c>
    </row>
    <row r="998" spans="2:30" x14ac:dyDescent="0.25">
      <c r="B998" t="s">
        <v>269</v>
      </c>
      <c r="C998" t="s">
        <v>463</v>
      </c>
      <c r="D998" t="s">
        <v>750</v>
      </c>
      <c r="E998" s="35">
        <v>0.9</v>
      </c>
      <c r="F998" s="35">
        <v>6.6</v>
      </c>
      <c r="G998" s="36">
        <v>3.0200000000000001E-3</v>
      </c>
      <c r="H998" s="18">
        <v>5.4352980000000004</v>
      </c>
      <c r="I998" s="16" t="s">
        <v>746</v>
      </c>
      <c r="J998" s="16"/>
      <c r="K998" s="16"/>
      <c r="L998" s="37"/>
      <c r="M998" s="37"/>
      <c r="N998" s="37"/>
      <c r="O998" s="37"/>
      <c r="P998" s="37"/>
      <c r="Q998" s="18">
        <v>3.322E-2</v>
      </c>
      <c r="R998" s="18">
        <v>2.265E-4</v>
      </c>
      <c r="S998" s="18">
        <v>6.3420000000000004E-2</v>
      </c>
      <c r="T998" s="18">
        <v>0.27179999999999999</v>
      </c>
      <c r="U998" s="18">
        <v>0.13589999999999999</v>
      </c>
      <c r="V998" s="18">
        <v>1.7395200000000002</v>
      </c>
      <c r="W998" s="18">
        <v>1.6308</v>
      </c>
      <c r="X998" s="18">
        <v>1.0871999999999999</v>
      </c>
      <c r="Y998" s="18">
        <v>4.8320000000000002E-2</v>
      </c>
      <c r="Z998" s="18">
        <v>0.21442</v>
      </c>
      <c r="AA998" s="18">
        <v>0.31408000000000003</v>
      </c>
      <c r="AB998" s="18">
        <v>0.55869999999999997</v>
      </c>
      <c r="AC998" s="18">
        <v>0.17214000000000002</v>
      </c>
      <c r="AD998" s="18">
        <v>0.90600000000000003</v>
      </c>
    </row>
    <row r="999" spans="2:30" x14ac:dyDescent="0.25">
      <c r="B999" t="s">
        <v>269</v>
      </c>
      <c r="C999" t="s">
        <v>463</v>
      </c>
      <c r="D999" t="s">
        <v>750</v>
      </c>
      <c r="E999" s="35">
        <v>0.9</v>
      </c>
      <c r="F999" s="35">
        <v>6.6</v>
      </c>
      <c r="G999" s="36">
        <v>3.0200000000000001E-3</v>
      </c>
      <c r="H999" s="18">
        <v>5.4352980000000004</v>
      </c>
      <c r="I999" s="16" t="s">
        <v>746</v>
      </c>
      <c r="J999" s="16"/>
      <c r="K999" s="16"/>
      <c r="L999" s="37"/>
      <c r="M999" s="37"/>
      <c r="N999" s="37"/>
      <c r="O999" s="37"/>
      <c r="P999" s="37"/>
      <c r="Q999" s="18">
        <v>3.322E-2</v>
      </c>
      <c r="R999" s="18">
        <v>2.265E-4</v>
      </c>
      <c r="S999" s="18">
        <v>6.3420000000000004E-2</v>
      </c>
      <c r="T999" s="18">
        <v>0.27179999999999999</v>
      </c>
      <c r="U999" s="18">
        <v>0.13589999999999999</v>
      </c>
      <c r="V999" s="18">
        <v>1.7395200000000002</v>
      </c>
      <c r="W999" s="18">
        <v>1.6308</v>
      </c>
      <c r="X999" s="18">
        <v>1.0871999999999999</v>
      </c>
      <c r="Y999" s="18">
        <v>4.8320000000000002E-2</v>
      </c>
      <c r="Z999" s="18">
        <v>0.21442</v>
      </c>
      <c r="AA999" s="18">
        <v>0.31408000000000003</v>
      </c>
      <c r="AB999" s="18">
        <v>0.55869999999999997</v>
      </c>
      <c r="AC999" s="18">
        <v>0.17214000000000002</v>
      </c>
      <c r="AD999" s="18">
        <v>0.90600000000000003</v>
      </c>
    </row>
    <row r="1000" spans="2:30" x14ac:dyDescent="0.25">
      <c r="B1000" t="s">
        <v>269</v>
      </c>
      <c r="C1000" t="s">
        <v>463</v>
      </c>
      <c r="D1000" t="s">
        <v>749</v>
      </c>
      <c r="E1000" s="35">
        <v>0.9</v>
      </c>
      <c r="F1000" s="35">
        <v>6.6</v>
      </c>
      <c r="G1000" s="36">
        <v>3.5699999999999998E-3</v>
      </c>
      <c r="H1000" s="18">
        <v>6.4252979999999997</v>
      </c>
      <c r="I1000" s="16" t="s">
        <v>746</v>
      </c>
      <c r="J1000" s="16"/>
      <c r="K1000" s="16"/>
      <c r="L1000" s="37"/>
      <c r="M1000" s="37"/>
      <c r="N1000" s="37"/>
      <c r="O1000" s="37"/>
      <c r="P1000" s="37"/>
      <c r="Q1000" s="18">
        <v>3.9269999999999999E-2</v>
      </c>
      <c r="R1000" s="18">
        <v>2.6774999999999998E-4</v>
      </c>
      <c r="S1000" s="18">
        <v>7.4969999999999995E-2</v>
      </c>
      <c r="T1000" s="18">
        <v>0.32129999999999997</v>
      </c>
      <c r="U1000" s="18">
        <v>0.16064999999999999</v>
      </c>
      <c r="V1000" s="18">
        <v>2.0563199999999999</v>
      </c>
      <c r="W1000" s="18">
        <v>1.9278</v>
      </c>
      <c r="X1000" s="18">
        <v>1.2851999999999999</v>
      </c>
      <c r="Y1000" s="18">
        <v>5.7119999999999997E-2</v>
      </c>
      <c r="Z1000" s="18">
        <v>0.25346999999999997</v>
      </c>
      <c r="AA1000" s="18">
        <v>0.37128</v>
      </c>
      <c r="AB1000" s="18">
        <v>0.66044999999999998</v>
      </c>
      <c r="AC1000" s="18">
        <v>0.20348999999999998</v>
      </c>
      <c r="AD1000" s="18">
        <v>1.071</v>
      </c>
    </row>
    <row r="1001" spans="2:30" x14ac:dyDescent="0.25">
      <c r="B1001" t="s">
        <v>269</v>
      </c>
      <c r="C1001" t="s">
        <v>463</v>
      </c>
      <c r="D1001" t="s">
        <v>748</v>
      </c>
      <c r="E1001" s="35">
        <v>0.9</v>
      </c>
      <c r="F1001" s="35">
        <v>6.6</v>
      </c>
      <c r="G1001" s="36">
        <v>4.1200000000000004E-3</v>
      </c>
      <c r="H1001" s="18">
        <v>7.4152979999999999</v>
      </c>
      <c r="I1001" s="16" t="s">
        <v>746</v>
      </c>
      <c r="J1001" s="16"/>
      <c r="K1001" s="16"/>
      <c r="L1001" s="37"/>
      <c r="M1001" s="37"/>
      <c r="N1001" s="37"/>
      <c r="O1001" s="37"/>
      <c r="P1001" s="37"/>
      <c r="Q1001" s="18">
        <v>4.5320000000000006E-2</v>
      </c>
      <c r="R1001" s="18">
        <v>3.0900000000000003E-4</v>
      </c>
      <c r="S1001" s="18">
        <v>8.6520000000000014E-2</v>
      </c>
      <c r="T1001" s="18">
        <v>0.37080000000000002</v>
      </c>
      <c r="U1001" s="18">
        <v>0.18540000000000001</v>
      </c>
      <c r="V1001" s="18">
        <v>2.3731200000000001</v>
      </c>
      <c r="W1001" s="18">
        <v>2.2248000000000001</v>
      </c>
      <c r="X1001" s="18">
        <v>1.4832000000000001</v>
      </c>
      <c r="Y1001" s="18">
        <v>6.5920000000000006E-2</v>
      </c>
      <c r="Z1001" s="18">
        <v>0.29252</v>
      </c>
      <c r="AA1001" s="18">
        <v>0.42848000000000003</v>
      </c>
      <c r="AB1001" s="18">
        <v>0.7622000000000001</v>
      </c>
      <c r="AC1001" s="18">
        <v>0.23484000000000002</v>
      </c>
      <c r="AD1001" s="18">
        <v>1.2360000000000002</v>
      </c>
    </row>
    <row r="1002" spans="2:30" x14ac:dyDescent="0.25">
      <c r="B1002" t="s">
        <v>269</v>
      </c>
      <c r="C1002" t="s">
        <v>463</v>
      </c>
      <c r="D1002" t="s">
        <v>750</v>
      </c>
      <c r="E1002" s="35">
        <v>0.9</v>
      </c>
      <c r="F1002" s="35">
        <v>6.6</v>
      </c>
      <c r="G1002" s="36">
        <v>3.0200000000000001E-3</v>
      </c>
      <c r="H1002" s="18">
        <v>5.4352980000000004</v>
      </c>
      <c r="I1002" s="16" t="s">
        <v>746</v>
      </c>
      <c r="J1002" s="16"/>
      <c r="K1002" s="16"/>
      <c r="L1002" s="37"/>
      <c r="M1002" s="37"/>
      <c r="N1002" s="37"/>
      <c r="O1002" s="37"/>
      <c r="P1002" s="37"/>
      <c r="Q1002" s="18">
        <v>3.322E-2</v>
      </c>
      <c r="R1002" s="18">
        <v>2.265E-4</v>
      </c>
      <c r="S1002" s="18">
        <v>6.3420000000000004E-2</v>
      </c>
      <c r="T1002" s="18">
        <v>0.27179999999999999</v>
      </c>
      <c r="U1002" s="18">
        <v>0.13589999999999999</v>
      </c>
      <c r="V1002" s="18">
        <v>1.7395200000000002</v>
      </c>
      <c r="W1002" s="18">
        <v>1.6308</v>
      </c>
      <c r="X1002" s="18">
        <v>1.0871999999999999</v>
      </c>
      <c r="Y1002" s="18">
        <v>4.8320000000000002E-2</v>
      </c>
      <c r="Z1002" s="18">
        <v>0.21442</v>
      </c>
      <c r="AA1002" s="18">
        <v>0.31408000000000003</v>
      </c>
      <c r="AB1002" s="18">
        <v>0.55869999999999997</v>
      </c>
      <c r="AC1002" s="18">
        <v>0.17214000000000002</v>
      </c>
      <c r="AD1002" s="18">
        <v>0.90600000000000003</v>
      </c>
    </row>
    <row r="1003" spans="2:30" x14ac:dyDescent="0.25">
      <c r="B1003" t="s">
        <v>269</v>
      </c>
      <c r="C1003" t="s">
        <v>463</v>
      </c>
      <c r="D1003" t="s">
        <v>748</v>
      </c>
      <c r="E1003" s="35">
        <v>0.9</v>
      </c>
      <c r="F1003" s="35">
        <v>6.6</v>
      </c>
      <c r="G1003" s="36">
        <v>4.1200000000000004E-3</v>
      </c>
      <c r="H1003" s="18">
        <v>7.4152979999999999</v>
      </c>
      <c r="I1003" s="16" t="s">
        <v>746</v>
      </c>
      <c r="J1003" s="16"/>
      <c r="K1003" s="16"/>
      <c r="L1003" s="37"/>
      <c r="M1003" s="37"/>
      <c r="N1003" s="37"/>
      <c r="O1003" s="37"/>
      <c r="P1003" s="37"/>
      <c r="Q1003" s="18">
        <v>4.5320000000000006E-2</v>
      </c>
      <c r="R1003" s="18">
        <v>3.0900000000000003E-4</v>
      </c>
      <c r="S1003" s="18">
        <v>8.6520000000000014E-2</v>
      </c>
      <c r="T1003" s="18">
        <v>0.37080000000000002</v>
      </c>
      <c r="U1003" s="18">
        <v>0.18540000000000001</v>
      </c>
      <c r="V1003" s="18">
        <v>2.3731200000000001</v>
      </c>
      <c r="W1003" s="18">
        <v>2.2248000000000001</v>
      </c>
      <c r="X1003" s="18">
        <v>1.4832000000000001</v>
      </c>
      <c r="Y1003" s="18">
        <v>6.5920000000000006E-2</v>
      </c>
      <c r="Z1003" s="18">
        <v>0.29252</v>
      </c>
      <c r="AA1003" s="18">
        <v>0.42848000000000003</v>
      </c>
      <c r="AB1003" s="18">
        <v>0.7622000000000001</v>
      </c>
      <c r="AC1003" s="18">
        <v>0.23484000000000002</v>
      </c>
      <c r="AD1003" s="18">
        <v>1.2360000000000002</v>
      </c>
    </row>
    <row r="1004" spans="2:30" x14ac:dyDescent="0.25">
      <c r="B1004" t="s">
        <v>269</v>
      </c>
      <c r="C1004" t="s">
        <v>463</v>
      </c>
      <c r="D1004" t="s">
        <v>750</v>
      </c>
      <c r="E1004" s="35">
        <v>0.9</v>
      </c>
      <c r="F1004" s="35">
        <v>6.6</v>
      </c>
      <c r="G1004" s="36">
        <v>3.0200000000000001E-3</v>
      </c>
      <c r="H1004" s="18">
        <v>5.4352980000000004</v>
      </c>
      <c r="I1004" s="16" t="s">
        <v>746</v>
      </c>
      <c r="J1004" s="16"/>
      <c r="K1004" s="16"/>
      <c r="L1004" s="37"/>
      <c r="M1004" s="37"/>
      <c r="N1004" s="37"/>
      <c r="O1004" s="37"/>
      <c r="P1004" s="37"/>
      <c r="Q1004" s="18">
        <v>3.322E-2</v>
      </c>
      <c r="R1004" s="18">
        <v>2.265E-4</v>
      </c>
      <c r="S1004" s="18">
        <v>6.3420000000000004E-2</v>
      </c>
      <c r="T1004" s="18">
        <v>0.27179999999999999</v>
      </c>
      <c r="U1004" s="18">
        <v>0.13589999999999999</v>
      </c>
      <c r="V1004" s="18">
        <v>1.7395200000000002</v>
      </c>
      <c r="W1004" s="18">
        <v>1.6308</v>
      </c>
      <c r="X1004" s="18">
        <v>1.0871999999999999</v>
      </c>
      <c r="Y1004" s="18">
        <v>4.8320000000000002E-2</v>
      </c>
      <c r="Z1004" s="18">
        <v>0.21442</v>
      </c>
      <c r="AA1004" s="18">
        <v>0.31408000000000003</v>
      </c>
      <c r="AB1004" s="18">
        <v>0.55869999999999997</v>
      </c>
      <c r="AC1004" s="18">
        <v>0.17214000000000002</v>
      </c>
      <c r="AD1004" s="18">
        <v>0.90600000000000003</v>
      </c>
    </row>
    <row r="1005" spans="2:30" x14ac:dyDescent="0.25">
      <c r="B1005" t="s">
        <v>269</v>
      </c>
      <c r="C1005" t="s">
        <v>463</v>
      </c>
      <c r="D1005" t="s">
        <v>748</v>
      </c>
      <c r="E1005" s="35">
        <v>0.9</v>
      </c>
      <c r="F1005" s="35">
        <v>6.6</v>
      </c>
      <c r="G1005" s="36">
        <v>4.1200000000000004E-3</v>
      </c>
      <c r="H1005" s="18">
        <v>7.4152979999999999</v>
      </c>
      <c r="I1005" s="16" t="s">
        <v>746</v>
      </c>
      <c r="J1005" s="16"/>
      <c r="K1005" s="16"/>
      <c r="L1005" s="37"/>
      <c r="M1005" s="37"/>
      <c r="N1005" s="37"/>
      <c r="O1005" s="37"/>
      <c r="P1005" s="37"/>
      <c r="Q1005" s="18">
        <v>4.5320000000000006E-2</v>
      </c>
      <c r="R1005" s="18">
        <v>3.0900000000000003E-4</v>
      </c>
      <c r="S1005" s="18">
        <v>8.6520000000000014E-2</v>
      </c>
      <c r="T1005" s="18">
        <v>0.37080000000000002</v>
      </c>
      <c r="U1005" s="18">
        <v>0.18540000000000001</v>
      </c>
      <c r="V1005" s="18">
        <v>2.3731200000000001</v>
      </c>
      <c r="W1005" s="18">
        <v>2.2248000000000001</v>
      </c>
      <c r="X1005" s="18">
        <v>1.4832000000000001</v>
      </c>
      <c r="Y1005" s="18">
        <v>6.5920000000000006E-2</v>
      </c>
      <c r="Z1005" s="18">
        <v>0.29252</v>
      </c>
      <c r="AA1005" s="18">
        <v>0.42848000000000003</v>
      </c>
      <c r="AB1005" s="18">
        <v>0.7622000000000001</v>
      </c>
      <c r="AC1005" s="18">
        <v>0.23484000000000002</v>
      </c>
      <c r="AD1005" s="18">
        <v>1.2360000000000002</v>
      </c>
    </row>
    <row r="1006" spans="2:30" x14ac:dyDescent="0.25">
      <c r="B1006" t="s">
        <v>269</v>
      </c>
      <c r="C1006" t="s">
        <v>463</v>
      </c>
      <c r="D1006" t="s">
        <v>750</v>
      </c>
      <c r="E1006" s="35">
        <v>0.9</v>
      </c>
      <c r="F1006" s="35">
        <v>6.6</v>
      </c>
      <c r="G1006" s="36">
        <v>3.0200000000000001E-3</v>
      </c>
      <c r="H1006" s="18">
        <v>5.4352980000000004</v>
      </c>
      <c r="I1006" s="16" t="s">
        <v>746</v>
      </c>
      <c r="J1006" s="16"/>
      <c r="K1006" s="16"/>
      <c r="L1006" s="37"/>
      <c r="M1006" s="37"/>
      <c r="N1006" s="37"/>
      <c r="O1006" s="37"/>
      <c r="P1006" s="37"/>
      <c r="Q1006" s="18">
        <v>3.322E-2</v>
      </c>
      <c r="R1006" s="18">
        <v>2.265E-4</v>
      </c>
      <c r="S1006" s="18">
        <v>6.3420000000000004E-2</v>
      </c>
      <c r="T1006" s="18">
        <v>0.27179999999999999</v>
      </c>
      <c r="U1006" s="18">
        <v>0.13589999999999999</v>
      </c>
      <c r="V1006" s="18">
        <v>1.7395200000000002</v>
      </c>
      <c r="W1006" s="18">
        <v>1.6308</v>
      </c>
      <c r="X1006" s="18">
        <v>1.0871999999999999</v>
      </c>
      <c r="Y1006" s="18">
        <v>4.8320000000000002E-2</v>
      </c>
      <c r="Z1006" s="18">
        <v>0.21442</v>
      </c>
      <c r="AA1006" s="18">
        <v>0.31408000000000003</v>
      </c>
      <c r="AB1006" s="18">
        <v>0.55869999999999997</v>
      </c>
      <c r="AC1006" s="18">
        <v>0.17214000000000002</v>
      </c>
      <c r="AD1006" s="18">
        <v>0.90600000000000003</v>
      </c>
    </row>
    <row r="1007" spans="2:30" x14ac:dyDescent="0.25">
      <c r="B1007" t="s">
        <v>269</v>
      </c>
      <c r="C1007" t="s">
        <v>463</v>
      </c>
      <c r="D1007" t="s">
        <v>748</v>
      </c>
      <c r="E1007" s="35">
        <v>0.9</v>
      </c>
      <c r="F1007" s="35">
        <v>6.6</v>
      </c>
      <c r="G1007" s="36">
        <v>4.1200000000000004E-3</v>
      </c>
      <c r="H1007" s="18">
        <v>7.4152979999999999</v>
      </c>
      <c r="I1007" s="16" t="s">
        <v>746</v>
      </c>
      <c r="J1007" s="16"/>
      <c r="K1007" s="16"/>
      <c r="L1007" s="37"/>
      <c r="M1007" s="37"/>
      <c r="N1007" s="37"/>
      <c r="O1007" s="37"/>
      <c r="P1007" s="37"/>
      <c r="Q1007" s="18">
        <v>4.5320000000000006E-2</v>
      </c>
      <c r="R1007" s="18">
        <v>3.0900000000000003E-4</v>
      </c>
      <c r="S1007" s="18">
        <v>8.6520000000000014E-2</v>
      </c>
      <c r="T1007" s="18">
        <v>0.37080000000000002</v>
      </c>
      <c r="U1007" s="18">
        <v>0.18540000000000001</v>
      </c>
      <c r="V1007" s="18">
        <v>2.3731200000000001</v>
      </c>
      <c r="W1007" s="18">
        <v>2.2248000000000001</v>
      </c>
      <c r="X1007" s="18">
        <v>1.4832000000000001</v>
      </c>
      <c r="Y1007" s="18">
        <v>6.5920000000000006E-2</v>
      </c>
      <c r="Z1007" s="18">
        <v>0.29252</v>
      </c>
      <c r="AA1007" s="18">
        <v>0.42848000000000003</v>
      </c>
      <c r="AB1007" s="18">
        <v>0.7622000000000001</v>
      </c>
      <c r="AC1007" s="18">
        <v>0.23484000000000002</v>
      </c>
      <c r="AD1007" s="18">
        <v>1.2360000000000002</v>
      </c>
    </row>
    <row r="1008" spans="2:30" x14ac:dyDescent="0.25">
      <c r="B1008" t="s">
        <v>269</v>
      </c>
      <c r="C1008" t="s">
        <v>463</v>
      </c>
      <c r="D1008" t="s">
        <v>748</v>
      </c>
      <c r="E1008" s="35">
        <v>0.9</v>
      </c>
      <c r="F1008" s="35">
        <v>6.6</v>
      </c>
      <c r="G1008" s="36">
        <v>4.1200000000000004E-3</v>
      </c>
      <c r="H1008" s="18">
        <v>7.4152979999999999</v>
      </c>
      <c r="I1008" s="16" t="s">
        <v>746</v>
      </c>
      <c r="J1008" s="16"/>
      <c r="K1008" s="16"/>
      <c r="L1008" s="37"/>
      <c r="M1008" s="37"/>
      <c r="N1008" s="37"/>
      <c r="O1008" s="37"/>
      <c r="P1008" s="37"/>
      <c r="Q1008" s="18">
        <v>4.5320000000000006E-2</v>
      </c>
      <c r="R1008" s="18">
        <v>3.0900000000000003E-4</v>
      </c>
      <c r="S1008" s="18">
        <v>8.6520000000000014E-2</v>
      </c>
      <c r="T1008" s="18">
        <v>0.37080000000000002</v>
      </c>
      <c r="U1008" s="18">
        <v>0.18540000000000001</v>
      </c>
      <c r="V1008" s="18">
        <v>2.3731200000000001</v>
      </c>
      <c r="W1008" s="18">
        <v>2.2248000000000001</v>
      </c>
      <c r="X1008" s="18">
        <v>1.4832000000000001</v>
      </c>
      <c r="Y1008" s="18">
        <v>6.5920000000000006E-2</v>
      </c>
      <c r="Z1008" s="18">
        <v>0.29252</v>
      </c>
      <c r="AA1008" s="18">
        <v>0.42848000000000003</v>
      </c>
      <c r="AB1008" s="18">
        <v>0.7622000000000001</v>
      </c>
      <c r="AC1008" s="18">
        <v>0.23484000000000002</v>
      </c>
      <c r="AD1008" s="18">
        <v>1.2360000000000002</v>
      </c>
    </row>
    <row r="1009" spans="2:30" x14ac:dyDescent="0.25">
      <c r="B1009" t="s">
        <v>269</v>
      </c>
      <c r="C1009" t="s">
        <v>463</v>
      </c>
      <c r="D1009" t="s">
        <v>750</v>
      </c>
      <c r="E1009" s="35">
        <v>0.9</v>
      </c>
      <c r="F1009" s="35">
        <v>6.6</v>
      </c>
      <c r="G1009" s="36">
        <v>3.0200000000000001E-3</v>
      </c>
      <c r="H1009" s="18">
        <v>5.4352980000000004</v>
      </c>
      <c r="I1009" s="16" t="s">
        <v>746</v>
      </c>
      <c r="J1009" s="16"/>
      <c r="K1009" s="16"/>
      <c r="L1009" s="37"/>
      <c r="M1009" s="37"/>
      <c r="N1009" s="37"/>
      <c r="O1009" s="37"/>
      <c r="P1009" s="37"/>
      <c r="Q1009" s="18">
        <v>3.322E-2</v>
      </c>
      <c r="R1009" s="18">
        <v>2.265E-4</v>
      </c>
      <c r="S1009" s="18">
        <v>6.3420000000000004E-2</v>
      </c>
      <c r="T1009" s="18">
        <v>0.27179999999999999</v>
      </c>
      <c r="U1009" s="18">
        <v>0.13589999999999999</v>
      </c>
      <c r="V1009" s="18">
        <v>1.7395200000000002</v>
      </c>
      <c r="W1009" s="18">
        <v>1.6308</v>
      </c>
      <c r="X1009" s="18">
        <v>1.0871999999999999</v>
      </c>
      <c r="Y1009" s="18">
        <v>4.8320000000000002E-2</v>
      </c>
      <c r="Z1009" s="18">
        <v>0.21442</v>
      </c>
      <c r="AA1009" s="18">
        <v>0.31408000000000003</v>
      </c>
      <c r="AB1009" s="18">
        <v>0.55869999999999997</v>
      </c>
      <c r="AC1009" s="18">
        <v>0.17214000000000002</v>
      </c>
      <c r="AD1009" s="18">
        <v>0.90600000000000003</v>
      </c>
    </row>
    <row r="1010" spans="2:30" x14ac:dyDescent="0.25">
      <c r="B1010" t="s">
        <v>269</v>
      </c>
      <c r="C1010" t="s">
        <v>463</v>
      </c>
      <c r="D1010" t="s">
        <v>748</v>
      </c>
      <c r="E1010" s="35">
        <v>0.9</v>
      </c>
      <c r="F1010" s="35">
        <v>6.6</v>
      </c>
      <c r="G1010" s="36">
        <v>4.1200000000000004E-3</v>
      </c>
      <c r="H1010" s="18">
        <v>7.4152979999999999</v>
      </c>
      <c r="I1010" s="16" t="s">
        <v>746</v>
      </c>
      <c r="J1010" s="16"/>
      <c r="K1010" s="16"/>
      <c r="L1010" s="37"/>
      <c r="M1010" s="37"/>
      <c r="N1010" s="37"/>
      <c r="O1010" s="37"/>
      <c r="P1010" s="37"/>
      <c r="Q1010" s="18">
        <v>4.5320000000000006E-2</v>
      </c>
      <c r="R1010" s="18">
        <v>3.0900000000000003E-4</v>
      </c>
      <c r="S1010" s="18">
        <v>8.6520000000000014E-2</v>
      </c>
      <c r="T1010" s="18">
        <v>0.37080000000000002</v>
      </c>
      <c r="U1010" s="18">
        <v>0.18540000000000001</v>
      </c>
      <c r="V1010" s="18">
        <v>2.3731200000000001</v>
      </c>
      <c r="W1010" s="18">
        <v>2.2248000000000001</v>
      </c>
      <c r="X1010" s="18">
        <v>1.4832000000000001</v>
      </c>
      <c r="Y1010" s="18">
        <v>6.5920000000000006E-2</v>
      </c>
      <c r="Z1010" s="18">
        <v>0.29252</v>
      </c>
      <c r="AA1010" s="18">
        <v>0.42848000000000003</v>
      </c>
      <c r="AB1010" s="18">
        <v>0.7622000000000001</v>
      </c>
      <c r="AC1010" s="18">
        <v>0.23484000000000002</v>
      </c>
      <c r="AD1010" s="18">
        <v>1.2360000000000002</v>
      </c>
    </row>
    <row r="1011" spans="2:30" x14ac:dyDescent="0.25">
      <c r="B1011" t="s">
        <v>269</v>
      </c>
      <c r="C1011" t="s">
        <v>463</v>
      </c>
      <c r="D1011" t="s">
        <v>753</v>
      </c>
      <c r="E1011" s="35">
        <v>0.9</v>
      </c>
      <c r="F1011" s="35">
        <v>6.6</v>
      </c>
      <c r="G1011" s="36">
        <v>5.77E-3</v>
      </c>
      <c r="H1011" s="18">
        <v>10.385298000000001</v>
      </c>
      <c r="I1011" s="16" t="s">
        <v>746</v>
      </c>
      <c r="J1011" s="16"/>
      <c r="K1011" s="16"/>
      <c r="L1011" s="37"/>
      <c r="M1011" s="37"/>
      <c r="N1011" s="37"/>
      <c r="O1011" s="37"/>
      <c r="P1011" s="37"/>
      <c r="Q1011" s="18">
        <v>6.3469999999999999E-2</v>
      </c>
      <c r="R1011" s="18">
        <v>4.3274999999999997E-4</v>
      </c>
      <c r="S1011" s="18">
        <v>0.12117</v>
      </c>
      <c r="T1011" s="18">
        <v>0.51929999999999998</v>
      </c>
      <c r="U1011" s="18">
        <v>0.25964999999999999</v>
      </c>
      <c r="V1011" s="18">
        <v>3.3235199999999998</v>
      </c>
      <c r="W1011" s="18">
        <v>3.1158000000000001</v>
      </c>
      <c r="X1011" s="18">
        <v>2.0771999999999999</v>
      </c>
      <c r="Y1011" s="18">
        <v>9.2319999999999999E-2</v>
      </c>
      <c r="Z1011" s="18">
        <v>0.40966999999999998</v>
      </c>
      <c r="AA1011" s="18">
        <v>0.60007999999999995</v>
      </c>
      <c r="AB1011" s="18">
        <v>1.06745</v>
      </c>
      <c r="AC1011" s="18">
        <v>0.32889000000000002</v>
      </c>
      <c r="AD1011" s="18">
        <v>1.7310000000000001</v>
      </c>
    </row>
    <row r="1012" spans="2:30" x14ac:dyDescent="0.25">
      <c r="B1012" t="s">
        <v>269</v>
      </c>
      <c r="C1012" t="s">
        <v>463</v>
      </c>
      <c r="D1012" t="s">
        <v>749</v>
      </c>
      <c r="E1012" s="35">
        <v>0.9</v>
      </c>
      <c r="F1012" s="35">
        <v>6.6</v>
      </c>
      <c r="G1012" s="36">
        <v>3.5699999999999998E-3</v>
      </c>
      <c r="H1012" s="18">
        <v>6.4252979999999997</v>
      </c>
      <c r="I1012" s="16" t="s">
        <v>746</v>
      </c>
      <c r="J1012" s="16"/>
      <c r="K1012" s="16"/>
      <c r="L1012" s="37"/>
      <c r="M1012" s="37"/>
      <c r="N1012" s="37"/>
      <c r="O1012" s="37"/>
      <c r="P1012" s="37"/>
      <c r="Q1012" s="18">
        <v>3.9269999999999999E-2</v>
      </c>
      <c r="R1012" s="18">
        <v>2.6774999999999998E-4</v>
      </c>
      <c r="S1012" s="18">
        <v>7.4969999999999995E-2</v>
      </c>
      <c r="T1012" s="18">
        <v>0.32129999999999997</v>
      </c>
      <c r="U1012" s="18">
        <v>0.16064999999999999</v>
      </c>
      <c r="V1012" s="18">
        <v>2.0563199999999999</v>
      </c>
      <c r="W1012" s="18">
        <v>1.9278</v>
      </c>
      <c r="X1012" s="18">
        <v>1.2851999999999999</v>
      </c>
      <c r="Y1012" s="18">
        <v>5.7119999999999997E-2</v>
      </c>
      <c r="Z1012" s="18">
        <v>0.25346999999999997</v>
      </c>
      <c r="AA1012" s="18">
        <v>0.37128</v>
      </c>
      <c r="AB1012" s="18">
        <v>0.66044999999999998</v>
      </c>
      <c r="AC1012" s="18">
        <v>0.20348999999999998</v>
      </c>
      <c r="AD1012" s="18">
        <v>1.071</v>
      </c>
    </row>
    <row r="1013" spans="2:30" x14ac:dyDescent="0.25">
      <c r="B1013" t="s">
        <v>269</v>
      </c>
      <c r="C1013" t="s">
        <v>463</v>
      </c>
      <c r="D1013" t="s">
        <v>748</v>
      </c>
      <c r="E1013" s="35">
        <v>0.9</v>
      </c>
      <c r="F1013" s="35">
        <v>6.6</v>
      </c>
      <c r="G1013" s="36">
        <v>4.1200000000000004E-3</v>
      </c>
      <c r="H1013" s="18">
        <v>7.4152979999999999</v>
      </c>
      <c r="I1013" s="16" t="s">
        <v>746</v>
      </c>
      <c r="J1013" s="16"/>
      <c r="K1013" s="16"/>
      <c r="L1013" s="37"/>
      <c r="M1013" s="37"/>
      <c r="N1013" s="37"/>
      <c r="O1013" s="37"/>
      <c r="P1013" s="37"/>
      <c r="Q1013" s="18">
        <v>4.5320000000000006E-2</v>
      </c>
      <c r="R1013" s="18">
        <v>3.0900000000000003E-4</v>
      </c>
      <c r="S1013" s="18">
        <v>8.6520000000000014E-2</v>
      </c>
      <c r="T1013" s="18">
        <v>0.37080000000000002</v>
      </c>
      <c r="U1013" s="18">
        <v>0.18540000000000001</v>
      </c>
      <c r="V1013" s="18">
        <v>2.3731200000000001</v>
      </c>
      <c r="W1013" s="18">
        <v>2.2248000000000001</v>
      </c>
      <c r="X1013" s="18">
        <v>1.4832000000000001</v>
      </c>
      <c r="Y1013" s="18">
        <v>6.5920000000000006E-2</v>
      </c>
      <c r="Z1013" s="18">
        <v>0.29252</v>
      </c>
      <c r="AA1013" s="18">
        <v>0.42848000000000003</v>
      </c>
      <c r="AB1013" s="18">
        <v>0.7622000000000001</v>
      </c>
      <c r="AC1013" s="18">
        <v>0.23484000000000002</v>
      </c>
      <c r="AD1013" s="18">
        <v>1.2360000000000002</v>
      </c>
    </row>
    <row r="1014" spans="2:30" x14ac:dyDescent="0.25">
      <c r="B1014" t="s">
        <v>269</v>
      </c>
      <c r="C1014" t="s">
        <v>570</v>
      </c>
      <c r="D1014" t="s">
        <v>749</v>
      </c>
      <c r="E1014" s="35">
        <v>0.9</v>
      </c>
      <c r="F1014" s="35">
        <v>6.6</v>
      </c>
      <c r="G1014" s="36">
        <v>3.5699999999999998E-3</v>
      </c>
      <c r="H1014" s="18">
        <v>6.4252979999999997</v>
      </c>
      <c r="I1014" s="16" t="s">
        <v>746</v>
      </c>
      <c r="J1014" s="16"/>
      <c r="K1014" s="16"/>
      <c r="L1014" s="37"/>
      <c r="M1014" s="37"/>
      <c r="N1014" s="37"/>
      <c r="O1014" s="37"/>
      <c r="P1014" s="37"/>
      <c r="Q1014" s="18">
        <v>3.9269999999999999E-2</v>
      </c>
      <c r="R1014" s="18">
        <v>2.6774999999999998E-4</v>
      </c>
      <c r="S1014" s="18">
        <v>7.4969999999999995E-2</v>
      </c>
      <c r="T1014" s="18">
        <v>0.32129999999999997</v>
      </c>
      <c r="U1014" s="18">
        <v>0.16064999999999999</v>
      </c>
      <c r="V1014" s="18">
        <v>2.0563199999999999</v>
      </c>
      <c r="W1014" s="18">
        <v>1.9278</v>
      </c>
      <c r="X1014" s="18">
        <v>1.2851999999999999</v>
      </c>
      <c r="Y1014" s="18">
        <v>5.7119999999999997E-2</v>
      </c>
      <c r="Z1014" s="18">
        <v>0.25346999999999997</v>
      </c>
      <c r="AA1014" s="18">
        <v>0.37128</v>
      </c>
      <c r="AB1014" s="18">
        <v>0.66044999999999998</v>
      </c>
      <c r="AC1014" s="18">
        <v>0.20348999999999998</v>
      </c>
      <c r="AD1014" s="18">
        <v>1.071</v>
      </c>
    </row>
    <row r="1015" spans="2:30" x14ac:dyDescent="0.25">
      <c r="B1015" t="s">
        <v>269</v>
      </c>
      <c r="C1015" t="s">
        <v>570</v>
      </c>
      <c r="D1015" t="s">
        <v>749</v>
      </c>
      <c r="E1015" s="35">
        <v>0.9</v>
      </c>
      <c r="F1015" s="35">
        <v>6.6</v>
      </c>
      <c r="G1015" s="36">
        <v>3.5699999999999998E-3</v>
      </c>
      <c r="H1015" s="18">
        <v>6.4252979999999997</v>
      </c>
      <c r="I1015" s="16" t="s">
        <v>746</v>
      </c>
      <c r="J1015" s="16"/>
      <c r="K1015" s="16"/>
      <c r="L1015" s="37"/>
      <c r="M1015" s="37"/>
      <c r="N1015" s="37"/>
      <c r="O1015" s="37"/>
      <c r="P1015" s="37"/>
      <c r="Q1015" s="18">
        <v>3.9269999999999999E-2</v>
      </c>
      <c r="R1015" s="18">
        <v>2.6774999999999998E-4</v>
      </c>
      <c r="S1015" s="18">
        <v>7.4969999999999995E-2</v>
      </c>
      <c r="T1015" s="18">
        <v>0.32129999999999997</v>
      </c>
      <c r="U1015" s="18">
        <v>0.16064999999999999</v>
      </c>
      <c r="V1015" s="18">
        <v>2.0563199999999999</v>
      </c>
      <c r="W1015" s="18">
        <v>1.9278</v>
      </c>
      <c r="X1015" s="18">
        <v>1.2851999999999999</v>
      </c>
      <c r="Y1015" s="18">
        <v>5.7119999999999997E-2</v>
      </c>
      <c r="Z1015" s="18">
        <v>0.25346999999999997</v>
      </c>
      <c r="AA1015" s="18">
        <v>0.37128</v>
      </c>
      <c r="AB1015" s="18">
        <v>0.66044999999999998</v>
      </c>
      <c r="AC1015" s="18">
        <v>0.20348999999999998</v>
      </c>
      <c r="AD1015" s="18">
        <v>1.071</v>
      </c>
    </row>
    <row r="1016" spans="2:30" x14ac:dyDescent="0.25">
      <c r="B1016" t="s">
        <v>269</v>
      </c>
      <c r="C1016" t="s">
        <v>570</v>
      </c>
      <c r="D1016" t="s">
        <v>749</v>
      </c>
      <c r="E1016" s="35">
        <v>0.9</v>
      </c>
      <c r="F1016" s="35">
        <v>6.6</v>
      </c>
      <c r="G1016" s="36">
        <v>3.5699999999999998E-3</v>
      </c>
      <c r="H1016" s="18">
        <v>6.4252979999999997</v>
      </c>
      <c r="I1016" s="16" t="s">
        <v>746</v>
      </c>
      <c r="J1016" s="16"/>
      <c r="K1016" s="16"/>
      <c r="L1016" s="37"/>
      <c r="M1016" s="37"/>
      <c r="N1016" s="37"/>
      <c r="O1016" s="37"/>
      <c r="P1016" s="37"/>
      <c r="Q1016" s="18">
        <v>3.9269999999999999E-2</v>
      </c>
      <c r="R1016" s="18">
        <v>2.6774999999999998E-4</v>
      </c>
      <c r="S1016" s="18">
        <v>7.4969999999999995E-2</v>
      </c>
      <c r="T1016" s="18">
        <v>0.32129999999999997</v>
      </c>
      <c r="U1016" s="18">
        <v>0.16064999999999999</v>
      </c>
      <c r="V1016" s="18">
        <v>2.0563199999999999</v>
      </c>
      <c r="W1016" s="18">
        <v>1.9278</v>
      </c>
      <c r="X1016" s="18">
        <v>1.2851999999999999</v>
      </c>
      <c r="Y1016" s="18">
        <v>5.7119999999999997E-2</v>
      </c>
      <c r="Z1016" s="18">
        <v>0.25346999999999997</v>
      </c>
      <c r="AA1016" s="18">
        <v>0.37128</v>
      </c>
      <c r="AB1016" s="18">
        <v>0.66044999999999998</v>
      </c>
      <c r="AC1016" s="18">
        <v>0.20348999999999998</v>
      </c>
      <c r="AD1016" s="18">
        <v>1.071</v>
      </c>
    </row>
    <row r="1017" spans="2:30" x14ac:dyDescent="0.25">
      <c r="B1017" t="s">
        <v>269</v>
      </c>
      <c r="C1017" t="s">
        <v>570</v>
      </c>
      <c r="D1017" t="s">
        <v>749</v>
      </c>
      <c r="E1017" s="35">
        <v>0.9</v>
      </c>
      <c r="F1017" s="35">
        <v>6.6</v>
      </c>
      <c r="G1017" s="36">
        <v>3.5699999999999998E-3</v>
      </c>
      <c r="H1017" s="18">
        <v>6.4252979999999997</v>
      </c>
      <c r="I1017" s="16" t="s">
        <v>746</v>
      </c>
      <c r="J1017" s="16"/>
      <c r="K1017" s="16"/>
      <c r="L1017" s="37"/>
      <c r="M1017" s="37"/>
      <c r="N1017" s="37"/>
      <c r="O1017" s="37"/>
      <c r="P1017" s="37"/>
      <c r="Q1017" s="18">
        <v>3.9269999999999999E-2</v>
      </c>
      <c r="R1017" s="18">
        <v>2.6774999999999998E-4</v>
      </c>
      <c r="S1017" s="18">
        <v>7.4969999999999995E-2</v>
      </c>
      <c r="T1017" s="18">
        <v>0.32129999999999997</v>
      </c>
      <c r="U1017" s="18">
        <v>0.16064999999999999</v>
      </c>
      <c r="V1017" s="18">
        <v>2.0563199999999999</v>
      </c>
      <c r="W1017" s="18">
        <v>1.9278</v>
      </c>
      <c r="X1017" s="18">
        <v>1.2851999999999999</v>
      </c>
      <c r="Y1017" s="18">
        <v>5.7119999999999997E-2</v>
      </c>
      <c r="Z1017" s="18">
        <v>0.25346999999999997</v>
      </c>
      <c r="AA1017" s="18">
        <v>0.37128</v>
      </c>
      <c r="AB1017" s="18">
        <v>0.66044999999999998</v>
      </c>
      <c r="AC1017" s="18">
        <v>0.20348999999999998</v>
      </c>
      <c r="AD1017" s="18">
        <v>1.071</v>
      </c>
    </row>
    <row r="1018" spans="2:30" x14ac:dyDescent="0.25">
      <c r="B1018" t="s">
        <v>269</v>
      </c>
      <c r="C1018" t="s">
        <v>570</v>
      </c>
      <c r="D1018" t="s">
        <v>750</v>
      </c>
      <c r="E1018" s="35">
        <v>0.9</v>
      </c>
      <c r="F1018" s="35">
        <v>6.6</v>
      </c>
      <c r="G1018" s="36">
        <v>3.0200000000000001E-3</v>
      </c>
      <c r="H1018" s="18">
        <v>5.4352980000000004</v>
      </c>
      <c r="I1018" s="16" t="s">
        <v>746</v>
      </c>
      <c r="J1018" s="16"/>
      <c r="K1018" s="16"/>
      <c r="L1018" s="37"/>
      <c r="M1018" s="37"/>
      <c r="N1018" s="37"/>
      <c r="O1018" s="37"/>
      <c r="P1018" s="37"/>
      <c r="Q1018" s="18">
        <v>3.322E-2</v>
      </c>
      <c r="R1018" s="18">
        <v>2.265E-4</v>
      </c>
      <c r="S1018" s="18">
        <v>6.3420000000000004E-2</v>
      </c>
      <c r="T1018" s="18">
        <v>0.27179999999999999</v>
      </c>
      <c r="U1018" s="18">
        <v>0.13589999999999999</v>
      </c>
      <c r="V1018" s="18">
        <v>1.7395200000000002</v>
      </c>
      <c r="W1018" s="18">
        <v>1.6308</v>
      </c>
      <c r="X1018" s="18">
        <v>1.0871999999999999</v>
      </c>
      <c r="Y1018" s="18">
        <v>4.8320000000000002E-2</v>
      </c>
      <c r="Z1018" s="18">
        <v>0.21442</v>
      </c>
      <c r="AA1018" s="18">
        <v>0.31408000000000003</v>
      </c>
      <c r="AB1018" s="18">
        <v>0.55869999999999997</v>
      </c>
      <c r="AC1018" s="18">
        <v>0.17214000000000002</v>
      </c>
      <c r="AD1018" s="18">
        <v>0.90600000000000003</v>
      </c>
    </row>
    <row r="1019" spans="2:30" x14ac:dyDescent="0.25">
      <c r="B1019" t="s">
        <v>269</v>
      </c>
      <c r="C1019" t="s">
        <v>570</v>
      </c>
      <c r="D1019" t="s">
        <v>752</v>
      </c>
      <c r="E1019" s="35">
        <v>0.9</v>
      </c>
      <c r="F1019" s="35">
        <v>6.6</v>
      </c>
      <c r="G1019" s="36">
        <v>2.47E-3</v>
      </c>
      <c r="H1019" s="18">
        <v>4.4452980000000002</v>
      </c>
      <c r="I1019" s="16" t="s">
        <v>746</v>
      </c>
      <c r="J1019" s="16"/>
      <c r="K1019" s="16"/>
      <c r="L1019" s="37"/>
      <c r="M1019" s="37"/>
      <c r="N1019" s="37"/>
      <c r="O1019" s="37"/>
      <c r="P1019" s="37"/>
      <c r="Q1019" s="18">
        <v>2.717E-2</v>
      </c>
      <c r="R1019" s="18">
        <v>1.8525E-4</v>
      </c>
      <c r="S1019" s="18">
        <v>5.1869999999999999E-2</v>
      </c>
      <c r="T1019" s="18">
        <v>0.2223</v>
      </c>
      <c r="U1019" s="18">
        <v>0.11115</v>
      </c>
      <c r="V1019" s="18">
        <v>1.42272</v>
      </c>
      <c r="W1019" s="18">
        <v>1.3338000000000001</v>
      </c>
      <c r="X1019" s="18">
        <v>0.88919999999999999</v>
      </c>
      <c r="Y1019" s="18">
        <v>3.952E-2</v>
      </c>
      <c r="Z1019" s="18">
        <v>0.17537</v>
      </c>
      <c r="AA1019" s="18">
        <v>0.25688</v>
      </c>
      <c r="AB1019" s="18">
        <v>0.45694999999999997</v>
      </c>
      <c r="AC1019" s="18">
        <v>0.14079</v>
      </c>
      <c r="AD1019" s="18">
        <v>0.74099999999999999</v>
      </c>
    </row>
    <row r="1020" spans="2:30" x14ac:dyDescent="0.25">
      <c r="B1020" t="s">
        <v>269</v>
      </c>
      <c r="C1020" t="s">
        <v>570</v>
      </c>
      <c r="D1020" t="s">
        <v>758</v>
      </c>
      <c r="E1020" s="35">
        <v>0.9</v>
      </c>
      <c r="F1020" s="35">
        <v>6.6</v>
      </c>
      <c r="G1020" s="36">
        <v>4.372E-3</v>
      </c>
      <c r="H1020" s="18">
        <v>7.8699250000000003</v>
      </c>
      <c r="I1020" s="16" t="s">
        <v>746</v>
      </c>
      <c r="J1020" s="16"/>
      <c r="K1020" s="16"/>
      <c r="L1020" s="37"/>
      <c r="M1020" s="37"/>
      <c r="N1020" s="37"/>
      <c r="O1020" s="37"/>
      <c r="P1020" s="37"/>
      <c r="Q1020" s="18">
        <v>4.8092000000000003E-2</v>
      </c>
      <c r="R1020" s="18">
        <v>3.279E-4</v>
      </c>
      <c r="S1020" s="18">
        <v>9.1812000000000005E-2</v>
      </c>
      <c r="T1020" s="18">
        <v>0.39348</v>
      </c>
      <c r="U1020" s="18">
        <v>0.19674</v>
      </c>
      <c r="V1020" s="18">
        <v>2.5182720000000001</v>
      </c>
      <c r="W1020" s="18">
        <v>2.3608799999999999</v>
      </c>
      <c r="X1020" s="18">
        <v>1.57392</v>
      </c>
      <c r="Y1020" s="18">
        <v>6.9952E-2</v>
      </c>
      <c r="Z1020" s="18">
        <v>0.31041200000000002</v>
      </c>
      <c r="AA1020" s="18">
        <v>0.45468799999999998</v>
      </c>
      <c r="AB1020" s="18">
        <v>0.80881999999999998</v>
      </c>
      <c r="AC1020" s="18">
        <v>0.24920400000000001</v>
      </c>
      <c r="AD1020" s="18">
        <v>1.3116000000000001</v>
      </c>
    </row>
    <row r="1021" spans="2:30" x14ac:dyDescent="0.25">
      <c r="B1021" t="s">
        <v>269</v>
      </c>
      <c r="C1021" t="s">
        <v>570</v>
      </c>
      <c r="D1021" t="s">
        <v>749</v>
      </c>
      <c r="E1021" s="35">
        <v>0.9</v>
      </c>
      <c r="F1021" s="35">
        <v>6.6</v>
      </c>
      <c r="G1021" s="36">
        <v>3.5699999999999998E-3</v>
      </c>
      <c r="H1021" s="18">
        <v>6.4252979999999997</v>
      </c>
      <c r="I1021" s="16" t="s">
        <v>746</v>
      </c>
      <c r="J1021" s="16"/>
      <c r="K1021" s="16"/>
      <c r="L1021" s="37"/>
      <c r="M1021" s="37"/>
      <c r="N1021" s="37"/>
      <c r="O1021" s="37"/>
      <c r="P1021" s="37"/>
      <c r="Q1021" s="18">
        <v>3.9269999999999999E-2</v>
      </c>
      <c r="R1021" s="18">
        <v>2.6774999999999998E-4</v>
      </c>
      <c r="S1021" s="18">
        <v>7.4969999999999995E-2</v>
      </c>
      <c r="T1021" s="18">
        <v>0.32129999999999997</v>
      </c>
      <c r="U1021" s="18">
        <v>0.16064999999999999</v>
      </c>
      <c r="V1021" s="18">
        <v>2.0563199999999999</v>
      </c>
      <c r="W1021" s="18">
        <v>1.9278</v>
      </c>
      <c r="X1021" s="18">
        <v>1.2851999999999999</v>
      </c>
      <c r="Y1021" s="18">
        <v>5.7119999999999997E-2</v>
      </c>
      <c r="Z1021" s="18">
        <v>0.25346999999999997</v>
      </c>
      <c r="AA1021" s="18">
        <v>0.37128</v>
      </c>
      <c r="AB1021" s="18">
        <v>0.66044999999999998</v>
      </c>
      <c r="AC1021" s="18">
        <v>0.20348999999999998</v>
      </c>
      <c r="AD1021" s="18">
        <v>1.071</v>
      </c>
    </row>
    <row r="1022" spans="2:30" x14ac:dyDescent="0.25">
      <c r="B1022" t="s">
        <v>269</v>
      </c>
      <c r="C1022" t="s">
        <v>570</v>
      </c>
      <c r="D1022" t="s">
        <v>747</v>
      </c>
      <c r="E1022" s="35">
        <v>0.9</v>
      </c>
      <c r="F1022" s="35">
        <v>6.6</v>
      </c>
      <c r="G1022" s="36">
        <v>4.9449999999999997E-3</v>
      </c>
      <c r="H1022" s="18">
        <v>8.9002979999999994</v>
      </c>
      <c r="I1022" s="16" t="s">
        <v>746</v>
      </c>
      <c r="J1022" s="16"/>
      <c r="K1022" s="16"/>
      <c r="L1022" s="37"/>
      <c r="M1022" s="37"/>
      <c r="N1022" s="37"/>
      <c r="O1022" s="37"/>
      <c r="P1022" s="37"/>
      <c r="Q1022" s="18">
        <v>5.4394999999999999E-2</v>
      </c>
      <c r="R1022" s="18">
        <v>3.7087499999999995E-4</v>
      </c>
      <c r="S1022" s="18">
        <v>0.10384499999999999</v>
      </c>
      <c r="T1022" s="18">
        <v>0.44505</v>
      </c>
      <c r="U1022" s="18">
        <v>0.222525</v>
      </c>
      <c r="V1022" s="18">
        <v>2.8483199999999997</v>
      </c>
      <c r="W1022" s="18">
        <v>2.6702999999999997</v>
      </c>
      <c r="X1022" s="18">
        <v>1.7802</v>
      </c>
      <c r="Y1022" s="18">
        <v>7.9119999999999996E-2</v>
      </c>
      <c r="Z1022" s="18">
        <v>0.35109499999999999</v>
      </c>
      <c r="AA1022" s="18">
        <v>0.51427999999999996</v>
      </c>
      <c r="AB1022" s="18">
        <v>0.914825</v>
      </c>
      <c r="AC1022" s="18">
        <v>0.28186499999999998</v>
      </c>
      <c r="AD1022" s="18">
        <v>1.4834999999999998</v>
      </c>
    </row>
    <row r="1023" spans="2:30" x14ac:dyDescent="0.25">
      <c r="B1023" t="s">
        <v>269</v>
      </c>
      <c r="C1023" t="s">
        <v>570</v>
      </c>
      <c r="D1023" t="s">
        <v>748</v>
      </c>
      <c r="E1023" s="35">
        <v>0.9</v>
      </c>
      <c r="F1023" s="35">
        <v>6.6</v>
      </c>
      <c r="G1023" s="36">
        <v>4.1200000000000004E-3</v>
      </c>
      <c r="H1023" s="18">
        <v>7.4152979999999999</v>
      </c>
      <c r="I1023" s="16" t="s">
        <v>746</v>
      </c>
      <c r="J1023" s="16"/>
      <c r="K1023" s="16"/>
      <c r="L1023" s="37"/>
      <c r="M1023" s="37"/>
      <c r="N1023" s="37"/>
      <c r="O1023" s="37"/>
      <c r="P1023" s="37"/>
      <c r="Q1023" s="18">
        <v>4.5320000000000006E-2</v>
      </c>
      <c r="R1023" s="18">
        <v>3.0900000000000003E-4</v>
      </c>
      <c r="S1023" s="18">
        <v>8.6520000000000014E-2</v>
      </c>
      <c r="T1023" s="18">
        <v>0.37080000000000002</v>
      </c>
      <c r="U1023" s="18">
        <v>0.18540000000000001</v>
      </c>
      <c r="V1023" s="18">
        <v>2.3731200000000001</v>
      </c>
      <c r="W1023" s="18">
        <v>2.2248000000000001</v>
      </c>
      <c r="X1023" s="18">
        <v>1.4832000000000001</v>
      </c>
      <c r="Y1023" s="18">
        <v>6.5920000000000006E-2</v>
      </c>
      <c r="Z1023" s="18">
        <v>0.29252</v>
      </c>
      <c r="AA1023" s="18">
        <v>0.42848000000000003</v>
      </c>
      <c r="AB1023" s="18">
        <v>0.7622000000000001</v>
      </c>
      <c r="AC1023" s="18">
        <v>0.23484000000000002</v>
      </c>
      <c r="AD1023" s="18">
        <v>1.2360000000000002</v>
      </c>
    </row>
    <row r="1024" spans="2:30" x14ac:dyDescent="0.25">
      <c r="B1024" t="s">
        <v>269</v>
      </c>
      <c r="C1024" t="s">
        <v>570</v>
      </c>
      <c r="D1024" t="s">
        <v>749</v>
      </c>
      <c r="E1024" s="35">
        <v>0.9</v>
      </c>
      <c r="F1024" s="35">
        <v>6.6</v>
      </c>
      <c r="G1024" s="36">
        <v>3.5699999999999998E-3</v>
      </c>
      <c r="H1024" s="18">
        <v>6.4252979999999997</v>
      </c>
      <c r="I1024" s="16" t="s">
        <v>746</v>
      </c>
      <c r="J1024" s="16"/>
      <c r="K1024" s="16"/>
      <c r="L1024" s="37"/>
      <c r="M1024" s="37"/>
      <c r="N1024" s="37"/>
      <c r="O1024" s="37"/>
      <c r="P1024" s="37"/>
      <c r="Q1024" s="18">
        <v>3.9269999999999999E-2</v>
      </c>
      <c r="R1024" s="18">
        <v>2.6774999999999998E-4</v>
      </c>
      <c r="S1024" s="18">
        <v>7.4969999999999995E-2</v>
      </c>
      <c r="T1024" s="18">
        <v>0.32129999999999997</v>
      </c>
      <c r="U1024" s="18">
        <v>0.16064999999999999</v>
      </c>
      <c r="V1024" s="18">
        <v>2.0563199999999999</v>
      </c>
      <c r="W1024" s="18">
        <v>1.9278</v>
      </c>
      <c r="X1024" s="18">
        <v>1.2851999999999999</v>
      </c>
      <c r="Y1024" s="18">
        <v>5.7119999999999997E-2</v>
      </c>
      <c r="Z1024" s="18">
        <v>0.25346999999999997</v>
      </c>
      <c r="AA1024" s="18">
        <v>0.37128</v>
      </c>
      <c r="AB1024" s="18">
        <v>0.66044999999999998</v>
      </c>
      <c r="AC1024" s="18">
        <v>0.20348999999999998</v>
      </c>
      <c r="AD1024" s="18">
        <v>1.071</v>
      </c>
    </row>
    <row r="1025" spans="2:30" x14ac:dyDescent="0.25">
      <c r="B1025" t="s">
        <v>269</v>
      </c>
      <c r="C1025" t="s">
        <v>570</v>
      </c>
      <c r="D1025" t="s">
        <v>752</v>
      </c>
      <c r="E1025" s="35">
        <v>0.9</v>
      </c>
      <c r="F1025" s="35">
        <v>6.6</v>
      </c>
      <c r="G1025" s="36">
        <v>2.47E-3</v>
      </c>
      <c r="H1025" s="18">
        <v>4.4452980000000002</v>
      </c>
      <c r="I1025" s="16" t="s">
        <v>746</v>
      </c>
      <c r="J1025" s="16"/>
      <c r="K1025" s="16"/>
      <c r="L1025" s="37"/>
      <c r="M1025" s="37"/>
      <c r="N1025" s="37"/>
      <c r="O1025" s="37"/>
      <c r="P1025" s="37"/>
      <c r="Q1025" s="18">
        <v>2.717E-2</v>
      </c>
      <c r="R1025" s="18">
        <v>1.8525E-4</v>
      </c>
      <c r="S1025" s="18">
        <v>5.1869999999999999E-2</v>
      </c>
      <c r="T1025" s="18">
        <v>0.2223</v>
      </c>
      <c r="U1025" s="18">
        <v>0.11115</v>
      </c>
      <c r="V1025" s="18">
        <v>1.42272</v>
      </c>
      <c r="W1025" s="18">
        <v>1.3338000000000001</v>
      </c>
      <c r="X1025" s="18">
        <v>0.88919999999999999</v>
      </c>
      <c r="Y1025" s="18">
        <v>3.952E-2</v>
      </c>
      <c r="Z1025" s="18">
        <v>0.17537</v>
      </c>
      <c r="AA1025" s="18">
        <v>0.25688</v>
      </c>
      <c r="AB1025" s="18">
        <v>0.45694999999999997</v>
      </c>
      <c r="AC1025" s="18">
        <v>0.14079</v>
      </c>
      <c r="AD1025" s="18">
        <v>0.74099999999999999</v>
      </c>
    </row>
    <row r="1026" spans="2:30" x14ac:dyDescent="0.25">
      <c r="B1026" t="s">
        <v>269</v>
      </c>
      <c r="C1026" t="s">
        <v>570</v>
      </c>
      <c r="D1026" t="s">
        <v>748</v>
      </c>
      <c r="E1026" s="35">
        <v>0.9</v>
      </c>
      <c r="F1026" s="35">
        <v>6.6</v>
      </c>
      <c r="G1026" s="36">
        <v>4.1200000000000004E-3</v>
      </c>
      <c r="H1026" s="18">
        <v>7.4152979999999999</v>
      </c>
      <c r="I1026" s="16" t="s">
        <v>746</v>
      </c>
      <c r="J1026" s="16"/>
      <c r="K1026" s="16"/>
      <c r="L1026" s="37"/>
      <c r="M1026" s="37"/>
      <c r="N1026" s="37"/>
      <c r="O1026" s="37"/>
      <c r="P1026" s="37"/>
      <c r="Q1026" s="18">
        <v>4.5320000000000006E-2</v>
      </c>
      <c r="R1026" s="18">
        <v>3.0900000000000003E-4</v>
      </c>
      <c r="S1026" s="18">
        <v>8.6520000000000014E-2</v>
      </c>
      <c r="T1026" s="18">
        <v>0.37080000000000002</v>
      </c>
      <c r="U1026" s="18">
        <v>0.18540000000000001</v>
      </c>
      <c r="V1026" s="18">
        <v>2.3731200000000001</v>
      </c>
      <c r="W1026" s="18">
        <v>2.2248000000000001</v>
      </c>
      <c r="X1026" s="18">
        <v>1.4832000000000001</v>
      </c>
      <c r="Y1026" s="18">
        <v>6.5920000000000006E-2</v>
      </c>
      <c r="Z1026" s="18">
        <v>0.29252</v>
      </c>
      <c r="AA1026" s="18">
        <v>0.42848000000000003</v>
      </c>
      <c r="AB1026" s="18">
        <v>0.7622000000000001</v>
      </c>
      <c r="AC1026" s="18">
        <v>0.23484000000000002</v>
      </c>
      <c r="AD1026" s="18">
        <v>1.2360000000000002</v>
      </c>
    </row>
    <row r="1027" spans="2:30" x14ac:dyDescent="0.25">
      <c r="B1027" t="s">
        <v>269</v>
      </c>
      <c r="C1027" t="s">
        <v>570</v>
      </c>
      <c r="D1027" t="s">
        <v>749</v>
      </c>
      <c r="E1027" s="35">
        <v>0.9</v>
      </c>
      <c r="F1027" s="35">
        <v>6.6</v>
      </c>
      <c r="G1027" s="36">
        <v>3.5699999999999998E-3</v>
      </c>
      <c r="H1027" s="18">
        <v>6.4252979999999997</v>
      </c>
      <c r="I1027" s="16" t="s">
        <v>746</v>
      </c>
      <c r="J1027" s="16"/>
      <c r="K1027" s="16"/>
      <c r="L1027" s="37"/>
      <c r="M1027" s="37"/>
      <c r="N1027" s="37"/>
      <c r="O1027" s="37"/>
      <c r="P1027" s="37"/>
      <c r="Q1027" s="18">
        <v>3.9269999999999999E-2</v>
      </c>
      <c r="R1027" s="18">
        <v>2.6774999999999998E-4</v>
      </c>
      <c r="S1027" s="18">
        <v>7.4969999999999995E-2</v>
      </c>
      <c r="T1027" s="18">
        <v>0.32129999999999997</v>
      </c>
      <c r="U1027" s="18">
        <v>0.16064999999999999</v>
      </c>
      <c r="V1027" s="18">
        <v>2.0563199999999999</v>
      </c>
      <c r="W1027" s="18">
        <v>1.9278</v>
      </c>
      <c r="X1027" s="18">
        <v>1.2851999999999999</v>
      </c>
      <c r="Y1027" s="18">
        <v>5.7119999999999997E-2</v>
      </c>
      <c r="Z1027" s="18">
        <v>0.25346999999999997</v>
      </c>
      <c r="AA1027" s="18">
        <v>0.37128</v>
      </c>
      <c r="AB1027" s="18">
        <v>0.66044999999999998</v>
      </c>
      <c r="AC1027" s="18">
        <v>0.20348999999999998</v>
      </c>
      <c r="AD1027" s="18">
        <v>1.071</v>
      </c>
    </row>
    <row r="1028" spans="2:30" x14ac:dyDescent="0.25">
      <c r="B1028" t="s">
        <v>269</v>
      </c>
      <c r="C1028" t="s">
        <v>570</v>
      </c>
      <c r="D1028" t="s">
        <v>749</v>
      </c>
      <c r="E1028" s="35">
        <v>0.9</v>
      </c>
      <c r="F1028" s="35">
        <v>6.6</v>
      </c>
      <c r="G1028" s="36">
        <v>3.5699999999999998E-3</v>
      </c>
      <c r="H1028" s="18">
        <v>6.4252979999999997</v>
      </c>
      <c r="I1028" s="16" t="s">
        <v>746</v>
      </c>
      <c r="J1028" s="16"/>
      <c r="K1028" s="16"/>
      <c r="L1028" s="37"/>
      <c r="M1028" s="37"/>
      <c r="N1028" s="37"/>
      <c r="O1028" s="37"/>
      <c r="P1028" s="37"/>
      <c r="Q1028" s="18">
        <v>3.9269999999999999E-2</v>
      </c>
      <c r="R1028" s="18">
        <v>2.6774999999999998E-4</v>
      </c>
      <c r="S1028" s="18">
        <v>7.4969999999999995E-2</v>
      </c>
      <c r="T1028" s="18">
        <v>0.32129999999999997</v>
      </c>
      <c r="U1028" s="18">
        <v>0.16064999999999999</v>
      </c>
      <c r="V1028" s="18">
        <v>2.0563199999999999</v>
      </c>
      <c r="W1028" s="18">
        <v>1.9278</v>
      </c>
      <c r="X1028" s="18">
        <v>1.2851999999999999</v>
      </c>
      <c r="Y1028" s="18">
        <v>5.7119999999999997E-2</v>
      </c>
      <c r="Z1028" s="18">
        <v>0.25346999999999997</v>
      </c>
      <c r="AA1028" s="18">
        <v>0.37128</v>
      </c>
      <c r="AB1028" s="18">
        <v>0.66044999999999998</v>
      </c>
      <c r="AC1028" s="18">
        <v>0.20348999999999998</v>
      </c>
      <c r="AD1028" s="18">
        <v>1.071</v>
      </c>
    </row>
    <row r="1029" spans="2:30" x14ac:dyDescent="0.25">
      <c r="B1029" t="s">
        <v>269</v>
      </c>
      <c r="C1029" t="s">
        <v>570</v>
      </c>
      <c r="D1029" t="s">
        <v>752</v>
      </c>
      <c r="E1029" s="35">
        <v>0.9</v>
      </c>
      <c r="F1029" s="35">
        <v>6.6</v>
      </c>
      <c r="G1029" s="36">
        <v>2.47E-3</v>
      </c>
      <c r="H1029" s="18">
        <v>4.4452980000000002</v>
      </c>
      <c r="I1029" s="16" t="s">
        <v>746</v>
      </c>
      <c r="J1029" s="16"/>
      <c r="K1029" s="16"/>
      <c r="L1029" s="37"/>
      <c r="M1029" s="37"/>
      <c r="N1029" s="37"/>
      <c r="O1029" s="37"/>
      <c r="P1029" s="37"/>
      <c r="Q1029" s="18">
        <v>2.717E-2</v>
      </c>
      <c r="R1029" s="18">
        <v>1.8525E-4</v>
      </c>
      <c r="S1029" s="18">
        <v>5.1869999999999999E-2</v>
      </c>
      <c r="T1029" s="18">
        <v>0.2223</v>
      </c>
      <c r="U1029" s="18">
        <v>0.11115</v>
      </c>
      <c r="V1029" s="18">
        <v>1.42272</v>
      </c>
      <c r="W1029" s="18">
        <v>1.3338000000000001</v>
      </c>
      <c r="X1029" s="18">
        <v>0.88919999999999999</v>
      </c>
      <c r="Y1029" s="18">
        <v>3.952E-2</v>
      </c>
      <c r="Z1029" s="18">
        <v>0.17537</v>
      </c>
      <c r="AA1029" s="18">
        <v>0.25688</v>
      </c>
      <c r="AB1029" s="18">
        <v>0.45694999999999997</v>
      </c>
      <c r="AC1029" s="18">
        <v>0.14079</v>
      </c>
      <c r="AD1029" s="18">
        <v>0.74099999999999999</v>
      </c>
    </row>
    <row r="1030" spans="2:30" x14ac:dyDescent="0.25">
      <c r="B1030" t="s">
        <v>269</v>
      </c>
      <c r="C1030" t="s">
        <v>570</v>
      </c>
      <c r="D1030" t="s">
        <v>748</v>
      </c>
      <c r="E1030" s="35">
        <v>0.9</v>
      </c>
      <c r="F1030" s="35">
        <v>6.6</v>
      </c>
      <c r="G1030" s="36">
        <v>4.1200000000000004E-3</v>
      </c>
      <c r="H1030" s="18">
        <v>7.4152979999999999</v>
      </c>
      <c r="I1030" s="16" t="s">
        <v>746</v>
      </c>
      <c r="J1030" s="16"/>
      <c r="K1030" s="16"/>
      <c r="L1030" s="37"/>
      <c r="M1030" s="37"/>
      <c r="N1030" s="37"/>
      <c r="O1030" s="37"/>
      <c r="P1030" s="37"/>
      <c r="Q1030" s="18">
        <v>4.5320000000000006E-2</v>
      </c>
      <c r="R1030" s="18">
        <v>3.0900000000000003E-4</v>
      </c>
      <c r="S1030" s="18">
        <v>8.6520000000000014E-2</v>
      </c>
      <c r="T1030" s="18">
        <v>0.37080000000000002</v>
      </c>
      <c r="U1030" s="18">
        <v>0.18540000000000001</v>
      </c>
      <c r="V1030" s="18">
        <v>2.3731200000000001</v>
      </c>
      <c r="W1030" s="18">
        <v>2.2248000000000001</v>
      </c>
      <c r="X1030" s="18">
        <v>1.4832000000000001</v>
      </c>
      <c r="Y1030" s="18">
        <v>6.5920000000000006E-2</v>
      </c>
      <c r="Z1030" s="18">
        <v>0.29252</v>
      </c>
      <c r="AA1030" s="18">
        <v>0.42848000000000003</v>
      </c>
      <c r="AB1030" s="18">
        <v>0.7622000000000001</v>
      </c>
      <c r="AC1030" s="18">
        <v>0.23484000000000002</v>
      </c>
      <c r="AD1030" s="18">
        <v>1.2360000000000002</v>
      </c>
    </row>
    <row r="1031" spans="2:30" x14ac:dyDescent="0.25">
      <c r="B1031" t="s">
        <v>269</v>
      </c>
      <c r="C1031" t="s">
        <v>570</v>
      </c>
      <c r="D1031" t="s">
        <v>749</v>
      </c>
      <c r="E1031" s="35">
        <v>0.9</v>
      </c>
      <c r="F1031" s="35">
        <v>6.6</v>
      </c>
      <c r="G1031" s="36">
        <v>3.5699999999999998E-3</v>
      </c>
      <c r="H1031" s="18">
        <v>6.4252979999999997</v>
      </c>
      <c r="I1031" s="16" t="s">
        <v>746</v>
      </c>
      <c r="J1031" s="16"/>
      <c r="K1031" s="16"/>
      <c r="L1031" s="37"/>
      <c r="M1031" s="37"/>
      <c r="N1031" s="37"/>
      <c r="O1031" s="37"/>
      <c r="P1031" s="37"/>
      <c r="Q1031" s="18">
        <v>3.9269999999999999E-2</v>
      </c>
      <c r="R1031" s="18">
        <v>2.6774999999999998E-4</v>
      </c>
      <c r="S1031" s="18">
        <v>7.4969999999999995E-2</v>
      </c>
      <c r="T1031" s="18">
        <v>0.32129999999999997</v>
      </c>
      <c r="U1031" s="18">
        <v>0.16064999999999999</v>
      </c>
      <c r="V1031" s="18">
        <v>2.0563199999999999</v>
      </c>
      <c r="W1031" s="18">
        <v>1.9278</v>
      </c>
      <c r="X1031" s="18">
        <v>1.2851999999999999</v>
      </c>
      <c r="Y1031" s="18">
        <v>5.7119999999999997E-2</v>
      </c>
      <c r="Z1031" s="18">
        <v>0.25346999999999997</v>
      </c>
      <c r="AA1031" s="18">
        <v>0.37128</v>
      </c>
      <c r="AB1031" s="18">
        <v>0.66044999999999998</v>
      </c>
      <c r="AC1031" s="18">
        <v>0.20348999999999998</v>
      </c>
      <c r="AD1031" s="18">
        <v>1.071</v>
      </c>
    </row>
    <row r="1032" spans="2:30" x14ac:dyDescent="0.25">
      <c r="B1032" t="s">
        <v>269</v>
      </c>
      <c r="C1032" t="s">
        <v>570</v>
      </c>
      <c r="D1032" t="s">
        <v>750</v>
      </c>
      <c r="E1032" s="35">
        <v>0.9</v>
      </c>
      <c r="F1032" s="35">
        <v>6.6</v>
      </c>
      <c r="G1032" s="36">
        <v>3.0200000000000001E-3</v>
      </c>
      <c r="H1032" s="18">
        <v>5.4352980000000004</v>
      </c>
      <c r="I1032" s="16" t="s">
        <v>746</v>
      </c>
      <c r="J1032" s="16"/>
      <c r="K1032" s="16"/>
      <c r="L1032" s="37"/>
      <c r="M1032" s="37"/>
      <c r="N1032" s="37"/>
      <c r="O1032" s="37"/>
      <c r="P1032" s="37"/>
      <c r="Q1032" s="18">
        <v>3.322E-2</v>
      </c>
      <c r="R1032" s="18">
        <v>2.265E-4</v>
      </c>
      <c r="S1032" s="18">
        <v>6.3420000000000004E-2</v>
      </c>
      <c r="T1032" s="18">
        <v>0.27179999999999999</v>
      </c>
      <c r="U1032" s="18">
        <v>0.13589999999999999</v>
      </c>
      <c r="V1032" s="18">
        <v>1.7395200000000002</v>
      </c>
      <c r="W1032" s="18">
        <v>1.6308</v>
      </c>
      <c r="X1032" s="18">
        <v>1.0871999999999999</v>
      </c>
      <c r="Y1032" s="18">
        <v>4.8320000000000002E-2</v>
      </c>
      <c r="Z1032" s="18">
        <v>0.21442</v>
      </c>
      <c r="AA1032" s="18">
        <v>0.31408000000000003</v>
      </c>
      <c r="AB1032" s="18">
        <v>0.55869999999999997</v>
      </c>
      <c r="AC1032" s="18">
        <v>0.17214000000000002</v>
      </c>
      <c r="AD1032" s="18">
        <v>0.90600000000000003</v>
      </c>
    </row>
    <row r="1033" spans="2:30" x14ac:dyDescent="0.25">
      <c r="B1033" t="s">
        <v>269</v>
      </c>
      <c r="C1033" t="s">
        <v>570</v>
      </c>
      <c r="D1033" t="s">
        <v>749</v>
      </c>
      <c r="E1033" s="35">
        <v>0.9</v>
      </c>
      <c r="F1033" s="35">
        <v>6.6</v>
      </c>
      <c r="G1033" s="36">
        <v>3.5699999999999998E-3</v>
      </c>
      <c r="H1033" s="18">
        <v>6.4252979999999997</v>
      </c>
      <c r="I1033" s="16" t="s">
        <v>746</v>
      </c>
      <c r="J1033" s="16"/>
      <c r="K1033" s="16"/>
      <c r="L1033" s="37"/>
      <c r="M1033" s="37"/>
      <c r="N1033" s="37"/>
      <c r="O1033" s="37"/>
      <c r="P1033" s="37"/>
      <c r="Q1033" s="18">
        <v>3.9269999999999999E-2</v>
      </c>
      <c r="R1033" s="18">
        <v>2.6774999999999998E-4</v>
      </c>
      <c r="S1033" s="18">
        <v>7.4969999999999995E-2</v>
      </c>
      <c r="T1033" s="18">
        <v>0.32129999999999997</v>
      </c>
      <c r="U1033" s="18">
        <v>0.16064999999999999</v>
      </c>
      <c r="V1033" s="18">
        <v>2.0563199999999999</v>
      </c>
      <c r="W1033" s="18">
        <v>1.9278</v>
      </c>
      <c r="X1033" s="18">
        <v>1.2851999999999999</v>
      </c>
      <c r="Y1033" s="18">
        <v>5.7119999999999997E-2</v>
      </c>
      <c r="Z1033" s="18">
        <v>0.25346999999999997</v>
      </c>
      <c r="AA1033" s="18">
        <v>0.37128</v>
      </c>
      <c r="AB1033" s="18">
        <v>0.66044999999999998</v>
      </c>
      <c r="AC1033" s="18">
        <v>0.20348999999999998</v>
      </c>
      <c r="AD1033" s="18">
        <v>1.071</v>
      </c>
    </row>
    <row r="1034" spans="2:30" x14ac:dyDescent="0.25">
      <c r="B1034" t="s">
        <v>269</v>
      </c>
      <c r="C1034" t="s">
        <v>570</v>
      </c>
      <c r="D1034" t="s">
        <v>749</v>
      </c>
      <c r="E1034" s="35">
        <v>0.9</v>
      </c>
      <c r="F1034" s="35">
        <v>6.6</v>
      </c>
      <c r="G1034" s="36">
        <v>3.5699999999999998E-3</v>
      </c>
      <c r="H1034" s="18">
        <v>6.4252979999999997</v>
      </c>
      <c r="I1034" s="16" t="s">
        <v>746</v>
      </c>
      <c r="J1034" s="16"/>
      <c r="K1034" s="16"/>
      <c r="L1034" s="37"/>
      <c r="M1034" s="37"/>
      <c r="N1034" s="37"/>
      <c r="O1034" s="37"/>
      <c r="P1034" s="37"/>
      <c r="Q1034" s="18">
        <v>3.9269999999999999E-2</v>
      </c>
      <c r="R1034" s="18">
        <v>2.6774999999999998E-4</v>
      </c>
      <c r="S1034" s="18">
        <v>7.4969999999999995E-2</v>
      </c>
      <c r="T1034" s="18">
        <v>0.32129999999999997</v>
      </c>
      <c r="U1034" s="18">
        <v>0.16064999999999999</v>
      </c>
      <c r="V1034" s="18">
        <v>2.0563199999999999</v>
      </c>
      <c r="W1034" s="18">
        <v>1.9278</v>
      </c>
      <c r="X1034" s="18">
        <v>1.2851999999999999</v>
      </c>
      <c r="Y1034" s="18">
        <v>5.7119999999999997E-2</v>
      </c>
      <c r="Z1034" s="18">
        <v>0.25346999999999997</v>
      </c>
      <c r="AA1034" s="18">
        <v>0.37128</v>
      </c>
      <c r="AB1034" s="18">
        <v>0.66044999999999998</v>
      </c>
      <c r="AC1034" s="18">
        <v>0.20348999999999998</v>
      </c>
      <c r="AD1034" s="18">
        <v>1.071</v>
      </c>
    </row>
    <row r="1035" spans="2:30" x14ac:dyDescent="0.25">
      <c r="B1035" t="s">
        <v>269</v>
      </c>
      <c r="C1035" t="s">
        <v>570</v>
      </c>
      <c r="D1035" t="s">
        <v>747</v>
      </c>
      <c r="E1035" s="35">
        <v>0.9</v>
      </c>
      <c r="F1035" s="35">
        <v>6.6</v>
      </c>
      <c r="G1035" s="36">
        <v>4.9449999999999997E-3</v>
      </c>
      <c r="H1035" s="18">
        <v>8.9002979999999994</v>
      </c>
      <c r="I1035" s="16" t="s">
        <v>746</v>
      </c>
      <c r="J1035" s="16"/>
      <c r="K1035" s="16"/>
      <c r="L1035" s="37"/>
      <c r="M1035" s="37"/>
      <c r="N1035" s="37"/>
      <c r="O1035" s="37"/>
      <c r="P1035" s="37"/>
      <c r="Q1035" s="18">
        <v>5.4394999999999999E-2</v>
      </c>
      <c r="R1035" s="18">
        <v>3.7087499999999995E-4</v>
      </c>
      <c r="S1035" s="18">
        <v>0.10384499999999999</v>
      </c>
      <c r="T1035" s="18">
        <v>0.44505</v>
      </c>
      <c r="U1035" s="18">
        <v>0.222525</v>
      </c>
      <c r="V1035" s="18">
        <v>2.8483199999999997</v>
      </c>
      <c r="W1035" s="18">
        <v>2.6702999999999997</v>
      </c>
      <c r="X1035" s="18">
        <v>1.7802</v>
      </c>
      <c r="Y1035" s="18">
        <v>7.9119999999999996E-2</v>
      </c>
      <c r="Z1035" s="18">
        <v>0.35109499999999999</v>
      </c>
      <c r="AA1035" s="18">
        <v>0.51427999999999996</v>
      </c>
      <c r="AB1035" s="18">
        <v>0.914825</v>
      </c>
      <c r="AC1035" s="18">
        <v>0.28186499999999998</v>
      </c>
      <c r="AD1035" s="18">
        <v>1.4834999999999998</v>
      </c>
    </row>
    <row r="1036" spans="2:30" x14ac:dyDescent="0.25">
      <c r="B1036" t="s">
        <v>269</v>
      </c>
      <c r="C1036" t="s">
        <v>570</v>
      </c>
      <c r="D1036" t="s">
        <v>749</v>
      </c>
      <c r="E1036" s="35">
        <v>0.9</v>
      </c>
      <c r="F1036" s="35">
        <v>6.6</v>
      </c>
      <c r="G1036" s="36">
        <v>3.5699999999999998E-3</v>
      </c>
      <c r="H1036" s="18">
        <v>6.4252979999999997</v>
      </c>
      <c r="I1036" s="16" t="s">
        <v>746</v>
      </c>
      <c r="J1036" s="16"/>
      <c r="K1036" s="16"/>
      <c r="L1036" s="37"/>
      <c r="M1036" s="37"/>
      <c r="N1036" s="37"/>
      <c r="O1036" s="37"/>
      <c r="P1036" s="37"/>
      <c r="Q1036" s="18">
        <v>3.9269999999999999E-2</v>
      </c>
      <c r="R1036" s="18">
        <v>2.6774999999999998E-4</v>
      </c>
      <c r="S1036" s="18">
        <v>7.4969999999999995E-2</v>
      </c>
      <c r="T1036" s="18">
        <v>0.32129999999999997</v>
      </c>
      <c r="U1036" s="18">
        <v>0.16064999999999999</v>
      </c>
      <c r="V1036" s="18">
        <v>2.0563199999999999</v>
      </c>
      <c r="W1036" s="18">
        <v>1.9278</v>
      </c>
      <c r="X1036" s="18">
        <v>1.2851999999999999</v>
      </c>
      <c r="Y1036" s="18">
        <v>5.7119999999999997E-2</v>
      </c>
      <c r="Z1036" s="18">
        <v>0.25346999999999997</v>
      </c>
      <c r="AA1036" s="18">
        <v>0.37128</v>
      </c>
      <c r="AB1036" s="18">
        <v>0.66044999999999998</v>
      </c>
      <c r="AC1036" s="18">
        <v>0.20348999999999998</v>
      </c>
      <c r="AD1036" s="18">
        <v>1.071</v>
      </c>
    </row>
    <row r="1037" spans="2:30" x14ac:dyDescent="0.25">
      <c r="B1037" t="s">
        <v>269</v>
      </c>
      <c r="C1037" t="s">
        <v>570</v>
      </c>
      <c r="D1037" t="s">
        <v>752</v>
      </c>
      <c r="E1037" s="35">
        <v>0.9</v>
      </c>
      <c r="F1037" s="35">
        <v>6.6</v>
      </c>
      <c r="G1037" s="36">
        <v>2.47E-3</v>
      </c>
      <c r="H1037" s="18">
        <v>4.4452980000000002</v>
      </c>
      <c r="I1037" s="16" t="s">
        <v>746</v>
      </c>
      <c r="J1037" s="16"/>
      <c r="K1037" s="16"/>
      <c r="L1037" s="37"/>
      <c r="M1037" s="37"/>
      <c r="N1037" s="37"/>
      <c r="O1037" s="37"/>
      <c r="P1037" s="37"/>
      <c r="Q1037" s="18">
        <v>2.717E-2</v>
      </c>
      <c r="R1037" s="18">
        <v>1.8525E-4</v>
      </c>
      <c r="S1037" s="18">
        <v>5.1869999999999999E-2</v>
      </c>
      <c r="T1037" s="18">
        <v>0.2223</v>
      </c>
      <c r="U1037" s="18">
        <v>0.11115</v>
      </c>
      <c r="V1037" s="18">
        <v>1.42272</v>
      </c>
      <c r="W1037" s="18">
        <v>1.3338000000000001</v>
      </c>
      <c r="X1037" s="18">
        <v>0.88919999999999999</v>
      </c>
      <c r="Y1037" s="18">
        <v>3.952E-2</v>
      </c>
      <c r="Z1037" s="18">
        <v>0.17537</v>
      </c>
      <c r="AA1037" s="18">
        <v>0.25688</v>
      </c>
      <c r="AB1037" s="18">
        <v>0.45694999999999997</v>
      </c>
      <c r="AC1037" s="18">
        <v>0.14079</v>
      </c>
      <c r="AD1037" s="18">
        <v>0.74099999999999999</v>
      </c>
    </row>
    <row r="1038" spans="2:30" x14ac:dyDescent="0.25">
      <c r="B1038" t="s">
        <v>269</v>
      </c>
      <c r="C1038" t="s">
        <v>570</v>
      </c>
      <c r="D1038" t="s">
        <v>749</v>
      </c>
      <c r="E1038" s="35">
        <v>0.9</v>
      </c>
      <c r="F1038" s="35">
        <v>6.6</v>
      </c>
      <c r="G1038" s="36">
        <v>3.5699999999999998E-3</v>
      </c>
      <c r="H1038" s="18">
        <v>6.4252979999999997</v>
      </c>
      <c r="I1038" s="16" t="s">
        <v>746</v>
      </c>
      <c r="J1038" s="16"/>
      <c r="K1038" s="16"/>
      <c r="L1038" s="37"/>
      <c r="M1038" s="37"/>
      <c r="N1038" s="37"/>
      <c r="O1038" s="37"/>
      <c r="P1038" s="37"/>
      <c r="Q1038" s="18">
        <v>3.9269999999999999E-2</v>
      </c>
      <c r="R1038" s="18">
        <v>2.6774999999999998E-4</v>
      </c>
      <c r="S1038" s="18">
        <v>7.4969999999999995E-2</v>
      </c>
      <c r="T1038" s="18">
        <v>0.32129999999999997</v>
      </c>
      <c r="U1038" s="18">
        <v>0.16064999999999999</v>
      </c>
      <c r="V1038" s="18">
        <v>2.0563199999999999</v>
      </c>
      <c r="W1038" s="18">
        <v>1.9278</v>
      </c>
      <c r="X1038" s="18">
        <v>1.2851999999999999</v>
      </c>
      <c r="Y1038" s="18">
        <v>5.7119999999999997E-2</v>
      </c>
      <c r="Z1038" s="18">
        <v>0.25346999999999997</v>
      </c>
      <c r="AA1038" s="18">
        <v>0.37128</v>
      </c>
      <c r="AB1038" s="18">
        <v>0.66044999999999998</v>
      </c>
      <c r="AC1038" s="18">
        <v>0.20348999999999998</v>
      </c>
      <c r="AD1038" s="18">
        <v>1.071</v>
      </c>
    </row>
    <row r="1039" spans="2:30" x14ac:dyDescent="0.25">
      <c r="B1039" t="s">
        <v>269</v>
      </c>
      <c r="C1039" t="s">
        <v>570</v>
      </c>
      <c r="D1039" t="s">
        <v>752</v>
      </c>
      <c r="E1039" s="35">
        <v>0.9</v>
      </c>
      <c r="F1039" s="35">
        <v>6.6</v>
      </c>
      <c r="G1039" s="36">
        <v>2.47E-3</v>
      </c>
      <c r="H1039" s="18">
        <v>4.4452980000000002</v>
      </c>
      <c r="I1039" s="16" t="s">
        <v>746</v>
      </c>
      <c r="J1039" s="16"/>
      <c r="K1039" s="16"/>
      <c r="L1039" s="37"/>
      <c r="M1039" s="37"/>
      <c r="N1039" s="37"/>
      <c r="O1039" s="37"/>
      <c r="P1039" s="37"/>
      <c r="Q1039" s="18">
        <v>2.717E-2</v>
      </c>
      <c r="R1039" s="18">
        <v>1.8525E-4</v>
      </c>
      <c r="S1039" s="18">
        <v>5.1869999999999999E-2</v>
      </c>
      <c r="T1039" s="18">
        <v>0.2223</v>
      </c>
      <c r="U1039" s="18">
        <v>0.11115</v>
      </c>
      <c r="V1039" s="18">
        <v>1.42272</v>
      </c>
      <c r="W1039" s="18">
        <v>1.3338000000000001</v>
      </c>
      <c r="X1039" s="18">
        <v>0.88919999999999999</v>
      </c>
      <c r="Y1039" s="18">
        <v>3.952E-2</v>
      </c>
      <c r="Z1039" s="18">
        <v>0.17537</v>
      </c>
      <c r="AA1039" s="18">
        <v>0.25688</v>
      </c>
      <c r="AB1039" s="18">
        <v>0.45694999999999997</v>
      </c>
      <c r="AC1039" s="18">
        <v>0.14079</v>
      </c>
      <c r="AD1039" s="18">
        <v>0.74099999999999999</v>
      </c>
    </row>
    <row r="1040" spans="2:30" x14ac:dyDescent="0.25">
      <c r="B1040" t="s">
        <v>269</v>
      </c>
      <c r="C1040" t="s">
        <v>570</v>
      </c>
      <c r="D1040" t="s">
        <v>748</v>
      </c>
      <c r="E1040" s="35">
        <v>0.9</v>
      </c>
      <c r="F1040" s="35">
        <v>6.6</v>
      </c>
      <c r="G1040" s="36">
        <v>4.1200000000000004E-3</v>
      </c>
      <c r="H1040" s="18">
        <v>7.4152979999999999</v>
      </c>
      <c r="I1040" s="16" t="s">
        <v>746</v>
      </c>
      <c r="J1040" s="16"/>
      <c r="K1040" s="16"/>
      <c r="L1040" s="37"/>
      <c r="M1040" s="37"/>
      <c r="N1040" s="37"/>
      <c r="O1040" s="37"/>
      <c r="P1040" s="37"/>
      <c r="Q1040" s="18">
        <v>4.5320000000000006E-2</v>
      </c>
      <c r="R1040" s="18">
        <v>3.0900000000000003E-4</v>
      </c>
      <c r="S1040" s="18">
        <v>8.6520000000000014E-2</v>
      </c>
      <c r="T1040" s="18">
        <v>0.37080000000000002</v>
      </c>
      <c r="U1040" s="18">
        <v>0.18540000000000001</v>
      </c>
      <c r="V1040" s="18">
        <v>2.3731200000000001</v>
      </c>
      <c r="W1040" s="18">
        <v>2.2248000000000001</v>
      </c>
      <c r="X1040" s="18">
        <v>1.4832000000000001</v>
      </c>
      <c r="Y1040" s="18">
        <v>6.5920000000000006E-2</v>
      </c>
      <c r="Z1040" s="18">
        <v>0.29252</v>
      </c>
      <c r="AA1040" s="18">
        <v>0.42848000000000003</v>
      </c>
      <c r="AB1040" s="18">
        <v>0.7622000000000001</v>
      </c>
      <c r="AC1040" s="18">
        <v>0.23484000000000002</v>
      </c>
      <c r="AD1040" s="18">
        <v>1.2360000000000002</v>
      </c>
    </row>
    <row r="1041" spans="2:30" x14ac:dyDescent="0.25">
      <c r="B1041" t="s">
        <v>269</v>
      </c>
      <c r="C1041" t="s">
        <v>570</v>
      </c>
      <c r="D1041" t="s">
        <v>749</v>
      </c>
      <c r="E1041" s="35">
        <v>0.9</v>
      </c>
      <c r="F1041" s="35">
        <v>6.6</v>
      </c>
      <c r="G1041" s="36">
        <v>3.5699999999999998E-3</v>
      </c>
      <c r="H1041" s="18">
        <v>6.4252979999999997</v>
      </c>
      <c r="I1041" s="16" t="s">
        <v>746</v>
      </c>
      <c r="J1041" s="16"/>
      <c r="K1041" s="16"/>
      <c r="L1041" s="37"/>
      <c r="M1041" s="37"/>
      <c r="N1041" s="37"/>
      <c r="O1041" s="37"/>
      <c r="P1041" s="37"/>
      <c r="Q1041" s="18">
        <v>3.9269999999999999E-2</v>
      </c>
      <c r="R1041" s="18">
        <v>2.6774999999999998E-4</v>
      </c>
      <c r="S1041" s="18">
        <v>7.4969999999999995E-2</v>
      </c>
      <c r="T1041" s="18">
        <v>0.32129999999999997</v>
      </c>
      <c r="U1041" s="18">
        <v>0.16064999999999999</v>
      </c>
      <c r="V1041" s="18">
        <v>2.0563199999999999</v>
      </c>
      <c r="W1041" s="18">
        <v>1.9278</v>
      </c>
      <c r="X1041" s="18">
        <v>1.2851999999999999</v>
      </c>
      <c r="Y1041" s="18">
        <v>5.7119999999999997E-2</v>
      </c>
      <c r="Z1041" s="18">
        <v>0.25346999999999997</v>
      </c>
      <c r="AA1041" s="18">
        <v>0.37128</v>
      </c>
      <c r="AB1041" s="18">
        <v>0.66044999999999998</v>
      </c>
      <c r="AC1041" s="18">
        <v>0.20348999999999998</v>
      </c>
      <c r="AD1041" s="18">
        <v>1.071</v>
      </c>
    </row>
    <row r="1042" spans="2:30" x14ac:dyDescent="0.25">
      <c r="B1042" t="s">
        <v>269</v>
      </c>
      <c r="C1042" t="s">
        <v>570</v>
      </c>
      <c r="D1042" t="s">
        <v>749</v>
      </c>
      <c r="E1042" s="35">
        <v>0.9</v>
      </c>
      <c r="F1042" s="35">
        <v>6.6</v>
      </c>
      <c r="G1042" s="36">
        <v>3.5699999999999998E-3</v>
      </c>
      <c r="H1042" s="18">
        <v>6.4252979999999997</v>
      </c>
      <c r="I1042" s="16" t="s">
        <v>746</v>
      </c>
      <c r="J1042" s="16"/>
      <c r="K1042" s="16"/>
      <c r="L1042" s="37"/>
      <c r="M1042" s="37"/>
      <c r="N1042" s="37"/>
      <c r="O1042" s="37"/>
      <c r="P1042" s="37"/>
      <c r="Q1042" s="18">
        <v>3.9269999999999999E-2</v>
      </c>
      <c r="R1042" s="18">
        <v>2.6774999999999998E-4</v>
      </c>
      <c r="S1042" s="18">
        <v>7.4969999999999995E-2</v>
      </c>
      <c r="T1042" s="18">
        <v>0.32129999999999997</v>
      </c>
      <c r="U1042" s="18">
        <v>0.16064999999999999</v>
      </c>
      <c r="V1042" s="18">
        <v>2.0563199999999999</v>
      </c>
      <c r="W1042" s="18">
        <v>1.9278</v>
      </c>
      <c r="X1042" s="18">
        <v>1.2851999999999999</v>
      </c>
      <c r="Y1042" s="18">
        <v>5.7119999999999997E-2</v>
      </c>
      <c r="Z1042" s="18">
        <v>0.25346999999999997</v>
      </c>
      <c r="AA1042" s="18">
        <v>0.37128</v>
      </c>
      <c r="AB1042" s="18">
        <v>0.66044999999999998</v>
      </c>
      <c r="AC1042" s="18">
        <v>0.20348999999999998</v>
      </c>
      <c r="AD1042" s="18">
        <v>1.071</v>
      </c>
    </row>
    <row r="1043" spans="2:30" x14ac:dyDescent="0.25">
      <c r="B1043" t="s">
        <v>269</v>
      </c>
      <c r="C1043" t="s">
        <v>570</v>
      </c>
      <c r="D1043" t="s">
        <v>748</v>
      </c>
      <c r="E1043" s="35">
        <v>0.9</v>
      </c>
      <c r="F1043" s="35">
        <v>6.6</v>
      </c>
      <c r="G1043" s="36">
        <v>4.1200000000000004E-3</v>
      </c>
      <c r="H1043" s="18">
        <v>7.4152979999999999</v>
      </c>
      <c r="I1043" s="16" t="s">
        <v>746</v>
      </c>
      <c r="J1043" s="16"/>
      <c r="K1043" s="16"/>
      <c r="L1043" s="37"/>
      <c r="M1043" s="37"/>
      <c r="N1043" s="37"/>
      <c r="O1043" s="37"/>
      <c r="P1043" s="37"/>
      <c r="Q1043" s="18">
        <v>4.5320000000000006E-2</v>
      </c>
      <c r="R1043" s="18">
        <v>3.0900000000000003E-4</v>
      </c>
      <c r="S1043" s="18">
        <v>8.6520000000000014E-2</v>
      </c>
      <c r="T1043" s="18">
        <v>0.37080000000000002</v>
      </c>
      <c r="U1043" s="18">
        <v>0.18540000000000001</v>
      </c>
      <c r="V1043" s="18">
        <v>2.3731200000000001</v>
      </c>
      <c r="W1043" s="18">
        <v>2.2248000000000001</v>
      </c>
      <c r="X1043" s="18">
        <v>1.4832000000000001</v>
      </c>
      <c r="Y1043" s="18">
        <v>6.5920000000000006E-2</v>
      </c>
      <c r="Z1043" s="18">
        <v>0.29252</v>
      </c>
      <c r="AA1043" s="18">
        <v>0.42848000000000003</v>
      </c>
      <c r="AB1043" s="18">
        <v>0.7622000000000001</v>
      </c>
      <c r="AC1043" s="18">
        <v>0.23484000000000002</v>
      </c>
      <c r="AD1043" s="18">
        <v>1.2360000000000002</v>
      </c>
    </row>
    <row r="1044" spans="2:30" x14ac:dyDescent="0.25">
      <c r="B1044" t="s">
        <v>269</v>
      </c>
      <c r="C1044" t="s">
        <v>570</v>
      </c>
      <c r="D1044" t="s">
        <v>752</v>
      </c>
      <c r="E1044" s="35">
        <v>0.9</v>
      </c>
      <c r="F1044" s="35">
        <v>6.6</v>
      </c>
      <c r="G1044" s="36">
        <v>2.47E-3</v>
      </c>
      <c r="H1044" s="18">
        <v>4.4452980000000002</v>
      </c>
      <c r="I1044" s="16" t="s">
        <v>746</v>
      </c>
      <c r="J1044" s="16"/>
      <c r="K1044" s="16"/>
      <c r="L1044" s="37"/>
      <c r="M1044" s="37"/>
      <c r="N1044" s="37"/>
      <c r="O1044" s="37"/>
      <c r="P1044" s="37"/>
      <c r="Q1044" s="18">
        <v>2.717E-2</v>
      </c>
      <c r="R1044" s="18">
        <v>1.8525E-4</v>
      </c>
      <c r="S1044" s="18">
        <v>5.1869999999999999E-2</v>
      </c>
      <c r="T1044" s="18">
        <v>0.2223</v>
      </c>
      <c r="U1044" s="18">
        <v>0.11115</v>
      </c>
      <c r="V1044" s="18">
        <v>1.42272</v>
      </c>
      <c r="W1044" s="18">
        <v>1.3338000000000001</v>
      </c>
      <c r="X1044" s="18">
        <v>0.88919999999999999</v>
      </c>
      <c r="Y1044" s="18">
        <v>3.952E-2</v>
      </c>
      <c r="Z1044" s="18">
        <v>0.17537</v>
      </c>
      <c r="AA1044" s="18">
        <v>0.25688</v>
      </c>
      <c r="AB1044" s="18">
        <v>0.45694999999999997</v>
      </c>
      <c r="AC1044" s="18">
        <v>0.14079</v>
      </c>
      <c r="AD1044" s="18">
        <v>0.74099999999999999</v>
      </c>
    </row>
    <row r="1045" spans="2:30" x14ac:dyDescent="0.25">
      <c r="B1045" t="s">
        <v>269</v>
      </c>
      <c r="C1045" t="s">
        <v>570</v>
      </c>
      <c r="D1045" t="s">
        <v>749</v>
      </c>
      <c r="E1045" s="35">
        <v>0.9</v>
      </c>
      <c r="F1045" s="35">
        <v>6.6</v>
      </c>
      <c r="G1045" s="36">
        <v>3.5699999999999998E-3</v>
      </c>
      <c r="H1045" s="18">
        <v>6.4252979999999997</v>
      </c>
      <c r="I1045" s="16" t="s">
        <v>746</v>
      </c>
      <c r="J1045" s="16"/>
      <c r="K1045" s="16"/>
      <c r="L1045" s="37"/>
      <c r="M1045" s="37"/>
      <c r="N1045" s="37"/>
      <c r="O1045" s="37"/>
      <c r="P1045" s="37"/>
      <c r="Q1045" s="18">
        <v>3.9269999999999999E-2</v>
      </c>
      <c r="R1045" s="18">
        <v>2.6774999999999998E-4</v>
      </c>
      <c r="S1045" s="18">
        <v>7.4969999999999995E-2</v>
      </c>
      <c r="T1045" s="18">
        <v>0.32129999999999997</v>
      </c>
      <c r="U1045" s="18">
        <v>0.16064999999999999</v>
      </c>
      <c r="V1045" s="18">
        <v>2.0563199999999999</v>
      </c>
      <c r="W1045" s="18">
        <v>1.9278</v>
      </c>
      <c r="X1045" s="18">
        <v>1.2851999999999999</v>
      </c>
      <c r="Y1045" s="18">
        <v>5.7119999999999997E-2</v>
      </c>
      <c r="Z1045" s="18">
        <v>0.25346999999999997</v>
      </c>
      <c r="AA1045" s="18">
        <v>0.37128</v>
      </c>
      <c r="AB1045" s="18">
        <v>0.66044999999999998</v>
      </c>
      <c r="AC1045" s="18">
        <v>0.20348999999999998</v>
      </c>
      <c r="AD1045" s="18">
        <v>1.071</v>
      </c>
    </row>
    <row r="1046" spans="2:30" x14ac:dyDescent="0.25">
      <c r="B1046" t="s">
        <v>269</v>
      </c>
      <c r="C1046" t="s">
        <v>570</v>
      </c>
      <c r="D1046" t="s">
        <v>749</v>
      </c>
      <c r="E1046" s="35">
        <v>0.9</v>
      </c>
      <c r="F1046" s="35">
        <v>6.6</v>
      </c>
      <c r="G1046" s="36">
        <v>3.5699999999999998E-3</v>
      </c>
      <c r="H1046" s="18">
        <v>6.4252979999999997</v>
      </c>
      <c r="I1046" s="16" t="s">
        <v>746</v>
      </c>
      <c r="J1046" s="16"/>
      <c r="K1046" s="16"/>
      <c r="L1046" s="37"/>
      <c r="M1046" s="37"/>
      <c r="N1046" s="37"/>
      <c r="O1046" s="37"/>
      <c r="P1046" s="37"/>
      <c r="Q1046" s="18">
        <v>3.9269999999999999E-2</v>
      </c>
      <c r="R1046" s="18">
        <v>2.6774999999999998E-4</v>
      </c>
      <c r="S1046" s="18">
        <v>7.4969999999999995E-2</v>
      </c>
      <c r="T1046" s="18">
        <v>0.32129999999999997</v>
      </c>
      <c r="U1046" s="18">
        <v>0.16064999999999999</v>
      </c>
      <c r="V1046" s="18">
        <v>2.0563199999999999</v>
      </c>
      <c r="W1046" s="18">
        <v>1.9278</v>
      </c>
      <c r="X1046" s="18">
        <v>1.2851999999999999</v>
      </c>
      <c r="Y1046" s="18">
        <v>5.7119999999999997E-2</v>
      </c>
      <c r="Z1046" s="18">
        <v>0.25346999999999997</v>
      </c>
      <c r="AA1046" s="18">
        <v>0.37128</v>
      </c>
      <c r="AB1046" s="18">
        <v>0.66044999999999998</v>
      </c>
      <c r="AC1046" s="18">
        <v>0.20348999999999998</v>
      </c>
      <c r="AD1046" s="18">
        <v>1.071</v>
      </c>
    </row>
    <row r="1047" spans="2:30" x14ac:dyDescent="0.25">
      <c r="B1047" t="s">
        <v>269</v>
      </c>
      <c r="C1047" t="s">
        <v>570</v>
      </c>
      <c r="D1047" t="s">
        <v>748</v>
      </c>
      <c r="E1047" s="35">
        <v>0.9</v>
      </c>
      <c r="F1047" s="35">
        <v>6.6</v>
      </c>
      <c r="G1047" s="36">
        <v>4.1200000000000004E-3</v>
      </c>
      <c r="H1047" s="18">
        <v>7.4152979999999999</v>
      </c>
      <c r="I1047" s="16" t="s">
        <v>746</v>
      </c>
      <c r="J1047" s="16"/>
      <c r="K1047" s="16"/>
      <c r="L1047" s="37"/>
      <c r="M1047" s="37"/>
      <c r="N1047" s="37"/>
      <c r="O1047" s="37"/>
      <c r="P1047" s="37"/>
      <c r="Q1047" s="18">
        <v>4.5320000000000006E-2</v>
      </c>
      <c r="R1047" s="18">
        <v>3.0900000000000003E-4</v>
      </c>
      <c r="S1047" s="18">
        <v>8.6520000000000014E-2</v>
      </c>
      <c r="T1047" s="18">
        <v>0.37080000000000002</v>
      </c>
      <c r="U1047" s="18">
        <v>0.18540000000000001</v>
      </c>
      <c r="V1047" s="18">
        <v>2.3731200000000001</v>
      </c>
      <c r="W1047" s="18">
        <v>2.2248000000000001</v>
      </c>
      <c r="X1047" s="18">
        <v>1.4832000000000001</v>
      </c>
      <c r="Y1047" s="18">
        <v>6.5920000000000006E-2</v>
      </c>
      <c r="Z1047" s="18">
        <v>0.29252</v>
      </c>
      <c r="AA1047" s="18">
        <v>0.42848000000000003</v>
      </c>
      <c r="AB1047" s="18">
        <v>0.7622000000000001</v>
      </c>
      <c r="AC1047" s="18">
        <v>0.23484000000000002</v>
      </c>
      <c r="AD1047" s="18">
        <v>1.2360000000000002</v>
      </c>
    </row>
    <row r="1048" spans="2:30" x14ac:dyDescent="0.25">
      <c r="B1048" t="s">
        <v>269</v>
      </c>
      <c r="C1048" t="s">
        <v>570</v>
      </c>
      <c r="D1048" t="s">
        <v>750</v>
      </c>
      <c r="E1048" s="35">
        <v>0.9</v>
      </c>
      <c r="F1048" s="35">
        <v>6.6</v>
      </c>
      <c r="G1048" s="36">
        <v>3.0200000000000001E-3</v>
      </c>
      <c r="H1048" s="18">
        <v>5.4352980000000004</v>
      </c>
      <c r="I1048" s="16" t="s">
        <v>746</v>
      </c>
      <c r="J1048" s="16"/>
      <c r="K1048" s="16"/>
      <c r="L1048" s="37"/>
      <c r="M1048" s="37"/>
      <c r="N1048" s="37"/>
      <c r="O1048" s="37"/>
      <c r="P1048" s="37"/>
      <c r="Q1048" s="18">
        <v>3.322E-2</v>
      </c>
      <c r="R1048" s="18">
        <v>2.265E-4</v>
      </c>
      <c r="S1048" s="18">
        <v>6.3420000000000004E-2</v>
      </c>
      <c r="T1048" s="18">
        <v>0.27179999999999999</v>
      </c>
      <c r="U1048" s="18">
        <v>0.13589999999999999</v>
      </c>
      <c r="V1048" s="18">
        <v>1.7395200000000002</v>
      </c>
      <c r="W1048" s="18">
        <v>1.6308</v>
      </c>
      <c r="X1048" s="18">
        <v>1.0871999999999999</v>
      </c>
      <c r="Y1048" s="18">
        <v>4.8320000000000002E-2</v>
      </c>
      <c r="Z1048" s="18">
        <v>0.21442</v>
      </c>
      <c r="AA1048" s="18">
        <v>0.31408000000000003</v>
      </c>
      <c r="AB1048" s="18">
        <v>0.55869999999999997</v>
      </c>
      <c r="AC1048" s="18">
        <v>0.17214000000000002</v>
      </c>
      <c r="AD1048" s="18">
        <v>0.90600000000000003</v>
      </c>
    </row>
    <row r="1049" spans="2:30" x14ac:dyDescent="0.25">
      <c r="B1049" t="s">
        <v>269</v>
      </c>
      <c r="C1049" t="s">
        <v>570</v>
      </c>
      <c r="D1049" t="s">
        <v>750</v>
      </c>
      <c r="E1049" s="35">
        <v>0.9</v>
      </c>
      <c r="F1049" s="35">
        <v>6.6</v>
      </c>
      <c r="G1049" s="36">
        <v>3.0200000000000001E-3</v>
      </c>
      <c r="H1049" s="18">
        <v>5.4352980000000004</v>
      </c>
      <c r="I1049" s="16" t="s">
        <v>746</v>
      </c>
      <c r="J1049" s="16"/>
      <c r="K1049" s="16"/>
      <c r="L1049" s="37"/>
      <c r="M1049" s="37"/>
      <c r="N1049" s="37"/>
      <c r="O1049" s="37"/>
      <c r="P1049" s="37"/>
      <c r="Q1049" s="18">
        <v>3.322E-2</v>
      </c>
      <c r="R1049" s="18">
        <v>2.265E-4</v>
      </c>
      <c r="S1049" s="18">
        <v>6.3420000000000004E-2</v>
      </c>
      <c r="T1049" s="18">
        <v>0.27179999999999999</v>
      </c>
      <c r="U1049" s="18">
        <v>0.13589999999999999</v>
      </c>
      <c r="V1049" s="18">
        <v>1.7395200000000002</v>
      </c>
      <c r="W1049" s="18">
        <v>1.6308</v>
      </c>
      <c r="X1049" s="18">
        <v>1.0871999999999999</v>
      </c>
      <c r="Y1049" s="18">
        <v>4.8320000000000002E-2</v>
      </c>
      <c r="Z1049" s="18">
        <v>0.21442</v>
      </c>
      <c r="AA1049" s="18">
        <v>0.31408000000000003</v>
      </c>
      <c r="AB1049" s="18">
        <v>0.55869999999999997</v>
      </c>
      <c r="AC1049" s="18">
        <v>0.17214000000000002</v>
      </c>
      <c r="AD1049" s="18">
        <v>0.90600000000000003</v>
      </c>
    </row>
    <row r="1050" spans="2:30" x14ac:dyDescent="0.25">
      <c r="B1050" t="s">
        <v>269</v>
      </c>
      <c r="C1050" t="s">
        <v>570</v>
      </c>
      <c r="D1050" t="s">
        <v>747</v>
      </c>
      <c r="E1050" s="35">
        <v>0.9</v>
      </c>
      <c r="F1050" s="35">
        <v>6.6</v>
      </c>
      <c r="G1050" s="36">
        <v>4.9449999999999997E-3</v>
      </c>
      <c r="H1050" s="18">
        <v>8.9002979999999994</v>
      </c>
      <c r="I1050" s="16" t="s">
        <v>746</v>
      </c>
      <c r="J1050" s="16"/>
      <c r="K1050" s="16"/>
      <c r="L1050" s="37"/>
      <c r="M1050" s="37"/>
      <c r="N1050" s="37"/>
      <c r="O1050" s="37"/>
      <c r="P1050" s="37"/>
      <c r="Q1050" s="18">
        <v>5.4394999999999999E-2</v>
      </c>
      <c r="R1050" s="18">
        <v>3.7087499999999995E-4</v>
      </c>
      <c r="S1050" s="18">
        <v>0.10384499999999999</v>
      </c>
      <c r="T1050" s="18">
        <v>0.44505</v>
      </c>
      <c r="U1050" s="18">
        <v>0.222525</v>
      </c>
      <c r="V1050" s="18">
        <v>2.8483199999999997</v>
      </c>
      <c r="W1050" s="18">
        <v>2.6702999999999997</v>
      </c>
      <c r="X1050" s="18">
        <v>1.7802</v>
      </c>
      <c r="Y1050" s="18">
        <v>7.9119999999999996E-2</v>
      </c>
      <c r="Z1050" s="18">
        <v>0.35109499999999999</v>
      </c>
      <c r="AA1050" s="18">
        <v>0.51427999999999996</v>
      </c>
      <c r="AB1050" s="18">
        <v>0.914825</v>
      </c>
      <c r="AC1050" s="18">
        <v>0.28186499999999998</v>
      </c>
      <c r="AD1050" s="18">
        <v>1.4834999999999998</v>
      </c>
    </row>
    <row r="1051" spans="2:30" x14ac:dyDescent="0.25">
      <c r="B1051" t="s">
        <v>269</v>
      </c>
      <c r="C1051" t="s">
        <v>570</v>
      </c>
      <c r="D1051" t="s">
        <v>752</v>
      </c>
      <c r="E1051" s="35">
        <v>0.9</v>
      </c>
      <c r="F1051" s="35">
        <v>6.6</v>
      </c>
      <c r="G1051" s="36">
        <v>2.47E-3</v>
      </c>
      <c r="H1051" s="18">
        <v>4.4452980000000002</v>
      </c>
      <c r="I1051" s="16" t="s">
        <v>746</v>
      </c>
      <c r="J1051" s="16"/>
      <c r="K1051" s="16"/>
      <c r="L1051" s="37"/>
      <c r="M1051" s="37"/>
      <c r="N1051" s="37"/>
      <c r="O1051" s="37"/>
      <c r="P1051" s="37"/>
      <c r="Q1051" s="18">
        <v>2.717E-2</v>
      </c>
      <c r="R1051" s="18">
        <v>1.8525E-4</v>
      </c>
      <c r="S1051" s="18">
        <v>5.1869999999999999E-2</v>
      </c>
      <c r="T1051" s="18">
        <v>0.2223</v>
      </c>
      <c r="U1051" s="18">
        <v>0.11115</v>
      </c>
      <c r="V1051" s="18">
        <v>1.42272</v>
      </c>
      <c r="W1051" s="18">
        <v>1.3338000000000001</v>
      </c>
      <c r="X1051" s="18">
        <v>0.88919999999999999</v>
      </c>
      <c r="Y1051" s="18">
        <v>3.952E-2</v>
      </c>
      <c r="Z1051" s="18">
        <v>0.17537</v>
      </c>
      <c r="AA1051" s="18">
        <v>0.25688</v>
      </c>
      <c r="AB1051" s="18">
        <v>0.45694999999999997</v>
      </c>
      <c r="AC1051" s="18">
        <v>0.14079</v>
      </c>
      <c r="AD1051" s="18">
        <v>0.74099999999999999</v>
      </c>
    </row>
    <row r="1052" spans="2:30" x14ac:dyDescent="0.25">
      <c r="B1052" t="s">
        <v>269</v>
      </c>
      <c r="C1052" t="s">
        <v>570</v>
      </c>
      <c r="D1052" t="s">
        <v>750</v>
      </c>
      <c r="E1052" s="35">
        <v>0.9</v>
      </c>
      <c r="F1052" s="35">
        <v>6.6</v>
      </c>
      <c r="G1052" s="36">
        <v>3.0200000000000001E-3</v>
      </c>
      <c r="H1052" s="18">
        <v>5.4352980000000004</v>
      </c>
      <c r="I1052" s="16" t="s">
        <v>746</v>
      </c>
      <c r="J1052" s="16"/>
      <c r="K1052" s="16"/>
      <c r="L1052" s="37"/>
      <c r="M1052" s="37"/>
      <c r="N1052" s="37"/>
      <c r="O1052" s="37"/>
      <c r="P1052" s="37"/>
      <c r="Q1052" s="18">
        <v>3.322E-2</v>
      </c>
      <c r="R1052" s="18">
        <v>2.265E-4</v>
      </c>
      <c r="S1052" s="18">
        <v>6.3420000000000004E-2</v>
      </c>
      <c r="T1052" s="18">
        <v>0.27179999999999999</v>
      </c>
      <c r="U1052" s="18">
        <v>0.13589999999999999</v>
      </c>
      <c r="V1052" s="18">
        <v>1.7395200000000002</v>
      </c>
      <c r="W1052" s="18">
        <v>1.6308</v>
      </c>
      <c r="X1052" s="18">
        <v>1.0871999999999999</v>
      </c>
      <c r="Y1052" s="18">
        <v>4.8320000000000002E-2</v>
      </c>
      <c r="Z1052" s="18">
        <v>0.21442</v>
      </c>
      <c r="AA1052" s="18">
        <v>0.31408000000000003</v>
      </c>
      <c r="AB1052" s="18">
        <v>0.55869999999999997</v>
      </c>
      <c r="AC1052" s="18">
        <v>0.17214000000000002</v>
      </c>
      <c r="AD1052" s="18">
        <v>0.90600000000000003</v>
      </c>
    </row>
    <row r="1053" spans="2:30" x14ac:dyDescent="0.25">
      <c r="B1053" t="s">
        <v>269</v>
      </c>
      <c r="C1053" t="s">
        <v>570</v>
      </c>
      <c r="D1053" t="s">
        <v>747</v>
      </c>
      <c r="E1053" s="35">
        <v>0.9</v>
      </c>
      <c r="F1053" s="35">
        <v>6.6</v>
      </c>
      <c r="G1053" s="36">
        <v>4.9449999999999997E-3</v>
      </c>
      <c r="H1053" s="18">
        <v>8.9002979999999994</v>
      </c>
      <c r="I1053" s="16" t="s">
        <v>746</v>
      </c>
      <c r="J1053" s="16"/>
      <c r="K1053" s="16"/>
      <c r="L1053" s="37"/>
      <c r="M1053" s="37"/>
      <c r="N1053" s="37"/>
      <c r="O1053" s="37"/>
      <c r="P1053" s="37"/>
      <c r="Q1053" s="18">
        <v>5.4394999999999999E-2</v>
      </c>
      <c r="R1053" s="18">
        <v>3.7087499999999995E-4</v>
      </c>
      <c r="S1053" s="18">
        <v>0.10384499999999999</v>
      </c>
      <c r="T1053" s="18">
        <v>0.44505</v>
      </c>
      <c r="U1053" s="18">
        <v>0.222525</v>
      </c>
      <c r="V1053" s="18">
        <v>2.8483199999999997</v>
      </c>
      <c r="W1053" s="18">
        <v>2.6702999999999997</v>
      </c>
      <c r="X1053" s="18">
        <v>1.7802</v>
      </c>
      <c r="Y1053" s="18">
        <v>7.9119999999999996E-2</v>
      </c>
      <c r="Z1053" s="18">
        <v>0.35109499999999999</v>
      </c>
      <c r="AA1053" s="18">
        <v>0.51427999999999996</v>
      </c>
      <c r="AB1053" s="18">
        <v>0.914825</v>
      </c>
      <c r="AC1053" s="18">
        <v>0.28186499999999998</v>
      </c>
      <c r="AD1053" s="18">
        <v>1.4834999999999998</v>
      </c>
    </row>
    <row r="1054" spans="2:30" x14ac:dyDescent="0.25">
      <c r="B1054" t="s">
        <v>269</v>
      </c>
      <c r="C1054" t="s">
        <v>570</v>
      </c>
      <c r="D1054" t="s">
        <v>752</v>
      </c>
      <c r="E1054" s="35">
        <v>0.9</v>
      </c>
      <c r="F1054" s="35">
        <v>6.6</v>
      </c>
      <c r="G1054" s="36">
        <v>2.47E-3</v>
      </c>
      <c r="H1054" s="18">
        <v>4.4452980000000002</v>
      </c>
      <c r="I1054" s="16" t="s">
        <v>746</v>
      </c>
      <c r="J1054" s="16"/>
      <c r="K1054" s="16"/>
      <c r="L1054" s="37"/>
      <c r="M1054" s="37"/>
      <c r="N1054" s="37"/>
      <c r="O1054" s="37"/>
      <c r="P1054" s="37"/>
      <c r="Q1054" s="18">
        <v>2.717E-2</v>
      </c>
      <c r="R1054" s="18">
        <v>1.8525E-4</v>
      </c>
      <c r="S1054" s="18">
        <v>5.1869999999999999E-2</v>
      </c>
      <c r="T1054" s="18">
        <v>0.2223</v>
      </c>
      <c r="U1054" s="18">
        <v>0.11115</v>
      </c>
      <c r="V1054" s="18">
        <v>1.42272</v>
      </c>
      <c r="W1054" s="18">
        <v>1.3338000000000001</v>
      </c>
      <c r="X1054" s="18">
        <v>0.88919999999999999</v>
      </c>
      <c r="Y1054" s="18">
        <v>3.952E-2</v>
      </c>
      <c r="Z1054" s="18">
        <v>0.17537</v>
      </c>
      <c r="AA1054" s="18">
        <v>0.25688</v>
      </c>
      <c r="AB1054" s="18">
        <v>0.45694999999999997</v>
      </c>
      <c r="AC1054" s="18">
        <v>0.14079</v>
      </c>
      <c r="AD1054" s="18">
        <v>0.74099999999999999</v>
      </c>
    </row>
    <row r="1055" spans="2:30" x14ac:dyDescent="0.25">
      <c r="B1055" t="s">
        <v>269</v>
      </c>
      <c r="C1055" t="s">
        <v>570</v>
      </c>
      <c r="D1055" t="s">
        <v>749</v>
      </c>
      <c r="E1055" s="35">
        <v>0.9</v>
      </c>
      <c r="F1055" s="35">
        <v>6.6</v>
      </c>
      <c r="G1055" s="36">
        <v>3.5699999999999998E-3</v>
      </c>
      <c r="H1055" s="18">
        <v>6.4252979999999997</v>
      </c>
      <c r="I1055" s="16" t="s">
        <v>746</v>
      </c>
      <c r="J1055" s="16"/>
      <c r="K1055" s="16"/>
      <c r="L1055" s="37"/>
      <c r="M1055" s="37"/>
      <c r="N1055" s="37"/>
      <c r="O1055" s="37"/>
      <c r="P1055" s="37"/>
      <c r="Q1055" s="18">
        <v>3.9269999999999999E-2</v>
      </c>
      <c r="R1055" s="18">
        <v>2.6774999999999998E-4</v>
      </c>
      <c r="S1055" s="18">
        <v>7.4969999999999995E-2</v>
      </c>
      <c r="T1055" s="18">
        <v>0.32129999999999997</v>
      </c>
      <c r="U1055" s="18">
        <v>0.16064999999999999</v>
      </c>
      <c r="V1055" s="18">
        <v>2.0563199999999999</v>
      </c>
      <c r="W1055" s="18">
        <v>1.9278</v>
      </c>
      <c r="X1055" s="18">
        <v>1.2851999999999999</v>
      </c>
      <c r="Y1055" s="18">
        <v>5.7119999999999997E-2</v>
      </c>
      <c r="Z1055" s="18">
        <v>0.25346999999999997</v>
      </c>
      <c r="AA1055" s="18">
        <v>0.37128</v>
      </c>
      <c r="AB1055" s="18">
        <v>0.66044999999999998</v>
      </c>
      <c r="AC1055" s="18">
        <v>0.20348999999999998</v>
      </c>
      <c r="AD1055" s="18">
        <v>1.071</v>
      </c>
    </row>
    <row r="1056" spans="2:30" x14ac:dyDescent="0.25">
      <c r="B1056" t="s">
        <v>269</v>
      </c>
      <c r="C1056" t="s">
        <v>570</v>
      </c>
      <c r="D1056" t="s">
        <v>752</v>
      </c>
      <c r="E1056" s="35">
        <v>0.9</v>
      </c>
      <c r="F1056" s="35">
        <v>6.6</v>
      </c>
      <c r="G1056" s="36">
        <v>2.47E-3</v>
      </c>
      <c r="H1056" s="18">
        <v>4.4452980000000002</v>
      </c>
      <c r="I1056" s="16" t="s">
        <v>746</v>
      </c>
      <c r="J1056" s="16"/>
      <c r="K1056" s="16"/>
      <c r="L1056" s="37"/>
      <c r="M1056" s="37"/>
      <c r="N1056" s="37"/>
      <c r="O1056" s="37"/>
      <c r="P1056" s="37"/>
      <c r="Q1056" s="18">
        <v>2.717E-2</v>
      </c>
      <c r="R1056" s="18">
        <v>1.8525E-4</v>
      </c>
      <c r="S1056" s="18">
        <v>5.1869999999999999E-2</v>
      </c>
      <c r="T1056" s="18">
        <v>0.2223</v>
      </c>
      <c r="U1056" s="18">
        <v>0.11115</v>
      </c>
      <c r="V1056" s="18">
        <v>1.42272</v>
      </c>
      <c r="W1056" s="18">
        <v>1.3338000000000001</v>
      </c>
      <c r="X1056" s="18">
        <v>0.88919999999999999</v>
      </c>
      <c r="Y1056" s="18">
        <v>3.952E-2</v>
      </c>
      <c r="Z1056" s="18">
        <v>0.17537</v>
      </c>
      <c r="AA1056" s="18">
        <v>0.25688</v>
      </c>
      <c r="AB1056" s="18">
        <v>0.45694999999999997</v>
      </c>
      <c r="AC1056" s="18">
        <v>0.14079</v>
      </c>
      <c r="AD1056" s="18">
        <v>0.74099999999999999</v>
      </c>
    </row>
    <row r="1057" spans="2:30" x14ac:dyDescent="0.25">
      <c r="B1057" t="s">
        <v>269</v>
      </c>
      <c r="C1057" t="s">
        <v>570</v>
      </c>
      <c r="D1057" t="s">
        <v>750</v>
      </c>
      <c r="E1057" s="35">
        <v>0.9</v>
      </c>
      <c r="F1057" s="35">
        <v>6.6</v>
      </c>
      <c r="G1057" s="36">
        <v>3.0200000000000001E-3</v>
      </c>
      <c r="H1057" s="18">
        <v>5.4352980000000004</v>
      </c>
      <c r="I1057" s="16" t="s">
        <v>746</v>
      </c>
      <c r="J1057" s="16"/>
      <c r="K1057" s="16"/>
      <c r="L1057" s="37"/>
      <c r="M1057" s="37"/>
      <c r="N1057" s="37"/>
      <c r="O1057" s="37"/>
      <c r="P1057" s="37"/>
      <c r="Q1057" s="18">
        <v>3.322E-2</v>
      </c>
      <c r="R1057" s="18">
        <v>2.265E-4</v>
      </c>
      <c r="S1057" s="18">
        <v>6.3420000000000004E-2</v>
      </c>
      <c r="T1057" s="18">
        <v>0.27179999999999999</v>
      </c>
      <c r="U1057" s="18">
        <v>0.13589999999999999</v>
      </c>
      <c r="V1057" s="18">
        <v>1.7395200000000002</v>
      </c>
      <c r="W1057" s="18">
        <v>1.6308</v>
      </c>
      <c r="X1057" s="18">
        <v>1.0871999999999999</v>
      </c>
      <c r="Y1057" s="18">
        <v>4.8320000000000002E-2</v>
      </c>
      <c r="Z1057" s="18">
        <v>0.21442</v>
      </c>
      <c r="AA1057" s="18">
        <v>0.31408000000000003</v>
      </c>
      <c r="AB1057" s="18">
        <v>0.55869999999999997</v>
      </c>
      <c r="AC1057" s="18">
        <v>0.17214000000000002</v>
      </c>
      <c r="AD1057" s="18">
        <v>0.90600000000000003</v>
      </c>
    </row>
    <row r="1058" spans="2:30" x14ac:dyDescent="0.25">
      <c r="B1058" t="s">
        <v>269</v>
      </c>
      <c r="C1058" t="s">
        <v>570</v>
      </c>
      <c r="D1058" t="s">
        <v>749</v>
      </c>
      <c r="E1058" s="35">
        <v>0.9</v>
      </c>
      <c r="F1058" s="35">
        <v>6.6</v>
      </c>
      <c r="G1058" s="36">
        <v>3.5699999999999998E-3</v>
      </c>
      <c r="H1058" s="18">
        <v>6.4252979999999997</v>
      </c>
      <c r="I1058" s="16" t="s">
        <v>746</v>
      </c>
      <c r="J1058" s="16"/>
      <c r="K1058" s="16"/>
      <c r="L1058" s="37"/>
      <c r="M1058" s="37"/>
      <c r="N1058" s="37"/>
      <c r="O1058" s="37"/>
      <c r="P1058" s="37"/>
      <c r="Q1058" s="18">
        <v>3.9269999999999999E-2</v>
      </c>
      <c r="R1058" s="18">
        <v>2.6774999999999998E-4</v>
      </c>
      <c r="S1058" s="18">
        <v>7.4969999999999995E-2</v>
      </c>
      <c r="T1058" s="18">
        <v>0.32129999999999997</v>
      </c>
      <c r="U1058" s="18">
        <v>0.16064999999999999</v>
      </c>
      <c r="V1058" s="18">
        <v>2.0563199999999999</v>
      </c>
      <c r="W1058" s="18">
        <v>1.9278</v>
      </c>
      <c r="X1058" s="18">
        <v>1.2851999999999999</v>
      </c>
      <c r="Y1058" s="18">
        <v>5.7119999999999997E-2</v>
      </c>
      <c r="Z1058" s="18">
        <v>0.25346999999999997</v>
      </c>
      <c r="AA1058" s="18">
        <v>0.37128</v>
      </c>
      <c r="AB1058" s="18">
        <v>0.66044999999999998</v>
      </c>
      <c r="AC1058" s="18">
        <v>0.20348999999999998</v>
      </c>
      <c r="AD1058" s="18">
        <v>1.071</v>
      </c>
    </row>
    <row r="1059" spans="2:30" x14ac:dyDescent="0.25">
      <c r="B1059" t="s">
        <v>269</v>
      </c>
      <c r="C1059" t="s">
        <v>570</v>
      </c>
      <c r="D1059" t="s">
        <v>749</v>
      </c>
      <c r="E1059" s="35">
        <v>0.9</v>
      </c>
      <c r="F1059" s="35">
        <v>6.6</v>
      </c>
      <c r="G1059" s="36">
        <v>3.5699999999999998E-3</v>
      </c>
      <c r="H1059" s="18">
        <v>6.4252979999999997</v>
      </c>
      <c r="I1059" s="16" t="s">
        <v>746</v>
      </c>
      <c r="J1059" s="16"/>
      <c r="K1059" s="16"/>
      <c r="L1059" s="37"/>
      <c r="M1059" s="37"/>
      <c r="N1059" s="37"/>
      <c r="O1059" s="37"/>
      <c r="P1059" s="37"/>
      <c r="Q1059" s="18">
        <v>3.9269999999999999E-2</v>
      </c>
      <c r="R1059" s="18">
        <v>2.6774999999999998E-4</v>
      </c>
      <c r="S1059" s="18">
        <v>7.4969999999999995E-2</v>
      </c>
      <c r="T1059" s="18">
        <v>0.32129999999999997</v>
      </c>
      <c r="U1059" s="18">
        <v>0.16064999999999999</v>
      </c>
      <c r="V1059" s="18">
        <v>2.0563199999999999</v>
      </c>
      <c r="W1059" s="18">
        <v>1.9278</v>
      </c>
      <c r="X1059" s="18">
        <v>1.2851999999999999</v>
      </c>
      <c r="Y1059" s="18">
        <v>5.7119999999999997E-2</v>
      </c>
      <c r="Z1059" s="18">
        <v>0.25346999999999997</v>
      </c>
      <c r="AA1059" s="18">
        <v>0.37128</v>
      </c>
      <c r="AB1059" s="18">
        <v>0.66044999999999998</v>
      </c>
      <c r="AC1059" s="18">
        <v>0.20348999999999998</v>
      </c>
      <c r="AD1059" s="18">
        <v>1.071</v>
      </c>
    </row>
    <row r="1060" spans="2:30" x14ac:dyDescent="0.25">
      <c r="B1060" t="s">
        <v>269</v>
      </c>
      <c r="C1060" t="s">
        <v>570</v>
      </c>
      <c r="D1060" t="s">
        <v>749</v>
      </c>
      <c r="E1060" s="35">
        <v>0.9</v>
      </c>
      <c r="F1060" s="35">
        <v>6.6</v>
      </c>
      <c r="G1060" s="36">
        <v>3.5699999999999998E-3</v>
      </c>
      <c r="H1060" s="18">
        <v>6.4252979999999997</v>
      </c>
      <c r="I1060" s="16" t="s">
        <v>746</v>
      </c>
      <c r="J1060" s="16"/>
      <c r="K1060" s="16"/>
      <c r="L1060" s="37"/>
      <c r="M1060" s="37"/>
      <c r="N1060" s="37"/>
      <c r="O1060" s="37"/>
      <c r="P1060" s="37"/>
      <c r="Q1060" s="18">
        <v>3.9269999999999999E-2</v>
      </c>
      <c r="R1060" s="18">
        <v>2.6774999999999998E-4</v>
      </c>
      <c r="S1060" s="18">
        <v>7.4969999999999995E-2</v>
      </c>
      <c r="T1060" s="18">
        <v>0.32129999999999997</v>
      </c>
      <c r="U1060" s="18">
        <v>0.16064999999999999</v>
      </c>
      <c r="V1060" s="18">
        <v>2.0563199999999999</v>
      </c>
      <c r="W1060" s="18">
        <v>1.9278</v>
      </c>
      <c r="X1060" s="18">
        <v>1.2851999999999999</v>
      </c>
      <c r="Y1060" s="18">
        <v>5.7119999999999997E-2</v>
      </c>
      <c r="Z1060" s="18">
        <v>0.25346999999999997</v>
      </c>
      <c r="AA1060" s="18">
        <v>0.37128</v>
      </c>
      <c r="AB1060" s="18">
        <v>0.66044999999999998</v>
      </c>
      <c r="AC1060" s="18">
        <v>0.20348999999999998</v>
      </c>
      <c r="AD1060" s="18">
        <v>1.071</v>
      </c>
    </row>
    <row r="1061" spans="2:30" x14ac:dyDescent="0.25">
      <c r="B1061" t="s">
        <v>269</v>
      </c>
      <c r="C1061" t="s">
        <v>570</v>
      </c>
      <c r="D1061" t="s">
        <v>748</v>
      </c>
      <c r="E1061" s="35">
        <v>0.9</v>
      </c>
      <c r="F1061" s="35">
        <v>6.6</v>
      </c>
      <c r="G1061" s="36">
        <v>4.1200000000000004E-3</v>
      </c>
      <c r="H1061" s="18">
        <v>7.4152979999999999</v>
      </c>
      <c r="I1061" s="16" t="s">
        <v>746</v>
      </c>
      <c r="J1061" s="16"/>
      <c r="K1061" s="16"/>
      <c r="L1061" s="37"/>
      <c r="M1061" s="37"/>
      <c r="N1061" s="37"/>
      <c r="O1061" s="37"/>
      <c r="P1061" s="37"/>
      <c r="Q1061" s="18">
        <v>4.5320000000000006E-2</v>
      </c>
      <c r="R1061" s="18">
        <v>3.0900000000000003E-4</v>
      </c>
      <c r="S1061" s="18">
        <v>8.6520000000000014E-2</v>
      </c>
      <c r="T1061" s="18">
        <v>0.37080000000000002</v>
      </c>
      <c r="U1061" s="18">
        <v>0.18540000000000001</v>
      </c>
      <c r="V1061" s="18">
        <v>2.3731200000000001</v>
      </c>
      <c r="W1061" s="18">
        <v>2.2248000000000001</v>
      </c>
      <c r="X1061" s="18">
        <v>1.4832000000000001</v>
      </c>
      <c r="Y1061" s="18">
        <v>6.5920000000000006E-2</v>
      </c>
      <c r="Z1061" s="18">
        <v>0.29252</v>
      </c>
      <c r="AA1061" s="18">
        <v>0.42848000000000003</v>
      </c>
      <c r="AB1061" s="18">
        <v>0.7622000000000001</v>
      </c>
      <c r="AC1061" s="18">
        <v>0.23484000000000002</v>
      </c>
      <c r="AD1061" s="18">
        <v>1.2360000000000002</v>
      </c>
    </row>
    <row r="1062" spans="2:30" x14ac:dyDescent="0.25">
      <c r="B1062" t="s">
        <v>269</v>
      </c>
      <c r="C1062" t="s">
        <v>570</v>
      </c>
      <c r="D1062" t="s">
        <v>750</v>
      </c>
      <c r="E1062" s="35">
        <v>0.9</v>
      </c>
      <c r="F1062" s="35">
        <v>6.6</v>
      </c>
      <c r="G1062" s="36">
        <v>3.0200000000000001E-3</v>
      </c>
      <c r="H1062" s="18">
        <v>5.4352980000000004</v>
      </c>
      <c r="I1062" s="16" t="s">
        <v>746</v>
      </c>
      <c r="J1062" s="16"/>
      <c r="K1062" s="16"/>
      <c r="L1062" s="37"/>
      <c r="M1062" s="37"/>
      <c r="N1062" s="37"/>
      <c r="O1062" s="37"/>
      <c r="P1062" s="37"/>
      <c r="Q1062" s="18">
        <v>3.322E-2</v>
      </c>
      <c r="R1062" s="18">
        <v>2.265E-4</v>
      </c>
      <c r="S1062" s="18">
        <v>6.3420000000000004E-2</v>
      </c>
      <c r="T1062" s="18">
        <v>0.27179999999999999</v>
      </c>
      <c r="U1062" s="18">
        <v>0.13589999999999999</v>
      </c>
      <c r="V1062" s="18">
        <v>1.7395200000000002</v>
      </c>
      <c r="W1062" s="18">
        <v>1.6308</v>
      </c>
      <c r="X1062" s="18">
        <v>1.0871999999999999</v>
      </c>
      <c r="Y1062" s="18">
        <v>4.8320000000000002E-2</v>
      </c>
      <c r="Z1062" s="18">
        <v>0.21442</v>
      </c>
      <c r="AA1062" s="18">
        <v>0.31408000000000003</v>
      </c>
      <c r="AB1062" s="18">
        <v>0.55869999999999997</v>
      </c>
      <c r="AC1062" s="18">
        <v>0.17214000000000002</v>
      </c>
      <c r="AD1062" s="18">
        <v>0.90600000000000003</v>
      </c>
    </row>
    <row r="1063" spans="2:30" x14ac:dyDescent="0.25">
      <c r="B1063" t="s">
        <v>269</v>
      </c>
      <c r="C1063" t="s">
        <v>570</v>
      </c>
      <c r="D1063" t="s">
        <v>752</v>
      </c>
      <c r="E1063" s="35">
        <v>0.9</v>
      </c>
      <c r="F1063" s="35">
        <v>6.6</v>
      </c>
      <c r="G1063" s="36">
        <v>2.47E-3</v>
      </c>
      <c r="H1063" s="18">
        <v>4.4452980000000002</v>
      </c>
      <c r="I1063" s="16" t="s">
        <v>746</v>
      </c>
      <c r="J1063" s="16"/>
      <c r="K1063" s="16"/>
      <c r="L1063" s="37"/>
      <c r="M1063" s="37"/>
      <c r="N1063" s="37"/>
      <c r="O1063" s="37"/>
      <c r="P1063" s="37"/>
      <c r="Q1063" s="18">
        <v>2.717E-2</v>
      </c>
      <c r="R1063" s="18">
        <v>1.8525E-4</v>
      </c>
      <c r="S1063" s="18">
        <v>5.1869999999999999E-2</v>
      </c>
      <c r="T1063" s="18">
        <v>0.2223</v>
      </c>
      <c r="U1063" s="18">
        <v>0.11115</v>
      </c>
      <c r="V1063" s="18">
        <v>1.42272</v>
      </c>
      <c r="W1063" s="18">
        <v>1.3338000000000001</v>
      </c>
      <c r="X1063" s="18">
        <v>0.88919999999999999</v>
      </c>
      <c r="Y1063" s="18">
        <v>3.952E-2</v>
      </c>
      <c r="Z1063" s="18">
        <v>0.17537</v>
      </c>
      <c r="AA1063" s="18">
        <v>0.25688</v>
      </c>
      <c r="AB1063" s="18">
        <v>0.45694999999999997</v>
      </c>
      <c r="AC1063" s="18">
        <v>0.14079</v>
      </c>
      <c r="AD1063" s="18">
        <v>0.74099999999999999</v>
      </c>
    </row>
    <row r="1064" spans="2:30" x14ac:dyDescent="0.25">
      <c r="B1064" t="s">
        <v>269</v>
      </c>
      <c r="C1064" t="s">
        <v>570</v>
      </c>
      <c r="D1064" t="s">
        <v>749</v>
      </c>
      <c r="E1064" s="35">
        <v>0.9</v>
      </c>
      <c r="F1064" s="35">
        <v>6.6</v>
      </c>
      <c r="G1064" s="36">
        <v>3.5699999999999998E-3</v>
      </c>
      <c r="H1064" s="18">
        <v>6.4252979999999997</v>
      </c>
      <c r="I1064" s="16" t="s">
        <v>746</v>
      </c>
      <c r="J1064" s="16"/>
      <c r="K1064" s="16"/>
      <c r="L1064" s="37"/>
      <c r="M1064" s="37"/>
      <c r="N1064" s="37"/>
      <c r="O1064" s="37"/>
      <c r="P1064" s="37"/>
      <c r="Q1064" s="18">
        <v>3.9269999999999999E-2</v>
      </c>
      <c r="R1064" s="18">
        <v>2.6774999999999998E-4</v>
      </c>
      <c r="S1064" s="18">
        <v>7.4969999999999995E-2</v>
      </c>
      <c r="T1064" s="18">
        <v>0.32129999999999997</v>
      </c>
      <c r="U1064" s="18">
        <v>0.16064999999999999</v>
      </c>
      <c r="V1064" s="18">
        <v>2.0563199999999999</v>
      </c>
      <c r="W1064" s="18">
        <v>1.9278</v>
      </c>
      <c r="X1064" s="18">
        <v>1.2851999999999999</v>
      </c>
      <c r="Y1064" s="18">
        <v>5.7119999999999997E-2</v>
      </c>
      <c r="Z1064" s="18">
        <v>0.25346999999999997</v>
      </c>
      <c r="AA1064" s="18">
        <v>0.37128</v>
      </c>
      <c r="AB1064" s="18">
        <v>0.66044999999999998</v>
      </c>
      <c r="AC1064" s="18">
        <v>0.20348999999999998</v>
      </c>
      <c r="AD1064" s="18">
        <v>1.071</v>
      </c>
    </row>
    <row r="1065" spans="2:30" x14ac:dyDescent="0.25">
      <c r="B1065" t="s">
        <v>269</v>
      </c>
      <c r="C1065" t="s">
        <v>570</v>
      </c>
      <c r="D1065" t="s">
        <v>750</v>
      </c>
      <c r="E1065" s="35">
        <v>0.9</v>
      </c>
      <c r="F1065" s="35">
        <v>6.6</v>
      </c>
      <c r="G1065" s="36">
        <v>3.0200000000000001E-3</v>
      </c>
      <c r="H1065" s="18">
        <v>5.4352980000000004</v>
      </c>
      <c r="I1065" s="16" t="s">
        <v>746</v>
      </c>
      <c r="J1065" s="16"/>
      <c r="K1065" s="16"/>
      <c r="L1065" s="37"/>
      <c r="M1065" s="37"/>
      <c r="N1065" s="37"/>
      <c r="O1065" s="37"/>
      <c r="P1065" s="37"/>
      <c r="Q1065" s="18">
        <v>3.322E-2</v>
      </c>
      <c r="R1065" s="18">
        <v>2.265E-4</v>
      </c>
      <c r="S1065" s="18">
        <v>6.3420000000000004E-2</v>
      </c>
      <c r="T1065" s="18">
        <v>0.27179999999999999</v>
      </c>
      <c r="U1065" s="18">
        <v>0.13589999999999999</v>
      </c>
      <c r="V1065" s="18">
        <v>1.7395200000000002</v>
      </c>
      <c r="W1065" s="18">
        <v>1.6308</v>
      </c>
      <c r="X1065" s="18">
        <v>1.0871999999999999</v>
      </c>
      <c r="Y1065" s="18">
        <v>4.8320000000000002E-2</v>
      </c>
      <c r="Z1065" s="18">
        <v>0.21442</v>
      </c>
      <c r="AA1065" s="18">
        <v>0.31408000000000003</v>
      </c>
      <c r="AB1065" s="18">
        <v>0.55869999999999997</v>
      </c>
      <c r="AC1065" s="18">
        <v>0.17214000000000002</v>
      </c>
      <c r="AD1065" s="18">
        <v>0.90600000000000003</v>
      </c>
    </row>
    <row r="1066" spans="2:30" x14ac:dyDescent="0.25">
      <c r="B1066" t="s">
        <v>269</v>
      </c>
      <c r="C1066" t="s">
        <v>570</v>
      </c>
      <c r="D1066" t="s">
        <v>750</v>
      </c>
      <c r="E1066" s="35">
        <v>0.9</v>
      </c>
      <c r="F1066" s="35">
        <v>6.6</v>
      </c>
      <c r="G1066" s="36">
        <v>3.0200000000000001E-3</v>
      </c>
      <c r="H1066" s="18">
        <v>5.4352980000000004</v>
      </c>
      <c r="I1066" s="16" t="s">
        <v>746</v>
      </c>
      <c r="J1066" s="16"/>
      <c r="K1066" s="16"/>
      <c r="L1066" s="37"/>
      <c r="M1066" s="37"/>
      <c r="N1066" s="37"/>
      <c r="O1066" s="37"/>
      <c r="P1066" s="37"/>
      <c r="Q1066" s="18">
        <v>3.322E-2</v>
      </c>
      <c r="R1066" s="18">
        <v>2.265E-4</v>
      </c>
      <c r="S1066" s="18">
        <v>6.3420000000000004E-2</v>
      </c>
      <c r="T1066" s="18">
        <v>0.27179999999999999</v>
      </c>
      <c r="U1066" s="18">
        <v>0.13589999999999999</v>
      </c>
      <c r="V1066" s="18">
        <v>1.7395200000000002</v>
      </c>
      <c r="W1066" s="18">
        <v>1.6308</v>
      </c>
      <c r="X1066" s="18">
        <v>1.0871999999999999</v>
      </c>
      <c r="Y1066" s="18">
        <v>4.8320000000000002E-2</v>
      </c>
      <c r="Z1066" s="18">
        <v>0.21442</v>
      </c>
      <c r="AA1066" s="18">
        <v>0.31408000000000003</v>
      </c>
      <c r="AB1066" s="18">
        <v>0.55869999999999997</v>
      </c>
      <c r="AC1066" s="18">
        <v>0.17214000000000002</v>
      </c>
      <c r="AD1066" s="18">
        <v>0.90600000000000003</v>
      </c>
    </row>
    <row r="1067" spans="2:30" x14ac:dyDescent="0.25">
      <c r="B1067" t="s">
        <v>269</v>
      </c>
      <c r="C1067" t="s">
        <v>570</v>
      </c>
      <c r="D1067" t="s">
        <v>749</v>
      </c>
      <c r="E1067" s="35">
        <v>0.9</v>
      </c>
      <c r="F1067" s="35">
        <v>6.6</v>
      </c>
      <c r="G1067" s="36">
        <v>3.5699999999999998E-3</v>
      </c>
      <c r="H1067" s="18">
        <v>6.4252979999999997</v>
      </c>
      <c r="I1067" s="16" t="s">
        <v>746</v>
      </c>
      <c r="J1067" s="16"/>
      <c r="K1067" s="16"/>
      <c r="L1067" s="37"/>
      <c r="M1067" s="37"/>
      <c r="N1067" s="37"/>
      <c r="O1067" s="37"/>
      <c r="P1067" s="37"/>
      <c r="Q1067" s="18">
        <v>3.9269999999999999E-2</v>
      </c>
      <c r="R1067" s="18">
        <v>2.6774999999999998E-4</v>
      </c>
      <c r="S1067" s="18">
        <v>7.4969999999999995E-2</v>
      </c>
      <c r="T1067" s="18">
        <v>0.32129999999999997</v>
      </c>
      <c r="U1067" s="18">
        <v>0.16064999999999999</v>
      </c>
      <c r="V1067" s="18">
        <v>2.0563199999999999</v>
      </c>
      <c r="W1067" s="18">
        <v>1.9278</v>
      </c>
      <c r="X1067" s="18">
        <v>1.2851999999999999</v>
      </c>
      <c r="Y1067" s="18">
        <v>5.7119999999999997E-2</v>
      </c>
      <c r="Z1067" s="18">
        <v>0.25346999999999997</v>
      </c>
      <c r="AA1067" s="18">
        <v>0.37128</v>
      </c>
      <c r="AB1067" s="18">
        <v>0.66044999999999998</v>
      </c>
      <c r="AC1067" s="18">
        <v>0.20348999999999998</v>
      </c>
      <c r="AD1067" s="18">
        <v>1.071</v>
      </c>
    </row>
    <row r="1068" spans="2:30" x14ac:dyDescent="0.25">
      <c r="B1068" t="s">
        <v>269</v>
      </c>
      <c r="C1068" t="s">
        <v>570</v>
      </c>
      <c r="D1068" t="s">
        <v>750</v>
      </c>
      <c r="E1068" s="35">
        <v>0.9</v>
      </c>
      <c r="F1068" s="35">
        <v>6.6</v>
      </c>
      <c r="G1068" s="36">
        <v>3.0200000000000001E-3</v>
      </c>
      <c r="H1068" s="18">
        <v>5.4352980000000004</v>
      </c>
      <c r="I1068" s="16" t="s">
        <v>746</v>
      </c>
      <c r="J1068" s="16"/>
      <c r="K1068" s="16"/>
      <c r="L1068" s="37"/>
      <c r="M1068" s="37"/>
      <c r="N1068" s="37"/>
      <c r="O1068" s="37"/>
      <c r="P1068" s="37"/>
      <c r="Q1068" s="18">
        <v>3.322E-2</v>
      </c>
      <c r="R1068" s="18">
        <v>2.265E-4</v>
      </c>
      <c r="S1068" s="18">
        <v>6.3420000000000004E-2</v>
      </c>
      <c r="T1068" s="18">
        <v>0.27179999999999999</v>
      </c>
      <c r="U1068" s="18">
        <v>0.13589999999999999</v>
      </c>
      <c r="V1068" s="18">
        <v>1.7395200000000002</v>
      </c>
      <c r="W1068" s="18">
        <v>1.6308</v>
      </c>
      <c r="X1068" s="18">
        <v>1.0871999999999999</v>
      </c>
      <c r="Y1068" s="18">
        <v>4.8320000000000002E-2</v>
      </c>
      <c r="Z1068" s="18">
        <v>0.21442</v>
      </c>
      <c r="AA1068" s="18">
        <v>0.31408000000000003</v>
      </c>
      <c r="AB1068" s="18">
        <v>0.55869999999999997</v>
      </c>
      <c r="AC1068" s="18">
        <v>0.17214000000000002</v>
      </c>
      <c r="AD1068" s="18">
        <v>0.90600000000000003</v>
      </c>
    </row>
    <row r="1069" spans="2:30" x14ac:dyDescent="0.25">
      <c r="B1069" t="s">
        <v>269</v>
      </c>
      <c r="C1069" t="s">
        <v>570</v>
      </c>
      <c r="D1069" t="s">
        <v>750</v>
      </c>
      <c r="E1069" s="35">
        <v>0.9</v>
      </c>
      <c r="F1069" s="35">
        <v>6.6</v>
      </c>
      <c r="G1069" s="36">
        <v>3.0200000000000001E-3</v>
      </c>
      <c r="H1069" s="18">
        <v>5.4352980000000004</v>
      </c>
      <c r="I1069" s="16" t="s">
        <v>746</v>
      </c>
      <c r="J1069" s="16"/>
      <c r="K1069" s="16"/>
      <c r="L1069" s="37"/>
      <c r="M1069" s="37"/>
      <c r="N1069" s="37"/>
      <c r="O1069" s="37"/>
      <c r="P1069" s="37"/>
      <c r="Q1069" s="18">
        <v>3.322E-2</v>
      </c>
      <c r="R1069" s="18">
        <v>2.265E-4</v>
      </c>
      <c r="S1069" s="18">
        <v>6.3420000000000004E-2</v>
      </c>
      <c r="T1069" s="18">
        <v>0.27179999999999999</v>
      </c>
      <c r="U1069" s="18">
        <v>0.13589999999999999</v>
      </c>
      <c r="V1069" s="18">
        <v>1.7395200000000002</v>
      </c>
      <c r="W1069" s="18">
        <v>1.6308</v>
      </c>
      <c r="X1069" s="18">
        <v>1.0871999999999999</v>
      </c>
      <c r="Y1069" s="18">
        <v>4.8320000000000002E-2</v>
      </c>
      <c r="Z1069" s="18">
        <v>0.21442</v>
      </c>
      <c r="AA1069" s="18">
        <v>0.31408000000000003</v>
      </c>
      <c r="AB1069" s="18">
        <v>0.55869999999999997</v>
      </c>
      <c r="AC1069" s="18">
        <v>0.17214000000000002</v>
      </c>
      <c r="AD1069" s="18">
        <v>0.90600000000000003</v>
      </c>
    </row>
    <row r="1070" spans="2:30" x14ac:dyDescent="0.25">
      <c r="B1070" t="s">
        <v>269</v>
      </c>
      <c r="C1070" t="s">
        <v>570</v>
      </c>
      <c r="D1070" t="s">
        <v>749</v>
      </c>
      <c r="E1070" s="35">
        <v>0.9</v>
      </c>
      <c r="F1070" s="35">
        <v>6.6</v>
      </c>
      <c r="G1070" s="36">
        <v>3.5699999999999998E-3</v>
      </c>
      <c r="H1070" s="18">
        <v>6.4252979999999997</v>
      </c>
      <c r="I1070" s="16" t="s">
        <v>746</v>
      </c>
      <c r="J1070" s="16"/>
      <c r="K1070" s="16"/>
      <c r="L1070" s="37"/>
      <c r="M1070" s="37"/>
      <c r="N1070" s="37"/>
      <c r="O1070" s="37"/>
      <c r="P1070" s="37"/>
      <c r="Q1070" s="18">
        <v>3.9269999999999999E-2</v>
      </c>
      <c r="R1070" s="18">
        <v>2.6774999999999998E-4</v>
      </c>
      <c r="S1070" s="18">
        <v>7.4969999999999995E-2</v>
      </c>
      <c r="T1070" s="18">
        <v>0.32129999999999997</v>
      </c>
      <c r="U1070" s="18">
        <v>0.16064999999999999</v>
      </c>
      <c r="V1070" s="18">
        <v>2.0563199999999999</v>
      </c>
      <c r="W1070" s="18">
        <v>1.9278</v>
      </c>
      <c r="X1070" s="18">
        <v>1.2851999999999999</v>
      </c>
      <c r="Y1070" s="18">
        <v>5.7119999999999997E-2</v>
      </c>
      <c r="Z1070" s="18">
        <v>0.25346999999999997</v>
      </c>
      <c r="AA1070" s="18">
        <v>0.37128</v>
      </c>
      <c r="AB1070" s="18">
        <v>0.66044999999999998</v>
      </c>
      <c r="AC1070" s="18">
        <v>0.20348999999999998</v>
      </c>
      <c r="AD1070" s="18">
        <v>1.071</v>
      </c>
    </row>
    <row r="1071" spans="2:30" x14ac:dyDescent="0.25">
      <c r="B1071" t="s">
        <v>269</v>
      </c>
      <c r="C1071" t="s">
        <v>570</v>
      </c>
      <c r="D1071" t="s">
        <v>748</v>
      </c>
      <c r="E1071" s="35">
        <v>0.9</v>
      </c>
      <c r="F1071" s="35">
        <v>6.6</v>
      </c>
      <c r="G1071" s="36">
        <v>4.1200000000000004E-3</v>
      </c>
      <c r="H1071" s="18">
        <v>7.4152979999999999</v>
      </c>
      <c r="I1071" s="16" t="s">
        <v>746</v>
      </c>
      <c r="J1071" s="16"/>
      <c r="K1071" s="16"/>
      <c r="L1071" s="37"/>
      <c r="M1071" s="37"/>
      <c r="N1071" s="37"/>
      <c r="O1071" s="37"/>
      <c r="P1071" s="37"/>
      <c r="Q1071" s="18">
        <v>4.5320000000000006E-2</v>
      </c>
      <c r="R1071" s="18">
        <v>3.0900000000000003E-4</v>
      </c>
      <c r="S1071" s="18">
        <v>8.6520000000000014E-2</v>
      </c>
      <c r="T1071" s="18">
        <v>0.37080000000000002</v>
      </c>
      <c r="U1071" s="18">
        <v>0.18540000000000001</v>
      </c>
      <c r="V1071" s="18">
        <v>2.3731200000000001</v>
      </c>
      <c r="W1071" s="18">
        <v>2.2248000000000001</v>
      </c>
      <c r="X1071" s="18">
        <v>1.4832000000000001</v>
      </c>
      <c r="Y1071" s="18">
        <v>6.5920000000000006E-2</v>
      </c>
      <c r="Z1071" s="18">
        <v>0.29252</v>
      </c>
      <c r="AA1071" s="18">
        <v>0.42848000000000003</v>
      </c>
      <c r="AB1071" s="18">
        <v>0.7622000000000001</v>
      </c>
      <c r="AC1071" s="18">
        <v>0.23484000000000002</v>
      </c>
      <c r="AD1071" s="18">
        <v>1.2360000000000002</v>
      </c>
    </row>
    <row r="1072" spans="2:30" x14ac:dyDescent="0.25">
      <c r="B1072" t="s">
        <v>269</v>
      </c>
      <c r="C1072" t="s">
        <v>570</v>
      </c>
      <c r="D1072" t="s">
        <v>750</v>
      </c>
      <c r="E1072" s="35">
        <v>0.9</v>
      </c>
      <c r="F1072" s="35">
        <v>6.6</v>
      </c>
      <c r="G1072" s="36">
        <v>3.0200000000000001E-3</v>
      </c>
      <c r="H1072" s="18">
        <v>5.4352980000000004</v>
      </c>
      <c r="I1072" s="16" t="s">
        <v>746</v>
      </c>
      <c r="J1072" s="16"/>
      <c r="K1072" s="16"/>
      <c r="L1072" s="37"/>
      <c r="M1072" s="37"/>
      <c r="N1072" s="37"/>
      <c r="O1072" s="37"/>
      <c r="P1072" s="37"/>
      <c r="Q1072" s="18">
        <v>3.322E-2</v>
      </c>
      <c r="R1072" s="18">
        <v>2.265E-4</v>
      </c>
      <c r="S1072" s="18">
        <v>6.3420000000000004E-2</v>
      </c>
      <c r="T1072" s="18">
        <v>0.27179999999999999</v>
      </c>
      <c r="U1072" s="18">
        <v>0.13589999999999999</v>
      </c>
      <c r="V1072" s="18">
        <v>1.7395200000000002</v>
      </c>
      <c r="W1072" s="18">
        <v>1.6308</v>
      </c>
      <c r="X1072" s="18">
        <v>1.0871999999999999</v>
      </c>
      <c r="Y1072" s="18">
        <v>4.8320000000000002E-2</v>
      </c>
      <c r="Z1072" s="18">
        <v>0.21442</v>
      </c>
      <c r="AA1072" s="18">
        <v>0.31408000000000003</v>
      </c>
      <c r="AB1072" s="18">
        <v>0.55869999999999997</v>
      </c>
      <c r="AC1072" s="18">
        <v>0.17214000000000002</v>
      </c>
      <c r="AD1072" s="18">
        <v>0.90600000000000003</v>
      </c>
    </row>
    <row r="1073" spans="2:30" x14ac:dyDescent="0.25">
      <c r="B1073" t="s">
        <v>269</v>
      </c>
      <c r="C1073" t="s">
        <v>570</v>
      </c>
      <c r="D1073" t="s">
        <v>748</v>
      </c>
      <c r="E1073" s="35">
        <v>0.9</v>
      </c>
      <c r="F1073" s="35">
        <v>6.6</v>
      </c>
      <c r="G1073" s="36">
        <v>4.1200000000000004E-3</v>
      </c>
      <c r="H1073" s="18">
        <v>7.4152979999999999</v>
      </c>
      <c r="I1073" s="16" t="s">
        <v>746</v>
      </c>
      <c r="J1073" s="16"/>
      <c r="K1073" s="16"/>
      <c r="L1073" s="37"/>
      <c r="M1073" s="37"/>
      <c r="N1073" s="37"/>
      <c r="O1073" s="37"/>
      <c r="P1073" s="37"/>
      <c r="Q1073" s="18">
        <v>4.5320000000000006E-2</v>
      </c>
      <c r="R1073" s="18">
        <v>3.0900000000000003E-4</v>
      </c>
      <c r="S1073" s="18">
        <v>8.6520000000000014E-2</v>
      </c>
      <c r="T1073" s="18">
        <v>0.37080000000000002</v>
      </c>
      <c r="U1073" s="18">
        <v>0.18540000000000001</v>
      </c>
      <c r="V1073" s="18">
        <v>2.3731200000000001</v>
      </c>
      <c r="W1073" s="18">
        <v>2.2248000000000001</v>
      </c>
      <c r="X1073" s="18">
        <v>1.4832000000000001</v>
      </c>
      <c r="Y1073" s="18">
        <v>6.5920000000000006E-2</v>
      </c>
      <c r="Z1073" s="18">
        <v>0.29252</v>
      </c>
      <c r="AA1073" s="18">
        <v>0.42848000000000003</v>
      </c>
      <c r="AB1073" s="18">
        <v>0.7622000000000001</v>
      </c>
      <c r="AC1073" s="18">
        <v>0.23484000000000002</v>
      </c>
      <c r="AD1073" s="18">
        <v>1.2360000000000002</v>
      </c>
    </row>
    <row r="1074" spans="2:30" x14ac:dyDescent="0.25">
      <c r="B1074" t="s">
        <v>269</v>
      </c>
      <c r="C1074" t="s">
        <v>570</v>
      </c>
      <c r="D1074" t="s">
        <v>752</v>
      </c>
      <c r="E1074" s="35">
        <v>0.9</v>
      </c>
      <c r="F1074" s="35">
        <v>6.6</v>
      </c>
      <c r="G1074" s="36">
        <v>2.47E-3</v>
      </c>
      <c r="H1074" s="18">
        <v>4.4452980000000002</v>
      </c>
      <c r="I1074" s="16" t="s">
        <v>746</v>
      </c>
      <c r="J1074" s="16"/>
      <c r="K1074" s="16"/>
      <c r="L1074" s="37"/>
      <c r="M1074" s="37"/>
      <c r="N1074" s="37"/>
      <c r="O1074" s="37"/>
      <c r="P1074" s="37"/>
      <c r="Q1074" s="18">
        <v>2.717E-2</v>
      </c>
      <c r="R1074" s="18">
        <v>1.8525E-4</v>
      </c>
      <c r="S1074" s="18">
        <v>5.1869999999999999E-2</v>
      </c>
      <c r="T1074" s="18">
        <v>0.2223</v>
      </c>
      <c r="U1074" s="18">
        <v>0.11115</v>
      </c>
      <c r="V1074" s="18">
        <v>1.42272</v>
      </c>
      <c r="W1074" s="18">
        <v>1.3338000000000001</v>
      </c>
      <c r="X1074" s="18">
        <v>0.88919999999999999</v>
      </c>
      <c r="Y1074" s="18">
        <v>3.952E-2</v>
      </c>
      <c r="Z1074" s="18">
        <v>0.17537</v>
      </c>
      <c r="AA1074" s="18">
        <v>0.25688</v>
      </c>
      <c r="AB1074" s="18">
        <v>0.45694999999999997</v>
      </c>
      <c r="AC1074" s="18">
        <v>0.14079</v>
      </c>
      <c r="AD1074" s="18">
        <v>0.74099999999999999</v>
      </c>
    </row>
    <row r="1075" spans="2:30" x14ac:dyDescent="0.25">
      <c r="B1075" t="s">
        <v>269</v>
      </c>
      <c r="C1075" t="s">
        <v>570</v>
      </c>
      <c r="D1075" t="s">
        <v>748</v>
      </c>
      <c r="E1075" s="35">
        <v>0.9</v>
      </c>
      <c r="F1075" s="35">
        <v>6.6</v>
      </c>
      <c r="G1075" s="36">
        <v>4.1200000000000004E-3</v>
      </c>
      <c r="H1075" s="18">
        <v>7.4152979999999999</v>
      </c>
      <c r="I1075" s="16" t="s">
        <v>746</v>
      </c>
      <c r="J1075" s="16"/>
      <c r="K1075" s="16"/>
      <c r="L1075" s="37"/>
      <c r="M1075" s="37"/>
      <c r="N1075" s="37"/>
      <c r="O1075" s="37"/>
      <c r="P1075" s="37"/>
      <c r="Q1075" s="18">
        <v>4.5320000000000006E-2</v>
      </c>
      <c r="R1075" s="18">
        <v>3.0900000000000003E-4</v>
      </c>
      <c r="S1075" s="18">
        <v>8.6520000000000014E-2</v>
      </c>
      <c r="T1075" s="18">
        <v>0.37080000000000002</v>
      </c>
      <c r="U1075" s="18">
        <v>0.18540000000000001</v>
      </c>
      <c r="V1075" s="18">
        <v>2.3731200000000001</v>
      </c>
      <c r="W1075" s="18">
        <v>2.2248000000000001</v>
      </c>
      <c r="X1075" s="18">
        <v>1.4832000000000001</v>
      </c>
      <c r="Y1075" s="18">
        <v>6.5920000000000006E-2</v>
      </c>
      <c r="Z1075" s="18">
        <v>0.29252</v>
      </c>
      <c r="AA1075" s="18">
        <v>0.42848000000000003</v>
      </c>
      <c r="AB1075" s="18">
        <v>0.7622000000000001</v>
      </c>
      <c r="AC1075" s="18">
        <v>0.23484000000000002</v>
      </c>
      <c r="AD1075" s="18">
        <v>1.2360000000000002</v>
      </c>
    </row>
    <row r="1076" spans="2:30" x14ac:dyDescent="0.25">
      <c r="B1076" t="s">
        <v>269</v>
      </c>
      <c r="C1076" t="s">
        <v>570</v>
      </c>
      <c r="D1076" t="s">
        <v>750</v>
      </c>
      <c r="E1076" s="35">
        <v>0.9</v>
      </c>
      <c r="F1076" s="35">
        <v>6.6</v>
      </c>
      <c r="G1076" s="36">
        <v>3.0200000000000001E-3</v>
      </c>
      <c r="H1076" s="18">
        <v>5.4352980000000004</v>
      </c>
      <c r="I1076" s="16" t="s">
        <v>746</v>
      </c>
      <c r="J1076" s="16"/>
      <c r="K1076" s="16"/>
      <c r="L1076" s="37"/>
      <c r="M1076" s="37"/>
      <c r="N1076" s="37"/>
      <c r="O1076" s="37"/>
      <c r="P1076" s="37"/>
      <c r="Q1076" s="18">
        <v>3.322E-2</v>
      </c>
      <c r="R1076" s="18">
        <v>2.265E-4</v>
      </c>
      <c r="S1076" s="18">
        <v>6.3420000000000004E-2</v>
      </c>
      <c r="T1076" s="18">
        <v>0.27179999999999999</v>
      </c>
      <c r="U1076" s="18">
        <v>0.13589999999999999</v>
      </c>
      <c r="V1076" s="18">
        <v>1.7395200000000002</v>
      </c>
      <c r="W1076" s="18">
        <v>1.6308</v>
      </c>
      <c r="X1076" s="18">
        <v>1.0871999999999999</v>
      </c>
      <c r="Y1076" s="18">
        <v>4.8320000000000002E-2</v>
      </c>
      <c r="Z1076" s="18">
        <v>0.21442</v>
      </c>
      <c r="AA1076" s="18">
        <v>0.31408000000000003</v>
      </c>
      <c r="AB1076" s="18">
        <v>0.55869999999999997</v>
      </c>
      <c r="AC1076" s="18">
        <v>0.17214000000000002</v>
      </c>
      <c r="AD1076" s="18">
        <v>0.90600000000000003</v>
      </c>
    </row>
    <row r="1077" spans="2:30" x14ac:dyDescent="0.25">
      <c r="B1077" t="s">
        <v>269</v>
      </c>
      <c r="C1077" t="s">
        <v>570</v>
      </c>
      <c r="D1077" t="s">
        <v>750</v>
      </c>
      <c r="E1077" s="35">
        <v>0.9</v>
      </c>
      <c r="F1077" s="35">
        <v>6.6</v>
      </c>
      <c r="G1077" s="36">
        <v>3.0200000000000001E-3</v>
      </c>
      <c r="H1077" s="18">
        <v>5.4352980000000004</v>
      </c>
      <c r="I1077" s="16" t="s">
        <v>746</v>
      </c>
      <c r="J1077" s="16"/>
      <c r="K1077" s="16"/>
      <c r="L1077" s="37"/>
      <c r="M1077" s="37"/>
      <c r="N1077" s="37"/>
      <c r="O1077" s="37"/>
      <c r="P1077" s="37"/>
      <c r="Q1077" s="18">
        <v>3.322E-2</v>
      </c>
      <c r="R1077" s="18">
        <v>2.265E-4</v>
      </c>
      <c r="S1077" s="18">
        <v>6.3420000000000004E-2</v>
      </c>
      <c r="T1077" s="18">
        <v>0.27179999999999999</v>
      </c>
      <c r="U1077" s="18">
        <v>0.13589999999999999</v>
      </c>
      <c r="V1077" s="18">
        <v>1.7395200000000002</v>
      </c>
      <c r="W1077" s="18">
        <v>1.6308</v>
      </c>
      <c r="X1077" s="18">
        <v>1.0871999999999999</v>
      </c>
      <c r="Y1077" s="18">
        <v>4.8320000000000002E-2</v>
      </c>
      <c r="Z1077" s="18">
        <v>0.21442</v>
      </c>
      <c r="AA1077" s="18">
        <v>0.31408000000000003</v>
      </c>
      <c r="AB1077" s="18">
        <v>0.55869999999999997</v>
      </c>
      <c r="AC1077" s="18">
        <v>0.17214000000000002</v>
      </c>
      <c r="AD1077" s="18">
        <v>0.90600000000000003</v>
      </c>
    </row>
    <row r="1078" spans="2:30" x14ac:dyDescent="0.25">
      <c r="B1078" t="s">
        <v>269</v>
      </c>
      <c r="C1078" t="s">
        <v>570</v>
      </c>
      <c r="D1078" t="s">
        <v>750</v>
      </c>
      <c r="E1078" s="35">
        <v>0.9</v>
      </c>
      <c r="F1078" s="35">
        <v>6.6</v>
      </c>
      <c r="G1078" s="36">
        <v>3.0200000000000001E-3</v>
      </c>
      <c r="H1078" s="18">
        <v>5.4352980000000004</v>
      </c>
      <c r="I1078" s="16" t="s">
        <v>746</v>
      </c>
      <c r="J1078" s="16"/>
      <c r="K1078" s="16"/>
      <c r="L1078" s="37"/>
      <c r="M1078" s="37"/>
      <c r="N1078" s="37"/>
      <c r="O1078" s="37"/>
      <c r="P1078" s="37"/>
      <c r="Q1078" s="18">
        <v>3.322E-2</v>
      </c>
      <c r="R1078" s="18">
        <v>2.265E-4</v>
      </c>
      <c r="S1078" s="18">
        <v>6.3420000000000004E-2</v>
      </c>
      <c r="T1078" s="18">
        <v>0.27179999999999999</v>
      </c>
      <c r="U1078" s="18">
        <v>0.13589999999999999</v>
      </c>
      <c r="V1078" s="18">
        <v>1.7395200000000002</v>
      </c>
      <c r="W1078" s="18">
        <v>1.6308</v>
      </c>
      <c r="X1078" s="18">
        <v>1.0871999999999999</v>
      </c>
      <c r="Y1078" s="18">
        <v>4.8320000000000002E-2</v>
      </c>
      <c r="Z1078" s="18">
        <v>0.21442</v>
      </c>
      <c r="AA1078" s="18">
        <v>0.31408000000000003</v>
      </c>
      <c r="AB1078" s="18">
        <v>0.55869999999999997</v>
      </c>
      <c r="AC1078" s="18">
        <v>0.17214000000000002</v>
      </c>
      <c r="AD1078" s="18">
        <v>0.90600000000000003</v>
      </c>
    </row>
    <row r="1079" spans="2:30" x14ac:dyDescent="0.25">
      <c r="B1079" t="s">
        <v>269</v>
      </c>
      <c r="C1079" t="s">
        <v>570</v>
      </c>
      <c r="D1079" t="s">
        <v>747</v>
      </c>
      <c r="E1079" s="35">
        <v>0.9</v>
      </c>
      <c r="F1079" s="35">
        <v>6.6</v>
      </c>
      <c r="G1079" s="36">
        <v>4.9449999999999997E-3</v>
      </c>
      <c r="H1079" s="18">
        <v>8.9002979999999994</v>
      </c>
      <c r="I1079" s="16" t="s">
        <v>746</v>
      </c>
      <c r="J1079" s="16"/>
      <c r="K1079" s="16"/>
      <c r="L1079" s="37"/>
      <c r="M1079" s="37"/>
      <c r="N1079" s="37"/>
      <c r="O1079" s="37"/>
      <c r="P1079" s="37"/>
      <c r="Q1079" s="18">
        <v>5.4394999999999999E-2</v>
      </c>
      <c r="R1079" s="18">
        <v>3.7087499999999995E-4</v>
      </c>
      <c r="S1079" s="18">
        <v>0.10384499999999999</v>
      </c>
      <c r="T1079" s="18">
        <v>0.44505</v>
      </c>
      <c r="U1079" s="18">
        <v>0.222525</v>
      </c>
      <c r="V1079" s="18">
        <v>2.8483199999999997</v>
      </c>
      <c r="W1079" s="18">
        <v>2.6702999999999997</v>
      </c>
      <c r="X1079" s="18">
        <v>1.7802</v>
      </c>
      <c r="Y1079" s="18">
        <v>7.9119999999999996E-2</v>
      </c>
      <c r="Z1079" s="18">
        <v>0.35109499999999999</v>
      </c>
      <c r="AA1079" s="18">
        <v>0.51427999999999996</v>
      </c>
      <c r="AB1079" s="18">
        <v>0.914825</v>
      </c>
      <c r="AC1079" s="18">
        <v>0.28186499999999998</v>
      </c>
      <c r="AD1079" s="18">
        <v>1.4834999999999998</v>
      </c>
    </row>
    <row r="1080" spans="2:30" x14ac:dyDescent="0.25">
      <c r="B1080" t="s">
        <v>269</v>
      </c>
      <c r="C1080" t="s">
        <v>570</v>
      </c>
      <c r="D1080" t="s">
        <v>748</v>
      </c>
      <c r="E1080" s="35">
        <v>0.9</v>
      </c>
      <c r="F1080" s="35">
        <v>6.6</v>
      </c>
      <c r="G1080" s="36">
        <v>4.1200000000000004E-3</v>
      </c>
      <c r="H1080" s="18">
        <v>7.4152979999999999</v>
      </c>
      <c r="I1080" s="16" t="s">
        <v>746</v>
      </c>
      <c r="J1080" s="16"/>
      <c r="K1080" s="16"/>
      <c r="L1080" s="37"/>
      <c r="M1080" s="37"/>
      <c r="N1080" s="37"/>
      <c r="O1080" s="37"/>
      <c r="P1080" s="37"/>
      <c r="Q1080" s="18">
        <v>4.5320000000000006E-2</v>
      </c>
      <c r="R1080" s="18">
        <v>3.0900000000000003E-4</v>
      </c>
      <c r="S1080" s="18">
        <v>8.6520000000000014E-2</v>
      </c>
      <c r="T1080" s="18">
        <v>0.37080000000000002</v>
      </c>
      <c r="U1080" s="18">
        <v>0.18540000000000001</v>
      </c>
      <c r="V1080" s="18">
        <v>2.3731200000000001</v>
      </c>
      <c r="W1080" s="18">
        <v>2.2248000000000001</v>
      </c>
      <c r="X1080" s="18">
        <v>1.4832000000000001</v>
      </c>
      <c r="Y1080" s="18">
        <v>6.5920000000000006E-2</v>
      </c>
      <c r="Z1080" s="18">
        <v>0.29252</v>
      </c>
      <c r="AA1080" s="18">
        <v>0.42848000000000003</v>
      </c>
      <c r="AB1080" s="18">
        <v>0.7622000000000001</v>
      </c>
      <c r="AC1080" s="18">
        <v>0.23484000000000002</v>
      </c>
      <c r="AD1080" s="18">
        <v>1.2360000000000002</v>
      </c>
    </row>
    <row r="1081" spans="2:30" x14ac:dyDescent="0.25">
      <c r="B1081" t="s">
        <v>269</v>
      </c>
      <c r="C1081" t="s">
        <v>570</v>
      </c>
      <c r="D1081" t="s">
        <v>748</v>
      </c>
      <c r="E1081" s="35">
        <v>0.9</v>
      </c>
      <c r="F1081" s="35">
        <v>6.6</v>
      </c>
      <c r="G1081" s="36">
        <v>4.1200000000000004E-3</v>
      </c>
      <c r="H1081" s="18">
        <v>7.4152979999999999</v>
      </c>
      <c r="I1081" s="16" t="s">
        <v>746</v>
      </c>
      <c r="J1081" s="16"/>
      <c r="K1081" s="16"/>
      <c r="L1081" s="37"/>
      <c r="M1081" s="37"/>
      <c r="N1081" s="37"/>
      <c r="O1081" s="37"/>
      <c r="P1081" s="37"/>
      <c r="Q1081" s="18">
        <v>4.5320000000000006E-2</v>
      </c>
      <c r="R1081" s="18">
        <v>3.0900000000000003E-4</v>
      </c>
      <c r="S1081" s="18">
        <v>8.6520000000000014E-2</v>
      </c>
      <c r="T1081" s="18">
        <v>0.37080000000000002</v>
      </c>
      <c r="U1081" s="18">
        <v>0.18540000000000001</v>
      </c>
      <c r="V1081" s="18">
        <v>2.3731200000000001</v>
      </c>
      <c r="W1081" s="18">
        <v>2.2248000000000001</v>
      </c>
      <c r="X1081" s="18">
        <v>1.4832000000000001</v>
      </c>
      <c r="Y1081" s="18">
        <v>6.5920000000000006E-2</v>
      </c>
      <c r="Z1081" s="18">
        <v>0.29252</v>
      </c>
      <c r="AA1081" s="18">
        <v>0.42848000000000003</v>
      </c>
      <c r="AB1081" s="18">
        <v>0.7622000000000001</v>
      </c>
      <c r="AC1081" s="18">
        <v>0.23484000000000002</v>
      </c>
      <c r="AD1081" s="18">
        <v>1.2360000000000002</v>
      </c>
    </row>
    <row r="1082" spans="2:30" x14ac:dyDescent="0.25">
      <c r="B1082" t="s">
        <v>269</v>
      </c>
      <c r="C1082" t="s">
        <v>570</v>
      </c>
      <c r="D1082" t="s">
        <v>748</v>
      </c>
      <c r="E1082" s="35">
        <v>0.9</v>
      </c>
      <c r="F1082" s="35">
        <v>6.6</v>
      </c>
      <c r="G1082" s="36">
        <v>4.1200000000000004E-3</v>
      </c>
      <c r="H1082" s="18">
        <v>7.4152979999999999</v>
      </c>
      <c r="I1082" s="16" t="s">
        <v>746</v>
      </c>
      <c r="J1082" s="16"/>
      <c r="K1082" s="16"/>
      <c r="L1082" s="37"/>
      <c r="M1082" s="37"/>
      <c r="N1082" s="37"/>
      <c r="O1082" s="37"/>
      <c r="P1082" s="37"/>
      <c r="Q1082" s="18">
        <v>4.5320000000000006E-2</v>
      </c>
      <c r="R1082" s="18">
        <v>3.0900000000000003E-4</v>
      </c>
      <c r="S1082" s="18">
        <v>8.6520000000000014E-2</v>
      </c>
      <c r="T1082" s="18">
        <v>0.37080000000000002</v>
      </c>
      <c r="U1082" s="18">
        <v>0.18540000000000001</v>
      </c>
      <c r="V1082" s="18">
        <v>2.3731200000000001</v>
      </c>
      <c r="W1082" s="18">
        <v>2.2248000000000001</v>
      </c>
      <c r="X1082" s="18">
        <v>1.4832000000000001</v>
      </c>
      <c r="Y1082" s="18">
        <v>6.5920000000000006E-2</v>
      </c>
      <c r="Z1082" s="18">
        <v>0.29252</v>
      </c>
      <c r="AA1082" s="18">
        <v>0.42848000000000003</v>
      </c>
      <c r="AB1082" s="18">
        <v>0.7622000000000001</v>
      </c>
      <c r="AC1082" s="18">
        <v>0.23484000000000002</v>
      </c>
      <c r="AD1082" s="18">
        <v>1.2360000000000002</v>
      </c>
    </row>
    <row r="1083" spans="2:30" x14ac:dyDescent="0.25">
      <c r="B1083" t="s">
        <v>269</v>
      </c>
      <c r="C1083" t="s">
        <v>570</v>
      </c>
      <c r="D1083" t="s">
        <v>748</v>
      </c>
      <c r="E1083" s="35">
        <v>0.9</v>
      </c>
      <c r="F1083" s="35">
        <v>6.6</v>
      </c>
      <c r="G1083" s="36">
        <v>4.1200000000000004E-3</v>
      </c>
      <c r="H1083" s="18">
        <v>7.4152979999999999</v>
      </c>
      <c r="I1083" s="16" t="s">
        <v>746</v>
      </c>
      <c r="J1083" s="16"/>
      <c r="K1083" s="16"/>
      <c r="L1083" s="37"/>
      <c r="M1083" s="37"/>
      <c r="N1083" s="37"/>
      <c r="O1083" s="37"/>
      <c r="P1083" s="37"/>
      <c r="Q1083" s="18">
        <v>4.5320000000000006E-2</v>
      </c>
      <c r="R1083" s="18">
        <v>3.0900000000000003E-4</v>
      </c>
      <c r="S1083" s="18">
        <v>8.6520000000000014E-2</v>
      </c>
      <c r="T1083" s="18">
        <v>0.37080000000000002</v>
      </c>
      <c r="U1083" s="18">
        <v>0.18540000000000001</v>
      </c>
      <c r="V1083" s="18">
        <v>2.3731200000000001</v>
      </c>
      <c r="W1083" s="18">
        <v>2.2248000000000001</v>
      </c>
      <c r="X1083" s="18">
        <v>1.4832000000000001</v>
      </c>
      <c r="Y1083" s="18">
        <v>6.5920000000000006E-2</v>
      </c>
      <c r="Z1083" s="18">
        <v>0.29252</v>
      </c>
      <c r="AA1083" s="18">
        <v>0.42848000000000003</v>
      </c>
      <c r="AB1083" s="18">
        <v>0.7622000000000001</v>
      </c>
      <c r="AC1083" s="18">
        <v>0.23484000000000002</v>
      </c>
      <c r="AD1083" s="18">
        <v>1.2360000000000002</v>
      </c>
    </row>
    <row r="1084" spans="2:30" x14ac:dyDescent="0.25">
      <c r="B1084" t="s">
        <v>269</v>
      </c>
      <c r="C1084" t="s">
        <v>570</v>
      </c>
      <c r="D1084" t="s">
        <v>748</v>
      </c>
      <c r="E1084" s="35">
        <v>0.9</v>
      </c>
      <c r="F1084" s="35">
        <v>6.6</v>
      </c>
      <c r="G1084" s="36">
        <v>4.1200000000000004E-3</v>
      </c>
      <c r="H1084" s="18">
        <v>7.4152979999999999</v>
      </c>
      <c r="I1084" s="16" t="s">
        <v>746</v>
      </c>
      <c r="J1084" s="16"/>
      <c r="K1084" s="16"/>
      <c r="L1084" s="37"/>
      <c r="M1084" s="37"/>
      <c r="N1084" s="37"/>
      <c r="O1084" s="37"/>
      <c r="P1084" s="37"/>
      <c r="Q1084" s="18">
        <v>4.5320000000000006E-2</v>
      </c>
      <c r="R1084" s="18">
        <v>3.0900000000000003E-4</v>
      </c>
      <c r="S1084" s="18">
        <v>8.6520000000000014E-2</v>
      </c>
      <c r="T1084" s="18">
        <v>0.37080000000000002</v>
      </c>
      <c r="U1084" s="18">
        <v>0.18540000000000001</v>
      </c>
      <c r="V1084" s="18">
        <v>2.3731200000000001</v>
      </c>
      <c r="W1084" s="18">
        <v>2.2248000000000001</v>
      </c>
      <c r="X1084" s="18">
        <v>1.4832000000000001</v>
      </c>
      <c r="Y1084" s="18">
        <v>6.5920000000000006E-2</v>
      </c>
      <c r="Z1084" s="18">
        <v>0.29252</v>
      </c>
      <c r="AA1084" s="18">
        <v>0.42848000000000003</v>
      </c>
      <c r="AB1084" s="18">
        <v>0.7622000000000001</v>
      </c>
      <c r="AC1084" s="18">
        <v>0.23484000000000002</v>
      </c>
      <c r="AD1084" s="18">
        <v>1.2360000000000002</v>
      </c>
    </row>
    <row r="1085" spans="2:30" x14ac:dyDescent="0.25">
      <c r="B1085" t="s">
        <v>269</v>
      </c>
      <c r="C1085" t="s">
        <v>570</v>
      </c>
      <c r="D1085" t="s">
        <v>748</v>
      </c>
      <c r="E1085" s="35">
        <v>0.9</v>
      </c>
      <c r="F1085" s="35">
        <v>6.6</v>
      </c>
      <c r="G1085" s="36">
        <v>4.1200000000000004E-3</v>
      </c>
      <c r="H1085" s="18">
        <v>7.4152979999999999</v>
      </c>
      <c r="I1085" s="16" t="s">
        <v>746</v>
      </c>
      <c r="J1085" s="16"/>
      <c r="K1085" s="16"/>
      <c r="L1085" s="37"/>
      <c r="M1085" s="37"/>
      <c r="N1085" s="37"/>
      <c r="O1085" s="37"/>
      <c r="P1085" s="37"/>
      <c r="Q1085" s="18">
        <v>4.5320000000000006E-2</v>
      </c>
      <c r="R1085" s="18">
        <v>3.0900000000000003E-4</v>
      </c>
      <c r="S1085" s="18">
        <v>8.6520000000000014E-2</v>
      </c>
      <c r="T1085" s="18">
        <v>0.37080000000000002</v>
      </c>
      <c r="U1085" s="18">
        <v>0.18540000000000001</v>
      </c>
      <c r="V1085" s="18">
        <v>2.3731200000000001</v>
      </c>
      <c r="W1085" s="18">
        <v>2.2248000000000001</v>
      </c>
      <c r="X1085" s="18">
        <v>1.4832000000000001</v>
      </c>
      <c r="Y1085" s="18">
        <v>6.5920000000000006E-2</v>
      </c>
      <c r="Z1085" s="18">
        <v>0.29252</v>
      </c>
      <c r="AA1085" s="18">
        <v>0.42848000000000003</v>
      </c>
      <c r="AB1085" s="18">
        <v>0.7622000000000001</v>
      </c>
      <c r="AC1085" s="18">
        <v>0.23484000000000002</v>
      </c>
      <c r="AD1085" s="18">
        <v>1.2360000000000002</v>
      </c>
    </row>
    <row r="1086" spans="2:30" x14ac:dyDescent="0.25">
      <c r="B1086" t="s">
        <v>269</v>
      </c>
      <c r="C1086" t="s">
        <v>570</v>
      </c>
      <c r="D1086" t="s">
        <v>748</v>
      </c>
      <c r="E1086" s="35">
        <v>0.9</v>
      </c>
      <c r="F1086" s="35">
        <v>6.6</v>
      </c>
      <c r="G1086" s="36">
        <v>4.1200000000000004E-3</v>
      </c>
      <c r="H1086" s="18">
        <v>7.4152979999999999</v>
      </c>
      <c r="I1086" s="16" t="s">
        <v>746</v>
      </c>
      <c r="J1086" s="16"/>
      <c r="K1086" s="16"/>
      <c r="L1086" s="37"/>
      <c r="M1086" s="37"/>
      <c r="N1086" s="37"/>
      <c r="O1086" s="37"/>
      <c r="P1086" s="37"/>
      <c r="Q1086" s="18">
        <v>4.5320000000000006E-2</v>
      </c>
      <c r="R1086" s="18">
        <v>3.0900000000000003E-4</v>
      </c>
      <c r="S1086" s="18">
        <v>8.6520000000000014E-2</v>
      </c>
      <c r="T1086" s="18">
        <v>0.37080000000000002</v>
      </c>
      <c r="U1086" s="18">
        <v>0.18540000000000001</v>
      </c>
      <c r="V1086" s="18">
        <v>2.3731200000000001</v>
      </c>
      <c r="W1086" s="18">
        <v>2.2248000000000001</v>
      </c>
      <c r="X1086" s="18">
        <v>1.4832000000000001</v>
      </c>
      <c r="Y1086" s="18">
        <v>6.5920000000000006E-2</v>
      </c>
      <c r="Z1086" s="18">
        <v>0.29252</v>
      </c>
      <c r="AA1086" s="18">
        <v>0.42848000000000003</v>
      </c>
      <c r="AB1086" s="18">
        <v>0.7622000000000001</v>
      </c>
      <c r="AC1086" s="18">
        <v>0.23484000000000002</v>
      </c>
      <c r="AD1086" s="18">
        <v>1.2360000000000002</v>
      </c>
    </row>
    <row r="1087" spans="2:30" x14ac:dyDescent="0.25">
      <c r="B1087" t="s">
        <v>269</v>
      </c>
      <c r="C1087" t="s">
        <v>570</v>
      </c>
      <c r="D1087" t="s">
        <v>748</v>
      </c>
      <c r="E1087" s="35">
        <v>0.9</v>
      </c>
      <c r="F1087" s="35">
        <v>6.6</v>
      </c>
      <c r="G1087" s="36">
        <v>4.1200000000000004E-3</v>
      </c>
      <c r="H1087" s="18">
        <v>7.4152979999999999</v>
      </c>
      <c r="I1087" s="16" t="s">
        <v>746</v>
      </c>
      <c r="J1087" s="16"/>
      <c r="K1087" s="16"/>
      <c r="L1087" s="37"/>
      <c r="M1087" s="37"/>
      <c r="N1087" s="37"/>
      <c r="O1087" s="37"/>
      <c r="P1087" s="37"/>
      <c r="Q1087" s="18">
        <v>4.5320000000000006E-2</v>
      </c>
      <c r="R1087" s="18">
        <v>3.0900000000000003E-4</v>
      </c>
      <c r="S1087" s="18">
        <v>8.6520000000000014E-2</v>
      </c>
      <c r="T1087" s="18">
        <v>0.37080000000000002</v>
      </c>
      <c r="U1087" s="18">
        <v>0.18540000000000001</v>
      </c>
      <c r="V1087" s="18">
        <v>2.3731200000000001</v>
      </c>
      <c r="W1087" s="18">
        <v>2.2248000000000001</v>
      </c>
      <c r="X1087" s="18">
        <v>1.4832000000000001</v>
      </c>
      <c r="Y1087" s="18">
        <v>6.5920000000000006E-2</v>
      </c>
      <c r="Z1087" s="18">
        <v>0.29252</v>
      </c>
      <c r="AA1087" s="18">
        <v>0.42848000000000003</v>
      </c>
      <c r="AB1087" s="18">
        <v>0.7622000000000001</v>
      </c>
      <c r="AC1087" s="18">
        <v>0.23484000000000002</v>
      </c>
      <c r="AD1087" s="18">
        <v>1.2360000000000002</v>
      </c>
    </row>
    <row r="1088" spans="2:30" x14ac:dyDescent="0.25">
      <c r="B1088" t="s">
        <v>269</v>
      </c>
      <c r="C1088" t="s">
        <v>570</v>
      </c>
      <c r="D1088" t="s">
        <v>748</v>
      </c>
      <c r="E1088" s="35">
        <v>0.9</v>
      </c>
      <c r="F1088" s="35">
        <v>6.6</v>
      </c>
      <c r="G1088" s="36">
        <v>4.1200000000000004E-3</v>
      </c>
      <c r="H1088" s="18">
        <v>7.4152979999999999</v>
      </c>
      <c r="I1088" s="16" t="s">
        <v>746</v>
      </c>
      <c r="J1088" s="16"/>
      <c r="K1088" s="16"/>
      <c r="L1088" s="37"/>
      <c r="M1088" s="37"/>
      <c r="N1088" s="37"/>
      <c r="O1088" s="37"/>
      <c r="P1088" s="37"/>
      <c r="Q1088" s="18">
        <v>4.5320000000000006E-2</v>
      </c>
      <c r="R1088" s="18">
        <v>3.0900000000000003E-4</v>
      </c>
      <c r="S1088" s="18">
        <v>8.6520000000000014E-2</v>
      </c>
      <c r="T1088" s="18">
        <v>0.37080000000000002</v>
      </c>
      <c r="U1088" s="18">
        <v>0.18540000000000001</v>
      </c>
      <c r="V1088" s="18">
        <v>2.3731200000000001</v>
      </c>
      <c r="W1088" s="18">
        <v>2.2248000000000001</v>
      </c>
      <c r="X1088" s="18">
        <v>1.4832000000000001</v>
      </c>
      <c r="Y1088" s="18">
        <v>6.5920000000000006E-2</v>
      </c>
      <c r="Z1088" s="18">
        <v>0.29252</v>
      </c>
      <c r="AA1088" s="18">
        <v>0.42848000000000003</v>
      </c>
      <c r="AB1088" s="18">
        <v>0.7622000000000001</v>
      </c>
      <c r="AC1088" s="18">
        <v>0.23484000000000002</v>
      </c>
      <c r="AD1088" s="18">
        <v>1.2360000000000002</v>
      </c>
    </row>
    <row r="1089" spans="2:30" x14ac:dyDescent="0.25">
      <c r="B1089" t="s">
        <v>269</v>
      </c>
      <c r="C1089" t="s">
        <v>570</v>
      </c>
      <c r="D1089" t="s">
        <v>753</v>
      </c>
      <c r="E1089" s="35">
        <v>0.9</v>
      </c>
      <c r="F1089" s="35">
        <v>6.6</v>
      </c>
      <c r="G1089" s="36">
        <v>5.77E-3</v>
      </c>
      <c r="H1089" s="18">
        <v>10.385298000000001</v>
      </c>
      <c r="I1089" s="16" t="s">
        <v>746</v>
      </c>
      <c r="J1089" s="16"/>
      <c r="K1089" s="16"/>
      <c r="L1089" s="37"/>
      <c r="M1089" s="37"/>
      <c r="N1089" s="37"/>
      <c r="O1089" s="37"/>
      <c r="P1089" s="37"/>
      <c r="Q1089" s="18">
        <v>6.3469999999999999E-2</v>
      </c>
      <c r="R1089" s="18">
        <v>4.3274999999999997E-4</v>
      </c>
      <c r="S1089" s="18">
        <v>0.12117</v>
      </c>
      <c r="T1089" s="18">
        <v>0.51929999999999998</v>
      </c>
      <c r="U1089" s="18">
        <v>0.25964999999999999</v>
      </c>
      <c r="V1089" s="18">
        <v>3.3235199999999998</v>
      </c>
      <c r="W1089" s="18">
        <v>3.1158000000000001</v>
      </c>
      <c r="X1089" s="18">
        <v>2.0771999999999999</v>
      </c>
      <c r="Y1089" s="18">
        <v>9.2319999999999999E-2</v>
      </c>
      <c r="Z1089" s="18">
        <v>0.40966999999999998</v>
      </c>
      <c r="AA1089" s="18">
        <v>0.60007999999999995</v>
      </c>
      <c r="AB1089" s="18">
        <v>1.06745</v>
      </c>
      <c r="AC1089" s="18">
        <v>0.32889000000000002</v>
      </c>
      <c r="AD1089" s="18">
        <v>1.7310000000000001</v>
      </c>
    </row>
    <row r="1090" spans="2:30" x14ac:dyDescent="0.25">
      <c r="B1090" t="s">
        <v>269</v>
      </c>
      <c r="C1090" t="s">
        <v>570</v>
      </c>
      <c r="D1090" t="s">
        <v>753</v>
      </c>
      <c r="E1090" s="35">
        <v>0.9</v>
      </c>
      <c r="F1090" s="35">
        <v>6.6</v>
      </c>
      <c r="G1090" s="36">
        <v>5.77E-3</v>
      </c>
      <c r="H1090" s="18">
        <v>10.385298000000001</v>
      </c>
      <c r="I1090" s="16" t="s">
        <v>746</v>
      </c>
      <c r="J1090" s="16"/>
      <c r="K1090" s="16"/>
      <c r="L1090" s="37"/>
      <c r="M1090" s="37"/>
      <c r="N1090" s="37"/>
      <c r="O1090" s="37"/>
      <c r="P1090" s="37"/>
      <c r="Q1090" s="18">
        <v>6.3469999999999999E-2</v>
      </c>
      <c r="R1090" s="18">
        <v>4.3274999999999997E-4</v>
      </c>
      <c r="S1090" s="18">
        <v>0.12117</v>
      </c>
      <c r="T1090" s="18">
        <v>0.51929999999999998</v>
      </c>
      <c r="U1090" s="18">
        <v>0.25964999999999999</v>
      </c>
      <c r="V1090" s="18">
        <v>3.3235199999999998</v>
      </c>
      <c r="W1090" s="18">
        <v>3.1158000000000001</v>
      </c>
      <c r="X1090" s="18">
        <v>2.0771999999999999</v>
      </c>
      <c r="Y1090" s="18">
        <v>9.2319999999999999E-2</v>
      </c>
      <c r="Z1090" s="18">
        <v>0.40966999999999998</v>
      </c>
      <c r="AA1090" s="18">
        <v>0.60007999999999995</v>
      </c>
      <c r="AB1090" s="18">
        <v>1.06745</v>
      </c>
      <c r="AC1090" s="18">
        <v>0.32889000000000002</v>
      </c>
      <c r="AD1090" s="18">
        <v>1.7310000000000001</v>
      </c>
    </row>
    <row r="1091" spans="2:30" x14ac:dyDescent="0.25">
      <c r="B1091" t="s">
        <v>269</v>
      </c>
      <c r="C1091" t="s">
        <v>570</v>
      </c>
      <c r="D1091" t="s">
        <v>748</v>
      </c>
      <c r="E1091" s="35">
        <v>0.9</v>
      </c>
      <c r="F1091" s="35">
        <v>6.6</v>
      </c>
      <c r="G1091" s="36">
        <v>4.1200000000000004E-3</v>
      </c>
      <c r="H1091" s="18">
        <v>7.4152979999999999</v>
      </c>
      <c r="I1091" s="16" t="s">
        <v>746</v>
      </c>
      <c r="J1091" s="16"/>
      <c r="K1091" s="16"/>
      <c r="L1091" s="37"/>
      <c r="M1091" s="37"/>
      <c r="N1091" s="37"/>
      <c r="O1091" s="37"/>
      <c r="P1091" s="37"/>
      <c r="Q1091" s="18">
        <v>4.5320000000000006E-2</v>
      </c>
      <c r="R1091" s="18">
        <v>3.0900000000000003E-4</v>
      </c>
      <c r="S1091" s="18">
        <v>8.6520000000000014E-2</v>
      </c>
      <c r="T1091" s="18">
        <v>0.37080000000000002</v>
      </c>
      <c r="U1091" s="18">
        <v>0.18540000000000001</v>
      </c>
      <c r="V1091" s="18">
        <v>2.3731200000000001</v>
      </c>
      <c r="W1091" s="18">
        <v>2.2248000000000001</v>
      </c>
      <c r="X1091" s="18">
        <v>1.4832000000000001</v>
      </c>
      <c r="Y1091" s="18">
        <v>6.5920000000000006E-2</v>
      </c>
      <c r="Z1091" s="18">
        <v>0.29252</v>
      </c>
      <c r="AA1091" s="18">
        <v>0.42848000000000003</v>
      </c>
      <c r="AB1091" s="18">
        <v>0.7622000000000001</v>
      </c>
      <c r="AC1091" s="18">
        <v>0.23484000000000002</v>
      </c>
      <c r="AD1091" s="18">
        <v>1.2360000000000002</v>
      </c>
    </row>
    <row r="1092" spans="2:30" x14ac:dyDescent="0.25">
      <c r="B1092" t="s">
        <v>269</v>
      </c>
      <c r="C1092" t="s">
        <v>570</v>
      </c>
      <c r="D1092" t="s">
        <v>748</v>
      </c>
      <c r="E1092" s="35">
        <v>0.9</v>
      </c>
      <c r="F1092" s="35">
        <v>6.6</v>
      </c>
      <c r="G1092" s="36">
        <v>4.1200000000000004E-3</v>
      </c>
      <c r="H1092" s="18">
        <v>7.4152979999999999</v>
      </c>
      <c r="I1092" s="16" t="s">
        <v>746</v>
      </c>
      <c r="J1092" s="16"/>
      <c r="K1092" s="16"/>
      <c r="L1092" s="37"/>
      <c r="M1092" s="37"/>
      <c r="N1092" s="37"/>
      <c r="O1092" s="37"/>
      <c r="P1092" s="37"/>
      <c r="Q1092" s="18">
        <v>4.5320000000000006E-2</v>
      </c>
      <c r="R1092" s="18">
        <v>3.0900000000000003E-4</v>
      </c>
      <c r="S1092" s="18">
        <v>8.6520000000000014E-2</v>
      </c>
      <c r="T1092" s="18">
        <v>0.37080000000000002</v>
      </c>
      <c r="U1092" s="18">
        <v>0.18540000000000001</v>
      </c>
      <c r="V1092" s="18">
        <v>2.3731200000000001</v>
      </c>
      <c r="W1092" s="18">
        <v>2.2248000000000001</v>
      </c>
      <c r="X1092" s="18">
        <v>1.4832000000000001</v>
      </c>
      <c r="Y1092" s="18">
        <v>6.5920000000000006E-2</v>
      </c>
      <c r="Z1092" s="18">
        <v>0.29252</v>
      </c>
      <c r="AA1092" s="18">
        <v>0.42848000000000003</v>
      </c>
      <c r="AB1092" s="18">
        <v>0.7622000000000001</v>
      </c>
      <c r="AC1092" s="18">
        <v>0.23484000000000002</v>
      </c>
      <c r="AD1092" s="18">
        <v>1.2360000000000002</v>
      </c>
    </row>
    <row r="1093" spans="2:30" x14ac:dyDescent="0.25">
      <c r="B1093" t="s">
        <v>269</v>
      </c>
      <c r="C1093" t="s">
        <v>570</v>
      </c>
      <c r="D1093" t="s">
        <v>752</v>
      </c>
      <c r="E1093" s="35">
        <v>0.9</v>
      </c>
      <c r="F1093" s="35">
        <v>6.6</v>
      </c>
      <c r="G1093" s="36">
        <v>2.47E-3</v>
      </c>
      <c r="H1093" s="18">
        <v>4.4452980000000002</v>
      </c>
      <c r="I1093" s="16" t="s">
        <v>746</v>
      </c>
      <c r="J1093" s="16"/>
      <c r="K1093" s="16"/>
      <c r="L1093" s="37"/>
      <c r="M1093" s="37"/>
      <c r="N1093" s="37"/>
      <c r="O1093" s="37"/>
      <c r="P1093" s="37"/>
      <c r="Q1093" s="18">
        <v>2.717E-2</v>
      </c>
      <c r="R1093" s="18">
        <v>1.8525E-4</v>
      </c>
      <c r="S1093" s="18">
        <v>5.1869999999999999E-2</v>
      </c>
      <c r="T1093" s="18">
        <v>0.2223</v>
      </c>
      <c r="U1093" s="18">
        <v>0.11115</v>
      </c>
      <c r="V1093" s="18">
        <v>1.42272</v>
      </c>
      <c r="W1093" s="18">
        <v>1.3338000000000001</v>
      </c>
      <c r="X1093" s="18">
        <v>0.88919999999999999</v>
      </c>
      <c r="Y1093" s="18">
        <v>3.952E-2</v>
      </c>
      <c r="Z1093" s="18">
        <v>0.17537</v>
      </c>
      <c r="AA1093" s="18">
        <v>0.25688</v>
      </c>
      <c r="AB1093" s="18">
        <v>0.45694999999999997</v>
      </c>
      <c r="AC1093" s="18">
        <v>0.14079</v>
      </c>
      <c r="AD1093" s="18">
        <v>0.74099999999999999</v>
      </c>
    </row>
    <row r="1094" spans="2:30" x14ac:dyDescent="0.25">
      <c r="B1094" t="s">
        <v>269</v>
      </c>
      <c r="C1094" t="s">
        <v>570</v>
      </c>
      <c r="D1094" t="s">
        <v>752</v>
      </c>
      <c r="E1094" s="35">
        <v>0.9</v>
      </c>
      <c r="F1094" s="35">
        <v>6.6</v>
      </c>
      <c r="G1094" s="36">
        <v>2.47E-3</v>
      </c>
      <c r="H1094" s="18">
        <v>4.4452980000000002</v>
      </c>
      <c r="I1094" s="16" t="s">
        <v>746</v>
      </c>
      <c r="J1094" s="16"/>
      <c r="K1094" s="16"/>
      <c r="L1094" s="37"/>
      <c r="M1094" s="37"/>
      <c r="N1094" s="37"/>
      <c r="O1094" s="37"/>
      <c r="P1094" s="37"/>
      <c r="Q1094" s="18">
        <v>2.717E-2</v>
      </c>
      <c r="R1094" s="18">
        <v>1.8525E-4</v>
      </c>
      <c r="S1094" s="18">
        <v>5.1869999999999999E-2</v>
      </c>
      <c r="T1094" s="18">
        <v>0.2223</v>
      </c>
      <c r="U1094" s="18">
        <v>0.11115</v>
      </c>
      <c r="V1094" s="18">
        <v>1.42272</v>
      </c>
      <c r="W1094" s="18">
        <v>1.3338000000000001</v>
      </c>
      <c r="X1094" s="18">
        <v>0.88919999999999999</v>
      </c>
      <c r="Y1094" s="18">
        <v>3.952E-2</v>
      </c>
      <c r="Z1094" s="18">
        <v>0.17537</v>
      </c>
      <c r="AA1094" s="18">
        <v>0.25688</v>
      </c>
      <c r="AB1094" s="18">
        <v>0.45694999999999997</v>
      </c>
      <c r="AC1094" s="18">
        <v>0.14079</v>
      </c>
      <c r="AD1094" s="18">
        <v>0.74099999999999999</v>
      </c>
    </row>
    <row r="1095" spans="2:30" x14ac:dyDescent="0.25">
      <c r="B1095" t="s">
        <v>269</v>
      </c>
      <c r="C1095" t="s">
        <v>570</v>
      </c>
      <c r="D1095" t="s">
        <v>748</v>
      </c>
      <c r="E1095" s="35">
        <v>0.9</v>
      </c>
      <c r="F1095" s="35">
        <v>6.6</v>
      </c>
      <c r="G1095" s="36">
        <v>4.1200000000000004E-3</v>
      </c>
      <c r="H1095" s="18">
        <v>7.4152979999999999</v>
      </c>
      <c r="I1095" s="16" t="s">
        <v>746</v>
      </c>
      <c r="J1095" s="16"/>
      <c r="K1095" s="16"/>
      <c r="L1095" s="37"/>
      <c r="M1095" s="37"/>
      <c r="N1095" s="37"/>
      <c r="O1095" s="37"/>
      <c r="P1095" s="37"/>
      <c r="Q1095" s="18">
        <v>4.5320000000000006E-2</v>
      </c>
      <c r="R1095" s="18">
        <v>3.0900000000000003E-4</v>
      </c>
      <c r="S1095" s="18">
        <v>8.6520000000000014E-2</v>
      </c>
      <c r="T1095" s="18">
        <v>0.37080000000000002</v>
      </c>
      <c r="U1095" s="18">
        <v>0.18540000000000001</v>
      </c>
      <c r="V1095" s="18">
        <v>2.3731200000000001</v>
      </c>
      <c r="W1095" s="18">
        <v>2.2248000000000001</v>
      </c>
      <c r="X1095" s="18">
        <v>1.4832000000000001</v>
      </c>
      <c r="Y1095" s="18">
        <v>6.5920000000000006E-2</v>
      </c>
      <c r="Z1095" s="18">
        <v>0.29252</v>
      </c>
      <c r="AA1095" s="18">
        <v>0.42848000000000003</v>
      </c>
      <c r="AB1095" s="18">
        <v>0.7622000000000001</v>
      </c>
      <c r="AC1095" s="18">
        <v>0.23484000000000002</v>
      </c>
      <c r="AD1095" s="18">
        <v>1.2360000000000002</v>
      </c>
    </row>
    <row r="1096" spans="2:30" x14ac:dyDescent="0.25">
      <c r="B1096" t="s">
        <v>269</v>
      </c>
      <c r="C1096" t="s">
        <v>570</v>
      </c>
      <c r="D1096" t="s">
        <v>750</v>
      </c>
      <c r="E1096" s="35">
        <v>0.9</v>
      </c>
      <c r="F1096" s="35">
        <v>6.6</v>
      </c>
      <c r="G1096" s="36">
        <v>3.0200000000000001E-3</v>
      </c>
      <c r="H1096" s="18">
        <v>5.4352980000000004</v>
      </c>
      <c r="I1096" s="16" t="s">
        <v>746</v>
      </c>
      <c r="J1096" s="16"/>
      <c r="K1096" s="16"/>
      <c r="L1096" s="37"/>
      <c r="M1096" s="37"/>
      <c r="N1096" s="37"/>
      <c r="O1096" s="37"/>
      <c r="P1096" s="37"/>
      <c r="Q1096" s="18">
        <v>3.322E-2</v>
      </c>
      <c r="R1096" s="18">
        <v>2.265E-4</v>
      </c>
      <c r="S1096" s="18">
        <v>6.3420000000000004E-2</v>
      </c>
      <c r="T1096" s="18">
        <v>0.27179999999999999</v>
      </c>
      <c r="U1096" s="18">
        <v>0.13589999999999999</v>
      </c>
      <c r="V1096" s="18">
        <v>1.7395200000000002</v>
      </c>
      <c r="W1096" s="18">
        <v>1.6308</v>
      </c>
      <c r="X1096" s="18">
        <v>1.0871999999999999</v>
      </c>
      <c r="Y1096" s="18">
        <v>4.8320000000000002E-2</v>
      </c>
      <c r="Z1096" s="18">
        <v>0.21442</v>
      </c>
      <c r="AA1096" s="18">
        <v>0.31408000000000003</v>
      </c>
      <c r="AB1096" s="18">
        <v>0.55869999999999997</v>
      </c>
      <c r="AC1096" s="18">
        <v>0.17214000000000002</v>
      </c>
      <c r="AD1096" s="18">
        <v>0.90600000000000003</v>
      </c>
    </row>
    <row r="1097" spans="2:30" x14ac:dyDescent="0.25">
      <c r="B1097" t="s">
        <v>269</v>
      </c>
      <c r="C1097" t="s">
        <v>570</v>
      </c>
      <c r="D1097" t="s">
        <v>748</v>
      </c>
      <c r="E1097" s="35">
        <v>0.9</v>
      </c>
      <c r="F1097" s="35">
        <v>6.6</v>
      </c>
      <c r="G1097" s="36">
        <v>4.1200000000000004E-3</v>
      </c>
      <c r="H1097" s="18">
        <v>7.4152979999999999</v>
      </c>
      <c r="I1097" s="16" t="s">
        <v>746</v>
      </c>
      <c r="J1097" s="16"/>
      <c r="K1097" s="16"/>
      <c r="L1097" s="37"/>
      <c r="M1097" s="37"/>
      <c r="N1097" s="37"/>
      <c r="O1097" s="37"/>
      <c r="P1097" s="37"/>
      <c r="Q1097" s="18">
        <v>4.5320000000000006E-2</v>
      </c>
      <c r="R1097" s="18">
        <v>3.0900000000000003E-4</v>
      </c>
      <c r="S1097" s="18">
        <v>8.6520000000000014E-2</v>
      </c>
      <c r="T1097" s="18">
        <v>0.37080000000000002</v>
      </c>
      <c r="U1097" s="18">
        <v>0.18540000000000001</v>
      </c>
      <c r="V1097" s="18">
        <v>2.3731200000000001</v>
      </c>
      <c r="W1097" s="18">
        <v>2.2248000000000001</v>
      </c>
      <c r="X1097" s="18">
        <v>1.4832000000000001</v>
      </c>
      <c r="Y1097" s="18">
        <v>6.5920000000000006E-2</v>
      </c>
      <c r="Z1097" s="18">
        <v>0.29252</v>
      </c>
      <c r="AA1097" s="18">
        <v>0.42848000000000003</v>
      </c>
      <c r="AB1097" s="18">
        <v>0.7622000000000001</v>
      </c>
      <c r="AC1097" s="18">
        <v>0.23484000000000002</v>
      </c>
      <c r="AD1097" s="18">
        <v>1.2360000000000002</v>
      </c>
    </row>
    <row r="1098" spans="2:30" x14ac:dyDescent="0.25">
      <c r="B1098" t="s">
        <v>269</v>
      </c>
      <c r="C1098" t="s">
        <v>570</v>
      </c>
      <c r="D1098" t="s">
        <v>750</v>
      </c>
      <c r="E1098" s="35">
        <v>0.9</v>
      </c>
      <c r="F1098" s="35">
        <v>6.6</v>
      </c>
      <c r="G1098" s="36">
        <v>3.0200000000000001E-3</v>
      </c>
      <c r="H1098" s="18">
        <v>5.4352980000000004</v>
      </c>
      <c r="I1098" s="16" t="s">
        <v>746</v>
      </c>
      <c r="J1098" s="16"/>
      <c r="K1098" s="16"/>
      <c r="L1098" s="37"/>
      <c r="M1098" s="37"/>
      <c r="N1098" s="37"/>
      <c r="O1098" s="37"/>
      <c r="P1098" s="37"/>
      <c r="Q1098" s="18">
        <v>3.322E-2</v>
      </c>
      <c r="R1098" s="18">
        <v>2.265E-4</v>
      </c>
      <c r="S1098" s="18">
        <v>6.3420000000000004E-2</v>
      </c>
      <c r="T1098" s="18">
        <v>0.27179999999999999</v>
      </c>
      <c r="U1098" s="18">
        <v>0.13589999999999999</v>
      </c>
      <c r="V1098" s="18">
        <v>1.7395200000000002</v>
      </c>
      <c r="W1098" s="18">
        <v>1.6308</v>
      </c>
      <c r="X1098" s="18">
        <v>1.0871999999999999</v>
      </c>
      <c r="Y1098" s="18">
        <v>4.8320000000000002E-2</v>
      </c>
      <c r="Z1098" s="18">
        <v>0.21442</v>
      </c>
      <c r="AA1098" s="18">
        <v>0.31408000000000003</v>
      </c>
      <c r="AB1098" s="18">
        <v>0.55869999999999997</v>
      </c>
      <c r="AC1098" s="18">
        <v>0.17214000000000002</v>
      </c>
      <c r="AD1098" s="18">
        <v>0.90600000000000003</v>
      </c>
    </row>
    <row r="1099" spans="2:30" x14ac:dyDescent="0.25">
      <c r="B1099" t="s">
        <v>269</v>
      </c>
      <c r="C1099" t="s">
        <v>570</v>
      </c>
      <c r="D1099" t="s">
        <v>753</v>
      </c>
      <c r="E1099" s="35">
        <v>0.9</v>
      </c>
      <c r="F1099" s="35">
        <v>6.6</v>
      </c>
      <c r="G1099" s="36">
        <v>5.77E-3</v>
      </c>
      <c r="H1099" s="18">
        <v>10.385298000000001</v>
      </c>
      <c r="I1099" s="16" t="s">
        <v>746</v>
      </c>
      <c r="J1099" s="16"/>
      <c r="K1099" s="16"/>
      <c r="L1099" s="37"/>
      <c r="M1099" s="37"/>
      <c r="N1099" s="37"/>
      <c r="O1099" s="37"/>
      <c r="P1099" s="37"/>
      <c r="Q1099" s="18">
        <v>6.3469999999999999E-2</v>
      </c>
      <c r="R1099" s="18">
        <v>4.3274999999999997E-4</v>
      </c>
      <c r="S1099" s="18">
        <v>0.12117</v>
      </c>
      <c r="T1099" s="18">
        <v>0.51929999999999998</v>
      </c>
      <c r="U1099" s="18">
        <v>0.25964999999999999</v>
      </c>
      <c r="V1099" s="18">
        <v>3.3235199999999998</v>
      </c>
      <c r="W1099" s="18">
        <v>3.1158000000000001</v>
      </c>
      <c r="X1099" s="18">
        <v>2.0771999999999999</v>
      </c>
      <c r="Y1099" s="18">
        <v>9.2319999999999999E-2</v>
      </c>
      <c r="Z1099" s="18">
        <v>0.40966999999999998</v>
      </c>
      <c r="AA1099" s="18">
        <v>0.60007999999999995</v>
      </c>
      <c r="AB1099" s="18">
        <v>1.06745</v>
      </c>
      <c r="AC1099" s="18">
        <v>0.32889000000000002</v>
      </c>
      <c r="AD1099" s="18">
        <v>1.7310000000000001</v>
      </c>
    </row>
    <row r="1100" spans="2:30" x14ac:dyDescent="0.25">
      <c r="B1100" t="s">
        <v>269</v>
      </c>
      <c r="C1100" t="s">
        <v>570</v>
      </c>
      <c r="D1100" t="s">
        <v>748</v>
      </c>
      <c r="E1100" s="35">
        <v>0.9</v>
      </c>
      <c r="F1100" s="35">
        <v>6.6</v>
      </c>
      <c r="G1100" s="36">
        <v>4.1200000000000004E-3</v>
      </c>
      <c r="H1100" s="18">
        <v>7.4152979999999999</v>
      </c>
      <c r="I1100" s="16" t="s">
        <v>746</v>
      </c>
      <c r="J1100" s="16"/>
      <c r="K1100" s="16"/>
      <c r="L1100" s="37"/>
      <c r="M1100" s="37"/>
      <c r="N1100" s="37"/>
      <c r="O1100" s="37"/>
      <c r="P1100" s="37"/>
      <c r="Q1100" s="18">
        <v>4.5320000000000006E-2</v>
      </c>
      <c r="R1100" s="18">
        <v>3.0900000000000003E-4</v>
      </c>
      <c r="S1100" s="18">
        <v>8.6520000000000014E-2</v>
      </c>
      <c r="T1100" s="18">
        <v>0.37080000000000002</v>
      </c>
      <c r="U1100" s="18">
        <v>0.18540000000000001</v>
      </c>
      <c r="V1100" s="18">
        <v>2.3731200000000001</v>
      </c>
      <c r="W1100" s="18">
        <v>2.2248000000000001</v>
      </c>
      <c r="X1100" s="18">
        <v>1.4832000000000001</v>
      </c>
      <c r="Y1100" s="18">
        <v>6.5920000000000006E-2</v>
      </c>
      <c r="Z1100" s="18">
        <v>0.29252</v>
      </c>
      <c r="AA1100" s="18">
        <v>0.42848000000000003</v>
      </c>
      <c r="AB1100" s="18">
        <v>0.7622000000000001</v>
      </c>
      <c r="AC1100" s="18">
        <v>0.23484000000000002</v>
      </c>
      <c r="AD1100" s="18">
        <v>1.2360000000000002</v>
      </c>
    </row>
    <row r="1101" spans="2:30" x14ac:dyDescent="0.25">
      <c r="B1101" t="s">
        <v>269</v>
      </c>
      <c r="C1101" t="s">
        <v>463</v>
      </c>
      <c r="D1101" t="s">
        <v>749</v>
      </c>
      <c r="E1101" s="35">
        <v>0.9</v>
      </c>
      <c r="F1101" s="35">
        <v>6.6</v>
      </c>
      <c r="G1101" s="36">
        <v>3.5699999999999998E-3</v>
      </c>
      <c r="H1101" s="18">
        <v>6.4252979999999997</v>
      </c>
      <c r="I1101" s="16" t="s">
        <v>746</v>
      </c>
      <c r="J1101" s="16"/>
      <c r="K1101" s="16"/>
      <c r="L1101" s="37"/>
      <c r="M1101" s="37"/>
      <c r="N1101" s="37"/>
      <c r="O1101" s="37"/>
      <c r="P1101" s="37"/>
      <c r="Q1101" s="18">
        <v>3.9269999999999999E-2</v>
      </c>
      <c r="R1101" s="18">
        <v>2.6774999999999998E-4</v>
      </c>
      <c r="S1101" s="18">
        <v>7.4969999999999995E-2</v>
      </c>
      <c r="T1101" s="18">
        <v>0.32129999999999997</v>
      </c>
      <c r="U1101" s="18">
        <v>0.16064999999999999</v>
      </c>
      <c r="V1101" s="18">
        <v>2.0563199999999999</v>
      </c>
      <c r="W1101" s="18">
        <v>1.9278</v>
      </c>
      <c r="X1101" s="18">
        <v>1.2851999999999999</v>
      </c>
      <c r="Y1101" s="18">
        <v>5.7119999999999997E-2</v>
      </c>
      <c r="Z1101" s="18">
        <v>0.25346999999999997</v>
      </c>
      <c r="AA1101" s="18">
        <v>0.37128</v>
      </c>
      <c r="AB1101" s="18">
        <v>0.66044999999999998</v>
      </c>
      <c r="AC1101" s="18">
        <v>0.20348999999999998</v>
      </c>
      <c r="AD1101" s="18">
        <v>1.071</v>
      </c>
    </row>
    <row r="1102" spans="2:30" x14ac:dyDescent="0.25">
      <c r="B1102" t="s">
        <v>269</v>
      </c>
      <c r="C1102" t="s">
        <v>463</v>
      </c>
      <c r="D1102" t="s">
        <v>752</v>
      </c>
      <c r="E1102" s="35">
        <v>0.9</v>
      </c>
      <c r="F1102" s="35">
        <v>6.6</v>
      </c>
      <c r="G1102" s="36">
        <v>2.47E-3</v>
      </c>
      <c r="H1102" s="18">
        <v>4.4452980000000002</v>
      </c>
      <c r="I1102" s="16" t="s">
        <v>746</v>
      </c>
      <c r="J1102" s="16"/>
      <c r="K1102" s="16"/>
      <c r="L1102" s="37"/>
      <c r="M1102" s="37"/>
      <c r="N1102" s="37"/>
      <c r="O1102" s="37"/>
      <c r="P1102" s="37"/>
      <c r="Q1102" s="18">
        <v>2.717E-2</v>
      </c>
      <c r="R1102" s="18">
        <v>1.8525E-4</v>
      </c>
      <c r="S1102" s="18">
        <v>5.1869999999999999E-2</v>
      </c>
      <c r="T1102" s="18">
        <v>0.2223</v>
      </c>
      <c r="U1102" s="18">
        <v>0.11115</v>
      </c>
      <c r="V1102" s="18">
        <v>1.42272</v>
      </c>
      <c r="W1102" s="18">
        <v>1.3338000000000001</v>
      </c>
      <c r="X1102" s="18">
        <v>0.88919999999999999</v>
      </c>
      <c r="Y1102" s="18">
        <v>3.952E-2</v>
      </c>
      <c r="Z1102" s="18">
        <v>0.17537</v>
      </c>
      <c r="AA1102" s="18">
        <v>0.25688</v>
      </c>
      <c r="AB1102" s="18">
        <v>0.45694999999999997</v>
      </c>
      <c r="AC1102" s="18">
        <v>0.14079</v>
      </c>
      <c r="AD1102" s="18">
        <v>0.74099999999999999</v>
      </c>
    </row>
    <row r="1103" spans="2:30" x14ac:dyDescent="0.25">
      <c r="B1103" t="s">
        <v>269</v>
      </c>
      <c r="C1103" t="s">
        <v>463</v>
      </c>
      <c r="D1103" t="s">
        <v>748</v>
      </c>
      <c r="E1103" s="35">
        <v>0.9</v>
      </c>
      <c r="F1103" s="35">
        <v>6.6</v>
      </c>
      <c r="G1103" s="36">
        <v>4.1200000000000004E-3</v>
      </c>
      <c r="H1103" s="18">
        <v>7.4152979999999999</v>
      </c>
      <c r="I1103" s="16" t="s">
        <v>746</v>
      </c>
      <c r="J1103" s="16"/>
      <c r="K1103" s="16"/>
      <c r="L1103" s="37"/>
      <c r="M1103" s="37"/>
      <c r="N1103" s="37"/>
      <c r="O1103" s="37"/>
      <c r="P1103" s="37"/>
      <c r="Q1103" s="18">
        <v>4.5320000000000006E-2</v>
      </c>
      <c r="R1103" s="18">
        <v>3.0900000000000003E-4</v>
      </c>
      <c r="S1103" s="18">
        <v>8.6520000000000014E-2</v>
      </c>
      <c r="T1103" s="18">
        <v>0.37080000000000002</v>
      </c>
      <c r="U1103" s="18">
        <v>0.18540000000000001</v>
      </c>
      <c r="V1103" s="18">
        <v>2.3731200000000001</v>
      </c>
      <c r="W1103" s="18">
        <v>2.2248000000000001</v>
      </c>
      <c r="X1103" s="18">
        <v>1.4832000000000001</v>
      </c>
      <c r="Y1103" s="18">
        <v>6.5920000000000006E-2</v>
      </c>
      <c r="Z1103" s="18">
        <v>0.29252</v>
      </c>
      <c r="AA1103" s="18">
        <v>0.42848000000000003</v>
      </c>
      <c r="AB1103" s="18">
        <v>0.7622000000000001</v>
      </c>
      <c r="AC1103" s="18">
        <v>0.23484000000000002</v>
      </c>
      <c r="AD1103" s="18">
        <v>1.2360000000000002</v>
      </c>
    </row>
    <row r="1104" spans="2:30" x14ac:dyDescent="0.25">
      <c r="B1104" t="s">
        <v>269</v>
      </c>
      <c r="C1104" t="s">
        <v>463</v>
      </c>
      <c r="D1104" t="s">
        <v>748</v>
      </c>
      <c r="E1104" s="35">
        <v>0.9</v>
      </c>
      <c r="F1104" s="35">
        <v>6.6</v>
      </c>
      <c r="G1104" s="36">
        <v>4.1200000000000004E-3</v>
      </c>
      <c r="H1104" s="18">
        <v>7.4152979999999999</v>
      </c>
      <c r="I1104" s="16" t="s">
        <v>746</v>
      </c>
      <c r="J1104" s="16"/>
      <c r="K1104" s="16"/>
      <c r="L1104" s="37"/>
      <c r="M1104" s="37"/>
      <c r="N1104" s="37"/>
      <c r="O1104" s="37"/>
      <c r="P1104" s="37"/>
      <c r="Q1104" s="18">
        <v>4.5320000000000006E-2</v>
      </c>
      <c r="R1104" s="18">
        <v>3.0900000000000003E-4</v>
      </c>
      <c r="S1104" s="18">
        <v>8.6520000000000014E-2</v>
      </c>
      <c r="T1104" s="18">
        <v>0.37080000000000002</v>
      </c>
      <c r="U1104" s="18">
        <v>0.18540000000000001</v>
      </c>
      <c r="V1104" s="18">
        <v>2.3731200000000001</v>
      </c>
      <c r="W1104" s="18">
        <v>2.2248000000000001</v>
      </c>
      <c r="X1104" s="18">
        <v>1.4832000000000001</v>
      </c>
      <c r="Y1104" s="18">
        <v>6.5920000000000006E-2</v>
      </c>
      <c r="Z1104" s="18">
        <v>0.29252</v>
      </c>
      <c r="AA1104" s="18">
        <v>0.42848000000000003</v>
      </c>
      <c r="AB1104" s="18">
        <v>0.7622000000000001</v>
      </c>
      <c r="AC1104" s="18">
        <v>0.23484000000000002</v>
      </c>
      <c r="AD1104" s="18">
        <v>1.2360000000000002</v>
      </c>
    </row>
    <row r="1105" spans="2:30" x14ac:dyDescent="0.25">
      <c r="B1105" t="s">
        <v>269</v>
      </c>
      <c r="C1105" t="s">
        <v>463</v>
      </c>
      <c r="D1105" t="s">
        <v>748</v>
      </c>
      <c r="E1105" s="35">
        <v>0.9</v>
      </c>
      <c r="F1105" s="35">
        <v>6.6</v>
      </c>
      <c r="G1105" s="36">
        <v>4.1200000000000004E-3</v>
      </c>
      <c r="H1105" s="18">
        <v>7.4152979999999999</v>
      </c>
      <c r="I1105" s="16" t="s">
        <v>746</v>
      </c>
      <c r="J1105" s="16"/>
      <c r="K1105" s="16"/>
      <c r="L1105" s="37"/>
      <c r="M1105" s="37"/>
      <c r="N1105" s="37"/>
      <c r="O1105" s="37"/>
      <c r="P1105" s="37"/>
      <c r="Q1105" s="18">
        <v>4.5320000000000006E-2</v>
      </c>
      <c r="R1105" s="18">
        <v>3.0900000000000003E-4</v>
      </c>
      <c r="S1105" s="18">
        <v>8.6520000000000014E-2</v>
      </c>
      <c r="T1105" s="18">
        <v>0.37080000000000002</v>
      </c>
      <c r="U1105" s="18">
        <v>0.18540000000000001</v>
      </c>
      <c r="V1105" s="18">
        <v>2.3731200000000001</v>
      </c>
      <c r="W1105" s="18">
        <v>2.2248000000000001</v>
      </c>
      <c r="X1105" s="18">
        <v>1.4832000000000001</v>
      </c>
      <c r="Y1105" s="18">
        <v>6.5920000000000006E-2</v>
      </c>
      <c r="Z1105" s="18">
        <v>0.29252</v>
      </c>
      <c r="AA1105" s="18">
        <v>0.42848000000000003</v>
      </c>
      <c r="AB1105" s="18">
        <v>0.7622000000000001</v>
      </c>
      <c r="AC1105" s="18">
        <v>0.23484000000000002</v>
      </c>
      <c r="AD1105" s="18">
        <v>1.2360000000000002</v>
      </c>
    </row>
    <row r="1106" spans="2:30" x14ac:dyDescent="0.25">
      <c r="B1106" t="s">
        <v>269</v>
      </c>
      <c r="C1106" t="s">
        <v>463</v>
      </c>
      <c r="D1106" t="s">
        <v>749</v>
      </c>
      <c r="E1106" s="35">
        <v>0.9</v>
      </c>
      <c r="F1106" s="35">
        <v>6.6</v>
      </c>
      <c r="G1106" s="36">
        <v>3.5699999999999998E-3</v>
      </c>
      <c r="H1106" s="18">
        <v>6.4252979999999997</v>
      </c>
      <c r="I1106" s="16" t="s">
        <v>746</v>
      </c>
      <c r="J1106" s="16"/>
      <c r="K1106" s="16"/>
      <c r="L1106" s="37"/>
      <c r="M1106" s="37"/>
      <c r="N1106" s="37"/>
      <c r="O1106" s="37"/>
      <c r="P1106" s="37"/>
      <c r="Q1106" s="18">
        <v>3.9269999999999999E-2</v>
      </c>
      <c r="R1106" s="18">
        <v>2.6774999999999998E-4</v>
      </c>
      <c r="S1106" s="18">
        <v>7.4969999999999995E-2</v>
      </c>
      <c r="T1106" s="18">
        <v>0.32129999999999997</v>
      </c>
      <c r="U1106" s="18">
        <v>0.16064999999999999</v>
      </c>
      <c r="V1106" s="18">
        <v>2.0563199999999999</v>
      </c>
      <c r="W1106" s="18">
        <v>1.9278</v>
      </c>
      <c r="X1106" s="18">
        <v>1.2851999999999999</v>
      </c>
      <c r="Y1106" s="18">
        <v>5.7119999999999997E-2</v>
      </c>
      <c r="Z1106" s="18">
        <v>0.25346999999999997</v>
      </c>
      <c r="AA1106" s="18">
        <v>0.37128</v>
      </c>
      <c r="AB1106" s="18">
        <v>0.66044999999999998</v>
      </c>
      <c r="AC1106" s="18">
        <v>0.20348999999999998</v>
      </c>
      <c r="AD1106" s="18">
        <v>1.071</v>
      </c>
    </row>
    <row r="1107" spans="2:30" x14ac:dyDescent="0.25">
      <c r="B1107" t="s">
        <v>269</v>
      </c>
      <c r="C1107" t="s">
        <v>463</v>
      </c>
      <c r="D1107" t="s">
        <v>748</v>
      </c>
      <c r="E1107" s="35">
        <v>0.9</v>
      </c>
      <c r="F1107" s="35">
        <v>6.6</v>
      </c>
      <c r="G1107" s="36">
        <v>4.1200000000000004E-3</v>
      </c>
      <c r="H1107" s="18">
        <v>7.4152979999999999</v>
      </c>
      <c r="I1107" s="16" t="s">
        <v>746</v>
      </c>
      <c r="J1107" s="16"/>
      <c r="K1107" s="16"/>
      <c r="L1107" s="37"/>
      <c r="M1107" s="37"/>
      <c r="N1107" s="37"/>
      <c r="O1107" s="37"/>
      <c r="P1107" s="37"/>
      <c r="Q1107" s="18">
        <v>4.5320000000000006E-2</v>
      </c>
      <c r="R1107" s="18">
        <v>3.0900000000000003E-4</v>
      </c>
      <c r="S1107" s="18">
        <v>8.6520000000000014E-2</v>
      </c>
      <c r="T1107" s="18">
        <v>0.37080000000000002</v>
      </c>
      <c r="U1107" s="18">
        <v>0.18540000000000001</v>
      </c>
      <c r="V1107" s="18">
        <v>2.3731200000000001</v>
      </c>
      <c r="W1107" s="18">
        <v>2.2248000000000001</v>
      </c>
      <c r="X1107" s="18">
        <v>1.4832000000000001</v>
      </c>
      <c r="Y1107" s="18">
        <v>6.5920000000000006E-2</v>
      </c>
      <c r="Z1107" s="18">
        <v>0.29252</v>
      </c>
      <c r="AA1107" s="18">
        <v>0.42848000000000003</v>
      </c>
      <c r="AB1107" s="18">
        <v>0.7622000000000001</v>
      </c>
      <c r="AC1107" s="18">
        <v>0.23484000000000002</v>
      </c>
      <c r="AD1107" s="18">
        <v>1.2360000000000002</v>
      </c>
    </row>
    <row r="1108" spans="2:30" x14ac:dyDescent="0.25">
      <c r="B1108" t="s">
        <v>269</v>
      </c>
      <c r="C1108" t="s">
        <v>463</v>
      </c>
      <c r="D1108" t="s">
        <v>748</v>
      </c>
      <c r="E1108" s="35">
        <v>0.9</v>
      </c>
      <c r="F1108" s="35">
        <v>6.6</v>
      </c>
      <c r="G1108" s="36">
        <v>4.1200000000000004E-3</v>
      </c>
      <c r="H1108" s="18">
        <v>7.4152979999999999</v>
      </c>
      <c r="I1108" s="16" t="s">
        <v>746</v>
      </c>
      <c r="J1108" s="16"/>
      <c r="K1108" s="16"/>
      <c r="L1108" s="37"/>
      <c r="M1108" s="37"/>
      <c r="N1108" s="37"/>
      <c r="O1108" s="37"/>
      <c r="P1108" s="37"/>
      <c r="Q1108" s="18">
        <v>4.5320000000000006E-2</v>
      </c>
      <c r="R1108" s="18">
        <v>3.0900000000000003E-4</v>
      </c>
      <c r="S1108" s="18">
        <v>8.6520000000000014E-2</v>
      </c>
      <c r="T1108" s="18">
        <v>0.37080000000000002</v>
      </c>
      <c r="U1108" s="18">
        <v>0.18540000000000001</v>
      </c>
      <c r="V1108" s="18">
        <v>2.3731200000000001</v>
      </c>
      <c r="W1108" s="18">
        <v>2.2248000000000001</v>
      </c>
      <c r="X1108" s="18">
        <v>1.4832000000000001</v>
      </c>
      <c r="Y1108" s="18">
        <v>6.5920000000000006E-2</v>
      </c>
      <c r="Z1108" s="18">
        <v>0.29252</v>
      </c>
      <c r="AA1108" s="18">
        <v>0.42848000000000003</v>
      </c>
      <c r="AB1108" s="18">
        <v>0.7622000000000001</v>
      </c>
      <c r="AC1108" s="18">
        <v>0.23484000000000002</v>
      </c>
      <c r="AD1108" s="18">
        <v>1.2360000000000002</v>
      </c>
    </row>
    <row r="1109" spans="2:30" x14ac:dyDescent="0.25">
      <c r="B1109" t="s">
        <v>269</v>
      </c>
      <c r="C1109" t="s">
        <v>463</v>
      </c>
      <c r="D1109" t="s">
        <v>747</v>
      </c>
      <c r="E1109" s="35">
        <v>0.9</v>
      </c>
      <c r="F1109" s="35">
        <v>6.6</v>
      </c>
      <c r="G1109" s="36">
        <v>4.9449999999999997E-3</v>
      </c>
      <c r="H1109" s="18">
        <v>8.9002979999999994</v>
      </c>
      <c r="I1109" s="16" t="s">
        <v>746</v>
      </c>
      <c r="J1109" s="16"/>
      <c r="K1109" s="16"/>
      <c r="L1109" s="37"/>
      <c r="M1109" s="37"/>
      <c r="N1109" s="37"/>
      <c r="O1109" s="37"/>
      <c r="P1109" s="37"/>
      <c r="Q1109" s="18">
        <v>5.4394999999999999E-2</v>
      </c>
      <c r="R1109" s="18">
        <v>3.7087499999999995E-4</v>
      </c>
      <c r="S1109" s="18">
        <v>0.10384499999999999</v>
      </c>
      <c r="T1109" s="18">
        <v>0.44505</v>
      </c>
      <c r="U1109" s="18">
        <v>0.222525</v>
      </c>
      <c r="V1109" s="18">
        <v>2.8483199999999997</v>
      </c>
      <c r="W1109" s="18">
        <v>2.6702999999999997</v>
      </c>
      <c r="X1109" s="18">
        <v>1.7802</v>
      </c>
      <c r="Y1109" s="18">
        <v>7.9119999999999996E-2</v>
      </c>
      <c r="Z1109" s="18">
        <v>0.35109499999999999</v>
      </c>
      <c r="AA1109" s="18">
        <v>0.51427999999999996</v>
      </c>
      <c r="AB1109" s="18">
        <v>0.914825</v>
      </c>
      <c r="AC1109" s="18">
        <v>0.28186499999999998</v>
      </c>
      <c r="AD1109" s="18">
        <v>1.4834999999999998</v>
      </c>
    </row>
    <row r="1110" spans="2:30" x14ac:dyDescent="0.25">
      <c r="B1110" t="s">
        <v>269</v>
      </c>
      <c r="C1110" t="s">
        <v>463</v>
      </c>
      <c r="D1110" t="s">
        <v>749</v>
      </c>
      <c r="E1110" s="35">
        <v>0.9</v>
      </c>
      <c r="F1110" s="35">
        <v>6.6</v>
      </c>
      <c r="G1110" s="36">
        <v>3.5699999999999998E-3</v>
      </c>
      <c r="H1110" s="18">
        <v>6.4252979999999997</v>
      </c>
      <c r="I1110" s="16" t="s">
        <v>746</v>
      </c>
      <c r="J1110" s="16"/>
      <c r="K1110" s="16"/>
      <c r="L1110" s="37"/>
      <c r="M1110" s="37"/>
      <c r="N1110" s="37"/>
      <c r="O1110" s="37"/>
      <c r="P1110" s="37"/>
      <c r="Q1110" s="18">
        <v>3.9269999999999999E-2</v>
      </c>
      <c r="R1110" s="18">
        <v>2.6774999999999998E-4</v>
      </c>
      <c r="S1110" s="18">
        <v>7.4969999999999995E-2</v>
      </c>
      <c r="T1110" s="18">
        <v>0.32129999999999997</v>
      </c>
      <c r="U1110" s="18">
        <v>0.16064999999999999</v>
      </c>
      <c r="V1110" s="18">
        <v>2.0563199999999999</v>
      </c>
      <c r="W1110" s="18">
        <v>1.9278</v>
      </c>
      <c r="X1110" s="18">
        <v>1.2851999999999999</v>
      </c>
      <c r="Y1110" s="18">
        <v>5.7119999999999997E-2</v>
      </c>
      <c r="Z1110" s="18">
        <v>0.25346999999999997</v>
      </c>
      <c r="AA1110" s="18">
        <v>0.37128</v>
      </c>
      <c r="AB1110" s="18">
        <v>0.66044999999999998</v>
      </c>
      <c r="AC1110" s="18">
        <v>0.20348999999999998</v>
      </c>
      <c r="AD1110" s="18">
        <v>1.071</v>
      </c>
    </row>
    <row r="1111" spans="2:30" x14ac:dyDescent="0.25">
      <c r="B1111" t="s">
        <v>269</v>
      </c>
      <c r="C1111" t="s">
        <v>463</v>
      </c>
      <c r="D1111" t="s">
        <v>748</v>
      </c>
      <c r="E1111" s="35">
        <v>0.9</v>
      </c>
      <c r="F1111" s="35">
        <v>6.6</v>
      </c>
      <c r="G1111" s="36">
        <v>4.1200000000000004E-3</v>
      </c>
      <c r="H1111" s="18">
        <v>7.4152979999999999</v>
      </c>
      <c r="I1111" s="16" t="s">
        <v>746</v>
      </c>
      <c r="J1111" s="16"/>
      <c r="K1111" s="16"/>
      <c r="L1111" s="37"/>
      <c r="M1111" s="37"/>
      <c r="N1111" s="37"/>
      <c r="O1111" s="37"/>
      <c r="P1111" s="37"/>
      <c r="Q1111" s="18">
        <v>4.5320000000000006E-2</v>
      </c>
      <c r="R1111" s="18">
        <v>3.0900000000000003E-4</v>
      </c>
      <c r="S1111" s="18">
        <v>8.6520000000000014E-2</v>
      </c>
      <c r="T1111" s="18">
        <v>0.37080000000000002</v>
      </c>
      <c r="U1111" s="18">
        <v>0.18540000000000001</v>
      </c>
      <c r="V1111" s="18">
        <v>2.3731200000000001</v>
      </c>
      <c r="W1111" s="18">
        <v>2.2248000000000001</v>
      </c>
      <c r="X1111" s="18">
        <v>1.4832000000000001</v>
      </c>
      <c r="Y1111" s="18">
        <v>6.5920000000000006E-2</v>
      </c>
      <c r="Z1111" s="18">
        <v>0.29252</v>
      </c>
      <c r="AA1111" s="18">
        <v>0.42848000000000003</v>
      </c>
      <c r="AB1111" s="18">
        <v>0.7622000000000001</v>
      </c>
      <c r="AC1111" s="18">
        <v>0.23484000000000002</v>
      </c>
      <c r="AD1111" s="18">
        <v>1.2360000000000002</v>
      </c>
    </row>
    <row r="1112" spans="2:30" x14ac:dyDescent="0.25">
      <c r="B1112" t="s">
        <v>269</v>
      </c>
      <c r="C1112" t="s">
        <v>463</v>
      </c>
      <c r="D1112" t="s">
        <v>749</v>
      </c>
      <c r="E1112" s="35">
        <v>0.9</v>
      </c>
      <c r="F1112" s="35">
        <v>6.6</v>
      </c>
      <c r="G1112" s="36">
        <v>3.5699999999999998E-3</v>
      </c>
      <c r="H1112" s="18">
        <v>6.4252979999999997</v>
      </c>
      <c r="I1112" s="16" t="s">
        <v>746</v>
      </c>
      <c r="J1112" s="16"/>
      <c r="K1112" s="16"/>
      <c r="L1112" s="37"/>
      <c r="M1112" s="37"/>
      <c r="N1112" s="37"/>
      <c r="O1112" s="37"/>
      <c r="P1112" s="37"/>
      <c r="Q1112" s="18">
        <v>3.9269999999999999E-2</v>
      </c>
      <c r="R1112" s="18">
        <v>2.6774999999999998E-4</v>
      </c>
      <c r="S1112" s="18">
        <v>7.4969999999999995E-2</v>
      </c>
      <c r="T1112" s="18">
        <v>0.32129999999999997</v>
      </c>
      <c r="U1112" s="18">
        <v>0.16064999999999999</v>
      </c>
      <c r="V1112" s="18">
        <v>2.0563199999999999</v>
      </c>
      <c r="W1112" s="18">
        <v>1.9278</v>
      </c>
      <c r="X1112" s="18">
        <v>1.2851999999999999</v>
      </c>
      <c r="Y1112" s="18">
        <v>5.7119999999999997E-2</v>
      </c>
      <c r="Z1112" s="18">
        <v>0.25346999999999997</v>
      </c>
      <c r="AA1112" s="18">
        <v>0.37128</v>
      </c>
      <c r="AB1112" s="18">
        <v>0.66044999999999998</v>
      </c>
      <c r="AC1112" s="18">
        <v>0.20348999999999998</v>
      </c>
      <c r="AD1112" s="18">
        <v>1.071</v>
      </c>
    </row>
    <row r="1113" spans="2:30" x14ac:dyDescent="0.25">
      <c r="B1113" t="s">
        <v>269</v>
      </c>
      <c r="C1113" t="s">
        <v>463</v>
      </c>
      <c r="D1113" t="s">
        <v>748</v>
      </c>
      <c r="E1113" s="35">
        <v>0.9</v>
      </c>
      <c r="F1113" s="35">
        <v>6.6</v>
      </c>
      <c r="G1113" s="36">
        <v>4.1200000000000004E-3</v>
      </c>
      <c r="H1113" s="18">
        <v>7.4152979999999999</v>
      </c>
      <c r="I1113" s="16" t="s">
        <v>746</v>
      </c>
      <c r="J1113" s="16"/>
      <c r="K1113" s="16"/>
      <c r="L1113" s="37"/>
      <c r="M1113" s="37"/>
      <c r="N1113" s="37"/>
      <c r="O1113" s="37"/>
      <c r="P1113" s="37"/>
      <c r="Q1113" s="18">
        <v>4.5320000000000006E-2</v>
      </c>
      <c r="R1113" s="18">
        <v>3.0900000000000003E-4</v>
      </c>
      <c r="S1113" s="18">
        <v>8.6520000000000014E-2</v>
      </c>
      <c r="T1113" s="18">
        <v>0.37080000000000002</v>
      </c>
      <c r="U1113" s="18">
        <v>0.18540000000000001</v>
      </c>
      <c r="V1113" s="18">
        <v>2.3731200000000001</v>
      </c>
      <c r="W1113" s="18">
        <v>2.2248000000000001</v>
      </c>
      <c r="X1113" s="18">
        <v>1.4832000000000001</v>
      </c>
      <c r="Y1113" s="18">
        <v>6.5920000000000006E-2</v>
      </c>
      <c r="Z1113" s="18">
        <v>0.29252</v>
      </c>
      <c r="AA1113" s="18">
        <v>0.42848000000000003</v>
      </c>
      <c r="AB1113" s="18">
        <v>0.7622000000000001</v>
      </c>
      <c r="AC1113" s="18">
        <v>0.23484000000000002</v>
      </c>
      <c r="AD1113" s="18">
        <v>1.2360000000000002</v>
      </c>
    </row>
    <row r="1114" spans="2:30" x14ac:dyDescent="0.25">
      <c r="B1114" t="s">
        <v>269</v>
      </c>
      <c r="C1114" t="s">
        <v>463</v>
      </c>
      <c r="D1114" t="s">
        <v>749</v>
      </c>
      <c r="E1114" s="35">
        <v>0.9</v>
      </c>
      <c r="F1114" s="35">
        <v>6.6</v>
      </c>
      <c r="G1114" s="36">
        <v>3.5699999999999998E-3</v>
      </c>
      <c r="H1114" s="18">
        <v>6.4252979999999997</v>
      </c>
      <c r="I1114" s="16" t="s">
        <v>746</v>
      </c>
      <c r="J1114" s="16"/>
      <c r="K1114" s="16"/>
      <c r="L1114" s="37"/>
      <c r="M1114" s="37"/>
      <c r="N1114" s="37"/>
      <c r="O1114" s="37"/>
      <c r="P1114" s="37"/>
      <c r="Q1114" s="18">
        <v>3.9269999999999999E-2</v>
      </c>
      <c r="R1114" s="18">
        <v>2.6774999999999998E-4</v>
      </c>
      <c r="S1114" s="18">
        <v>7.4969999999999995E-2</v>
      </c>
      <c r="T1114" s="18">
        <v>0.32129999999999997</v>
      </c>
      <c r="U1114" s="18">
        <v>0.16064999999999999</v>
      </c>
      <c r="V1114" s="18">
        <v>2.0563199999999999</v>
      </c>
      <c r="W1114" s="18">
        <v>1.9278</v>
      </c>
      <c r="X1114" s="18">
        <v>1.2851999999999999</v>
      </c>
      <c r="Y1114" s="18">
        <v>5.7119999999999997E-2</v>
      </c>
      <c r="Z1114" s="18">
        <v>0.25346999999999997</v>
      </c>
      <c r="AA1114" s="18">
        <v>0.37128</v>
      </c>
      <c r="AB1114" s="18">
        <v>0.66044999999999998</v>
      </c>
      <c r="AC1114" s="18">
        <v>0.20348999999999998</v>
      </c>
      <c r="AD1114" s="18">
        <v>1.071</v>
      </c>
    </row>
    <row r="1115" spans="2:30" x14ac:dyDescent="0.25">
      <c r="B1115" t="s">
        <v>269</v>
      </c>
      <c r="C1115" t="s">
        <v>463</v>
      </c>
      <c r="D1115" t="s">
        <v>748</v>
      </c>
      <c r="E1115" s="35">
        <v>0.9</v>
      </c>
      <c r="F1115" s="35">
        <v>6.6</v>
      </c>
      <c r="G1115" s="36">
        <v>4.1200000000000004E-3</v>
      </c>
      <c r="H1115" s="18">
        <v>7.4152979999999999</v>
      </c>
      <c r="I1115" s="16" t="s">
        <v>746</v>
      </c>
      <c r="J1115" s="16"/>
      <c r="K1115" s="16"/>
      <c r="L1115" s="37"/>
      <c r="M1115" s="37"/>
      <c r="N1115" s="37"/>
      <c r="O1115" s="37"/>
      <c r="P1115" s="37"/>
      <c r="Q1115" s="18">
        <v>4.5320000000000006E-2</v>
      </c>
      <c r="R1115" s="18">
        <v>3.0900000000000003E-4</v>
      </c>
      <c r="S1115" s="18">
        <v>8.6520000000000014E-2</v>
      </c>
      <c r="T1115" s="18">
        <v>0.37080000000000002</v>
      </c>
      <c r="U1115" s="18">
        <v>0.18540000000000001</v>
      </c>
      <c r="V1115" s="18">
        <v>2.3731200000000001</v>
      </c>
      <c r="W1115" s="18">
        <v>2.2248000000000001</v>
      </c>
      <c r="X1115" s="18">
        <v>1.4832000000000001</v>
      </c>
      <c r="Y1115" s="18">
        <v>6.5920000000000006E-2</v>
      </c>
      <c r="Z1115" s="18">
        <v>0.29252</v>
      </c>
      <c r="AA1115" s="18">
        <v>0.42848000000000003</v>
      </c>
      <c r="AB1115" s="18">
        <v>0.7622000000000001</v>
      </c>
      <c r="AC1115" s="18">
        <v>0.23484000000000002</v>
      </c>
      <c r="AD1115" s="18">
        <v>1.2360000000000002</v>
      </c>
    </row>
    <row r="1116" spans="2:30" x14ac:dyDescent="0.25">
      <c r="B1116" t="s">
        <v>269</v>
      </c>
      <c r="C1116" t="s">
        <v>463</v>
      </c>
      <c r="D1116" t="s">
        <v>749</v>
      </c>
      <c r="E1116" s="35">
        <v>0.9</v>
      </c>
      <c r="F1116" s="35">
        <v>6.6</v>
      </c>
      <c r="G1116" s="36">
        <v>3.5699999999999998E-3</v>
      </c>
      <c r="H1116" s="18">
        <v>6.4252979999999997</v>
      </c>
      <c r="I1116" s="16" t="s">
        <v>746</v>
      </c>
      <c r="J1116" s="16"/>
      <c r="K1116" s="16"/>
      <c r="L1116" s="37"/>
      <c r="M1116" s="37"/>
      <c r="N1116" s="37"/>
      <c r="O1116" s="37"/>
      <c r="P1116" s="37"/>
      <c r="Q1116" s="18">
        <v>3.9269999999999999E-2</v>
      </c>
      <c r="R1116" s="18">
        <v>2.6774999999999998E-4</v>
      </c>
      <c r="S1116" s="18">
        <v>7.4969999999999995E-2</v>
      </c>
      <c r="T1116" s="18">
        <v>0.32129999999999997</v>
      </c>
      <c r="U1116" s="18">
        <v>0.16064999999999999</v>
      </c>
      <c r="V1116" s="18">
        <v>2.0563199999999999</v>
      </c>
      <c r="W1116" s="18">
        <v>1.9278</v>
      </c>
      <c r="X1116" s="18">
        <v>1.2851999999999999</v>
      </c>
      <c r="Y1116" s="18">
        <v>5.7119999999999997E-2</v>
      </c>
      <c r="Z1116" s="18">
        <v>0.25346999999999997</v>
      </c>
      <c r="AA1116" s="18">
        <v>0.37128</v>
      </c>
      <c r="AB1116" s="18">
        <v>0.66044999999999998</v>
      </c>
      <c r="AC1116" s="18">
        <v>0.20348999999999998</v>
      </c>
      <c r="AD1116" s="18">
        <v>1.071</v>
      </c>
    </row>
    <row r="1117" spans="2:30" x14ac:dyDescent="0.25">
      <c r="B1117" t="s">
        <v>269</v>
      </c>
      <c r="C1117" t="s">
        <v>463</v>
      </c>
      <c r="D1117" t="s">
        <v>747</v>
      </c>
      <c r="E1117" s="35">
        <v>0.9</v>
      </c>
      <c r="F1117" s="35">
        <v>6.6</v>
      </c>
      <c r="G1117" s="36">
        <v>4.9449999999999997E-3</v>
      </c>
      <c r="H1117" s="18">
        <v>8.9002979999999994</v>
      </c>
      <c r="I1117" s="16" t="s">
        <v>746</v>
      </c>
      <c r="J1117" s="16"/>
      <c r="K1117" s="16"/>
      <c r="L1117" s="37"/>
      <c r="M1117" s="37"/>
      <c r="N1117" s="37"/>
      <c r="O1117" s="37"/>
      <c r="P1117" s="37"/>
      <c r="Q1117" s="18">
        <v>5.4394999999999999E-2</v>
      </c>
      <c r="R1117" s="18">
        <v>3.7087499999999995E-4</v>
      </c>
      <c r="S1117" s="18">
        <v>0.10384499999999999</v>
      </c>
      <c r="T1117" s="18">
        <v>0.44505</v>
      </c>
      <c r="U1117" s="18">
        <v>0.222525</v>
      </c>
      <c r="V1117" s="18">
        <v>2.8483199999999997</v>
      </c>
      <c r="W1117" s="18">
        <v>2.6702999999999997</v>
      </c>
      <c r="X1117" s="18">
        <v>1.7802</v>
      </c>
      <c r="Y1117" s="18">
        <v>7.9119999999999996E-2</v>
      </c>
      <c r="Z1117" s="18">
        <v>0.35109499999999999</v>
      </c>
      <c r="AA1117" s="18">
        <v>0.51427999999999996</v>
      </c>
      <c r="AB1117" s="18">
        <v>0.914825</v>
      </c>
      <c r="AC1117" s="18">
        <v>0.28186499999999998</v>
      </c>
      <c r="AD1117" s="18">
        <v>1.4834999999999998</v>
      </c>
    </row>
    <row r="1118" spans="2:30" x14ac:dyDescent="0.25">
      <c r="B1118" t="s">
        <v>269</v>
      </c>
      <c r="C1118" t="s">
        <v>463</v>
      </c>
      <c r="D1118" t="s">
        <v>749</v>
      </c>
      <c r="E1118" s="35">
        <v>0.9</v>
      </c>
      <c r="F1118" s="35">
        <v>6.6</v>
      </c>
      <c r="G1118" s="36">
        <v>3.5699999999999998E-3</v>
      </c>
      <c r="H1118" s="18">
        <v>6.4252979999999997</v>
      </c>
      <c r="I1118" s="16" t="s">
        <v>746</v>
      </c>
      <c r="J1118" s="16"/>
      <c r="K1118" s="16"/>
      <c r="L1118" s="37"/>
      <c r="M1118" s="37"/>
      <c r="N1118" s="37"/>
      <c r="O1118" s="37"/>
      <c r="P1118" s="37"/>
      <c r="Q1118" s="18">
        <v>3.9269999999999999E-2</v>
      </c>
      <c r="R1118" s="18">
        <v>2.6774999999999998E-4</v>
      </c>
      <c r="S1118" s="18">
        <v>7.4969999999999995E-2</v>
      </c>
      <c r="T1118" s="18">
        <v>0.32129999999999997</v>
      </c>
      <c r="U1118" s="18">
        <v>0.16064999999999999</v>
      </c>
      <c r="V1118" s="18">
        <v>2.0563199999999999</v>
      </c>
      <c r="W1118" s="18">
        <v>1.9278</v>
      </c>
      <c r="X1118" s="18">
        <v>1.2851999999999999</v>
      </c>
      <c r="Y1118" s="18">
        <v>5.7119999999999997E-2</v>
      </c>
      <c r="Z1118" s="18">
        <v>0.25346999999999997</v>
      </c>
      <c r="AA1118" s="18">
        <v>0.37128</v>
      </c>
      <c r="AB1118" s="18">
        <v>0.66044999999999998</v>
      </c>
      <c r="AC1118" s="18">
        <v>0.20348999999999998</v>
      </c>
      <c r="AD1118" s="18">
        <v>1.071</v>
      </c>
    </row>
    <row r="1119" spans="2:30" x14ac:dyDescent="0.25">
      <c r="B1119" t="s">
        <v>269</v>
      </c>
      <c r="C1119" t="s">
        <v>463</v>
      </c>
      <c r="D1119" t="s">
        <v>749</v>
      </c>
      <c r="E1119" s="35">
        <v>0.9</v>
      </c>
      <c r="F1119" s="35">
        <v>6.6</v>
      </c>
      <c r="G1119" s="36">
        <v>3.5699999999999998E-3</v>
      </c>
      <c r="H1119" s="18">
        <v>6.4252979999999997</v>
      </c>
      <c r="I1119" s="16" t="s">
        <v>746</v>
      </c>
      <c r="J1119" s="16"/>
      <c r="K1119" s="16"/>
      <c r="L1119" s="37"/>
      <c r="M1119" s="37"/>
      <c r="N1119" s="37"/>
      <c r="O1119" s="37"/>
      <c r="P1119" s="37"/>
      <c r="Q1119" s="18">
        <v>3.9269999999999999E-2</v>
      </c>
      <c r="R1119" s="18">
        <v>2.6774999999999998E-4</v>
      </c>
      <c r="S1119" s="18">
        <v>7.4969999999999995E-2</v>
      </c>
      <c r="T1119" s="18">
        <v>0.32129999999999997</v>
      </c>
      <c r="U1119" s="18">
        <v>0.16064999999999999</v>
      </c>
      <c r="V1119" s="18">
        <v>2.0563199999999999</v>
      </c>
      <c r="W1119" s="18">
        <v>1.9278</v>
      </c>
      <c r="X1119" s="18">
        <v>1.2851999999999999</v>
      </c>
      <c r="Y1119" s="18">
        <v>5.7119999999999997E-2</v>
      </c>
      <c r="Z1119" s="18">
        <v>0.25346999999999997</v>
      </c>
      <c r="AA1119" s="18">
        <v>0.37128</v>
      </c>
      <c r="AB1119" s="18">
        <v>0.66044999999999998</v>
      </c>
      <c r="AC1119" s="18">
        <v>0.20348999999999998</v>
      </c>
      <c r="AD1119" s="18">
        <v>1.071</v>
      </c>
    </row>
    <row r="1120" spans="2:30" x14ac:dyDescent="0.25">
      <c r="B1120" t="s">
        <v>269</v>
      </c>
      <c r="C1120" t="s">
        <v>463</v>
      </c>
      <c r="D1120" t="s">
        <v>749</v>
      </c>
      <c r="E1120" s="35">
        <v>0.9</v>
      </c>
      <c r="F1120" s="35">
        <v>6.6</v>
      </c>
      <c r="G1120" s="36">
        <v>3.5699999999999998E-3</v>
      </c>
      <c r="H1120" s="18">
        <v>6.4252979999999997</v>
      </c>
      <c r="I1120" s="16" t="s">
        <v>746</v>
      </c>
      <c r="J1120" s="16"/>
      <c r="K1120" s="16"/>
      <c r="L1120" s="37"/>
      <c r="M1120" s="37"/>
      <c r="N1120" s="37"/>
      <c r="O1120" s="37"/>
      <c r="P1120" s="37"/>
      <c r="Q1120" s="18">
        <v>3.9269999999999999E-2</v>
      </c>
      <c r="R1120" s="18">
        <v>2.6774999999999998E-4</v>
      </c>
      <c r="S1120" s="18">
        <v>7.4969999999999995E-2</v>
      </c>
      <c r="T1120" s="18">
        <v>0.32129999999999997</v>
      </c>
      <c r="U1120" s="18">
        <v>0.16064999999999999</v>
      </c>
      <c r="V1120" s="18">
        <v>2.0563199999999999</v>
      </c>
      <c r="W1120" s="18">
        <v>1.9278</v>
      </c>
      <c r="X1120" s="18">
        <v>1.2851999999999999</v>
      </c>
      <c r="Y1120" s="18">
        <v>5.7119999999999997E-2</v>
      </c>
      <c r="Z1120" s="18">
        <v>0.25346999999999997</v>
      </c>
      <c r="AA1120" s="18">
        <v>0.37128</v>
      </c>
      <c r="AB1120" s="18">
        <v>0.66044999999999998</v>
      </c>
      <c r="AC1120" s="18">
        <v>0.20348999999999998</v>
      </c>
      <c r="AD1120" s="18">
        <v>1.071</v>
      </c>
    </row>
    <row r="1121" spans="2:30" x14ac:dyDescent="0.25">
      <c r="B1121" t="s">
        <v>269</v>
      </c>
      <c r="C1121" t="s">
        <v>463</v>
      </c>
      <c r="D1121" t="s">
        <v>749</v>
      </c>
      <c r="E1121" s="35">
        <v>0.9</v>
      </c>
      <c r="F1121" s="35">
        <v>6.6</v>
      </c>
      <c r="G1121" s="36">
        <v>3.5699999999999998E-3</v>
      </c>
      <c r="H1121" s="18">
        <v>6.4252979999999997</v>
      </c>
      <c r="I1121" s="16" t="s">
        <v>746</v>
      </c>
      <c r="J1121" s="16"/>
      <c r="K1121" s="16"/>
      <c r="L1121" s="37"/>
      <c r="M1121" s="37"/>
      <c r="N1121" s="37"/>
      <c r="O1121" s="37"/>
      <c r="P1121" s="37"/>
      <c r="Q1121" s="18">
        <v>3.9269999999999999E-2</v>
      </c>
      <c r="R1121" s="18">
        <v>2.6774999999999998E-4</v>
      </c>
      <c r="S1121" s="18">
        <v>7.4969999999999995E-2</v>
      </c>
      <c r="T1121" s="18">
        <v>0.32129999999999997</v>
      </c>
      <c r="U1121" s="18">
        <v>0.16064999999999999</v>
      </c>
      <c r="V1121" s="18">
        <v>2.0563199999999999</v>
      </c>
      <c r="W1121" s="18">
        <v>1.9278</v>
      </c>
      <c r="X1121" s="18">
        <v>1.2851999999999999</v>
      </c>
      <c r="Y1121" s="18">
        <v>5.7119999999999997E-2</v>
      </c>
      <c r="Z1121" s="18">
        <v>0.25346999999999997</v>
      </c>
      <c r="AA1121" s="18">
        <v>0.37128</v>
      </c>
      <c r="AB1121" s="18">
        <v>0.66044999999999998</v>
      </c>
      <c r="AC1121" s="18">
        <v>0.20348999999999998</v>
      </c>
      <c r="AD1121" s="18">
        <v>1.071</v>
      </c>
    </row>
    <row r="1122" spans="2:30" x14ac:dyDescent="0.25">
      <c r="B1122" t="s">
        <v>269</v>
      </c>
      <c r="C1122" t="s">
        <v>463</v>
      </c>
      <c r="D1122" t="s">
        <v>749</v>
      </c>
      <c r="E1122" s="35">
        <v>0.9</v>
      </c>
      <c r="F1122" s="35">
        <v>6.6</v>
      </c>
      <c r="G1122" s="36">
        <v>3.5699999999999998E-3</v>
      </c>
      <c r="H1122" s="18">
        <v>6.4252979999999997</v>
      </c>
      <c r="I1122" s="16" t="s">
        <v>746</v>
      </c>
      <c r="J1122" s="16"/>
      <c r="K1122" s="16"/>
      <c r="L1122" s="37"/>
      <c r="M1122" s="37"/>
      <c r="N1122" s="37"/>
      <c r="O1122" s="37"/>
      <c r="P1122" s="37"/>
      <c r="Q1122" s="18">
        <v>3.9269999999999999E-2</v>
      </c>
      <c r="R1122" s="18">
        <v>2.6774999999999998E-4</v>
      </c>
      <c r="S1122" s="18">
        <v>7.4969999999999995E-2</v>
      </c>
      <c r="T1122" s="18">
        <v>0.32129999999999997</v>
      </c>
      <c r="U1122" s="18">
        <v>0.16064999999999999</v>
      </c>
      <c r="V1122" s="18">
        <v>2.0563199999999999</v>
      </c>
      <c r="W1122" s="18">
        <v>1.9278</v>
      </c>
      <c r="X1122" s="18">
        <v>1.2851999999999999</v>
      </c>
      <c r="Y1122" s="18">
        <v>5.7119999999999997E-2</v>
      </c>
      <c r="Z1122" s="18">
        <v>0.25346999999999997</v>
      </c>
      <c r="AA1122" s="18">
        <v>0.37128</v>
      </c>
      <c r="AB1122" s="18">
        <v>0.66044999999999998</v>
      </c>
      <c r="AC1122" s="18">
        <v>0.20348999999999998</v>
      </c>
      <c r="AD1122" s="18">
        <v>1.071</v>
      </c>
    </row>
    <row r="1123" spans="2:30" x14ac:dyDescent="0.25">
      <c r="B1123" t="s">
        <v>269</v>
      </c>
      <c r="C1123" t="s">
        <v>463</v>
      </c>
      <c r="D1123" t="s">
        <v>748</v>
      </c>
      <c r="E1123" s="35">
        <v>0.9</v>
      </c>
      <c r="F1123" s="35">
        <v>6.6</v>
      </c>
      <c r="G1123" s="36">
        <v>4.1200000000000004E-3</v>
      </c>
      <c r="H1123" s="18">
        <v>7.4152979999999999</v>
      </c>
      <c r="I1123" s="16" t="s">
        <v>746</v>
      </c>
      <c r="J1123" s="16"/>
      <c r="K1123" s="16"/>
      <c r="L1123" s="37"/>
      <c r="M1123" s="37"/>
      <c r="N1123" s="37"/>
      <c r="O1123" s="37"/>
      <c r="P1123" s="37"/>
      <c r="Q1123" s="18">
        <v>4.5320000000000006E-2</v>
      </c>
      <c r="R1123" s="18">
        <v>3.0900000000000003E-4</v>
      </c>
      <c r="S1123" s="18">
        <v>8.6520000000000014E-2</v>
      </c>
      <c r="T1123" s="18">
        <v>0.37080000000000002</v>
      </c>
      <c r="U1123" s="18">
        <v>0.18540000000000001</v>
      </c>
      <c r="V1123" s="18">
        <v>2.3731200000000001</v>
      </c>
      <c r="W1123" s="18">
        <v>2.2248000000000001</v>
      </c>
      <c r="X1123" s="18">
        <v>1.4832000000000001</v>
      </c>
      <c r="Y1123" s="18">
        <v>6.5920000000000006E-2</v>
      </c>
      <c r="Z1123" s="18">
        <v>0.29252</v>
      </c>
      <c r="AA1123" s="18">
        <v>0.42848000000000003</v>
      </c>
      <c r="AB1123" s="18">
        <v>0.7622000000000001</v>
      </c>
      <c r="AC1123" s="18">
        <v>0.23484000000000002</v>
      </c>
      <c r="AD1123" s="18">
        <v>1.2360000000000002</v>
      </c>
    </row>
    <row r="1124" spans="2:30" x14ac:dyDescent="0.25">
      <c r="B1124" t="s">
        <v>269</v>
      </c>
      <c r="C1124" t="s">
        <v>463</v>
      </c>
      <c r="D1124" t="s">
        <v>749</v>
      </c>
      <c r="E1124" s="35">
        <v>0.9</v>
      </c>
      <c r="F1124" s="35">
        <v>6.6</v>
      </c>
      <c r="G1124" s="36">
        <v>3.5699999999999998E-3</v>
      </c>
      <c r="H1124" s="18">
        <v>6.4252979999999997</v>
      </c>
      <c r="I1124" s="16" t="s">
        <v>746</v>
      </c>
      <c r="J1124" s="16"/>
      <c r="K1124" s="16"/>
      <c r="L1124" s="37"/>
      <c r="M1124" s="37"/>
      <c r="N1124" s="37"/>
      <c r="O1124" s="37"/>
      <c r="P1124" s="37"/>
      <c r="Q1124" s="18">
        <v>3.9269999999999999E-2</v>
      </c>
      <c r="R1124" s="18">
        <v>2.6774999999999998E-4</v>
      </c>
      <c r="S1124" s="18">
        <v>7.4969999999999995E-2</v>
      </c>
      <c r="T1124" s="18">
        <v>0.32129999999999997</v>
      </c>
      <c r="U1124" s="18">
        <v>0.16064999999999999</v>
      </c>
      <c r="V1124" s="18">
        <v>2.0563199999999999</v>
      </c>
      <c r="W1124" s="18">
        <v>1.9278</v>
      </c>
      <c r="X1124" s="18">
        <v>1.2851999999999999</v>
      </c>
      <c r="Y1124" s="18">
        <v>5.7119999999999997E-2</v>
      </c>
      <c r="Z1124" s="18">
        <v>0.25346999999999997</v>
      </c>
      <c r="AA1124" s="18">
        <v>0.37128</v>
      </c>
      <c r="AB1124" s="18">
        <v>0.66044999999999998</v>
      </c>
      <c r="AC1124" s="18">
        <v>0.20348999999999998</v>
      </c>
      <c r="AD1124" s="18">
        <v>1.071</v>
      </c>
    </row>
    <row r="1125" spans="2:30" x14ac:dyDescent="0.25">
      <c r="B1125" t="s">
        <v>269</v>
      </c>
      <c r="C1125" t="s">
        <v>463</v>
      </c>
      <c r="D1125" t="s">
        <v>748</v>
      </c>
      <c r="E1125" s="35">
        <v>0.9</v>
      </c>
      <c r="F1125" s="35">
        <v>6.6</v>
      </c>
      <c r="G1125" s="36">
        <v>4.1200000000000004E-3</v>
      </c>
      <c r="H1125" s="18">
        <v>7.4152979999999999</v>
      </c>
      <c r="I1125" s="16" t="s">
        <v>746</v>
      </c>
      <c r="J1125" s="16"/>
      <c r="K1125" s="16"/>
      <c r="L1125" s="37"/>
      <c r="M1125" s="37"/>
      <c r="N1125" s="37"/>
      <c r="O1125" s="37"/>
      <c r="P1125" s="37"/>
      <c r="Q1125" s="18">
        <v>4.5320000000000006E-2</v>
      </c>
      <c r="R1125" s="18">
        <v>3.0900000000000003E-4</v>
      </c>
      <c r="S1125" s="18">
        <v>8.6520000000000014E-2</v>
      </c>
      <c r="T1125" s="18">
        <v>0.37080000000000002</v>
      </c>
      <c r="U1125" s="18">
        <v>0.18540000000000001</v>
      </c>
      <c r="V1125" s="18">
        <v>2.3731200000000001</v>
      </c>
      <c r="W1125" s="18">
        <v>2.2248000000000001</v>
      </c>
      <c r="X1125" s="18">
        <v>1.4832000000000001</v>
      </c>
      <c r="Y1125" s="18">
        <v>6.5920000000000006E-2</v>
      </c>
      <c r="Z1125" s="18">
        <v>0.29252</v>
      </c>
      <c r="AA1125" s="18">
        <v>0.42848000000000003</v>
      </c>
      <c r="AB1125" s="18">
        <v>0.7622000000000001</v>
      </c>
      <c r="AC1125" s="18">
        <v>0.23484000000000002</v>
      </c>
      <c r="AD1125" s="18">
        <v>1.2360000000000002</v>
      </c>
    </row>
    <row r="1126" spans="2:30" x14ac:dyDescent="0.25">
      <c r="B1126" t="s">
        <v>269</v>
      </c>
      <c r="C1126" t="s">
        <v>463</v>
      </c>
      <c r="D1126" t="s">
        <v>748</v>
      </c>
      <c r="E1126" s="35">
        <v>0.9</v>
      </c>
      <c r="F1126" s="35">
        <v>6.6</v>
      </c>
      <c r="G1126" s="36">
        <v>4.1200000000000004E-3</v>
      </c>
      <c r="H1126" s="18">
        <v>7.4152979999999999</v>
      </c>
      <c r="I1126" s="16" t="s">
        <v>746</v>
      </c>
      <c r="J1126" s="16"/>
      <c r="K1126" s="16"/>
      <c r="L1126" s="37"/>
      <c r="M1126" s="37"/>
      <c r="N1126" s="37"/>
      <c r="O1126" s="37"/>
      <c r="P1126" s="37"/>
      <c r="Q1126" s="18">
        <v>4.5320000000000006E-2</v>
      </c>
      <c r="R1126" s="18">
        <v>3.0900000000000003E-4</v>
      </c>
      <c r="S1126" s="18">
        <v>8.6520000000000014E-2</v>
      </c>
      <c r="T1126" s="18">
        <v>0.37080000000000002</v>
      </c>
      <c r="U1126" s="18">
        <v>0.18540000000000001</v>
      </c>
      <c r="V1126" s="18">
        <v>2.3731200000000001</v>
      </c>
      <c r="W1126" s="18">
        <v>2.2248000000000001</v>
      </c>
      <c r="X1126" s="18">
        <v>1.4832000000000001</v>
      </c>
      <c r="Y1126" s="18">
        <v>6.5920000000000006E-2</v>
      </c>
      <c r="Z1126" s="18">
        <v>0.29252</v>
      </c>
      <c r="AA1126" s="18">
        <v>0.42848000000000003</v>
      </c>
      <c r="AB1126" s="18">
        <v>0.7622000000000001</v>
      </c>
      <c r="AC1126" s="18">
        <v>0.23484000000000002</v>
      </c>
      <c r="AD1126" s="18">
        <v>1.2360000000000002</v>
      </c>
    </row>
    <row r="1127" spans="2:30" x14ac:dyDescent="0.25">
      <c r="B1127" t="s">
        <v>269</v>
      </c>
      <c r="C1127" t="s">
        <v>463</v>
      </c>
      <c r="D1127" t="s">
        <v>750</v>
      </c>
      <c r="E1127" s="35">
        <v>0.9</v>
      </c>
      <c r="F1127" s="35">
        <v>6.6</v>
      </c>
      <c r="G1127" s="36">
        <v>3.0200000000000001E-3</v>
      </c>
      <c r="H1127" s="18">
        <v>5.4352980000000004</v>
      </c>
      <c r="I1127" s="16" t="s">
        <v>746</v>
      </c>
      <c r="J1127" s="16"/>
      <c r="K1127" s="16"/>
      <c r="L1127" s="37"/>
      <c r="M1127" s="37"/>
      <c r="N1127" s="37"/>
      <c r="O1127" s="37"/>
      <c r="P1127" s="37"/>
      <c r="Q1127" s="18">
        <v>3.322E-2</v>
      </c>
      <c r="R1127" s="18">
        <v>2.265E-4</v>
      </c>
      <c r="S1127" s="18">
        <v>6.3420000000000004E-2</v>
      </c>
      <c r="T1127" s="18">
        <v>0.27179999999999999</v>
      </c>
      <c r="U1127" s="18">
        <v>0.13589999999999999</v>
      </c>
      <c r="V1127" s="18">
        <v>1.7395200000000002</v>
      </c>
      <c r="W1127" s="18">
        <v>1.6308</v>
      </c>
      <c r="X1127" s="18">
        <v>1.0871999999999999</v>
      </c>
      <c r="Y1127" s="18">
        <v>4.8320000000000002E-2</v>
      </c>
      <c r="Z1127" s="18">
        <v>0.21442</v>
      </c>
      <c r="AA1127" s="18">
        <v>0.31408000000000003</v>
      </c>
      <c r="AB1127" s="18">
        <v>0.55869999999999997</v>
      </c>
      <c r="AC1127" s="18">
        <v>0.17214000000000002</v>
      </c>
      <c r="AD1127" s="18">
        <v>0.90600000000000003</v>
      </c>
    </row>
    <row r="1128" spans="2:30" x14ac:dyDescent="0.25">
      <c r="B1128" t="s">
        <v>269</v>
      </c>
      <c r="C1128" t="s">
        <v>463</v>
      </c>
      <c r="D1128" t="s">
        <v>748</v>
      </c>
      <c r="E1128" s="35">
        <v>0.9</v>
      </c>
      <c r="F1128" s="35">
        <v>6.6</v>
      </c>
      <c r="G1128" s="36">
        <v>4.1200000000000004E-3</v>
      </c>
      <c r="H1128" s="18">
        <v>7.4152979999999999</v>
      </c>
      <c r="I1128" s="16" t="s">
        <v>746</v>
      </c>
      <c r="J1128" s="16"/>
      <c r="K1128" s="16"/>
      <c r="L1128" s="37"/>
      <c r="M1128" s="37"/>
      <c r="N1128" s="37"/>
      <c r="O1128" s="37"/>
      <c r="P1128" s="37"/>
      <c r="Q1128" s="18">
        <v>4.5320000000000006E-2</v>
      </c>
      <c r="R1128" s="18">
        <v>3.0900000000000003E-4</v>
      </c>
      <c r="S1128" s="18">
        <v>8.6520000000000014E-2</v>
      </c>
      <c r="T1128" s="18">
        <v>0.37080000000000002</v>
      </c>
      <c r="U1128" s="18">
        <v>0.18540000000000001</v>
      </c>
      <c r="V1128" s="18">
        <v>2.3731200000000001</v>
      </c>
      <c r="W1128" s="18">
        <v>2.2248000000000001</v>
      </c>
      <c r="X1128" s="18">
        <v>1.4832000000000001</v>
      </c>
      <c r="Y1128" s="18">
        <v>6.5920000000000006E-2</v>
      </c>
      <c r="Z1128" s="18">
        <v>0.29252</v>
      </c>
      <c r="AA1128" s="18">
        <v>0.42848000000000003</v>
      </c>
      <c r="AB1128" s="18">
        <v>0.7622000000000001</v>
      </c>
      <c r="AC1128" s="18">
        <v>0.23484000000000002</v>
      </c>
      <c r="AD1128" s="18">
        <v>1.2360000000000002</v>
      </c>
    </row>
    <row r="1129" spans="2:30" x14ac:dyDescent="0.25">
      <c r="B1129" t="s">
        <v>269</v>
      </c>
      <c r="C1129" t="s">
        <v>463</v>
      </c>
      <c r="D1129" t="s">
        <v>750</v>
      </c>
      <c r="E1129" s="35">
        <v>0.9</v>
      </c>
      <c r="F1129" s="35">
        <v>6.6</v>
      </c>
      <c r="G1129" s="36">
        <v>3.0200000000000001E-3</v>
      </c>
      <c r="H1129" s="18">
        <v>5.4352980000000004</v>
      </c>
      <c r="I1129" s="16" t="s">
        <v>746</v>
      </c>
      <c r="J1129" s="16"/>
      <c r="K1129" s="16"/>
      <c r="L1129" s="37"/>
      <c r="M1129" s="37"/>
      <c r="N1129" s="37"/>
      <c r="O1129" s="37"/>
      <c r="P1129" s="37"/>
      <c r="Q1129" s="18">
        <v>3.322E-2</v>
      </c>
      <c r="R1129" s="18">
        <v>2.265E-4</v>
      </c>
      <c r="S1129" s="18">
        <v>6.3420000000000004E-2</v>
      </c>
      <c r="T1129" s="18">
        <v>0.27179999999999999</v>
      </c>
      <c r="U1129" s="18">
        <v>0.13589999999999999</v>
      </c>
      <c r="V1129" s="18">
        <v>1.7395200000000002</v>
      </c>
      <c r="W1129" s="18">
        <v>1.6308</v>
      </c>
      <c r="X1129" s="18">
        <v>1.0871999999999999</v>
      </c>
      <c r="Y1129" s="18">
        <v>4.8320000000000002E-2</v>
      </c>
      <c r="Z1129" s="18">
        <v>0.21442</v>
      </c>
      <c r="AA1129" s="18">
        <v>0.31408000000000003</v>
      </c>
      <c r="AB1129" s="18">
        <v>0.55869999999999997</v>
      </c>
      <c r="AC1129" s="18">
        <v>0.17214000000000002</v>
      </c>
      <c r="AD1129" s="18">
        <v>0.90600000000000003</v>
      </c>
    </row>
    <row r="1130" spans="2:30" x14ac:dyDescent="0.25">
      <c r="B1130" t="s">
        <v>269</v>
      </c>
      <c r="C1130" t="s">
        <v>463</v>
      </c>
      <c r="D1130" t="s">
        <v>749</v>
      </c>
      <c r="E1130" s="35">
        <v>0.9</v>
      </c>
      <c r="F1130" s="35">
        <v>6.6</v>
      </c>
      <c r="G1130" s="36">
        <v>3.5699999999999998E-3</v>
      </c>
      <c r="H1130" s="18">
        <v>6.4252979999999997</v>
      </c>
      <c r="I1130" s="16" t="s">
        <v>746</v>
      </c>
      <c r="J1130" s="16"/>
      <c r="K1130" s="16"/>
      <c r="L1130" s="37"/>
      <c r="M1130" s="37"/>
      <c r="N1130" s="37"/>
      <c r="O1130" s="37"/>
      <c r="P1130" s="37"/>
      <c r="Q1130" s="18">
        <v>3.9269999999999999E-2</v>
      </c>
      <c r="R1130" s="18">
        <v>2.6774999999999998E-4</v>
      </c>
      <c r="S1130" s="18">
        <v>7.4969999999999995E-2</v>
      </c>
      <c r="T1130" s="18">
        <v>0.32129999999999997</v>
      </c>
      <c r="U1130" s="18">
        <v>0.16064999999999999</v>
      </c>
      <c r="V1130" s="18">
        <v>2.0563199999999999</v>
      </c>
      <c r="W1130" s="18">
        <v>1.9278</v>
      </c>
      <c r="X1130" s="18">
        <v>1.2851999999999999</v>
      </c>
      <c r="Y1130" s="18">
        <v>5.7119999999999997E-2</v>
      </c>
      <c r="Z1130" s="18">
        <v>0.25346999999999997</v>
      </c>
      <c r="AA1130" s="18">
        <v>0.37128</v>
      </c>
      <c r="AB1130" s="18">
        <v>0.66044999999999998</v>
      </c>
      <c r="AC1130" s="18">
        <v>0.20348999999999998</v>
      </c>
      <c r="AD1130" s="18">
        <v>1.071</v>
      </c>
    </row>
    <row r="1131" spans="2:30" x14ac:dyDescent="0.25">
      <c r="B1131" t="s">
        <v>269</v>
      </c>
      <c r="C1131" t="s">
        <v>463</v>
      </c>
      <c r="D1131" t="s">
        <v>748</v>
      </c>
      <c r="E1131" s="35">
        <v>0.9</v>
      </c>
      <c r="F1131" s="35">
        <v>6.6</v>
      </c>
      <c r="G1131" s="36">
        <v>4.1200000000000004E-3</v>
      </c>
      <c r="H1131" s="18">
        <v>7.4152979999999999</v>
      </c>
      <c r="I1131" s="16" t="s">
        <v>746</v>
      </c>
      <c r="J1131" s="16"/>
      <c r="K1131" s="16"/>
      <c r="L1131" s="37"/>
      <c r="M1131" s="37"/>
      <c r="N1131" s="37"/>
      <c r="O1131" s="37"/>
      <c r="P1131" s="37"/>
      <c r="Q1131" s="18">
        <v>4.5320000000000006E-2</v>
      </c>
      <c r="R1131" s="18">
        <v>3.0900000000000003E-4</v>
      </c>
      <c r="S1131" s="18">
        <v>8.6520000000000014E-2</v>
      </c>
      <c r="T1131" s="18">
        <v>0.37080000000000002</v>
      </c>
      <c r="U1131" s="18">
        <v>0.18540000000000001</v>
      </c>
      <c r="V1131" s="18">
        <v>2.3731200000000001</v>
      </c>
      <c r="W1131" s="18">
        <v>2.2248000000000001</v>
      </c>
      <c r="X1131" s="18">
        <v>1.4832000000000001</v>
      </c>
      <c r="Y1131" s="18">
        <v>6.5920000000000006E-2</v>
      </c>
      <c r="Z1131" s="18">
        <v>0.29252</v>
      </c>
      <c r="AA1131" s="18">
        <v>0.42848000000000003</v>
      </c>
      <c r="AB1131" s="18">
        <v>0.7622000000000001</v>
      </c>
      <c r="AC1131" s="18">
        <v>0.23484000000000002</v>
      </c>
      <c r="AD1131" s="18">
        <v>1.2360000000000002</v>
      </c>
    </row>
    <row r="1132" spans="2:30" x14ac:dyDescent="0.25">
      <c r="B1132" t="s">
        <v>269</v>
      </c>
      <c r="C1132" t="s">
        <v>463</v>
      </c>
      <c r="D1132" t="s">
        <v>748</v>
      </c>
      <c r="E1132" s="35">
        <v>0.9</v>
      </c>
      <c r="F1132" s="35">
        <v>6.6</v>
      </c>
      <c r="G1132" s="36">
        <v>4.1200000000000004E-3</v>
      </c>
      <c r="H1132" s="18">
        <v>7.4152979999999999</v>
      </c>
      <c r="I1132" s="16" t="s">
        <v>746</v>
      </c>
      <c r="J1132" s="16"/>
      <c r="K1132" s="16"/>
      <c r="L1132" s="37"/>
      <c r="M1132" s="37"/>
      <c r="N1132" s="37"/>
      <c r="O1132" s="37"/>
      <c r="P1132" s="37"/>
      <c r="Q1132" s="18">
        <v>4.5320000000000006E-2</v>
      </c>
      <c r="R1132" s="18">
        <v>3.0900000000000003E-4</v>
      </c>
      <c r="S1132" s="18">
        <v>8.6520000000000014E-2</v>
      </c>
      <c r="T1132" s="18">
        <v>0.37080000000000002</v>
      </c>
      <c r="U1132" s="18">
        <v>0.18540000000000001</v>
      </c>
      <c r="V1132" s="18">
        <v>2.3731200000000001</v>
      </c>
      <c r="W1132" s="18">
        <v>2.2248000000000001</v>
      </c>
      <c r="X1132" s="18">
        <v>1.4832000000000001</v>
      </c>
      <c r="Y1132" s="18">
        <v>6.5920000000000006E-2</v>
      </c>
      <c r="Z1132" s="18">
        <v>0.29252</v>
      </c>
      <c r="AA1132" s="18">
        <v>0.42848000000000003</v>
      </c>
      <c r="AB1132" s="18">
        <v>0.7622000000000001</v>
      </c>
      <c r="AC1132" s="18">
        <v>0.23484000000000002</v>
      </c>
      <c r="AD1132" s="18">
        <v>1.2360000000000002</v>
      </c>
    </row>
    <row r="1133" spans="2:30" x14ac:dyDescent="0.25">
      <c r="B1133" t="s">
        <v>269</v>
      </c>
      <c r="C1133" t="s">
        <v>463</v>
      </c>
      <c r="D1133" t="s">
        <v>749</v>
      </c>
      <c r="E1133" s="35">
        <v>0.9</v>
      </c>
      <c r="F1133" s="35">
        <v>6.6</v>
      </c>
      <c r="G1133" s="36">
        <v>3.5699999999999998E-3</v>
      </c>
      <c r="H1133" s="18">
        <v>6.4252979999999997</v>
      </c>
      <c r="I1133" s="16" t="s">
        <v>746</v>
      </c>
      <c r="J1133" s="16"/>
      <c r="K1133" s="16"/>
      <c r="L1133" s="37"/>
      <c r="M1133" s="37"/>
      <c r="N1133" s="37"/>
      <c r="O1133" s="37"/>
      <c r="P1133" s="37"/>
      <c r="Q1133" s="18">
        <v>3.9269999999999999E-2</v>
      </c>
      <c r="R1133" s="18">
        <v>2.6774999999999998E-4</v>
      </c>
      <c r="S1133" s="18">
        <v>7.4969999999999995E-2</v>
      </c>
      <c r="T1133" s="18">
        <v>0.32129999999999997</v>
      </c>
      <c r="U1133" s="18">
        <v>0.16064999999999999</v>
      </c>
      <c r="V1133" s="18">
        <v>2.0563199999999999</v>
      </c>
      <c r="W1133" s="18">
        <v>1.9278</v>
      </c>
      <c r="X1133" s="18">
        <v>1.2851999999999999</v>
      </c>
      <c r="Y1133" s="18">
        <v>5.7119999999999997E-2</v>
      </c>
      <c r="Z1133" s="18">
        <v>0.25346999999999997</v>
      </c>
      <c r="AA1133" s="18">
        <v>0.37128</v>
      </c>
      <c r="AB1133" s="18">
        <v>0.66044999999999998</v>
      </c>
      <c r="AC1133" s="18">
        <v>0.20348999999999998</v>
      </c>
      <c r="AD1133" s="18">
        <v>1.071</v>
      </c>
    </row>
    <row r="1134" spans="2:30" x14ac:dyDescent="0.25">
      <c r="B1134" t="s">
        <v>269</v>
      </c>
      <c r="C1134" t="s">
        <v>463</v>
      </c>
      <c r="D1134" t="s">
        <v>748</v>
      </c>
      <c r="E1134" s="35">
        <v>0.9</v>
      </c>
      <c r="F1134" s="35">
        <v>6.6</v>
      </c>
      <c r="G1134" s="36">
        <v>4.1200000000000004E-3</v>
      </c>
      <c r="H1134" s="18">
        <v>7.4152979999999999</v>
      </c>
      <c r="I1134" s="16" t="s">
        <v>746</v>
      </c>
      <c r="J1134" s="16"/>
      <c r="K1134" s="16"/>
      <c r="L1134" s="37"/>
      <c r="M1134" s="37"/>
      <c r="N1134" s="37"/>
      <c r="O1134" s="37"/>
      <c r="P1134" s="37"/>
      <c r="Q1134" s="18">
        <v>4.5320000000000006E-2</v>
      </c>
      <c r="R1134" s="18">
        <v>3.0900000000000003E-4</v>
      </c>
      <c r="S1134" s="18">
        <v>8.6520000000000014E-2</v>
      </c>
      <c r="T1134" s="18">
        <v>0.37080000000000002</v>
      </c>
      <c r="U1134" s="18">
        <v>0.18540000000000001</v>
      </c>
      <c r="V1134" s="18">
        <v>2.3731200000000001</v>
      </c>
      <c r="W1134" s="18">
        <v>2.2248000000000001</v>
      </c>
      <c r="X1134" s="18">
        <v>1.4832000000000001</v>
      </c>
      <c r="Y1134" s="18">
        <v>6.5920000000000006E-2</v>
      </c>
      <c r="Z1134" s="18">
        <v>0.29252</v>
      </c>
      <c r="AA1134" s="18">
        <v>0.42848000000000003</v>
      </c>
      <c r="AB1134" s="18">
        <v>0.7622000000000001</v>
      </c>
      <c r="AC1134" s="18">
        <v>0.23484000000000002</v>
      </c>
      <c r="AD1134" s="18">
        <v>1.2360000000000002</v>
      </c>
    </row>
    <row r="1135" spans="2:30" x14ac:dyDescent="0.25">
      <c r="B1135" t="s">
        <v>269</v>
      </c>
      <c r="C1135" t="s">
        <v>463</v>
      </c>
      <c r="D1135" t="s">
        <v>749</v>
      </c>
      <c r="E1135" s="35">
        <v>0.9</v>
      </c>
      <c r="F1135" s="35">
        <v>6.6</v>
      </c>
      <c r="G1135" s="36">
        <v>3.5699999999999998E-3</v>
      </c>
      <c r="H1135" s="18">
        <v>6.4252979999999997</v>
      </c>
      <c r="I1135" s="16" t="s">
        <v>746</v>
      </c>
      <c r="J1135" s="16"/>
      <c r="K1135" s="16"/>
      <c r="L1135" s="37"/>
      <c r="M1135" s="37"/>
      <c r="N1135" s="37"/>
      <c r="O1135" s="37"/>
      <c r="P1135" s="37"/>
      <c r="Q1135" s="18">
        <v>3.9269999999999999E-2</v>
      </c>
      <c r="R1135" s="18">
        <v>2.6774999999999998E-4</v>
      </c>
      <c r="S1135" s="18">
        <v>7.4969999999999995E-2</v>
      </c>
      <c r="T1135" s="18">
        <v>0.32129999999999997</v>
      </c>
      <c r="U1135" s="18">
        <v>0.16064999999999999</v>
      </c>
      <c r="V1135" s="18">
        <v>2.0563199999999999</v>
      </c>
      <c r="W1135" s="18">
        <v>1.9278</v>
      </c>
      <c r="X1135" s="18">
        <v>1.2851999999999999</v>
      </c>
      <c r="Y1135" s="18">
        <v>5.7119999999999997E-2</v>
      </c>
      <c r="Z1135" s="18">
        <v>0.25346999999999997</v>
      </c>
      <c r="AA1135" s="18">
        <v>0.37128</v>
      </c>
      <c r="AB1135" s="18">
        <v>0.66044999999999998</v>
      </c>
      <c r="AC1135" s="18">
        <v>0.20348999999999998</v>
      </c>
      <c r="AD1135" s="18">
        <v>1.071</v>
      </c>
    </row>
    <row r="1136" spans="2:30" x14ac:dyDescent="0.25">
      <c r="B1136" t="s">
        <v>269</v>
      </c>
      <c r="C1136" t="s">
        <v>463</v>
      </c>
      <c r="D1136" t="s">
        <v>749</v>
      </c>
      <c r="E1136" s="35">
        <v>0.9</v>
      </c>
      <c r="F1136" s="35">
        <v>6.6</v>
      </c>
      <c r="G1136" s="36">
        <v>3.5699999999999998E-3</v>
      </c>
      <c r="H1136" s="18">
        <v>6.4252979999999997</v>
      </c>
      <c r="I1136" s="16" t="s">
        <v>746</v>
      </c>
      <c r="J1136" s="16"/>
      <c r="K1136" s="16"/>
      <c r="L1136" s="37"/>
      <c r="M1136" s="37"/>
      <c r="N1136" s="37"/>
      <c r="O1136" s="37"/>
      <c r="P1136" s="37"/>
      <c r="Q1136" s="18">
        <v>3.9269999999999999E-2</v>
      </c>
      <c r="R1136" s="18">
        <v>2.6774999999999998E-4</v>
      </c>
      <c r="S1136" s="18">
        <v>7.4969999999999995E-2</v>
      </c>
      <c r="T1136" s="18">
        <v>0.32129999999999997</v>
      </c>
      <c r="U1136" s="18">
        <v>0.16064999999999999</v>
      </c>
      <c r="V1136" s="18">
        <v>2.0563199999999999</v>
      </c>
      <c r="W1136" s="18">
        <v>1.9278</v>
      </c>
      <c r="X1136" s="18">
        <v>1.2851999999999999</v>
      </c>
      <c r="Y1136" s="18">
        <v>5.7119999999999997E-2</v>
      </c>
      <c r="Z1136" s="18">
        <v>0.25346999999999997</v>
      </c>
      <c r="AA1136" s="18">
        <v>0.37128</v>
      </c>
      <c r="AB1136" s="18">
        <v>0.66044999999999998</v>
      </c>
      <c r="AC1136" s="18">
        <v>0.20348999999999998</v>
      </c>
      <c r="AD1136" s="18">
        <v>1.071</v>
      </c>
    </row>
    <row r="1137" spans="2:30" x14ac:dyDescent="0.25">
      <c r="B1137" t="s">
        <v>269</v>
      </c>
      <c r="C1137" t="s">
        <v>463</v>
      </c>
      <c r="D1137" t="s">
        <v>748</v>
      </c>
      <c r="E1137" s="35">
        <v>0.9</v>
      </c>
      <c r="F1137" s="35">
        <v>6.6</v>
      </c>
      <c r="G1137" s="36">
        <v>4.1200000000000004E-3</v>
      </c>
      <c r="H1137" s="18">
        <v>7.4152979999999999</v>
      </c>
      <c r="I1137" s="16" t="s">
        <v>746</v>
      </c>
      <c r="J1137" s="16"/>
      <c r="K1137" s="16"/>
      <c r="L1137" s="37"/>
      <c r="M1137" s="37"/>
      <c r="N1137" s="37"/>
      <c r="O1137" s="37"/>
      <c r="P1137" s="37"/>
      <c r="Q1137" s="18">
        <v>4.5320000000000006E-2</v>
      </c>
      <c r="R1137" s="18">
        <v>3.0900000000000003E-4</v>
      </c>
      <c r="S1137" s="18">
        <v>8.6520000000000014E-2</v>
      </c>
      <c r="T1137" s="18">
        <v>0.37080000000000002</v>
      </c>
      <c r="U1137" s="18">
        <v>0.18540000000000001</v>
      </c>
      <c r="V1137" s="18">
        <v>2.3731200000000001</v>
      </c>
      <c r="W1137" s="18">
        <v>2.2248000000000001</v>
      </c>
      <c r="X1137" s="18">
        <v>1.4832000000000001</v>
      </c>
      <c r="Y1137" s="18">
        <v>6.5920000000000006E-2</v>
      </c>
      <c r="Z1137" s="18">
        <v>0.29252</v>
      </c>
      <c r="AA1137" s="18">
        <v>0.42848000000000003</v>
      </c>
      <c r="AB1137" s="18">
        <v>0.7622000000000001</v>
      </c>
      <c r="AC1137" s="18">
        <v>0.23484000000000002</v>
      </c>
      <c r="AD1137" s="18">
        <v>1.2360000000000002</v>
      </c>
    </row>
    <row r="1138" spans="2:30" x14ac:dyDescent="0.25">
      <c r="B1138" t="s">
        <v>269</v>
      </c>
      <c r="C1138" t="s">
        <v>463</v>
      </c>
      <c r="D1138" t="s">
        <v>748</v>
      </c>
      <c r="E1138" s="35">
        <v>0.9</v>
      </c>
      <c r="F1138" s="35">
        <v>6.6</v>
      </c>
      <c r="G1138" s="36">
        <v>4.1200000000000004E-3</v>
      </c>
      <c r="H1138" s="18">
        <v>7.4152979999999999</v>
      </c>
      <c r="I1138" s="16" t="s">
        <v>746</v>
      </c>
      <c r="J1138" s="16"/>
      <c r="K1138" s="16"/>
      <c r="L1138" s="37"/>
      <c r="M1138" s="37"/>
      <c r="N1138" s="37"/>
      <c r="O1138" s="37"/>
      <c r="P1138" s="37"/>
      <c r="Q1138" s="18">
        <v>4.5320000000000006E-2</v>
      </c>
      <c r="R1138" s="18">
        <v>3.0900000000000003E-4</v>
      </c>
      <c r="S1138" s="18">
        <v>8.6520000000000014E-2</v>
      </c>
      <c r="T1138" s="18">
        <v>0.37080000000000002</v>
      </c>
      <c r="U1138" s="18">
        <v>0.18540000000000001</v>
      </c>
      <c r="V1138" s="18">
        <v>2.3731200000000001</v>
      </c>
      <c r="W1138" s="18">
        <v>2.2248000000000001</v>
      </c>
      <c r="X1138" s="18">
        <v>1.4832000000000001</v>
      </c>
      <c r="Y1138" s="18">
        <v>6.5920000000000006E-2</v>
      </c>
      <c r="Z1138" s="18">
        <v>0.29252</v>
      </c>
      <c r="AA1138" s="18">
        <v>0.42848000000000003</v>
      </c>
      <c r="AB1138" s="18">
        <v>0.7622000000000001</v>
      </c>
      <c r="AC1138" s="18">
        <v>0.23484000000000002</v>
      </c>
      <c r="AD1138" s="18">
        <v>1.2360000000000002</v>
      </c>
    </row>
    <row r="1139" spans="2:30" x14ac:dyDescent="0.25">
      <c r="B1139" t="s">
        <v>269</v>
      </c>
      <c r="C1139" t="s">
        <v>463</v>
      </c>
      <c r="D1139" t="s">
        <v>749</v>
      </c>
      <c r="E1139" s="35">
        <v>0.9</v>
      </c>
      <c r="F1139" s="35">
        <v>6.6</v>
      </c>
      <c r="G1139" s="36">
        <v>3.5699999999999998E-3</v>
      </c>
      <c r="H1139" s="18">
        <v>6.4252979999999997</v>
      </c>
      <c r="I1139" s="16" t="s">
        <v>746</v>
      </c>
      <c r="J1139" s="16"/>
      <c r="K1139" s="16"/>
      <c r="L1139" s="37"/>
      <c r="M1139" s="37"/>
      <c r="N1139" s="37"/>
      <c r="O1139" s="37"/>
      <c r="P1139" s="37"/>
      <c r="Q1139" s="18">
        <v>3.9269999999999999E-2</v>
      </c>
      <c r="R1139" s="18">
        <v>2.6774999999999998E-4</v>
      </c>
      <c r="S1139" s="18">
        <v>7.4969999999999995E-2</v>
      </c>
      <c r="T1139" s="18">
        <v>0.32129999999999997</v>
      </c>
      <c r="U1139" s="18">
        <v>0.16064999999999999</v>
      </c>
      <c r="V1139" s="18">
        <v>2.0563199999999999</v>
      </c>
      <c r="W1139" s="18">
        <v>1.9278</v>
      </c>
      <c r="X1139" s="18">
        <v>1.2851999999999999</v>
      </c>
      <c r="Y1139" s="18">
        <v>5.7119999999999997E-2</v>
      </c>
      <c r="Z1139" s="18">
        <v>0.25346999999999997</v>
      </c>
      <c r="AA1139" s="18">
        <v>0.37128</v>
      </c>
      <c r="AB1139" s="18">
        <v>0.66044999999999998</v>
      </c>
      <c r="AC1139" s="18">
        <v>0.20348999999999998</v>
      </c>
      <c r="AD1139" s="18">
        <v>1.071</v>
      </c>
    </row>
    <row r="1140" spans="2:30" x14ac:dyDescent="0.25">
      <c r="B1140" t="s">
        <v>269</v>
      </c>
      <c r="C1140" t="s">
        <v>463</v>
      </c>
      <c r="D1140" t="s">
        <v>749</v>
      </c>
      <c r="E1140" s="35">
        <v>0.9</v>
      </c>
      <c r="F1140" s="35">
        <v>6.6</v>
      </c>
      <c r="G1140" s="36">
        <v>3.5699999999999998E-3</v>
      </c>
      <c r="H1140" s="18">
        <v>6.4252979999999997</v>
      </c>
      <c r="I1140" s="16" t="s">
        <v>746</v>
      </c>
      <c r="J1140" s="16"/>
      <c r="K1140" s="16"/>
      <c r="L1140" s="37"/>
      <c r="M1140" s="37"/>
      <c r="N1140" s="37"/>
      <c r="O1140" s="37"/>
      <c r="P1140" s="37"/>
      <c r="Q1140" s="18">
        <v>3.9269999999999999E-2</v>
      </c>
      <c r="R1140" s="18">
        <v>2.6774999999999998E-4</v>
      </c>
      <c r="S1140" s="18">
        <v>7.4969999999999995E-2</v>
      </c>
      <c r="T1140" s="18">
        <v>0.32129999999999997</v>
      </c>
      <c r="U1140" s="18">
        <v>0.16064999999999999</v>
      </c>
      <c r="V1140" s="18">
        <v>2.0563199999999999</v>
      </c>
      <c r="W1140" s="18">
        <v>1.9278</v>
      </c>
      <c r="X1140" s="18">
        <v>1.2851999999999999</v>
      </c>
      <c r="Y1140" s="18">
        <v>5.7119999999999997E-2</v>
      </c>
      <c r="Z1140" s="18">
        <v>0.25346999999999997</v>
      </c>
      <c r="AA1140" s="18">
        <v>0.37128</v>
      </c>
      <c r="AB1140" s="18">
        <v>0.66044999999999998</v>
      </c>
      <c r="AC1140" s="18">
        <v>0.20348999999999998</v>
      </c>
      <c r="AD1140" s="18">
        <v>1.071</v>
      </c>
    </row>
    <row r="1141" spans="2:30" x14ac:dyDescent="0.25">
      <c r="B1141" t="s">
        <v>269</v>
      </c>
      <c r="C1141" t="s">
        <v>463</v>
      </c>
      <c r="D1141" t="s">
        <v>749</v>
      </c>
      <c r="E1141" s="35">
        <v>0.9</v>
      </c>
      <c r="F1141" s="35">
        <v>6.6</v>
      </c>
      <c r="G1141" s="36">
        <v>3.5699999999999998E-3</v>
      </c>
      <c r="H1141" s="18">
        <v>6.4252979999999997</v>
      </c>
      <c r="I1141" s="16" t="s">
        <v>746</v>
      </c>
      <c r="J1141" s="16"/>
      <c r="K1141" s="16"/>
      <c r="L1141" s="37"/>
      <c r="M1141" s="37"/>
      <c r="N1141" s="37"/>
      <c r="O1141" s="37"/>
      <c r="P1141" s="37"/>
      <c r="Q1141" s="18">
        <v>3.9269999999999999E-2</v>
      </c>
      <c r="R1141" s="18">
        <v>2.6774999999999998E-4</v>
      </c>
      <c r="S1141" s="18">
        <v>7.4969999999999995E-2</v>
      </c>
      <c r="T1141" s="18">
        <v>0.32129999999999997</v>
      </c>
      <c r="U1141" s="18">
        <v>0.16064999999999999</v>
      </c>
      <c r="V1141" s="18">
        <v>2.0563199999999999</v>
      </c>
      <c r="W1141" s="18">
        <v>1.9278</v>
      </c>
      <c r="X1141" s="18">
        <v>1.2851999999999999</v>
      </c>
      <c r="Y1141" s="18">
        <v>5.7119999999999997E-2</v>
      </c>
      <c r="Z1141" s="18">
        <v>0.25346999999999997</v>
      </c>
      <c r="AA1141" s="18">
        <v>0.37128</v>
      </c>
      <c r="AB1141" s="18">
        <v>0.66044999999999998</v>
      </c>
      <c r="AC1141" s="18">
        <v>0.20348999999999998</v>
      </c>
      <c r="AD1141" s="18">
        <v>1.071</v>
      </c>
    </row>
    <row r="1142" spans="2:30" x14ac:dyDescent="0.25">
      <c r="B1142" t="s">
        <v>269</v>
      </c>
      <c r="C1142" t="s">
        <v>463</v>
      </c>
      <c r="D1142" t="s">
        <v>748</v>
      </c>
      <c r="E1142" s="35">
        <v>0.9</v>
      </c>
      <c r="F1142" s="35">
        <v>6.6</v>
      </c>
      <c r="G1142" s="36">
        <v>4.1200000000000004E-3</v>
      </c>
      <c r="H1142" s="18">
        <v>7.4152979999999999</v>
      </c>
      <c r="I1142" s="16" t="s">
        <v>746</v>
      </c>
      <c r="J1142" s="16"/>
      <c r="K1142" s="16"/>
      <c r="L1142" s="37"/>
      <c r="M1142" s="37"/>
      <c r="N1142" s="37"/>
      <c r="O1142" s="37"/>
      <c r="P1142" s="37"/>
      <c r="Q1142" s="18">
        <v>4.5320000000000006E-2</v>
      </c>
      <c r="R1142" s="18">
        <v>3.0900000000000003E-4</v>
      </c>
      <c r="S1142" s="18">
        <v>8.6520000000000014E-2</v>
      </c>
      <c r="T1142" s="18">
        <v>0.37080000000000002</v>
      </c>
      <c r="U1142" s="18">
        <v>0.18540000000000001</v>
      </c>
      <c r="V1142" s="18">
        <v>2.3731200000000001</v>
      </c>
      <c r="W1142" s="18">
        <v>2.2248000000000001</v>
      </c>
      <c r="X1142" s="18">
        <v>1.4832000000000001</v>
      </c>
      <c r="Y1142" s="18">
        <v>6.5920000000000006E-2</v>
      </c>
      <c r="Z1142" s="18">
        <v>0.29252</v>
      </c>
      <c r="AA1142" s="18">
        <v>0.42848000000000003</v>
      </c>
      <c r="AB1142" s="18">
        <v>0.7622000000000001</v>
      </c>
      <c r="AC1142" s="18">
        <v>0.23484000000000002</v>
      </c>
      <c r="AD1142" s="18">
        <v>1.2360000000000002</v>
      </c>
    </row>
    <row r="1143" spans="2:30" x14ac:dyDescent="0.25">
      <c r="B1143" t="s">
        <v>269</v>
      </c>
      <c r="C1143" t="s">
        <v>463</v>
      </c>
      <c r="D1143" t="s">
        <v>748</v>
      </c>
      <c r="E1143" s="35">
        <v>0.9</v>
      </c>
      <c r="F1143" s="35">
        <v>6.6</v>
      </c>
      <c r="G1143" s="36">
        <v>4.1200000000000004E-3</v>
      </c>
      <c r="H1143" s="18">
        <v>7.4152979999999999</v>
      </c>
      <c r="I1143" s="16" t="s">
        <v>746</v>
      </c>
      <c r="J1143" s="16"/>
      <c r="K1143" s="16"/>
      <c r="L1143" s="37"/>
      <c r="M1143" s="37"/>
      <c r="N1143" s="37"/>
      <c r="O1143" s="37"/>
      <c r="P1143" s="37"/>
      <c r="Q1143" s="18">
        <v>4.5320000000000006E-2</v>
      </c>
      <c r="R1143" s="18">
        <v>3.0900000000000003E-4</v>
      </c>
      <c r="S1143" s="18">
        <v>8.6520000000000014E-2</v>
      </c>
      <c r="T1143" s="18">
        <v>0.37080000000000002</v>
      </c>
      <c r="U1143" s="18">
        <v>0.18540000000000001</v>
      </c>
      <c r="V1143" s="18">
        <v>2.3731200000000001</v>
      </c>
      <c r="W1143" s="18">
        <v>2.2248000000000001</v>
      </c>
      <c r="X1143" s="18">
        <v>1.4832000000000001</v>
      </c>
      <c r="Y1143" s="18">
        <v>6.5920000000000006E-2</v>
      </c>
      <c r="Z1143" s="18">
        <v>0.29252</v>
      </c>
      <c r="AA1143" s="18">
        <v>0.42848000000000003</v>
      </c>
      <c r="AB1143" s="18">
        <v>0.7622000000000001</v>
      </c>
      <c r="AC1143" s="18">
        <v>0.23484000000000002</v>
      </c>
      <c r="AD1143" s="18">
        <v>1.2360000000000002</v>
      </c>
    </row>
    <row r="1144" spans="2:30" x14ac:dyDescent="0.25">
      <c r="B1144" t="s">
        <v>269</v>
      </c>
      <c r="C1144" t="s">
        <v>463</v>
      </c>
      <c r="D1144" t="s">
        <v>748</v>
      </c>
      <c r="E1144" s="35">
        <v>0.9</v>
      </c>
      <c r="F1144" s="35">
        <v>6.6</v>
      </c>
      <c r="G1144" s="36">
        <v>4.1200000000000004E-3</v>
      </c>
      <c r="H1144" s="18">
        <v>7.4152979999999999</v>
      </c>
      <c r="I1144" s="16" t="s">
        <v>746</v>
      </c>
      <c r="J1144" s="16"/>
      <c r="K1144" s="16"/>
      <c r="L1144" s="37"/>
      <c r="M1144" s="37"/>
      <c r="N1144" s="37"/>
      <c r="O1144" s="37"/>
      <c r="P1144" s="37"/>
      <c r="Q1144" s="18">
        <v>4.5320000000000006E-2</v>
      </c>
      <c r="R1144" s="18">
        <v>3.0900000000000003E-4</v>
      </c>
      <c r="S1144" s="18">
        <v>8.6520000000000014E-2</v>
      </c>
      <c r="T1144" s="18">
        <v>0.37080000000000002</v>
      </c>
      <c r="U1144" s="18">
        <v>0.18540000000000001</v>
      </c>
      <c r="V1144" s="18">
        <v>2.3731200000000001</v>
      </c>
      <c r="W1144" s="18">
        <v>2.2248000000000001</v>
      </c>
      <c r="X1144" s="18">
        <v>1.4832000000000001</v>
      </c>
      <c r="Y1144" s="18">
        <v>6.5920000000000006E-2</v>
      </c>
      <c r="Z1144" s="18">
        <v>0.29252</v>
      </c>
      <c r="AA1144" s="18">
        <v>0.42848000000000003</v>
      </c>
      <c r="AB1144" s="18">
        <v>0.7622000000000001</v>
      </c>
      <c r="AC1144" s="18">
        <v>0.23484000000000002</v>
      </c>
      <c r="AD1144" s="18">
        <v>1.2360000000000002</v>
      </c>
    </row>
    <row r="1145" spans="2:30" x14ac:dyDescent="0.25">
      <c r="B1145" t="s">
        <v>269</v>
      </c>
      <c r="C1145" t="s">
        <v>463</v>
      </c>
      <c r="D1145" t="s">
        <v>747</v>
      </c>
      <c r="E1145" s="35">
        <v>0.9</v>
      </c>
      <c r="F1145" s="35">
        <v>6.6</v>
      </c>
      <c r="G1145" s="36">
        <v>4.9449999999999997E-3</v>
      </c>
      <c r="H1145" s="18">
        <v>8.9002979999999994</v>
      </c>
      <c r="I1145" s="16" t="s">
        <v>746</v>
      </c>
      <c r="J1145" s="16"/>
      <c r="K1145" s="16"/>
      <c r="L1145" s="37"/>
      <c r="M1145" s="37"/>
      <c r="N1145" s="37"/>
      <c r="O1145" s="37"/>
      <c r="P1145" s="37"/>
      <c r="Q1145" s="18">
        <v>5.4394999999999999E-2</v>
      </c>
      <c r="R1145" s="18">
        <v>3.7087499999999995E-4</v>
      </c>
      <c r="S1145" s="18">
        <v>0.10384499999999999</v>
      </c>
      <c r="T1145" s="18">
        <v>0.44505</v>
      </c>
      <c r="U1145" s="18">
        <v>0.222525</v>
      </c>
      <c r="V1145" s="18">
        <v>2.8483199999999997</v>
      </c>
      <c r="W1145" s="18">
        <v>2.6702999999999997</v>
      </c>
      <c r="X1145" s="18">
        <v>1.7802</v>
      </c>
      <c r="Y1145" s="18">
        <v>7.9119999999999996E-2</v>
      </c>
      <c r="Z1145" s="18">
        <v>0.35109499999999999</v>
      </c>
      <c r="AA1145" s="18">
        <v>0.51427999999999996</v>
      </c>
      <c r="AB1145" s="18">
        <v>0.914825</v>
      </c>
      <c r="AC1145" s="18">
        <v>0.28186499999999998</v>
      </c>
      <c r="AD1145" s="18">
        <v>1.4834999999999998</v>
      </c>
    </row>
    <row r="1146" spans="2:30" x14ac:dyDescent="0.25">
      <c r="B1146" t="s">
        <v>269</v>
      </c>
      <c r="C1146" t="s">
        <v>463</v>
      </c>
      <c r="D1146" t="s">
        <v>748</v>
      </c>
      <c r="E1146" s="35">
        <v>0.9</v>
      </c>
      <c r="F1146" s="35">
        <v>6.6</v>
      </c>
      <c r="G1146" s="36">
        <v>4.1200000000000004E-3</v>
      </c>
      <c r="H1146" s="18">
        <v>7.4152979999999999</v>
      </c>
      <c r="I1146" s="16" t="s">
        <v>746</v>
      </c>
      <c r="J1146" s="16"/>
      <c r="K1146" s="16"/>
      <c r="L1146" s="37"/>
      <c r="M1146" s="37"/>
      <c r="N1146" s="37"/>
      <c r="O1146" s="37"/>
      <c r="P1146" s="37"/>
      <c r="Q1146" s="18">
        <v>4.5320000000000006E-2</v>
      </c>
      <c r="R1146" s="18">
        <v>3.0900000000000003E-4</v>
      </c>
      <c r="S1146" s="18">
        <v>8.6520000000000014E-2</v>
      </c>
      <c r="T1146" s="18">
        <v>0.37080000000000002</v>
      </c>
      <c r="U1146" s="18">
        <v>0.18540000000000001</v>
      </c>
      <c r="V1146" s="18">
        <v>2.3731200000000001</v>
      </c>
      <c r="W1146" s="18">
        <v>2.2248000000000001</v>
      </c>
      <c r="X1146" s="18">
        <v>1.4832000000000001</v>
      </c>
      <c r="Y1146" s="18">
        <v>6.5920000000000006E-2</v>
      </c>
      <c r="Z1146" s="18">
        <v>0.29252</v>
      </c>
      <c r="AA1146" s="18">
        <v>0.42848000000000003</v>
      </c>
      <c r="AB1146" s="18">
        <v>0.7622000000000001</v>
      </c>
      <c r="AC1146" s="18">
        <v>0.23484000000000002</v>
      </c>
      <c r="AD1146" s="18">
        <v>1.2360000000000002</v>
      </c>
    </row>
    <row r="1147" spans="2:30" x14ac:dyDescent="0.25">
      <c r="B1147" t="s">
        <v>269</v>
      </c>
      <c r="C1147" t="s">
        <v>463</v>
      </c>
      <c r="D1147" t="s">
        <v>748</v>
      </c>
      <c r="E1147" s="35">
        <v>0.9</v>
      </c>
      <c r="F1147" s="35">
        <v>6.6</v>
      </c>
      <c r="G1147" s="36">
        <v>4.1200000000000004E-3</v>
      </c>
      <c r="H1147" s="18">
        <v>7.4152979999999999</v>
      </c>
      <c r="I1147" s="16" t="s">
        <v>746</v>
      </c>
      <c r="J1147" s="16"/>
      <c r="K1147" s="16"/>
      <c r="L1147" s="37"/>
      <c r="M1147" s="37"/>
      <c r="N1147" s="37"/>
      <c r="O1147" s="37"/>
      <c r="P1147" s="37"/>
      <c r="Q1147" s="18">
        <v>4.5320000000000006E-2</v>
      </c>
      <c r="R1147" s="18">
        <v>3.0900000000000003E-4</v>
      </c>
      <c r="S1147" s="18">
        <v>8.6520000000000014E-2</v>
      </c>
      <c r="T1147" s="18">
        <v>0.37080000000000002</v>
      </c>
      <c r="U1147" s="18">
        <v>0.18540000000000001</v>
      </c>
      <c r="V1147" s="18">
        <v>2.3731200000000001</v>
      </c>
      <c r="W1147" s="18">
        <v>2.2248000000000001</v>
      </c>
      <c r="X1147" s="18">
        <v>1.4832000000000001</v>
      </c>
      <c r="Y1147" s="18">
        <v>6.5920000000000006E-2</v>
      </c>
      <c r="Z1147" s="18">
        <v>0.29252</v>
      </c>
      <c r="AA1147" s="18">
        <v>0.42848000000000003</v>
      </c>
      <c r="AB1147" s="18">
        <v>0.7622000000000001</v>
      </c>
      <c r="AC1147" s="18">
        <v>0.23484000000000002</v>
      </c>
      <c r="AD1147" s="18">
        <v>1.2360000000000002</v>
      </c>
    </row>
    <row r="1148" spans="2:30" x14ac:dyDescent="0.25">
      <c r="B1148" t="s">
        <v>269</v>
      </c>
      <c r="C1148" t="s">
        <v>463</v>
      </c>
      <c r="D1148" t="s">
        <v>748</v>
      </c>
      <c r="E1148" s="35">
        <v>0.9</v>
      </c>
      <c r="F1148" s="35">
        <v>6.6</v>
      </c>
      <c r="G1148" s="36">
        <v>4.1200000000000004E-3</v>
      </c>
      <c r="H1148" s="18">
        <v>7.4152979999999999</v>
      </c>
      <c r="I1148" s="16" t="s">
        <v>746</v>
      </c>
      <c r="J1148" s="16"/>
      <c r="K1148" s="16"/>
      <c r="L1148" s="37"/>
      <c r="M1148" s="37"/>
      <c r="N1148" s="37"/>
      <c r="O1148" s="37"/>
      <c r="P1148" s="37"/>
      <c r="Q1148" s="18">
        <v>4.5320000000000006E-2</v>
      </c>
      <c r="R1148" s="18">
        <v>3.0900000000000003E-4</v>
      </c>
      <c r="S1148" s="18">
        <v>8.6520000000000014E-2</v>
      </c>
      <c r="T1148" s="18">
        <v>0.37080000000000002</v>
      </c>
      <c r="U1148" s="18">
        <v>0.18540000000000001</v>
      </c>
      <c r="V1148" s="18">
        <v>2.3731200000000001</v>
      </c>
      <c r="W1148" s="18">
        <v>2.2248000000000001</v>
      </c>
      <c r="X1148" s="18">
        <v>1.4832000000000001</v>
      </c>
      <c r="Y1148" s="18">
        <v>6.5920000000000006E-2</v>
      </c>
      <c r="Z1148" s="18">
        <v>0.29252</v>
      </c>
      <c r="AA1148" s="18">
        <v>0.42848000000000003</v>
      </c>
      <c r="AB1148" s="18">
        <v>0.7622000000000001</v>
      </c>
      <c r="AC1148" s="18">
        <v>0.23484000000000002</v>
      </c>
      <c r="AD1148" s="18">
        <v>1.2360000000000002</v>
      </c>
    </row>
    <row r="1149" spans="2:30" x14ac:dyDescent="0.25">
      <c r="B1149" t="s">
        <v>269</v>
      </c>
      <c r="C1149" t="s">
        <v>463</v>
      </c>
      <c r="D1149" t="s">
        <v>749</v>
      </c>
      <c r="E1149" s="35">
        <v>0.9</v>
      </c>
      <c r="F1149" s="35">
        <v>6.6</v>
      </c>
      <c r="G1149" s="36">
        <v>3.5699999999999998E-3</v>
      </c>
      <c r="H1149" s="18">
        <v>6.4252979999999997</v>
      </c>
      <c r="I1149" s="16" t="s">
        <v>746</v>
      </c>
      <c r="J1149" s="16"/>
      <c r="K1149" s="16"/>
      <c r="L1149" s="37"/>
      <c r="M1149" s="37"/>
      <c r="N1149" s="37"/>
      <c r="O1149" s="37"/>
      <c r="P1149" s="37"/>
      <c r="Q1149" s="18">
        <v>3.9269999999999999E-2</v>
      </c>
      <c r="R1149" s="18">
        <v>2.6774999999999998E-4</v>
      </c>
      <c r="S1149" s="18">
        <v>7.4969999999999995E-2</v>
      </c>
      <c r="T1149" s="18">
        <v>0.32129999999999997</v>
      </c>
      <c r="U1149" s="18">
        <v>0.16064999999999999</v>
      </c>
      <c r="V1149" s="18">
        <v>2.0563199999999999</v>
      </c>
      <c r="W1149" s="18">
        <v>1.9278</v>
      </c>
      <c r="X1149" s="18">
        <v>1.2851999999999999</v>
      </c>
      <c r="Y1149" s="18">
        <v>5.7119999999999997E-2</v>
      </c>
      <c r="Z1149" s="18">
        <v>0.25346999999999997</v>
      </c>
      <c r="AA1149" s="18">
        <v>0.37128</v>
      </c>
      <c r="AB1149" s="18">
        <v>0.66044999999999998</v>
      </c>
      <c r="AC1149" s="18">
        <v>0.20348999999999998</v>
      </c>
      <c r="AD1149" s="18">
        <v>1.071</v>
      </c>
    </row>
    <row r="1150" spans="2:30" x14ac:dyDescent="0.25">
      <c r="B1150" t="s">
        <v>269</v>
      </c>
      <c r="C1150" t="s">
        <v>570</v>
      </c>
      <c r="D1150" t="s">
        <v>749</v>
      </c>
      <c r="E1150" s="35">
        <v>0.9</v>
      </c>
      <c r="F1150" s="35">
        <v>6.6</v>
      </c>
      <c r="G1150" s="36">
        <v>3.5699999999999998E-3</v>
      </c>
      <c r="H1150" s="18">
        <v>6.4252979999999997</v>
      </c>
      <c r="I1150" s="16" t="s">
        <v>746</v>
      </c>
      <c r="J1150" s="16"/>
      <c r="K1150" s="16"/>
      <c r="L1150" s="37"/>
      <c r="M1150" s="37"/>
      <c r="N1150" s="37"/>
      <c r="O1150" s="37"/>
      <c r="P1150" s="37"/>
      <c r="Q1150" s="18">
        <v>3.9269999999999999E-2</v>
      </c>
      <c r="R1150" s="18">
        <v>2.6774999999999998E-4</v>
      </c>
      <c r="S1150" s="18">
        <v>7.4969999999999995E-2</v>
      </c>
      <c r="T1150" s="18">
        <v>0.32129999999999997</v>
      </c>
      <c r="U1150" s="18">
        <v>0.16064999999999999</v>
      </c>
      <c r="V1150" s="18">
        <v>2.0563199999999999</v>
      </c>
      <c r="W1150" s="18">
        <v>1.9278</v>
      </c>
      <c r="X1150" s="18">
        <v>1.2851999999999999</v>
      </c>
      <c r="Y1150" s="18">
        <v>5.7119999999999997E-2</v>
      </c>
      <c r="Z1150" s="18">
        <v>0.25346999999999997</v>
      </c>
      <c r="AA1150" s="18">
        <v>0.37128</v>
      </c>
      <c r="AB1150" s="18">
        <v>0.66044999999999998</v>
      </c>
      <c r="AC1150" s="18">
        <v>0.20348999999999998</v>
      </c>
      <c r="AD1150" s="18">
        <v>1.071</v>
      </c>
    </row>
    <row r="1151" spans="2:30" x14ac:dyDescent="0.25">
      <c r="B1151" t="s">
        <v>269</v>
      </c>
      <c r="C1151" t="s">
        <v>570</v>
      </c>
      <c r="D1151" t="s">
        <v>749</v>
      </c>
      <c r="E1151" s="35">
        <v>0.9</v>
      </c>
      <c r="F1151" s="35">
        <v>6.6</v>
      </c>
      <c r="G1151" s="36">
        <v>3.5699999999999998E-3</v>
      </c>
      <c r="H1151" s="18">
        <v>6.4252979999999997</v>
      </c>
      <c r="I1151" s="16" t="s">
        <v>746</v>
      </c>
      <c r="J1151" s="16"/>
      <c r="K1151" s="16"/>
      <c r="L1151" s="37"/>
      <c r="M1151" s="37"/>
      <c r="N1151" s="37"/>
      <c r="O1151" s="37"/>
      <c r="P1151" s="37"/>
      <c r="Q1151" s="18">
        <v>3.9269999999999999E-2</v>
      </c>
      <c r="R1151" s="18">
        <v>2.6774999999999998E-4</v>
      </c>
      <c r="S1151" s="18">
        <v>7.4969999999999995E-2</v>
      </c>
      <c r="T1151" s="18">
        <v>0.32129999999999997</v>
      </c>
      <c r="U1151" s="18">
        <v>0.16064999999999999</v>
      </c>
      <c r="V1151" s="18">
        <v>2.0563199999999999</v>
      </c>
      <c r="W1151" s="18">
        <v>1.9278</v>
      </c>
      <c r="X1151" s="18">
        <v>1.2851999999999999</v>
      </c>
      <c r="Y1151" s="18">
        <v>5.7119999999999997E-2</v>
      </c>
      <c r="Z1151" s="18">
        <v>0.25346999999999997</v>
      </c>
      <c r="AA1151" s="18">
        <v>0.37128</v>
      </c>
      <c r="AB1151" s="18">
        <v>0.66044999999999998</v>
      </c>
      <c r="AC1151" s="18">
        <v>0.20348999999999998</v>
      </c>
      <c r="AD1151" s="18">
        <v>1.071</v>
      </c>
    </row>
    <row r="1152" spans="2:30" x14ac:dyDescent="0.25">
      <c r="B1152" t="s">
        <v>269</v>
      </c>
      <c r="C1152" t="s">
        <v>570</v>
      </c>
      <c r="D1152" t="s">
        <v>749</v>
      </c>
      <c r="E1152" s="35">
        <v>0.9</v>
      </c>
      <c r="F1152" s="35">
        <v>6.6</v>
      </c>
      <c r="G1152" s="36">
        <v>3.5699999999999998E-3</v>
      </c>
      <c r="H1152" s="18">
        <v>6.4252979999999997</v>
      </c>
      <c r="I1152" s="16" t="s">
        <v>746</v>
      </c>
      <c r="J1152" s="16"/>
      <c r="K1152" s="16"/>
      <c r="L1152" s="37"/>
      <c r="M1152" s="37"/>
      <c r="N1152" s="37"/>
      <c r="O1152" s="37"/>
      <c r="P1152" s="37"/>
      <c r="Q1152" s="18">
        <v>3.9269999999999999E-2</v>
      </c>
      <c r="R1152" s="18">
        <v>2.6774999999999998E-4</v>
      </c>
      <c r="S1152" s="18">
        <v>7.4969999999999995E-2</v>
      </c>
      <c r="T1152" s="18">
        <v>0.32129999999999997</v>
      </c>
      <c r="U1152" s="18">
        <v>0.16064999999999999</v>
      </c>
      <c r="V1152" s="18">
        <v>2.0563199999999999</v>
      </c>
      <c r="W1152" s="18">
        <v>1.9278</v>
      </c>
      <c r="X1152" s="18">
        <v>1.2851999999999999</v>
      </c>
      <c r="Y1152" s="18">
        <v>5.7119999999999997E-2</v>
      </c>
      <c r="Z1152" s="18">
        <v>0.25346999999999997</v>
      </c>
      <c r="AA1152" s="18">
        <v>0.37128</v>
      </c>
      <c r="AB1152" s="18">
        <v>0.66044999999999998</v>
      </c>
      <c r="AC1152" s="18">
        <v>0.20348999999999998</v>
      </c>
      <c r="AD1152" s="18">
        <v>1.071</v>
      </c>
    </row>
    <row r="1153" spans="2:30" x14ac:dyDescent="0.25">
      <c r="B1153" t="s">
        <v>269</v>
      </c>
      <c r="C1153" t="s">
        <v>570</v>
      </c>
      <c r="D1153" t="s">
        <v>752</v>
      </c>
      <c r="E1153" s="35">
        <v>0.9</v>
      </c>
      <c r="F1153" s="35">
        <v>6.6</v>
      </c>
      <c r="G1153" s="36">
        <v>2.47E-3</v>
      </c>
      <c r="H1153" s="18">
        <v>4.4452980000000002</v>
      </c>
      <c r="I1153" s="16" t="s">
        <v>746</v>
      </c>
      <c r="J1153" s="16"/>
      <c r="K1153" s="16"/>
      <c r="L1153" s="37"/>
      <c r="M1153" s="37"/>
      <c r="N1153" s="37"/>
      <c r="O1153" s="37"/>
      <c r="P1153" s="37"/>
      <c r="Q1153" s="18">
        <v>2.717E-2</v>
      </c>
      <c r="R1153" s="18">
        <v>1.8525E-4</v>
      </c>
      <c r="S1153" s="18">
        <v>5.1869999999999999E-2</v>
      </c>
      <c r="T1153" s="18">
        <v>0.2223</v>
      </c>
      <c r="U1153" s="18">
        <v>0.11115</v>
      </c>
      <c r="V1153" s="18">
        <v>1.42272</v>
      </c>
      <c r="W1153" s="18">
        <v>1.3338000000000001</v>
      </c>
      <c r="X1153" s="18">
        <v>0.88919999999999999</v>
      </c>
      <c r="Y1153" s="18">
        <v>3.952E-2</v>
      </c>
      <c r="Z1153" s="18">
        <v>0.17537</v>
      </c>
      <c r="AA1153" s="18">
        <v>0.25688</v>
      </c>
      <c r="AB1153" s="18">
        <v>0.45694999999999997</v>
      </c>
      <c r="AC1153" s="18">
        <v>0.14079</v>
      </c>
      <c r="AD1153" s="18">
        <v>0.74099999999999999</v>
      </c>
    </row>
    <row r="1154" spans="2:30" x14ac:dyDescent="0.25">
      <c r="B1154" t="s">
        <v>269</v>
      </c>
      <c r="C1154" t="s">
        <v>570</v>
      </c>
      <c r="D1154" t="s">
        <v>749</v>
      </c>
      <c r="E1154" s="35">
        <v>0.9</v>
      </c>
      <c r="F1154" s="35">
        <v>6.6</v>
      </c>
      <c r="G1154" s="36">
        <v>3.5699999999999998E-3</v>
      </c>
      <c r="H1154" s="18">
        <v>6.4252979999999997</v>
      </c>
      <c r="I1154" s="16" t="s">
        <v>746</v>
      </c>
      <c r="J1154" s="16"/>
      <c r="K1154" s="16"/>
      <c r="L1154" s="37"/>
      <c r="M1154" s="37"/>
      <c r="N1154" s="37"/>
      <c r="O1154" s="37"/>
      <c r="P1154" s="37"/>
      <c r="Q1154" s="18">
        <v>3.9269999999999999E-2</v>
      </c>
      <c r="R1154" s="18">
        <v>2.6774999999999998E-4</v>
      </c>
      <c r="S1154" s="18">
        <v>7.4969999999999995E-2</v>
      </c>
      <c r="T1154" s="18">
        <v>0.32129999999999997</v>
      </c>
      <c r="U1154" s="18">
        <v>0.16064999999999999</v>
      </c>
      <c r="V1154" s="18">
        <v>2.0563199999999999</v>
      </c>
      <c r="W1154" s="18">
        <v>1.9278</v>
      </c>
      <c r="X1154" s="18">
        <v>1.2851999999999999</v>
      </c>
      <c r="Y1154" s="18">
        <v>5.7119999999999997E-2</v>
      </c>
      <c r="Z1154" s="18">
        <v>0.25346999999999997</v>
      </c>
      <c r="AA1154" s="18">
        <v>0.37128</v>
      </c>
      <c r="AB1154" s="18">
        <v>0.66044999999999998</v>
      </c>
      <c r="AC1154" s="18">
        <v>0.20348999999999998</v>
      </c>
      <c r="AD1154" s="18">
        <v>1.071</v>
      </c>
    </row>
    <row r="1155" spans="2:30" x14ac:dyDescent="0.25">
      <c r="B1155" t="s">
        <v>269</v>
      </c>
      <c r="C1155" t="s">
        <v>570</v>
      </c>
      <c r="D1155" t="s">
        <v>752</v>
      </c>
      <c r="E1155" s="35">
        <v>0.9</v>
      </c>
      <c r="F1155" s="35">
        <v>6.6</v>
      </c>
      <c r="G1155" s="36">
        <v>2.47E-3</v>
      </c>
      <c r="H1155" s="18">
        <v>4.4452980000000002</v>
      </c>
      <c r="I1155" s="16" t="s">
        <v>746</v>
      </c>
      <c r="J1155" s="16"/>
      <c r="K1155" s="16"/>
      <c r="L1155" s="37"/>
      <c r="M1155" s="37"/>
      <c r="N1155" s="37"/>
      <c r="O1155" s="37"/>
      <c r="P1155" s="37"/>
      <c r="Q1155" s="18">
        <v>2.717E-2</v>
      </c>
      <c r="R1155" s="18">
        <v>1.8525E-4</v>
      </c>
      <c r="S1155" s="18">
        <v>5.1869999999999999E-2</v>
      </c>
      <c r="T1155" s="18">
        <v>0.2223</v>
      </c>
      <c r="U1155" s="18">
        <v>0.11115</v>
      </c>
      <c r="V1155" s="18">
        <v>1.42272</v>
      </c>
      <c r="W1155" s="18">
        <v>1.3338000000000001</v>
      </c>
      <c r="X1155" s="18">
        <v>0.88919999999999999</v>
      </c>
      <c r="Y1155" s="18">
        <v>3.952E-2</v>
      </c>
      <c r="Z1155" s="18">
        <v>0.17537</v>
      </c>
      <c r="AA1155" s="18">
        <v>0.25688</v>
      </c>
      <c r="AB1155" s="18">
        <v>0.45694999999999997</v>
      </c>
      <c r="AC1155" s="18">
        <v>0.14079</v>
      </c>
      <c r="AD1155" s="18">
        <v>0.74099999999999999</v>
      </c>
    </row>
    <row r="1156" spans="2:30" x14ac:dyDescent="0.25">
      <c r="B1156" t="s">
        <v>269</v>
      </c>
      <c r="C1156" t="s">
        <v>570</v>
      </c>
      <c r="D1156" t="s">
        <v>749</v>
      </c>
      <c r="E1156" s="35">
        <v>0.9</v>
      </c>
      <c r="F1156" s="35">
        <v>6.6</v>
      </c>
      <c r="G1156" s="36">
        <v>3.5699999999999998E-3</v>
      </c>
      <c r="H1156" s="18">
        <v>6.4252979999999997</v>
      </c>
      <c r="I1156" s="16" t="s">
        <v>746</v>
      </c>
      <c r="J1156" s="16"/>
      <c r="K1156" s="16"/>
      <c r="L1156" s="37"/>
      <c r="M1156" s="37"/>
      <c r="N1156" s="37"/>
      <c r="O1156" s="37"/>
      <c r="P1156" s="37"/>
      <c r="Q1156" s="18">
        <v>3.9269999999999999E-2</v>
      </c>
      <c r="R1156" s="18">
        <v>2.6774999999999998E-4</v>
      </c>
      <c r="S1156" s="18">
        <v>7.4969999999999995E-2</v>
      </c>
      <c r="T1156" s="18">
        <v>0.32129999999999997</v>
      </c>
      <c r="U1156" s="18">
        <v>0.16064999999999999</v>
      </c>
      <c r="V1156" s="18">
        <v>2.0563199999999999</v>
      </c>
      <c r="W1156" s="18">
        <v>1.9278</v>
      </c>
      <c r="X1156" s="18">
        <v>1.2851999999999999</v>
      </c>
      <c r="Y1156" s="18">
        <v>5.7119999999999997E-2</v>
      </c>
      <c r="Z1156" s="18">
        <v>0.25346999999999997</v>
      </c>
      <c r="AA1156" s="18">
        <v>0.37128</v>
      </c>
      <c r="AB1156" s="18">
        <v>0.66044999999999998</v>
      </c>
      <c r="AC1156" s="18">
        <v>0.20348999999999998</v>
      </c>
      <c r="AD1156" s="18">
        <v>1.071</v>
      </c>
    </row>
    <row r="1157" spans="2:30" x14ac:dyDescent="0.25">
      <c r="B1157" t="s">
        <v>269</v>
      </c>
      <c r="C1157" t="s">
        <v>570</v>
      </c>
      <c r="D1157" t="s">
        <v>748</v>
      </c>
      <c r="E1157" s="35">
        <v>0.9</v>
      </c>
      <c r="F1157" s="35">
        <v>6.6</v>
      </c>
      <c r="G1157" s="36">
        <v>4.1200000000000004E-3</v>
      </c>
      <c r="H1157" s="18">
        <v>7.4152979999999999</v>
      </c>
      <c r="I1157" s="16" t="s">
        <v>746</v>
      </c>
      <c r="J1157" s="16"/>
      <c r="K1157" s="16"/>
      <c r="L1157" s="37"/>
      <c r="M1157" s="37"/>
      <c r="N1157" s="37"/>
      <c r="O1157" s="37"/>
      <c r="P1157" s="37"/>
      <c r="Q1157" s="18">
        <v>4.5320000000000006E-2</v>
      </c>
      <c r="R1157" s="18">
        <v>3.0900000000000003E-4</v>
      </c>
      <c r="S1157" s="18">
        <v>8.6520000000000014E-2</v>
      </c>
      <c r="T1157" s="18">
        <v>0.37080000000000002</v>
      </c>
      <c r="U1157" s="18">
        <v>0.18540000000000001</v>
      </c>
      <c r="V1157" s="18">
        <v>2.3731200000000001</v>
      </c>
      <c r="W1157" s="18">
        <v>2.2248000000000001</v>
      </c>
      <c r="X1157" s="18">
        <v>1.4832000000000001</v>
      </c>
      <c r="Y1157" s="18">
        <v>6.5920000000000006E-2</v>
      </c>
      <c r="Z1157" s="18">
        <v>0.29252</v>
      </c>
      <c r="AA1157" s="18">
        <v>0.42848000000000003</v>
      </c>
      <c r="AB1157" s="18">
        <v>0.7622000000000001</v>
      </c>
      <c r="AC1157" s="18">
        <v>0.23484000000000002</v>
      </c>
      <c r="AD1157" s="18">
        <v>1.2360000000000002</v>
      </c>
    </row>
    <row r="1158" spans="2:30" x14ac:dyDescent="0.25">
      <c r="B1158" t="s">
        <v>269</v>
      </c>
      <c r="C1158" t="s">
        <v>570</v>
      </c>
      <c r="D1158" t="s">
        <v>749</v>
      </c>
      <c r="E1158" s="35">
        <v>0.9</v>
      </c>
      <c r="F1158" s="35">
        <v>6.6</v>
      </c>
      <c r="G1158" s="36">
        <v>3.5699999999999998E-3</v>
      </c>
      <c r="H1158" s="18">
        <v>6.4252979999999997</v>
      </c>
      <c r="I1158" s="16" t="s">
        <v>746</v>
      </c>
      <c r="J1158" s="16"/>
      <c r="K1158" s="16"/>
      <c r="L1158" s="37"/>
      <c r="M1158" s="37"/>
      <c r="N1158" s="37"/>
      <c r="O1158" s="37"/>
      <c r="P1158" s="37"/>
      <c r="Q1158" s="18">
        <v>3.9269999999999999E-2</v>
      </c>
      <c r="R1158" s="18">
        <v>2.6774999999999998E-4</v>
      </c>
      <c r="S1158" s="18">
        <v>7.4969999999999995E-2</v>
      </c>
      <c r="T1158" s="18">
        <v>0.32129999999999997</v>
      </c>
      <c r="U1158" s="18">
        <v>0.16064999999999999</v>
      </c>
      <c r="V1158" s="18">
        <v>2.0563199999999999</v>
      </c>
      <c r="W1158" s="18">
        <v>1.9278</v>
      </c>
      <c r="X1158" s="18">
        <v>1.2851999999999999</v>
      </c>
      <c r="Y1158" s="18">
        <v>5.7119999999999997E-2</v>
      </c>
      <c r="Z1158" s="18">
        <v>0.25346999999999997</v>
      </c>
      <c r="AA1158" s="18">
        <v>0.37128</v>
      </c>
      <c r="AB1158" s="18">
        <v>0.66044999999999998</v>
      </c>
      <c r="AC1158" s="18">
        <v>0.20348999999999998</v>
      </c>
      <c r="AD1158" s="18">
        <v>1.071</v>
      </c>
    </row>
    <row r="1159" spans="2:30" x14ac:dyDescent="0.25">
      <c r="B1159" t="s">
        <v>269</v>
      </c>
      <c r="C1159" t="s">
        <v>570</v>
      </c>
      <c r="D1159" t="s">
        <v>753</v>
      </c>
      <c r="E1159" s="35">
        <v>0.9</v>
      </c>
      <c r="F1159" s="35">
        <v>6.6</v>
      </c>
      <c r="G1159" s="36">
        <v>5.77E-3</v>
      </c>
      <c r="H1159" s="18">
        <v>10.385298000000001</v>
      </c>
      <c r="I1159" s="16" t="s">
        <v>746</v>
      </c>
      <c r="J1159" s="16"/>
      <c r="K1159" s="16"/>
      <c r="L1159" s="37"/>
      <c r="M1159" s="37"/>
      <c r="N1159" s="37"/>
      <c r="O1159" s="37"/>
      <c r="P1159" s="37"/>
      <c r="Q1159" s="18">
        <v>6.3469999999999999E-2</v>
      </c>
      <c r="R1159" s="18">
        <v>4.3274999999999997E-4</v>
      </c>
      <c r="S1159" s="18">
        <v>0.12117</v>
      </c>
      <c r="T1159" s="18">
        <v>0.51929999999999998</v>
      </c>
      <c r="U1159" s="18">
        <v>0.25964999999999999</v>
      </c>
      <c r="V1159" s="18">
        <v>3.3235199999999998</v>
      </c>
      <c r="W1159" s="18">
        <v>3.1158000000000001</v>
      </c>
      <c r="X1159" s="18">
        <v>2.0771999999999999</v>
      </c>
      <c r="Y1159" s="18">
        <v>9.2319999999999999E-2</v>
      </c>
      <c r="Z1159" s="18">
        <v>0.40966999999999998</v>
      </c>
      <c r="AA1159" s="18">
        <v>0.60007999999999995</v>
      </c>
      <c r="AB1159" s="18">
        <v>1.06745</v>
      </c>
      <c r="AC1159" s="18">
        <v>0.32889000000000002</v>
      </c>
      <c r="AD1159" s="18">
        <v>1.7310000000000001</v>
      </c>
    </row>
    <row r="1160" spans="2:30" x14ac:dyDescent="0.25">
      <c r="B1160" t="s">
        <v>269</v>
      </c>
      <c r="C1160" t="s">
        <v>570</v>
      </c>
      <c r="D1160" t="s">
        <v>748</v>
      </c>
      <c r="E1160" s="35">
        <v>0.9</v>
      </c>
      <c r="F1160" s="35">
        <v>6.6</v>
      </c>
      <c r="G1160" s="36">
        <v>4.1200000000000004E-3</v>
      </c>
      <c r="H1160" s="18">
        <v>7.4152979999999999</v>
      </c>
      <c r="I1160" s="16" t="s">
        <v>746</v>
      </c>
      <c r="J1160" s="16"/>
      <c r="K1160" s="16"/>
      <c r="L1160" s="37"/>
      <c r="M1160" s="37"/>
      <c r="N1160" s="37"/>
      <c r="O1160" s="37"/>
      <c r="P1160" s="37"/>
      <c r="Q1160" s="18">
        <v>4.5320000000000006E-2</v>
      </c>
      <c r="R1160" s="18">
        <v>3.0900000000000003E-4</v>
      </c>
      <c r="S1160" s="18">
        <v>8.6520000000000014E-2</v>
      </c>
      <c r="T1160" s="18">
        <v>0.37080000000000002</v>
      </c>
      <c r="U1160" s="18">
        <v>0.18540000000000001</v>
      </c>
      <c r="V1160" s="18">
        <v>2.3731200000000001</v>
      </c>
      <c r="W1160" s="18">
        <v>2.2248000000000001</v>
      </c>
      <c r="X1160" s="18">
        <v>1.4832000000000001</v>
      </c>
      <c r="Y1160" s="18">
        <v>6.5920000000000006E-2</v>
      </c>
      <c r="Z1160" s="18">
        <v>0.29252</v>
      </c>
      <c r="AA1160" s="18">
        <v>0.42848000000000003</v>
      </c>
      <c r="AB1160" s="18">
        <v>0.7622000000000001</v>
      </c>
      <c r="AC1160" s="18">
        <v>0.23484000000000002</v>
      </c>
      <c r="AD1160" s="18">
        <v>1.2360000000000002</v>
      </c>
    </row>
    <row r="1161" spans="2:30" x14ac:dyDescent="0.25">
      <c r="B1161" t="s">
        <v>269</v>
      </c>
      <c r="C1161" t="s">
        <v>570</v>
      </c>
      <c r="D1161" t="s">
        <v>748</v>
      </c>
      <c r="E1161" s="35">
        <v>0.9</v>
      </c>
      <c r="F1161" s="35">
        <v>6.6</v>
      </c>
      <c r="G1161" s="36">
        <v>4.1200000000000004E-3</v>
      </c>
      <c r="H1161" s="18">
        <v>7.4152979999999999</v>
      </c>
      <c r="I1161" s="16" t="s">
        <v>746</v>
      </c>
      <c r="J1161" s="16"/>
      <c r="K1161" s="16"/>
      <c r="L1161" s="37"/>
      <c r="M1161" s="37"/>
      <c r="N1161" s="37"/>
      <c r="O1161" s="37"/>
      <c r="P1161" s="37"/>
      <c r="Q1161" s="18">
        <v>4.5320000000000006E-2</v>
      </c>
      <c r="R1161" s="18">
        <v>3.0900000000000003E-4</v>
      </c>
      <c r="S1161" s="18">
        <v>8.6520000000000014E-2</v>
      </c>
      <c r="T1161" s="18">
        <v>0.37080000000000002</v>
      </c>
      <c r="U1161" s="18">
        <v>0.18540000000000001</v>
      </c>
      <c r="V1161" s="18">
        <v>2.3731200000000001</v>
      </c>
      <c r="W1161" s="18">
        <v>2.2248000000000001</v>
      </c>
      <c r="X1161" s="18">
        <v>1.4832000000000001</v>
      </c>
      <c r="Y1161" s="18">
        <v>6.5920000000000006E-2</v>
      </c>
      <c r="Z1161" s="18">
        <v>0.29252</v>
      </c>
      <c r="AA1161" s="18">
        <v>0.42848000000000003</v>
      </c>
      <c r="AB1161" s="18">
        <v>0.7622000000000001</v>
      </c>
      <c r="AC1161" s="18">
        <v>0.23484000000000002</v>
      </c>
      <c r="AD1161" s="18">
        <v>1.2360000000000002</v>
      </c>
    </row>
    <row r="1162" spans="2:30" x14ac:dyDescent="0.25">
      <c r="B1162" t="s">
        <v>269</v>
      </c>
      <c r="C1162" t="s">
        <v>570</v>
      </c>
      <c r="D1162" t="s">
        <v>747</v>
      </c>
      <c r="E1162" s="35">
        <v>0.9</v>
      </c>
      <c r="F1162" s="35">
        <v>6.6</v>
      </c>
      <c r="G1162" s="36">
        <v>4.9449999999999997E-3</v>
      </c>
      <c r="H1162" s="18">
        <v>8.9002979999999994</v>
      </c>
      <c r="I1162" s="16" t="s">
        <v>746</v>
      </c>
      <c r="J1162" s="16"/>
      <c r="K1162" s="16"/>
      <c r="L1162" s="37"/>
      <c r="M1162" s="37"/>
      <c r="N1162" s="37"/>
      <c r="O1162" s="37"/>
      <c r="P1162" s="37"/>
      <c r="Q1162" s="18">
        <v>5.4394999999999999E-2</v>
      </c>
      <c r="R1162" s="18">
        <v>3.7087499999999995E-4</v>
      </c>
      <c r="S1162" s="18">
        <v>0.10384499999999999</v>
      </c>
      <c r="T1162" s="18">
        <v>0.44505</v>
      </c>
      <c r="U1162" s="18">
        <v>0.222525</v>
      </c>
      <c r="V1162" s="18">
        <v>2.8483199999999997</v>
      </c>
      <c r="W1162" s="18">
        <v>2.6702999999999997</v>
      </c>
      <c r="X1162" s="18">
        <v>1.7802</v>
      </c>
      <c r="Y1162" s="18">
        <v>7.9119999999999996E-2</v>
      </c>
      <c r="Z1162" s="18">
        <v>0.35109499999999999</v>
      </c>
      <c r="AA1162" s="18">
        <v>0.51427999999999996</v>
      </c>
      <c r="AB1162" s="18">
        <v>0.914825</v>
      </c>
      <c r="AC1162" s="18">
        <v>0.28186499999999998</v>
      </c>
      <c r="AD1162" s="18">
        <v>1.4834999999999998</v>
      </c>
    </row>
    <row r="1163" spans="2:30" x14ac:dyDescent="0.25">
      <c r="B1163" t="s">
        <v>269</v>
      </c>
      <c r="C1163" t="s">
        <v>570</v>
      </c>
      <c r="D1163" t="s">
        <v>749</v>
      </c>
      <c r="E1163" s="35">
        <v>0.9</v>
      </c>
      <c r="F1163" s="35">
        <v>6.6</v>
      </c>
      <c r="G1163" s="36">
        <v>3.5699999999999998E-3</v>
      </c>
      <c r="H1163" s="18">
        <v>6.4252979999999997</v>
      </c>
      <c r="I1163" s="16" t="s">
        <v>746</v>
      </c>
      <c r="J1163" s="16"/>
      <c r="K1163" s="16"/>
      <c r="L1163" s="37"/>
      <c r="M1163" s="37"/>
      <c r="N1163" s="37"/>
      <c r="O1163" s="37"/>
      <c r="P1163" s="37"/>
      <c r="Q1163" s="18">
        <v>3.9269999999999999E-2</v>
      </c>
      <c r="R1163" s="18">
        <v>2.6774999999999998E-4</v>
      </c>
      <c r="S1163" s="18">
        <v>7.4969999999999995E-2</v>
      </c>
      <c r="T1163" s="18">
        <v>0.32129999999999997</v>
      </c>
      <c r="U1163" s="18">
        <v>0.16064999999999999</v>
      </c>
      <c r="V1163" s="18">
        <v>2.0563199999999999</v>
      </c>
      <c r="W1163" s="18">
        <v>1.9278</v>
      </c>
      <c r="X1163" s="18">
        <v>1.2851999999999999</v>
      </c>
      <c r="Y1163" s="18">
        <v>5.7119999999999997E-2</v>
      </c>
      <c r="Z1163" s="18">
        <v>0.25346999999999997</v>
      </c>
      <c r="AA1163" s="18">
        <v>0.37128</v>
      </c>
      <c r="AB1163" s="18">
        <v>0.66044999999999998</v>
      </c>
      <c r="AC1163" s="18">
        <v>0.20348999999999998</v>
      </c>
      <c r="AD1163" s="18">
        <v>1.071</v>
      </c>
    </row>
    <row r="1164" spans="2:30" x14ac:dyDescent="0.25">
      <c r="B1164" t="s">
        <v>269</v>
      </c>
      <c r="C1164" t="s">
        <v>570</v>
      </c>
      <c r="D1164" t="s">
        <v>750</v>
      </c>
      <c r="E1164" s="35">
        <v>0.9</v>
      </c>
      <c r="F1164" s="35">
        <v>6.6</v>
      </c>
      <c r="G1164" s="36">
        <v>3.0200000000000001E-3</v>
      </c>
      <c r="H1164" s="18">
        <v>5.4352980000000004</v>
      </c>
      <c r="I1164" s="16" t="s">
        <v>746</v>
      </c>
      <c r="J1164" s="16"/>
      <c r="K1164" s="16"/>
      <c r="L1164" s="37"/>
      <c r="M1164" s="37"/>
      <c r="N1164" s="37"/>
      <c r="O1164" s="37"/>
      <c r="P1164" s="37"/>
      <c r="Q1164" s="18">
        <v>3.322E-2</v>
      </c>
      <c r="R1164" s="18">
        <v>2.265E-4</v>
      </c>
      <c r="S1164" s="18">
        <v>6.3420000000000004E-2</v>
      </c>
      <c r="T1164" s="18">
        <v>0.27179999999999999</v>
      </c>
      <c r="U1164" s="18">
        <v>0.13589999999999999</v>
      </c>
      <c r="V1164" s="18">
        <v>1.7395200000000002</v>
      </c>
      <c r="W1164" s="18">
        <v>1.6308</v>
      </c>
      <c r="X1164" s="18">
        <v>1.0871999999999999</v>
      </c>
      <c r="Y1164" s="18">
        <v>4.8320000000000002E-2</v>
      </c>
      <c r="Z1164" s="18">
        <v>0.21442</v>
      </c>
      <c r="AA1164" s="18">
        <v>0.31408000000000003</v>
      </c>
      <c r="AB1164" s="18">
        <v>0.55869999999999997</v>
      </c>
      <c r="AC1164" s="18">
        <v>0.17214000000000002</v>
      </c>
      <c r="AD1164" s="18">
        <v>0.90600000000000003</v>
      </c>
    </row>
    <row r="1165" spans="2:30" x14ac:dyDescent="0.25">
      <c r="B1165" t="s">
        <v>269</v>
      </c>
      <c r="C1165" t="s">
        <v>570</v>
      </c>
      <c r="D1165" t="s">
        <v>750</v>
      </c>
      <c r="E1165" s="35">
        <v>0.9</v>
      </c>
      <c r="F1165" s="35">
        <v>6.6</v>
      </c>
      <c r="G1165" s="36">
        <v>3.0200000000000001E-3</v>
      </c>
      <c r="H1165" s="18">
        <v>5.4352980000000004</v>
      </c>
      <c r="I1165" s="16" t="s">
        <v>746</v>
      </c>
      <c r="J1165" s="16"/>
      <c r="K1165" s="16"/>
      <c r="L1165" s="37"/>
      <c r="M1165" s="37"/>
      <c r="N1165" s="37"/>
      <c r="O1165" s="37"/>
      <c r="P1165" s="37"/>
      <c r="Q1165" s="18">
        <v>3.322E-2</v>
      </c>
      <c r="R1165" s="18">
        <v>2.265E-4</v>
      </c>
      <c r="S1165" s="18">
        <v>6.3420000000000004E-2</v>
      </c>
      <c r="T1165" s="18">
        <v>0.27179999999999999</v>
      </c>
      <c r="U1165" s="18">
        <v>0.13589999999999999</v>
      </c>
      <c r="V1165" s="18">
        <v>1.7395200000000002</v>
      </c>
      <c r="W1165" s="18">
        <v>1.6308</v>
      </c>
      <c r="X1165" s="18">
        <v>1.0871999999999999</v>
      </c>
      <c r="Y1165" s="18">
        <v>4.8320000000000002E-2</v>
      </c>
      <c r="Z1165" s="18">
        <v>0.21442</v>
      </c>
      <c r="AA1165" s="18">
        <v>0.31408000000000003</v>
      </c>
      <c r="AB1165" s="18">
        <v>0.55869999999999997</v>
      </c>
      <c r="AC1165" s="18">
        <v>0.17214000000000002</v>
      </c>
      <c r="AD1165" s="18">
        <v>0.90600000000000003</v>
      </c>
    </row>
    <row r="1166" spans="2:30" x14ac:dyDescent="0.25">
      <c r="B1166" t="s">
        <v>269</v>
      </c>
      <c r="C1166" t="s">
        <v>570</v>
      </c>
      <c r="D1166" t="s">
        <v>748</v>
      </c>
      <c r="E1166" s="35">
        <v>0.9</v>
      </c>
      <c r="F1166" s="35">
        <v>6.6</v>
      </c>
      <c r="G1166" s="36">
        <v>4.1200000000000004E-3</v>
      </c>
      <c r="H1166" s="18">
        <v>7.4152979999999999</v>
      </c>
      <c r="I1166" s="16" t="s">
        <v>746</v>
      </c>
      <c r="J1166" s="16"/>
      <c r="K1166" s="16"/>
      <c r="L1166" s="37"/>
      <c r="M1166" s="37"/>
      <c r="N1166" s="37"/>
      <c r="O1166" s="37"/>
      <c r="P1166" s="37"/>
      <c r="Q1166" s="18">
        <v>4.5320000000000006E-2</v>
      </c>
      <c r="R1166" s="18">
        <v>3.0900000000000003E-4</v>
      </c>
      <c r="S1166" s="18">
        <v>8.6520000000000014E-2</v>
      </c>
      <c r="T1166" s="18">
        <v>0.37080000000000002</v>
      </c>
      <c r="U1166" s="18">
        <v>0.18540000000000001</v>
      </c>
      <c r="V1166" s="18">
        <v>2.3731200000000001</v>
      </c>
      <c r="W1166" s="18">
        <v>2.2248000000000001</v>
      </c>
      <c r="X1166" s="18">
        <v>1.4832000000000001</v>
      </c>
      <c r="Y1166" s="18">
        <v>6.5920000000000006E-2</v>
      </c>
      <c r="Z1166" s="18">
        <v>0.29252</v>
      </c>
      <c r="AA1166" s="18">
        <v>0.42848000000000003</v>
      </c>
      <c r="AB1166" s="18">
        <v>0.7622000000000001</v>
      </c>
      <c r="AC1166" s="18">
        <v>0.23484000000000002</v>
      </c>
      <c r="AD1166" s="18">
        <v>1.2360000000000002</v>
      </c>
    </row>
    <row r="1167" spans="2:30" x14ac:dyDescent="0.25">
      <c r="B1167" t="s">
        <v>269</v>
      </c>
      <c r="C1167" t="s">
        <v>570</v>
      </c>
      <c r="D1167" t="s">
        <v>747</v>
      </c>
      <c r="E1167" s="35">
        <v>0.9</v>
      </c>
      <c r="F1167" s="35">
        <v>6.6</v>
      </c>
      <c r="G1167" s="36">
        <v>4.9449999999999997E-3</v>
      </c>
      <c r="H1167" s="18">
        <v>8.9002979999999994</v>
      </c>
      <c r="I1167" s="16" t="s">
        <v>746</v>
      </c>
      <c r="J1167" s="16"/>
      <c r="K1167" s="16"/>
      <c r="L1167" s="37"/>
      <c r="M1167" s="37"/>
      <c r="N1167" s="37"/>
      <c r="O1167" s="37"/>
      <c r="P1167" s="37"/>
      <c r="Q1167" s="18">
        <v>5.4394999999999999E-2</v>
      </c>
      <c r="R1167" s="18">
        <v>3.7087499999999995E-4</v>
      </c>
      <c r="S1167" s="18">
        <v>0.10384499999999999</v>
      </c>
      <c r="T1167" s="18">
        <v>0.44505</v>
      </c>
      <c r="U1167" s="18">
        <v>0.222525</v>
      </c>
      <c r="V1167" s="18">
        <v>2.8483199999999997</v>
      </c>
      <c r="W1167" s="18">
        <v>2.6702999999999997</v>
      </c>
      <c r="X1167" s="18">
        <v>1.7802</v>
      </c>
      <c r="Y1167" s="18">
        <v>7.9119999999999996E-2</v>
      </c>
      <c r="Z1167" s="18">
        <v>0.35109499999999999</v>
      </c>
      <c r="AA1167" s="18">
        <v>0.51427999999999996</v>
      </c>
      <c r="AB1167" s="18">
        <v>0.914825</v>
      </c>
      <c r="AC1167" s="18">
        <v>0.28186499999999998</v>
      </c>
      <c r="AD1167" s="18">
        <v>1.4834999999999998</v>
      </c>
    </row>
    <row r="1168" spans="2:30" x14ac:dyDescent="0.25">
      <c r="B1168" t="s">
        <v>269</v>
      </c>
      <c r="C1168" t="s">
        <v>570</v>
      </c>
      <c r="D1168" t="s">
        <v>753</v>
      </c>
      <c r="E1168" s="35">
        <v>0.9</v>
      </c>
      <c r="F1168" s="35">
        <v>6.6</v>
      </c>
      <c r="G1168" s="36">
        <v>5.77E-3</v>
      </c>
      <c r="H1168" s="18">
        <v>10.385298000000001</v>
      </c>
      <c r="I1168" s="16" t="s">
        <v>746</v>
      </c>
      <c r="J1168" s="16"/>
      <c r="K1168" s="16"/>
      <c r="L1168" s="37"/>
      <c r="M1168" s="37"/>
      <c r="N1168" s="37"/>
      <c r="O1168" s="37"/>
      <c r="P1168" s="37"/>
      <c r="Q1168" s="18">
        <v>6.3469999999999999E-2</v>
      </c>
      <c r="R1168" s="18">
        <v>4.3274999999999997E-4</v>
      </c>
      <c r="S1168" s="18">
        <v>0.12117</v>
      </c>
      <c r="T1168" s="18">
        <v>0.51929999999999998</v>
      </c>
      <c r="U1168" s="18">
        <v>0.25964999999999999</v>
      </c>
      <c r="V1168" s="18">
        <v>3.3235199999999998</v>
      </c>
      <c r="W1168" s="18">
        <v>3.1158000000000001</v>
      </c>
      <c r="X1168" s="18">
        <v>2.0771999999999999</v>
      </c>
      <c r="Y1168" s="18">
        <v>9.2319999999999999E-2</v>
      </c>
      <c r="Z1168" s="18">
        <v>0.40966999999999998</v>
      </c>
      <c r="AA1168" s="18">
        <v>0.60007999999999995</v>
      </c>
      <c r="AB1168" s="18">
        <v>1.06745</v>
      </c>
      <c r="AC1168" s="18">
        <v>0.32889000000000002</v>
      </c>
      <c r="AD1168" s="18">
        <v>1.7310000000000001</v>
      </c>
    </row>
    <row r="1169" spans="2:30" x14ac:dyDescent="0.25">
      <c r="B1169" t="s">
        <v>269</v>
      </c>
      <c r="C1169" t="s">
        <v>570</v>
      </c>
      <c r="D1169" t="s">
        <v>753</v>
      </c>
      <c r="E1169" s="35">
        <v>0.9</v>
      </c>
      <c r="F1169" s="35">
        <v>6.6</v>
      </c>
      <c r="G1169" s="36">
        <v>5.77E-3</v>
      </c>
      <c r="H1169" s="18">
        <v>10.385298000000001</v>
      </c>
      <c r="I1169" s="16" t="s">
        <v>746</v>
      </c>
      <c r="J1169" s="16"/>
      <c r="K1169" s="16"/>
      <c r="L1169" s="37"/>
      <c r="M1169" s="37"/>
      <c r="N1169" s="37"/>
      <c r="O1169" s="37"/>
      <c r="P1169" s="37"/>
      <c r="Q1169" s="18">
        <v>6.3469999999999999E-2</v>
      </c>
      <c r="R1169" s="18">
        <v>4.3274999999999997E-4</v>
      </c>
      <c r="S1169" s="18">
        <v>0.12117</v>
      </c>
      <c r="T1169" s="18">
        <v>0.51929999999999998</v>
      </c>
      <c r="U1169" s="18">
        <v>0.25964999999999999</v>
      </c>
      <c r="V1169" s="18">
        <v>3.3235199999999998</v>
      </c>
      <c r="W1169" s="18">
        <v>3.1158000000000001</v>
      </c>
      <c r="X1169" s="18">
        <v>2.0771999999999999</v>
      </c>
      <c r="Y1169" s="18">
        <v>9.2319999999999999E-2</v>
      </c>
      <c r="Z1169" s="18">
        <v>0.40966999999999998</v>
      </c>
      <c r="AA1169" s="18">
        <v>0.60007999999999995</v>
      </c>
      <c r="AB1169" s="18">
        <v>1.06745</v>
      </c>
      <c r="AC1169" s="18">
        <v>0.32889000000000002</v>
      </c>
      <c r="AD1169" s="18">
        <v>1.7310000000000001</v>
      </c>
    </row>
    <row r="1170" spans="2:30" x14ac:dyDescent="0.25">
      <c r="B1170" t="s">
        <v>269</v>
      </c>
      <c r="C1170" t="s">
        <v>570</v>
      </c>
      <c r="D1170" t="s">
        <v>748</v>
      </c>
      <c r="E1170" s="35">
        <v>0.9</v>
      </c>
      <c r="F1170" s="35">
        <v>6.6</v>
      </c>
      <c r="G1170" s="36">
        <v>4.1200000000000004E-3</v>
      </c>
      <c r="H1170" s="18">
        <v>7.4152979999999999</v>
      </c>
      <c r="I1170" s="16" t="s">
        <v>746</v>
      </c>
      <c r="J1170" s="16"/>
      <c r="K1170" s="16"/>
      <c r="L1170" s="37"/>
      <c r="M1170" s="37"/>
      <c r="N1170" s="37"/>
      <c r="O1170" s="37"/>
      <c r="P1170" s="37"/>
      <c r="Q1170" s="18">
        <v>4.5320000000000006E-2</v>
      </c>
      <c r="R1170" s="18">
        <v>3.0900000000000003E-4</v>
      </c>
      <c r="S1170" s="18">
        <v>8.6520000000000014E-2</v>
      </c>
      <c r="T1170" s="18">
        <v>0.37080000000000002</v>
      </c>
      <c r="U1170" s="18">
        <v>0.18540000000000001</v>
      </c>
      <c r="V1170" s="18">
        <v>2.3731200000000001</v>
      </c>
      <c r="W1170" s="18">
        <v>2.2248000000000001</v>
      </c>
      <c r="X1170" s="18">
        <v>1.4832000000000001</v>
      </c>
      <c r="Y1170" s="18">
        <v>6.5920000000000006E-2</v>
      </c>
      <c r="Z1170" s="18">
        <v>0.29252</v>
      </c>
      <c r="AA1170" s="18">
        <v>0.42848000000000003</v>
      </c>
      <c r="AB1170" s="18">
        <v>0.7622000000000001</v>
      </c>
      <c r="AC1170" s="18">
        <v>0.23484000000000002</v>
      </c>
      <c r="AD1170" s="18">
        <v>1.2360000000000002</v>
      </c>
    </row>
    <row r="1171" spans="2:30" x14ac:dyDescent="0.25">
      <c r="B1171" t="s">
        <v>269</v>
      </c>
      <c r="C1171" t="s">
        <v>570</v>
      </c>
      <c r="D1171" t="s">
        <v>748</v>
      </c>
      <c r="E1171" s="35">
        <v>0.9</v>
      </c>
      <c r="F1171" s="35">
        <v>6.6</v>
      </c>
      <c r="G1171" s="36">
        <v>4.1200000000000004E-3</v>
      </c>
      <c r="H1171" s="18">
        <v>7.4152979999999999</v>
      </c>
      <c r="I1171" s="16" t="s">
        <v>746</v>
      </c>
      <c r="J1171" s="16"/>
      <c r="K1171" s="16"/>
      <c r="L1171" s="37"/>
      <c r="M1171" s="37"/>
      <c r="N1171" s="37"/>
      <c r="O1171" s="37"/>
      <c r="P1171" s="37"/>
      <c r="Q1171" s="18">
        <v>4.5320000000000006E-2</v>
      </c>
      <c r="R1171" s="18">
        <v>3.0900000000000003E-4</v>
      </c>
      <c r="S1171" s="18">
        <v>8.6520000000000014E-2</v>
      </c>
      <c r="T1171" s="18">
        <v>0.37080000000000002</v>
      </c>
      <c r="U1171" s="18">
        <v>0.18540000000000001</v>
      </c>
      <c r="V1171" s="18">
        <v>2.3731200000000001</v>
      </c>
      <c r="W1171" s="18">
        <v>2.2248000000000001</v>
      </c>
      <c r="X1171" s="18">
        <v>1.4832000000000001</v>
      </c>
      <c r="Y1171" s="18">
        <v>6.5920000000000006E-2</v>
      </c>
      <c r="Z1171" s="18">
        <v>0.29252</v>
      </c>
      <c r="AA1171" s="18">
        <v>0.42848000000000003</v>
      </c>
      <c r="AB1171" s="18">
        <v>0.7622000000000001</v>
      </c>
      <c r="AC1171" s="18">
        <v>0.23484000000000002</v>
      </c>
      <c r="AD1171" s="18">
        <v>1.2360000000000002</v>
      </c>
    </row>
    <row r="1172" spans="2:30" x14ac:dyDescent="0.25">
      <c r="B1172" t="s">
        <v>269</v>
      </c>
      <c r="C1172" t="s">
        <v>570</v>
      </c>
      <c r="D1172" t="s">
        <v>748</v>
      </c>
      <c r="E1172" s="35">
        <v>0.9</v>
      </c>
      <c r="F1172" s="35">
        <v>6.6</v>
      </c>
      <c r="G1172" s="36">
        <v>4.1200000000000004E-3</v>
      </c>
      <c r="H1172" s="18">
        <v>7.4152979999999999</v>
      </c>
      <c r="I1172" s="16" t="s">
        <v>746</v>
      </c>
      <c r="J1172" s="16"/>
      <c r="K1172" s="16"/>
      <c r="L1172" s="37"/>
      <c r="M1172" s="37"/>
      <c r="N1172" s="37"/>
      <c r="O1172" s="37"/>
      <c r="P1172" s="37"/>
      <c r="Q1172" s="18">
        <v>4.5320000000000006E-2</v>
      </c>
      <c r="R1172" s="18">
        <v>3.0900000000000003E-4</v>
      </c>
      <c r="S1172" s="18">
        <v>8.6520000000000014E-2</v>
      </c>
      <c r="T1172" s="18">
        <v>0.37080000000000002</v>
      </c>
      <c r="U1172" s="18">
        <v>0.18540000000000001</v>
      </c>
      <c r="V1172" s="18">
        <v>2.3731200000000001</v>
      </c>
      <c r="W1172" s="18">
        <v>2.2248000000000001</v>
      </c>
      <c r="X1172" s="18">
        <v>1.4832000000000001</v>
      </c>
      <c r="Y1172" s="18">
        <v>6.5920000000000006E-2</v>
      </c>
      <c r="Z1172" s="18">
        <v>0.29252</v>
      </c>
      <c r="AA1172" s="18">
        <v>0.42848000000000003</v>
      </c>
      <c r="AB1172" s="18">
        <v>0.7622000000000001</v>
      </c>
      <c r="AC1172" s="18">
        <v>0.23484000000000002</v>
      </c>
      <c r="AD1172" s="18">
        <v>1.2360000000000002</v>
      </c>
    </row>
    <row r="1173" spans="2:30" x14ac:dyDescent="0.25">
      <c r="B1173" t="s">
        <v>269</v>
      </c>
      <c r="C1173" t="s">
        <v>570</v>
      </c>
      <c r="D1173" t="s">
        <v>747</v>
      </c>
      <c r="E1173" s="35">
        <v>0.9</v>
      </c>
      <c r="F1173" s="35">
        <v>6.6</v>
      </c>
      <c r="G1173" s="36">
        <v>4.9449999999999997E-3</v>
      </c>
      <c r="H1173" s="18">
        <v>8.9002979999999994</v>
      </c>
      <c r="I1173" s="16" t="s">
        <v>746</v>
      </c>
      <c r="J1173" s="16"/>
      <c r="K1173" s="16"/>
      <c r="L1173" s="37"/>
      <c r="M1173" s="37"/>
      <c r="N1173" s="37"/>
      <c r="O1173" s="37"/>
      <c r="P1173" s="37"/>
      <c r="Q1173" s="18">
        <v>5.4394999999999999E-2</v>
      </c>
      <c r="R1173" s="18">
        <v>3.7087499999999995E-4</v>
      </c>
      <c r="S1173" s="18">
        <v>0.10384499999999999</v>
      </c>
      <c r="T1173" s="18">
        <v>0.44505</v>
      </c>
      <c r="U1173" s="18">
        <v>0.222525</v>
      </c>
      <c r="V1173" s="18">
        <v>2.8483199999999997</v>
      </c>
      <c r="W1173" s="18">
        <v>2.6702999999999997</v>
      </c>
      <c r="X1173" s="18">
        <v>1.7802</v>
      </c>
      <c r="Y1173" s="18">
        <v>7.9119999999999996E-2</v>
      </c>
      <c r="Z1173" s="18">
        <v>0.35109499999999999</v>
      </c>
      <c r="AA1173" s="18">
        <v>0.51427999999999996</v>
      </c>
      <c r="AB1173" s="18">
        <v>0.914825</v>
      </c>
      <c r="AC1173" s="18">
        <v>0.28186499999999998</v>
      </c>
      <c r="AD1173" s="18">
        <v>1.4834999999999998</v>
      </c>
    </row>
    <row r="1174" spans="2:30" x14ac:dyDescent="0.25">
      <c r="B1174" t="s">
        <v>269</v>
      </c>
      <c r="C1174" t="s">
        <v>570</v>
      </c>
      <c r="D1174" t="s">
        <v>748</v>
      </c>
      <c r="E1174" s="35">
        <v>0.9</v>
      </c>
      <c r="F1174" s="35">
        <v>6.6</v>
      </c>
      <c r="G1174" s="36">
        <v>4.1200000000000004E-3</v>
      </c>
      <c r="H1174" s="18">
        <v>7.4152979999999999</v>
      </c>
      <c r="I1174" s="16" t="s">
        <v>746</v>
      </c>
      <c r="J1174" s="16"/>
      <c r="K1174" s="16"/>
      <c r="L1174" s="37"/>
      <c r="M1174" s="37"/>
      <c r="N1174" s="37"/>
      <c r="O1174" s="37"/>
      <c r="P1174" s="37"/>
      <c r="Q1174" s="18">
        <v>4.5320000000000006E-2</v>
      </c>
      <c r="R1174" s="18">
        <v>3.0900000000000003E-4</v>
      </c>
      <c r="S1174" s="18">
        <v>8.6520000000000014E-2</v>
      </c>
      <c r="T1174" s="18">
        <v>0.37080000000000002</v>
      </c>
      <c r="U1174" s="18">
        <v>0.18540000000000001</v>
      </c>
      <c r="V1174" s="18">
        <v>2.3731200000000001</v>
      </c>
      <c r="W1174" s="18">
        <v>2.2248000000000001</v>
      </c>
      <c r="X1174" s="18">
        <v>1.4832000000000001</v>
      </c>
      <c r="Y1174" s="18">
        <v>6.5920000000000006E-2</v>
      </c>
      <c r="Z1174" s="18">
        <v>0.29252</v>
      </c>
      <c r="AA1174" s="18">
        <v>0.42848000000000003</v>
      </c>
      <c r="AB1174" s="18">
        <v>0.7622000000000001</v>
      </c>
      <c r="AC1174" s="18">
        <v>0.23484000000000002</v>
      </c>
      <c r="AD1174" s="18">
        <v>1.2360000000000002</v>
      </c>
    </row>
    <row r="1175" spans="2:30" x14ac:dyDescent="0.25">
      <c r="B1175" t="s">
        <v>269</v>
      </c>
      <c r="C1175" t="s">
        <v>570</v>
      </c>
      <c r="D1175" t="s">
        <v>748</v>
      </c>
      <c r="E1175" s="35">
        <v>0.9</v>
      </c>
      <c r="F1175" s="35">
        <v>6.6</v>
      </c>
      <c r="G1175" s="36">
        <v>4.1200000000000004E-3</v>
      </c>
      <c r="H1175" s="18">
        <v>7.4152979999999999</v>
      </c>
      <c r="I1175" s="16" t="s">
        <v>746</v>
      </c>
      <c r="J1175" s="16"/>
      <c r="K1175" s="16"/>
      <c r="L1175" s="37"/>
      <c r="M1175" s="37"/>
      <c r="N1175" s="37"/>
      <c r="O1175" s="37"/>
      <c r="P1175" s="37"/>
      <c r="Q1175" s="18">
        <v>4.5320000000000006E-2</v>
      </c>
      <c r="R1175" s="18">
        <v>3.0900000000000003E-4</v>
      </c>
      <c r="S1175" s="18">
        <v>8.6520000000000014E-2</v>
      </c>
      <c r="T1175" s="18">
        <v>0.37080000000000002</v>
      </c>
      <c r="U1175" s="18">
        <v>0.18540000000000001</v>
      </c>
      <c r="V1175" s="18">
        <v>2.3731200000000001</v>
      </c>
      <c r="W1175" s="18">
        <v>2.2248000000000001</v>
      </c>
      <c r="X1175" s="18">
        <v>1.4832000000000001</v>
      </c>
      <c r="Y1175" s="18">
        <v>6.5920000000000006E-2</v>
      </c>
      <c r="Z1175" s="18">
        <v>0.29252</v>
      </c>
      <c r="AA1175" s="18">
        <v>0.42848000000000003</v>
      </c>
      <c r="AB1175" s="18">
        <v>0.7622000000000001</v>
      </c>
      <c r="AC1175" s="18">
        <v>0.23484000000000002</v>
      </c>
      <c r="AD1175" s="18">
        <v>1.2360000000000002</v>
      </c>
    </row>
    <row r="1176" spans="2:30" x14ac:dyDescent="0.25">
      <c r="B1176" t="s">
        <v>269</v>
      </c>
      <c r="C1176" t="s">
        <v>570</v>
      </c>
      <c r="D1176" t="s">
        <v>748</v>
      </c>
      <c r="E1176" s="35">
        <v>0.9</v>
      </c>
      <c r="F1176" s="35">
        <v>6.6</v>
      </c>
      <c r="G1176" s="36">
        <v>4.1200000000000004E-3</v>
      </c>
      <c r="H1176" s="18">
        <v>7.4152979999999999</v>
      </c>
      <c r="I1176" s="16" t="s">
        <v>746</v>
      </c>
      <c r="J1176" s="16"/>
      <c r="K1176" s="16"/>
      <c r="L1176" s="37"/>
      <c r="M1176" s="37"/>
      <c r="N1176" s="37"/>
      <c r="O1176" s="37"/>
      <c r="P1176" s="37"/>
      <c r="Q1176" s="18">
        <v>4.5320000000000006E-2</v>
      </c>
      <c r="R1176" s="18">
        <v>3.0900000000000003E-4</v>
      </c>
      <c r="S1176" s="18">
        <v>8.6520000000000014E-2</v>
      </c>
      <c r="T1176" s="18">
        <v>0.37080000000000002</v>
      </c>
      <c r="U1176" s="18">
        <v>0.18540000000000001</v>
      </c>
      <c r="V1176" s="18">
        <v>2.3731200000000001</v>
      </c>
      <c r="W1176" s="18">
        <v>2.2248000000000001</v>
      </c>
      <c r="X1176" s="18">
        <v>1.4832000000000001</v>
      </c>
      <c r="Y1176" s="18">
        <v>6.5920000000000006E-2</v>
      </c>
      <c r="Z1176" s="18">
        <v>0.29252</v>
      </c>
      <c r="AA1176" s="18">
        <v>0.42848000000000003</v>
      </c>
      <c r="AB1176" s="18">
        <v>0.7622000000000001</v>
      </c>
      <c r="AC1176" s="18">
        <v>0.23484000000000002</v>
      </c>
      <c r="AD1176" s="18">
        <v>1.2360000000000002</v>
      </c>
    </row>
    <row r="1177" spans="2:30" x14ac:dyDescent="0.25">
      <c r="B1177" t="s">
        <v>269</v>
      </c>
      <c r="C1177" t="s">
        <v>570</v>
      </c>
      <c r="D1177" t="s">
        <v>748</v>
      </c>
      <c r="E1177" s="35">
        <v>0.9</v>
      </c>
      <c r="F1177" s="35">
        <v>6.6</v>
      </c>
      <c r="G1177" s="36">
        <v>4.1200000000000004E-3</v>
      </c>
      <c r="H1177" s="18">
        <v>7.4152979999999999</v>
      </c>
      <c r="I1177" s="16" t="s">
        <v>746</v>
      </c>
      <c r="J1177" s="16"/>
      <c r="K1177" s="16"/>
      <c r="L1177" s="37"/>
      <c r="M1177" s="37"/>
      <c r="N1177" s="37"/>
      <c r="O1177" s="37"/>
      <c r="P1177" s="37"/>
      <c r="Q1177" s="18">
        <v>4.5320000000000006E-2</v>
      </c>
      <c r="R1177" s="18">
        <v>3.0900000000000003E-4</v>
      </c>
      <c r="S1177" s="18">
        <v>8.6520000000000014E-2</v>
      </c>
      <c r="T1177" s="18">
        <v>0.37080000000000002</v>
      </c>
      <c r="U1177" s="18">
        <v>0.18540000000000001</v>
      </c>
      <c r="V1177" s="18">
        <v>2.3731200000000001</v>
      </c>
      <c r="W1177" s="18">
        <v>2.2248000000000001</v>
      </c>
      <c r="X1177" s="18">
        <v>1.4832000000000001</v>
      </c>
      <c r="Y1177" s="18">
        <v>6.5920000000000006E-2</v>
      </c>
      <c r="Z1177" s="18">
        <v>0.29252</v>
      </c>
      <c r="AA1177" s="18">
        <v>0.42848000000000003</v>
      </c>
      <c r="AB1177" s="18">
        <v>0.7622000000000001</v>
      </c>
      <c r="AC1177" s="18">
        <v>0.23484000000000002</v>
      </c>
      <c r="AD1177" s="18">
        <v>1.2360000000000002</v>
      </c>
    </row>
    <row r="1178" spans="2:30" x14ac:dyDescent="0.25">
      <c r="B1178" t="s">
        <v>269</v>
      </c>
      <c r="C1178" t="s">
        <v>570</v>
      </c>
      <c r="D1178" t="s">
        <v>748</v>
      </c>
      <c r="E1178" s="35">
        <v>0.9</v>
      </c>
      <c r="F1178" s="35">
        <v>6.6</v>
      </c>
      <c r="G1178" s="36">
        <v>4.1200000000000004E-3</v>
      </c>
      <c r="H1178" s="18">
        <v>7.4152979999999999</v>
      </c>
      <c r="I1178" s="16" t="s">
        <v>746</v>
      </c>
      <c r="J1178" s="16"/>
      <c r="K1178" s="16"/>
      <c r="L1178" s="37"/>
      <c r="M1178" s="37"/>
      <c r="N1178" s="37"/>
      <c r="O1178" s="37"/>
      <c r="P1178" s="37"/>
      <c r="Q1178" s="18">
        <v>4.5320000000000006E-2</v>
      </c>
      <c r="R1178" s="18">
        <v>3.0900000000000003E-4</v>
      </c>
      <c r="S1178" s="18">
        <v>8.6520000000000014E-2</v>
      </c>
      <c r="T1178" s="18">
        <v>0.37080000000000002</v>
      </c>
      <c r="U1178" s="18">
        <v>0.18540000000000001</v>
      </c>
      <c r="V1178" s="18">
        <v>2.3731200000000001</v>
      </c>
      <c r="W1178" s="18">
        <v>2.2248000000000001</v>
      </c>
      <c r="X1178" s="18">
        <v>1.4832000000000001</v>
      </c>
      <c r="Y1178" s="18">
        <v>6.5920000000000006E-2</v>
      </c>
      <c r="Z1178" s="18">
        <v>0.29252</v>
      </c>
      <c r="AA1178" s="18">
        <v>0.42848000000000003</v>
      </c>
      <c r="AB1178" s="18">
        <v>0.7622000000000001</v>
      </c>
      <c r="AC1178" s="18">
        <v>0.23484000000000002</v>
      </c>
      <c r="AD1178" s="18">
        <v>1.2360000000000002</v>
      </c>
    </row>
    <row r="1179" spans="2:30" x14ac:dyDescent="0.25">
      <c r="B1179" t="s">
        <v>269</v>
      </c>
      <c r="C1179" t="s">
        <v>570</v>
      </c>
      <c r="D1179" t="s">
        <v>747</v>
      </c>
      <c r="E1179" s="35">
        <v>0.9</v>
      </c>
      <c r="F1179" s="35">
        <v>6.6</v>
      </c>
      <c r="G1179" s="36">
        <v>4.9449999999999997E-3</v>
      </c>
      <c r="H1179" s="18">
        <v>8.9002979999999994</v>
      </c>
      <c r="I1179" s="16" t="s">
        <v>746</v>
      </c>
      <c r="J1179" s="16"/>
      <c r="K1179" s="16"/>
      <c r="L1179" s="37"/>
      <c r="M1179" s="37"/>
      <c r="N1179" s="37"/>
      <c r="O1179" s="37"/>
      <c r="P1179" s="37"/>
      <c r="Q1179" s="18">
        <v>5.4394999999999999E-2</v>
      </c>
      <c r="R1179" s="18">
        <v>3.7087499999999995E-4</v>
      </c>
      <c r="S1179" s="18">
        <v>0.10384499999999999</v>
      </c>
      <c r="T1179" s="18">
        <v>0.44505</v>
      </c>
      <c r="U1179" s="18">
        <v>0.222525</v>
      </c>
      <c r="V1179" s="18">
        <v>2.8483199999999997</v>
      </c>
      <c r="W1179" s="18">
        <v>2.6702999999999997</v>
      </c>
      <c r="X1179" s="18">
        <v>1.7802</v>
      </c>
      <c r="Y1179" s="18">
        <v>7.9119999999999996E-2</v>
      </c>
      <c r="Z1179" s="18">
        <v>0.35109499999999999</v>
      </c>
      <c r="AA1179" s="18">
        <v>0.51427999999999996</v>
      </c>
      <c r="AB1179" s="18">
        <v>0.914825</v>
      </c>
      <c r="AC1179" s="18">
        <v>0.28186499999999998</v>
      </c>
      <c r="AD1179" s="18">
        <v>1.4834999999999998</v>
      </c>
    </row>
    <row r="1180" spans="2:30" x14ac:dyDescent="0.25">
      <c r="B1180" t="s">
        <v>269</v>
      </c>
      <c r="C1180" t="s">
        <v>570</v>
      </c>
      <c r="D1180" t="s">
        <v>748</v>
      </c>
      <c r="E1180" s="35">
        <v>0.9</v>
      </c>
      <c r="F1180" s="35">
        <v>6.6</v>
      </c>
      <c r="G1180" s="36">
        <v>4.1200000000000004E-3</v>
      </c>
      <c r="H1180" s="18">
        <v>7.4152979999999999</v>
      </c>
      <c r="I1180" s="16" t="s">
        <v>746</v>
      </c>
      <c r="J1180" s="16"/>
      <c r="K1180" s="16"/>
      <c r="L1180" s="37"/>
      <c r="M1180" s="37"/>
      <c r="N1180" s="37"/>
      <c r="O1180" s="37"/>
      <c r="P1180" s="37"/>
      <c r="Q1180" s="18">
        <v>4.5320000000000006E-2</v>
      </c>
      <c r="R1180" s="18">
        <v>3.0900000000000003E-4</v>
      </c>
      <c r="S1180" s="18">
        <v>8.6520000000000014E-2</v>
      </c>
      <c r="T1180" s="18">
        <v>0.37080000000000002</v>
      </c>
      <c r="U1180" s="18">
        <v>0.18540000000000001</v>
      </c>
      <c r="V1180" s="18">
        <v>2.3731200000000001</v>
      </c>
      <c r="W1180" s="18">
        <v>2.2248000000000001</v>
      </c>
      <c r="X1180" s="18">
        <v>1.4832000000000001</v>
      </c>
      <c r="Y1180" s="18">
        <v>6.5920000000000006E-2</v>
      </c>
      <c r="Z1180" s="18">
        <v>0.29252</v>
      </c>
      <c r="AA1180" s="18">
        <v>0.42848000000000003</v>
      </c>
      <c r="AB1180" s="18">
        <v>0.7622000000000001</v>
      </c>
      <c r="AC1180" s="18">
        <v>0.23484000000000002</v>
      </c>
      <c r="AD1180" s="18">
        <v>1.2360000000000002</v>
      </c>
    </row>
    <row r="1181" spans="2:30" x14ac:dyDescent="0.25">
      <c r="B1181" t="s">
        <v>269</v>
      </c>
      <c r="C1181" t="s">
        <v>570</v>
      </c>
      <c r="D1181" t="s">
        <v>748</v>
      </c>
      <c r="E1181" s="35">
        <v>0.9</v>
      </c>
      <c r="F1181" s="35">
        <v>6.6</v>
      </c>
      <c r="G1181" s="36">
        <v>4.1200000000000004E-3</v>
      </c>
      <c r="H1181" s="18">
        <v>7.4152979999999999</v>
      </c>
      <c r="I1181" s="16" t="s">
        <v>746</v>
      </c>
      <c r="J1181" s="16"/>
      <c r="K1181" s="16"/>
      <c r="L1181" s="37"/>
      <c r="M1181" s="37"/>
      <c r="N1181" s="37"/>
      <c r="O1181" s="37"/>
      <c r="P1181" s="37"/>
      <c r="Q1181" s="18">
        <v>4.5320000000000006E-2</v>
      </c>
      <c r="R1181" s="18">
        <v>3.0900000000000003E-4</v>
      </c>
      <c r="S1181" s="18">
        <v>8.6520000000000014E-2</v>
      </c>
      <c r="T1181" s="18">
        <v>0.37080000000000002</v>
      </c>
      <c r="U1181" s="18">
        <v>0.18540000000000001</v>
      </c>
      <c r="V1181" s="18">
        <v>2.3731200000000001</v>
      </c>
      <c r="W1181" s="18">
        <v>2.2248000000000001</v>
      </c>
      <c r="X1181" s="18">
        <v>1.4832000000000001</v>
      </c>
      <c r="Y1181" s="18">
        <v>6.5920000000000006E-2</v>
      </c>
      <c r="Z1181" s="18">
        <v>0.29252</v>
      </c>
      <c r="AA1181" s="18">
        <v>0.42848000000000003</v>
      </c>
      <c r="AB1181" s="18">
        <v>0.7622000000000001</v>
      </c>
      <c r="AC1181" s="18">
        <v>0.23484000000000002</v>
      </c>
      <c r="AD1181" s="18">
        <v>1.2360000000000002</v>
      </c>
    </row>
    <row r="1182" spans="2:30" x14ac:dyDescent="0.25">
      <c r="B1182" t="s">
        <v>269</v>
      </c>
      <c r="C1182" t="s">
        <v>570</v>
      </c>
      <c r="D1182" t="s">
        <v>748</v>
      </c>
      <c r="E1182" s="35">
        <v>0.9</v>
      </c>
      <c r="F1182" s="35">
        <v>6.6</v>
      </c>
      <c r="G1182" s="36">
        <v>4.1200000000000004E-3</v>
      </c>
      <c r="H1182" s="18">
        <v>7.4152979999999999</v>
      </c>
      <c r="I1182" s="16" t="s">
        <v>746</v>
      </c>
      <c r="J1182" s="16"/>
      <c r="K1182" s="16"/>
      <c r="L1182" s="37"/>
      <c r="M1182" s="37"/>
      <c r="N1182" s="37"/>
      <c r="O1182" s="37"/>
      <c r="P1182" s="37"/>
      <c r="Q1182" s="18">
        <v>4.5320000000000006E-2</v>
      </c>
      <c r="R1182" s="18">
        <v>3.0900000000000003E-4</v>
      </c>
      <c r="S1182" s="18">
        <v>8.6520000000000014E-2</v>
      </c>
      <c r="T1182" s="18">
        <v>0.37080000000000002</v>
      </c>
      <c r="U1182" s="18">
        <v>0.18540000000000001</v>
      </c>
      <c r="V1182" s="18">
        <v>2.3731200000000001</v>
      </c>
      <c r="W1182" s="18">
        <v>2.2248000000000001</v>
      </c>
      <c r="X1182" s="18">
        <v>1.4832000000000001</v>
      </c>
      <c r="Y1182" s="18">
        <v>6.5920000000000006E-2</v>
      </c>
      <c r="Z1182" s="18">
        <v>0.29252</v>
      </c>
      <c r="AA1182" s="18">
        <v>0.42848000000000003</v>
      </c>
      <c r="AB1182" s="18">
        <v>0.7622000000000001</v>
      </c>
      <c r="AC1182" s="18">
        <v>0.23484000000000002</v>
      </c>
      <c r="AD1182" s="18">
        <v>1.2360000000000002</v>
      </c>
    </row>
    <row r="1183" spans="2:30" x14ac:dyDescent="0.25">
      <c r="B1183" t="s">
        <v>269</v>
      </c>
      <c r="C1183" t="s">
        <v>570</v>
      </c>
      <c r="D1183" t="s">
        <v>747</v>
      </c>
      <c r="E1183" s="35">
        <v>0.9</v>
      </c>
      <c r="F1183" s="35">
        <v>6.6</v>
      </c>
      <c r="G1183" s="36">
        <v>4.9449999999999997E-3</v>
      </c>
      <c r="H1183" s="18">
        <v>8.9002979999999994</v>
      </c>
      <c r="I1183" s="16" t="s">
        <v>746</v>
      </c>
      <c r="J1183" s="16"/>
      <c r="K1183" s="16"/>
      <c r="L1183" s="37"/>
      <c r="M1183" s="37"/>
      <c r="N1183" s="37"/>
      <c r="O1183" s="37"/>
      <c r="P1183" s="37"/>
      <c r="Q1183" s="18">
        <v>5.4394999999999999E-2</v>
      </c>
      <c r="R1183" s="18">
        <v>3.7087499999999995E-4</v>
      </c>
      <c r="S1183" s="18">
        <v>0.10384499999999999</v>
      </c>
      <c r="T1183" s="18">
        <v>0.44505</v>
      </c>
      <c r="U1183" s="18">
        <v>0.222525</v>
      </c>
      <c r="V1183" s="18">
        <v>2.8483199999999997</v>
      </c>
      <c r="W1183" s="18">
        <v>2.6702999999999997</v>
      </c>
      <c r="X1183" s="18">
        <v>1.7802</v>
      </c>
      <c r="Y1183" s="18">
        <v>7.9119999999999996E-2</v>
      </c>
      <c r="Z1183" s="18">
        <v>0.35109499999999999</v>
      </c>
      <c r="AA1183" s="18">
        <v>0.51427999999999996</v>
      </c>
      <c r="AB1183" s="18">
        <v>0.914825</v>
      </c>
      <c r="AC1183" s="18">
        <v>0.28186499999999998</v>
      </c>
      <c r="AD1183" s="18">
        <v>1.4834999999999998</v>
      </c>
    </row>
    <row r="1184" spans="2:30" x14ac:dyDescent="0.25">
      <c r="B1184" t="s">
        <v>269</v>
      </c>
      <c r="C1184" t="s">
        <v>570</v>
      </c>
      <c r="D1184" t="s">
        <v>748</v>
      </c>
      <c r="E1184" s="35">
        <v>0.9</v>
      </c>
      <c r="F1184" s="35">
        <v>6.6</v>
      </c>
      <c r="G1184" s="36">
        <v>4.1200000000000004E-3</v>
      </c>
      <c r="H1184" s="18">
        <v>7.4152979999999999</v>
      </c>
      <c r="I1184" s="16" t="s">
        <v>746</v>
      </c>
      <c r="J1184" s="16"/>
      <c r="K1184" s="16"/>
      <c r="L1184" s="37"/>
      <c r="M1184" s="37"/>
      <c r="N1184" s="37"/>
      <c r="O1184" s="37"/>
      <c r="P1184" s="37"/>
      <c r="Q1184" s="18">
        <v>4.5320000000000006E-2</v>
      </c>
      <c r="R1184" s="18">
        <v>3.0900000000000003E-4</v>
      </c>
      <c r="S1184" s="18">
        <v>8.6520000000000014E-2</v>
      </c>
      <c r="T1184" s="18">
        <v>0.37080000000000002</v>
      </c>
      <c r="U1184" s="18">
        <v>0.18540000000000001</v>
      </c>
      <c r="V1184" s="18">
        <v>2.3731200000000001</v>
      </c>
      <c r="W1184" s="18">
        <v>2.2248000000000001</v>
      </c>
      <c r="X1184" s="18">
        <v>1.4832000000000001</v>
      </c>
      <c r="Y1184" s="18">
        <v>6.5920000000000006E-2</v>
      </c>
      <c r="Z1184" s="18">
        <v>0.29252</v>
      </c>
      <c r="AA1184" s="18">
        <v>0.42848000000000003</v>
      </c>
      <c r="AB1184" s="18">
        <v>0.7622000000000001</v>
      </c>
      <c r="AC1184" s="18">
        <v>0.23484000000000002</v>
      </c>
      <c r="AD1184" s="18">
        <v>1.2360000000000002</v>
      </c>
    </row>
    <row r="1185" spans="2:30" x14ac:dyDescent="0.25">
      <c r="B1185" t="s">
        <v>269</v>
      </c>
      <c r="C1185" t="s">
        <v>570</v>
      </c>
      <c r="D1185" t="s">
        <v>748</v>
      </c>
      <c r="E1185" s="35">
        <v>0.9</v>
      </c>
      <c r="F1185" s="35">
        <v>6.6</v>
      </c>
      <c r="G1185" s="36">
        <v>4.1200000000000004E-3</v>
      </c>
      <c r="H1185" s="18">
        <v>7.4152979999999999</v>
      </c>
      <c r="I1185" s="16" t="s">
        <v>746</v>
      </c>
      <c r="J1185" s="16"/>
      <c r="K1185" s="16"/>
      <c r="L1185" s="37"/>
      <c r="M1185" s="37"/>
      <c r="N1185" s="37"/>
      <c r="O1185" s="37"/>
      <c r="P1185" s="37"/>
      <c r="Q1185" s="18">
        <v>4.5320000000000006E-2</v>
      </c>
      <c r="R1185" s="18">
        <v>3.0900000000000003E-4</v>
      </c>
      <c r="S1185" s="18">
        <v>8.6520000000000014E-2</v>
      </c>
      <c r="T1185" s="18">
        <v>0.37080000000000002</v>
      </c>
      <c r="U1185" s="18">
        <v>0.18540000000000001</v>
      </c>
      <c r="V1185" s="18">
        <v>2.3731200000000001</v>
      </c>
      <c r="W1185" s="18">
        <v>2.2248000000000001</v>
      </c>
      <c r="X1185" s="18">
        <v>1.4832000000000001</v>
      </c>
      <c r="Y1185" s="18">
        <v>6.5920000000000006E-2</v>
      </c>
      <c r="Z1185" s="18">
        <v>0.29252</v>
      </c>
      <c r="AA1185" s="18">
        <v>0.42848000000000003</v>
      </c>
      <c r="AB1185" s="18">
        <v>0.7622000000000001</v>
      </c>
      <c r="AC1185" s="18">
        <v>0.23484000000000002</v>
      </c>
      <c r="AD1185" s="18">
        <v>1.2360000000000002</v>
      </c>
    </row>
    <row r="1186" spans="2:30" x14ac:dyDescent="0.25">
      <c r="B1186" t="s">
        <v>269</v>
      </c>
      <c r="C1186" t="s">
        <v>570</v>
      </c>
      <c r="D1186" t="s">
        <v>753</v>
      </c>
      <c r="E1186" s="35">
        <v>0.9</v>
      </c>
      <c r="F1186" s="35">
        <v>6.6</v>
      </c>
      <c r="G1186" s="36">
        <v>5.77E-3</v>
      </c>
      <c r="H1186" s="18">
        <v>10.385298000000001</v>
      </c>
      <c r="I1186" s="16" t="s">
        <v>746</v>
      </c>
      <c r="J1186" s="16"/>
      <c r="K1186" s="16"/>
      <c r="L1186" s="37"/>
      <c r="M1186" s="37"/>
      <c r="N1186" s="37"/>
      <c r="O1186" s="37"/>
      <c r="P1186" s="37"/>
      <c r="Q1186" s="18">
        <v>6.3469999999999999E-2</v>
      </c>
      <c r="R1186" s="18">
        <v>4.3274999999999997E-4</v>
      </c>
      <c r="S1186" s="18">
        <v>0.12117</v>
      </c>
      <c r="T1186" s="18">
        <v>0.51929999999999998</v>
      </c>
      <c r="U1186" s="18">
        <v>0.25964999999999999</v>
      </c>
      <c r="V1186" s="18">
        <v>3.3235199999999998</v>
      </c>
      <c r="W1186" s="18">
        <v>3.1158000000000001</v>
      </c>
      <c r="X1186" s="18">
        <v>2.0771999999999999</v>
      </c>
      <c r="Y1186" s="18">
        <v>9.2319999999999999E-2</v>
      </c>
      <c r="Z1186" s="18">
        <v>0.40966999999999998</v>
      </c>
      <c r="AA1186" s="18">
        <v>0.60007999999999995</v>
      </c>
      <c r="AB1186" s="18">
        <v>1.06745</v>
      </c>
      <c r="AC1186" s="18">
        <v>0.32889000000000002</v>
      </c>
      <c r="AD1186" s="18">
        <v>1.7310000000000001</v>
      </c>
    </row>
    <row r="1187" spans="2:30" x14ac:dyDescent="0.25">
      <c r="B1187" t="s">
        <v>269</v>
      </c>
      <c r="C1187" t="s">
        <v>570</v>
      </c>
      <c r="D1187" t="s">
        <v>750</v>
      </c>
      <c r="E1187" s="35">
        <v>0.9</v>
      </c>
      <c r="F1187" s="35">
        <v>6.6</v>
      </c>
      <c r="G1187" s="36">
        <v>3.0200000000000001E-3</v>
      </c>
      <c r="H1187" s="18">
        <v>5.4352980000000004</v>
      </c>
      <c r="I1187" s="16" t="s">
        <v>746</v>
      </c>
      <c r="J1187" s="16"/>
      <c r="K1187" s="16"/>
      <c r="L1187" s="37"/>
      <c r="M1187" s="37"/>
      <c r="N1187" s="37"/>
      <c r="O1187" s="37"/>
      <c r="P1187" s="37"/>
      <c r="Q1187" s="18">
        <v>3.322E-2</v>
      </c>
      <c r="R1187" s="18">
        <v>2.265E-4</v>
      </c>
      <c r="S1187" s="18">
        <v>6.3420000000000004E-2</v>
      </c>
      <c r="T1187" s="18">
        <v>0.27179999999999999</v>
      </c>
      <c r="U1187" s="18">
        <v>0.13589999999999999</v>
      </c>
      <c r="V1187" s="18">
        <v>1.7395200000000002</v>
      </c>
      <c r="W1187" s="18">
        <v>1.6308</v>
      </c>
      <c r="X1187" s="18">
        <v>1.0871999999999999</v>
      </c>
      <c r="Y1187" s="18">
        <v>4.8320000000000002E-2</v>
      </c>
      <c r="Z1187" s="18">
        <v>0.21442</v>
      </c>
      <c r="AA1187" s="18">
        <v>0.31408000000000003</v>
      </c>
      <c r="AB1187" s="18">
        <v>0.55869999999999997</v>
      </c>
      <c r="AC1187" s="18">
        <v>0.17214000000000002</v>
      </c>
      <c r="AD1187" s="18">
        <v>0.90600000000000003</v>
      </c>
    </row>
    <row r="1188" spans="2:30" x14ac:dyDescent="0.25">
      <c r="B1188" t="s">
        <v>269</v>
      </c>
      <c r="C1188" t="s">
        <v>570</v>
      </c>
      <c r="D1188" t="s">
        <v>750</v>
      </c>
      <c r="E1188" s="35">
        <v>0.9</v>
      </c>
      <c r="F1188" s="35">
        <v>6.6</v>
      </c>
      <c r="G1188" s="36">
        <v>3.0200000000000001E-3</v>
      </c>
      <c r="H1188" s="18">
        <v>5.4352980000000004</v>
      </c>
      <c r="I1188" s="16" t="s">
        <v>746</v>
      </c>
      <c r="J1188" s="16"/>
      <c r="K1188" s="16"/>
      <c r="L1188" s="37"/>
      <c r="M1188" s="37"/>
      <c r="N1188" s="37"/>
      <c r="O1188" s="37"/>
      <c r="P1188" s="37"/>
      <c r="Q1188" s="18">
        <v>3.322E-2</v>
      </c>
      <c r="R1188" s="18">
        <v>2.265E-4</v>
      </c>
      <c r="S1188" s="18">
        <v>6.3420000000000004E-2</v>
      </c>
      <c r="T1188" s="18">
        <v>0.27179999999999999</v>
      </c>
      <c r="U1188" s="18">
        <v>0.13589999999999999</v>
      </c>
      <c r="V1188" s="18">
        <v>1.7395200000000002</v>
      </c>
      <c r="W1188" s="18">
        <v>1.6308</v>
      </c>
      <c r="X1188" s="18">
        <v>1.0871999999999999</v>
      </c>
      <c r="Y1188" s="18">
        <v>4.8320000000000002E-2</v>
      </c>
      <c r="Z1188" s="18">
        <v>0.21442</v>
      </c>
      <c r="AA1188" s="18">
        <v>0.31408000000000003</v>
      </c>
      <c r="AB1188" s="18">
        <v>0.55869999999999997</v>
      </c>
      <c r="AC1188" s="18">
        <v>0.17214000000000002</v>
      </c>
      <c r="AD1188" s="18">
        <v>0.90600000000000003</v>
      </c>
    </row>
    <row r="1189" spans="2:30" x14ac:dyDescent="0.25">
      <c r="B1189" t="s">
        <v>269</v>
      </c>
      <c r="C1189" t="s">
        <v>570</v>
      </c>
      <c r="D1189" t="s">
        <v>750</v>
      </c>
      <c r="E1189" s="35">
        <v>0.9</v>
      </c>
      <c r="F1189" s="35">
        <v>6.6</v>
      </c>
      <c r="G1189" s="36">
        <v>3.0200000000000001E-3</v>
      </c>
      <c r="H1189" s="18">
        <v>5.4352980000000004</v>
      </c>
      <c r="I1189" s="16" t="s">
        <v>746</v>
      </c>
      <c r="J1189" s="16"/>
      <c r="K1189" s="16"/>
      <c r="L1189" s="37"/>
      <c r="M1189" s="37"/>
      <c r="N1189" s="37"/>
      <c r="O1189" s="37"/>
      <c r="P1189" s="37"/>
      <c r="Q1189" s="18">
        <v>3.322E-2</v>
      </c>
      <c r="R1189" s="18">
        <v>2.265E-4</v>
      </c>
      <c r="S1189" s="18">
        <v>6.3420000000000004E-2</v>
      </c>
      <c r="T1189" s="18">
        <v>0.27179999999999999</v>
      </c>
      <c r="U1189" s="18">
        <v>0.13589999999999999</v>
      </c>
      <c r="V1189" s="18">
        <v>1.7395200000000002</v>
      </c>
      <c r="W1189" s="18">
        <v>1.6308</v>
      </c>
      <c r="X1189" s="18">
        <v>1.0871999999999999</v>
      </c>
      <c r="Y1189" s="18">
        <v>4.8320000000000002E-2</v>
      </c>
      <c r="Z1189" s="18">
        <v>0.21442</v>
      </c>
      <c r="AA1189" s="18">
        <v>0.31408000000000003</v>
      </c>
      <c r="AB1189" s="18">
        <v>0.55869999999999997</v>
      </c>
      <c r="AC1189" s="18">
        <v>0.17214000000000002</v>
      </c>
      <c r="AD1189" s="18">
        <v>0.90600000000000003</v>
      </c>
    </row>
    <row r="1190" spans="2:30" x14ac:dyDescent="0.25">
      <c r="B1190" t="s">
        <v>269</v>
      </c>
      <c r="C1190" t="s">
        <v>570</v>
      </c>
      <c r="D1190" t="s">
        <v>752</v>
      </c>
      <c r="E1190" s="35">
        <v>0.9</v>
      </c>
      <c r="F1190" s="35">
        <v>6.6</v>
      </c>
      <c r="G1190" s="36">
        <v>2.47E-3</v>
      </c>
      <c r="H1190" s="18">
        <v>4.4452980000000002</v>
      </c>
      <c r="I1190" s="16" t="s">
        <v>746</v>
      </c>
      <c r="J1190" s="16"/>
      <c r="K1190" s="16"/>
      <c r="L1190" s="37"/>
      <c r="M1190" s="37"/>
      <c r="N1190" s="37"/>
      <c r="O1190" s="37"/>
      <c r="P1190" s="37"/>
      <c r="Q1190" s="18">
        <v>2.717E-2</v>
      </c>
      <c r="R1190" s="18">
        <v>1.8525E-4</v>
      </c>
      <c r="S1190" s="18">
        <v>5.1869999999999999E-2</v>
      </c>
      <c r="T1190" s="18">
        <v>0.2223</v>
      </c>
      <c r="U1190" s="18">
        <v>0.11115</v>
      </c>
      <c r="V1190" s="18">
        <v>1.42272</v>
      </c>
      <c r="W1190" s="18">
        <v>1.3338000000000001</v>
      </c>
      <c r="X1190" s="18">
        <v>0.88919999999999999</v>
      </c>
      <c r="Y1190" s="18">
        <v>3.952E-2</v>
      </c>
      <c r="Z1190" s="18">
        <v>0.17537</v>
      </c>
      <c r="AA1190" s="18">
        <v>0.25688</v>
      </c>
      <c r="AB1190" s="18">
        <v>0.45694999999999997</v>
      </c>
      <c r="AC1190" s="18">
        <v>0.14079</v>
      </c>
      <c r="AD1190" s="18">
        <v>0.74099999999999999</v>
      </c>
    </row>
    <row r="1191" spans="2:30" x14ac:dyDescent="0.25">
      <c r="B1191" t="s">
        <v>269</v>
      </c>
      <c r="C1191" t="s">
        <v>570</v>
      </c>
      <c r="D1191" t="s">
        <v>752</v>
      </c>
      <c r="E1191" s="35">
        <v>0.9</v>
      </c>
      <c r="F1191" s="35">
        <v>6.6</v>
      </c>
      <c r="G1191" s="36">
        <v>2.47E-3</v>
      </c>
      <c r="H1191" s="18">
        <v>4.4452980000000002</v>
      </c>
      <c r="I1191" s="16" t="s">
        <v>746</v>
      </c>
      <c r="J1191" s="16"/>
      <c r="K1191" s="16"/>
      <c r="L1191" s="37"/>
      <c r="M1191" s="37"/>
      <c r="N1191" s="37"/>
      <c r="O1191" s="37"/>
      <c r="P1191" s="37"/>
      <c r="Q1191" s="18">
        <v>2.717E-2</v>
      </c>
      <c r="R1191" s="18">
        <v>1.8525E-4</v>
      </c>
      <c r="S1191" s="18">
        <v>5.1869999999999999E-2</v>
      </c>
      <c r="T1191" s="18">
        <v>0.2223</v>
      </c>
      <c r="U1191" s="18">
        <v>0.11115</v>
      </c>
      <c r="V1191" s="18">
        <v>1.42272</v>
      </c>
      <c r="W1191" s="18">
        <v>1.3338000000000001</v>
      </c>
      <c r="X1191" s="18">
        <v>0.88919999999999999</v>
      </c>
      <c r="Y1191" s="18">
        <v>3.952E-2</v>
      </c>
      <c r="Z1191" s="18">
        <v>0.17537</v>
      </c>
      <c r="AA1191" s="18">
        <v>0.25688</v>
      </c>
      <c r="AB1191" s="18">
        <v>0.45694999999999997</v>
      </c>
      <c r="AC1191" s="18">
        <v>0.14079</v>
      </c>
      <c r="AD1191" s="18">
        <v>0.74099999999999999</v>
      </c>
    </row>
    <row r="1192" spans="2:30" x14ac:dyDescent="0.25">
      <c r="B1192" t="s">
        <v>269</v>
      </c>
      <c r="C1192" t="s">
        <v>570</v>
      </c>
      <c r="D1192" t="s">
        <v>752</v>
      </c>
      <c r="E1192" s="35">
        <v>0.9</v>
      </c>
      <c r="F1192" s="35">
        <v>6.6</v>
      </c>
      <c r="G1192" s="36">
        <v>2.47E-3</v>
      </c>
      <c r="H1192" s="18">
        <v>4.4452980000000002</v>
      </c>
      <c r="I1192" s="16" t="s">
        <v>746</v>
      </c>
      <c r="J1192" s="16"/>
      <c r="K1192" s="16"/>
      <c r="L1192" s="37"/>
      <c r="M1192" s="37"/>
      <c r="N1192" s="37"/>
      <c r="O1192" s="37"/>
      <c r="P1192" s="37"/>
      <c r="Q1192" s="18">
        <v>2.717E-2</v>
      </c>
      <c r="R1192" s="18">
        <v>1.8525E-4</v>
      </c>
      <c r="S1192" s="18">
        <v>5.1869999999999999E-2</v>
      </c>
      <c r="T1192" s="18">
        <v>0.2223</v>
      </c>
      <c r="U1192" s="18">
        <v>0.11115</v>
      </c>
      <c r="V1192" s="18">
        <v>1.42272</v>
      </c>
      <c r="W1192" s="18">
        <v>1.3338000000000001</v>
      </c>
      <c r="X1192" s="18">
        <v>0.88919999999999999</v>
      </c>
      <c r="Y1192" s="18">
        <v>3.952E-2</v>
      </c>
      <c r="Z1192" s="18">
        <v>0.17537</v>
      </c>
      <c r="AA1192" s="18">
        <v>0.25688</v>
      </c>
      <c r="AB1192" s="18">
        <v>0.45694999999999997</v>
      </c>
      <c r="AC1192" s="18">
        <v>0.14079</v>
      </c>
      <c r="AD1192" s="18">
        <v>0.74099999999999999</v>
      </c>
    </row>
    <row r="1193" spans="2:30" x14ac:dyDescent="0.25">
      <c r="B1193" t="s">
        <v>269</v>
      </c>
      <c r="C1193" t="s">
        <v>570</v>
      </c>
      <c r="D1193" t="s">
        <v>752</v>
      </c>
      <c r="E1193" s="35">
        <v>0.9</v>
      </c>
      <c r="F1193" s="35">
        <v>6.6</v>
      </c>
      <c r="G1193" s="36">
        <v>2.47E-3</v>
      </c>
      <c r="H1193" s="18">
        <v>4.4452980000000002</v>
      </c>
      <c r="I1193" s="16" t="s">
        <v>746</v>
      </c>
      <c r="J1193" s="16"/>
      <c r="K1193" s="16"/>
      <c r="L1193" s="37"/>
      <c r="M1193" s="37"/>
      <c r="N1193" s="37"/>
      <c r="O1193" s="37"/>
      <c r="P1193" s="37"/>
      <c r="Q1193" s="18">
        <v>2.717E-2</v>
      </c>
      <c r="R1193" s="18">
        <v>1.8525E-4</v>
      </c>
      <c r="S1193" s="18">
        <v>5.1869999999999999E-2</v>
      </c>
      <c r="T1193" s="18">
        <v>0.2223</v>
      </c>
      <c r="U1193" s="18">
        <v>0.11115</v>
      </c>
      <c r="V1193" s="18">
        <v>1.42272</v>
      </c>
      <c r="W1193" s="18">
        <v>1.3338000000000001</v>
      </c>
      <c r="X1193" s="18">
        <v>0.88919999999999999</v>
      </c>
      <c r="Y1193" s="18">
        <v>3.952E-2</v>
      </c>
      <c r="Z1193" s="18">
        <v>0.17537</v>
      </c>
      <c r="AA1193" s="18">
        <v>0.25688</v>
      </c>
      <c r="AB1193" s="18">
        <v>0.45694999999999997</v>
      </c>
      <c r="AC1193" s="18">
        <v>0.14079</v>
      </c>
      <c r="AD1193" s="18">
        <v>0.74099999999999999</v>
      </c>
    </row>
    <row r="1194" spans="2:30" x14ac:dyDescent="0.25">
      <c r="B1194" t="s">
        <v>269</v>
      </c>
      <c r="C1194" t="s">
        <v>570</v>
      </c>
      <c r="D1194" t="s">
        <v>752</v>
      </c>
      <c r="E1194" s="35">
        <v>0.9</v>
      </c>
      <c r="F1194" s="35">
        <v>6.6</v>
      </c>
      <c r="G1194" s="36">
        <v>2.47E-3</v>
      </c>
      <c r="H1194" s="18">
        <v>4.4452980000000002</v>
      </c>
      <c r="I1194" s="16" t="s">
        <v>746</v>
      </c>
      <c r="J1194" s="16"/>
      <c r="K1194" s="16"/>
      <c r="L1194" s="37"/>
      <c r="M1194" s="37"/>
      <c r="N1194" s="37"/>
      <c r="O1194" s="37"/>
      <c r="P1194" s="37"/>
      <c r="Q1194" s="18">
        <v>2.717E-2</v>
      </c>
      <c r="R1194" s="18">
        <v>1.8525E-4</v>
      </c>
      <c r="S1194" s="18">
        <v>5.1869999999999999E-2</v>
      </c>
      <c r="T1194" s="18">
        <v>0.2223</v>
      </c>
      <c r="U1194" s="18">
        <v>0.11115</v>
      </c>
      <c r="V1194" s="18">
        <v>1.42272</v>
      </c>
      <c r="W1194" s="18">
        <v>1.3338000000000001</v>
      </c>
      <c r="X1194" s="18">
        <v>0.88919999999999999</v>
      </c>
      <c r="Y1194" s="18">
        <v>3.952E-2</v>
      </c>
      <c r="Z1194" s="18">
        <v>0.17537</v>
      </c>
      <c r="AA1194" s="18">
        <v>0.25688</v>
      </c>
      <c r="AB1194" s="18">
        <v>0.45694999999999997</v>
      </c>
      <c r="AC1194" s="18">
        <v>0.14079</v>
      </c>
      <c r="AD1194" s="18">
        <v>0.74099999999999999</v>
      </c>
    </row>
    <row r="1195" spans="2:30" x14ac:dyDescent="0.25">
      <c r="B1195" t="s">
        <v>269</v>
      </c>
      <c r="C1195" t="s">
        <v>570</v>
      </c>
      <c r="D1195" t="s">
        <v>752</v>
      </c>
      <c r="E1195" s="35">
        <v>0.9</v>
      </c>
      <c r="F1195" s="35">
        <v>6.6</v>
      </c>
      <c r="G1195" s="36">
        <v>2.47E-3</v>
      </c>
      <c r="H1195" s="18">
        <v>4.4452980000000002</v>
      </c>
      <c r="I1195" s="16" t="s">
        <v>746</v>
      </c>
      <c r="J1195" s="16"/>
      <c r="K1195" s="16"/>
      <c r="L1195" s="37"/>
      <c r="M1195" s="37"/>
      <c r="N1195" s="37"/>
      <c r="O1195" s="37"/>
      <c r="P1195" s="37"/>
      <c r="Q1195" s="18">
        <v>2.717E-2</v>
      </c>
      <c r="R1195" s="18">
        <v>1.8525E-4</v>
      </c>
      <c r="S1195" s="18">
        <v>5.1869999999999999E-2</v>
      </c>
      <c r="T1195" s="18">
        <v>0.2223</v>
      </c>
      <c r="U1195" s="18">
        <v>0.11115</v>
      </c>
      <c r="V1195" s="18">
        <v>1.42272</v>
      </c>
      <c r="W1195" s="18">
        <v>1.3338000000000001</v>
      </c>
      <c r="X1195" s="18">
        <v>0.88919999999999999</v>
      </c>
      <c r="Y1195" s="18">
        <v>3.952E-2</v>
      </c>
      <c r="Z1195" s="18">
        <v>0.17537</v>
      </c>
      <c r="AA1195" s="18">
        <v>0.25688</v>
      </c>
      <c r="AB1195" s="18">
        <v>0.45694999999999997</v>
      </c>
      <c r="AC1195" s="18">
        <v>0.14079</v>
      </c>
      <c r="AD1195" s="18">
        <v>0.74099999999999999</v>
      </c>
    </row>
    <row r="1196" spans="2:30" x14ac:dyDescent="0.25">
      <c r="B1196" t="s">
        <v>269</v>
      </c>
      <c r="C1196" t="s">
        <v>463</v>
      </c>
      <c r="D1196" t="s">
        <v>752</v>
      </c>
      <c r="E1196" s="35">
        <v>0.9</v>
      </c>
      <c r="F1196" s="35">
        <v>6.6</v>
      </c>
      <c r="G1196" s="36">
        <v>2.47E-3</v>
      </c>
      <c r="H1196" s="18">
        <v>4.4452980000000002</v>
      </c>
      <c r="I1196" s="16" t="s">
        <v>746</v>
      </c>
      <c r="J1196" s="16"/>
      <c r="K1196" s="16"/>
      <c r="L1196" s="37"/>
      <c r="M1196" s="37"/>
      <c r="N1196" s="37"/>
      <c r="O1196" s="37"/>
      <c r="P1196" s="37"/>
      <c r="Q1196" s="18">
        <v>2.717E-2</v>
      </c>
      <c r="R1196" s="18">
        <v>1.8525E-4</v>
      </c>
      <c r="S1196" s="18">
        <v>5.1869999999999999E-2</v>
      </c>
      <c r="T1196" s="18">
        <v>0.2223</v>
      </c>
      <c r="U1196" s="18">
        <v>0.11115</v>
      </c>
      <c r="V1196" s="18">
        <v>1.42272</v>
      </c>
      <c r="W1196" s="18">
        <v>1.3338000000000001</v>
      </c>
      <c r="X1196" s="18">
        <v>0.88919999999999999</v>
      </c>
      <c r="Y1196" s="18">
        <v>3.952E-2</v>
      </c>
      <c r="Z1196" s="18">
        <v>0.17537</v>
      </c>
      <c r="AA1196" s="18">
        <v>0.25688</v>
      </c>
      <c r="AB1196" s="18">
        <v>0.45694999999999997</v>
      </c>
      <c r="AC1196" s="18">
        <v>0.14079</v>
      </c>
      <c r="AD1196" s="18">
        <v>0.74099999999999999</v>
      </c>
    </row>
    <row r="1197" spans="2:30" x14ac:dyDescent="0.25">
      <c r="B1197" t="s">
        <v>269</v>
      </c>
      <c r="C1197" t="s">
        <v>463</v>
      </c>
      <c r="D1197" t="s">
        <v>752</v>
      </c>
      <c r="E1197" s="35">
        <v>0.9</v>
      </c>
      <c r="F1197" s="35">
        <v>6.6</v>
      </c>
      <c r="G1197" s="36">
        <v>2.47E-3</v>
      </c>
      <c r="H1197" s="18">
        <v>4.4452980000000002</v>
      </c>
      <c r="I1197" s="16" t="s">
        <v>746</v>
      </c>
      <c r="J1197" s="16"/>
      <c r="K1197" s="16"/>
      <c r="L1197" s="37"/>
      <c r="M1197" s="37"/>
      <c r="N1197" s="37"/>
      <c r="O1197" s="37"/>
      <c r="P1197" s="37"/>
      <c r="Q1197" s="18">
        <v>2.717E-2</v>
      </c>
      <c r="R1197" s="18">
        <v>1.8525E-4</v>
      </c>
      <c r="S1197" s="18">
        <v>5.1869999999999999E-2</v>
      </c>
      <c r="T1197" s="18">
        <v>0.2223</v>
      </c>
      <c r="U1197" s="18">
        <v>0.11115</v>
      </c>
      <c r="V1197" s="18">
        <v>1.42272</v>
      </c>
      <c r="W1197" s="18">
        <v>1.3338000000000001</v>
      </c>
      <c r="X1197" s="18">
        <v>0.88919999999999999</v>
      </c>
      <c r="Y1197" s="18">
        <v>3.952E-2</v>
      </c>
      <c r="Z1197" s="18">
        <v>0.17537</v>
      </c>
      <c r="AA1197" s="18">
        <v>0.25688</v>
      </c>
      <c r="AB1197" s="18">
        <v>0.45694999999999997</v>
      </c>
      <c r="AC1197" s="18">
        <v>0.14079</v>
      </c>
      <c r="AD1197" s="18">
        <v>0.74099999999999999</v>
      </c>
    </row>
    <row r="1198" spans="2:30" x14ac:dyDescent="0.25">
      <c r="B1198" t="s">
        <v>269</v>
      </c>
      <c r="C1198" t="s">
        <v>463</v>
      </c>
      <c r="D1198" t="s">
        <v>752</v>
      </c>
      <c r="E1198" s="35">
        <v>0.9</v>
      </c>
      <c r="F1198" s="35">
        <v>6.6</v>
      </c>
      <c r="G1198" s="36">
        <v>2.47E-3</v>
      </c>
      <c r="H1198" s="18">
        <v>4.4452980000000002</v>
      </c>
      <c r="I1198" s="16" t="s">
        <v>746</v>
      </c>
      <c r="J1198" s="16"/>
      <c r="K1198" s="16"/>
      <c r="L1198" s="37"/>
      <c r="M1198" s="37"/>
      <c r="N1198" s="37"/>
      <c r="O1198" s="37"/>
      <c r="P1198" s="37"/>
      <c r="Q1198" s="18">
        <v>2.717E-2</v>
      </c>
      <c r="R1198" s="18">
        <v>1.8525E-4</v>
      </c>
      <c r="S1198" s="18">
        <v>5.1869999999999999E-2</v>
      </c>
      <c r="T1198" s="18">
        <v>0.2223</v>
      </c>
      <c r="U1198" s="18">
        <v>0.11115</v>
      </c>
      <c r="V1198" s="18">
        <v>1.42272</v>
      </c>
      <c r="W1198" s="18">
        <v>1.3338000000000001</v>
      </c>
      <c r="X1198" s="18">
        <v>0.88919999999999999</v>
      </c>
      <c r="Y1198" s="18">
        <v>3.952E-2</v>
      </c>
      <c r="Z1198" s="18">
        <v>0.17537</v>
      </c>
      <c r="AA1198" s="18">
        <v>0.25688</v>
      </c>
      <c r="AB1198" s="18">
        <v>0.45694999999999997</v>
      </c>
      <c r="AC1198" s="18">
        <v>0.14079</v>
      </c>
      <c r="AD1198" s="18">
        <v>0.74099999999999999</v>
      </c>
    </row>
    <row r="1199" spans="2:30" x14ac:dyDescent="0.25">
      <c r="B1199" t="s">
        <v>269</v>
      </c>
      <c r="C1199" t="s">
        <v>463</v>
      </c>
      <c r="D1199" t="s">
        <v>752</v>
      </c>
      <c r="E1199" s="35">
        <v>0.9</v>
      </c>
      <c r="F1199" s="35">
        <v>6.6</v>
      </c>
      <c r="G1199" s="36">
        <v>2.47E-3</v>
      </c>
      <c r="H1199" s="18">
        <v>4.4452980000000002</v>
      </c>
      <c r="I1199" s="16" t="s">
        <v>746</v>
      </c>
      <c r="J1199" s="16"/>
      <c r="K1199" s="16"/>
      <c r="L1199" s="37"/>
      <c r="M1199" s="37"/>
      <c r="N1199" s="37"/>
      <c r="O1199" s="37"/>
      <c r="P1199" s="37"/>
      <c r="Q1199" s="18">
        <v>2.717E-2</v>
      </c>
      <c r="R1199" s="18">
        <v>1.8525E-4</v>
      </c>
      <c r="S1199" s="18">
        <v>5.1869999999999999E-2</v>
      </c>
      <c r="T1199" s="18">
        <v>0.2223</v>
      </c>
      <c r="U1199" s="18">
        <v>0.11115</v>
      </c>
      <c r="V1199" s="18">
        <v>1.42272</v>
      </c>
      <c r="W1199" s="18">
        <v>1.3338000000000001</v>
      </c>
      <c r="X1199" s="18">
        <v>0.88919999999999999</v>
      </c>
      <c r="Y1199" s="18">
        <v>3.952E-2</v>
      </c>
      <c r="Z1199" s="18">
        <v>0.17537</v>
      </c>
      <c r="AA1199" s="18">
        <v>0.25688</v>
      </c>
      <c r="AB1199" s="18">
        <v>0.45694999999999997</v>
      </c>
      <c r="AC1199" s="18">
        <v>0.14079</v>
      </c>
      <c r="AD1199" s="18">
        <v>0.74099999999999999</v>
      </c>
    </row>
    <row r="1200" spans="2:30" x14ac:dyDescent="0.25">
      <c r="B1200" t="s">
        <v>269</v>
      </c>
      <c r="C1200" t="s">
        <v>463</v>
      </c>
      <c r="D1200" t="s">
        <v>752</v>
      </c>
      <c r="E1200" s="35">
        <v>0.9</v>
      </c>
      <c r="F1200" s="35">
        <v>6.6</v>
      </c>
      <c r="G1200" s="36">
        <v>2.47E-3</v>
      </c>
      <c r="H1200" s="18">
        <v>4.4452980000000002</v>
      </c>
      <c r="I1200" s="16" t="s">
        <v>746</v>
      </c>
      <c r="J1200" s="16"/>
      <c r="K1200" s="16"/>
      <c r="L1200" s="37"/>
      <c r="M1200" s="37"/>
      <c r="N1200" s="37"/>
      <c r="O1200" s="37"/>
      <c r="P1200" s="37"/>
      <c r="Q1200" s="18">
        <v>2.717E-2</v>
      </c>
      <c r="R1200" s="18">
        <v>1.8525E-4</v>
      </c>
      <c r="S1200" s="18">
        <v>5.1869999999999999E-2</v>
      </c>
      <c r="T1200" s="18">
        <v>0.2223</v>
      </c>
      <c r="U1200" s="18">
        <v>0.11115</v>
      </c>
      <c r="V1200" s="18">
        <v>1.42272</v>
      </c>
      <c r="W1200" s="18">
        <v>1.3338000000000001</v>
      </c>
      <c r="X1200" s="18">
        <v>0.88919999999999999</v>
      </c>
      <c r="Y1200" s="18">
        <v>3.952E-2</v>
      </c>
      <c r="Z1200" s="18">
        <v>0.17537</v>
      </c>
      <c r="AA1200" s="18">
        <v>0.25688</v>
      </c>
      <c r="AB1200" s="18">
        <v>0.45694999999999997</v>
      </c>
      <c r="AC1200" s="18">
        <v>0.14079</v>
      </c>
      <c r="AD1200" s="18">
        <v>0.74099999999999999</v>
      </c>
    </row>
    <row r="1201" spans="2:30" x14ac:dyDescent="0.25">
      <c r="B1201" t="s">
        <v>269</v>
      </c>
      <c r="C1201" t="s">
        <v>463</v>
      </c>
      <c r="D1201" t="s">
        <v>752</v>
      </c>
      <c r="E1201" s="35">
        <v>0.9</v>
      </c>
      <c r="F1201" s="35">
        <v>6.6</v>
      </c>
      <c r="G1201" s="36">
        <v>2.47E-3</v>
      </c>
      <c r="H1201" s="18">
        <v>4.4452980000000002</v>
      </c>
      <c r="I1201" s="16" t="s">
        <v>746</v>
      </c>
      <c r="J1201" s="16"/>
      <c r="K1201" s="16"/>
      <c r="L1201" s="37"/>
      <c r="M1201" s="37"/>
      <c r="N1201" s="37"/>
      <c r="O1201" s="37"/>
      <c r="P1201" s="37"/>
      <c r="Q1201" s="18">
        <v>2.717E-2</v>
      </c>
      <c r="R1201" s="18">
        <v>1.8525E-4</v>
      </c>
      <c r="S1201" s="18">
        <v>5.1869999999999999E-2</v>
      </c>
      <c r="T1201" s="18">
        <v>0.2223</v>
      </c>
      <c r="U1201" s="18">
        <v>0.11115</v>
      </c>
      <c r="V1201" s="18">
        <v>1.42272</v>
      </c>
      <c r="W1201" s="18">
        <v>1.3338000000000001</v>
      </c>
      <c r="X1201" s="18">
        <v>0.88919999999999999</v>
      </c>
      <c r="Y1201" s="18">
        <v>3.952E-2</v>
      </c>
      <c r="Z1201" s="18">
        <v>0.17537</v>
      </c>
      <c r="AA1201" s="18">
        <v>0.25688</v>
      </c>
      <c r="AB1201" s="18">
        <v>0.45694999999999997</v>
      </c>
      <c r="AC1201" s="18">
        <v>0.14079</v>
      </c>
      <c r="AD1201" s="18">
        <v>0.74099999999999999</v>
      </c>
    </row>
    <row r="1202" spans="2:30" x14ac:dyDescent="0.25">
      <c r="B1202" t="s">
        <v>269</v>
      </c>
      <c r="C1202" t="s">
        <v>463</v>
      </c>
      <c r="D1202" t="s">
        <v>752</v>
      </c>
      <c r="E1202" s="35">
        <v>0.9</v>
      </c>
      <c r="F1202" s="35">
        <v>6.6</v>
      </c>
      <c r="G1202" s="36">
        <v>2.47E-3</v>
      </c>
      <c r="H1202" s="18">
        <v>4.4452980000000002</v>
      </c>
      <c r="I1202" s="16" t="s">
        <v>746</v>
      </c>
      <c r="J1202" s="16"/>
      <c r="K1202" s="16"/>
      <c r="L1202" s="37"/>
      <c r="M1202" s="37"/>
      <c r="N1202" s="37"/>
      <c r="O1202" s="37"/>
      <c r="P1202" s="37"/>
      <c r="Q1202" s="18">
        <v>2.717E-2</v>
      </c>
      <c r="R1202" s="18">
        <v>1.8525E-4</v>
      </c>
      <c r="S1202" s="18">
        <v>5.1869999999999999E-2</v>
      </c>
      <c r="T1202" s="18">
        <v>0.2223</v>
      </c>
      <c r="U1202" s="18">
        <v>0.11115</v>
      </c>
      <c r="V1202" s="18">
        <v>1.42272</v>
      </c>
      <c r="W1202" s="18">
        <v>1.3338000000000001</v>
      </c>
      <c r="X1202" s="18">
        <v>0.88919999999999999</v>
      </c>
      <c r="Y1202" s="18">
        <v>3.952E-2</v>
      </c>
      <c r="Z1202" s="18">
        <v>0.17537</v>
      </c>
      <c r="AA1202" s="18">
        <v>0.25688</v>
      </c>
      <c r="AB1202" s="18">
        <v>0.45694999999999997</v>
      </c>
      <c r="AC1202" s="18">
        <v>0.14079</v>
      </c>
      <c r="AD1202" s="18">
        <v>0.74099999999999999</v>
      </c>
    </row>
    <row r="1203" spans="2:30" x14ac:dyDescent="0.25">
      <c r="B1203" t="s">
        <v>269</v>
      </c>
      <c r="C1203" t="s">
        <v>463</v>
      </c>
      <c r="D1203" t="s">
        <v>752</v>
      </c>
      <c r="E1203" s="35">
        <v>0.9</v>
      </c>
      <c r="F1203" s="35">
        <v>6.6</v>
      </c>
      <c r="G1203" s="36">
        <v>2.47E-3</v>
      </c>
      <c r="H1203" s="18">
        <v>4.4452980000000002</v>
      </c>
      <c r="I1203" s="16" t="s">
        <v>746</v>
      </c>
      <c r="J1203" s="16"/>
      <c r="K1203" s="16"/>
      <c r="L1203" s="37"/>
      <c r="M1203" s="37"/>
      <c r="N1203" s="37"/>
      <c r="O1203" s="37"/>
      <c r="P1203" s="37"/>
      <c r="Q1203" s="18">
        <v>2.717E-2</v>
      </c>
      <c r="R1203" s="18">
        <v>1.8525E-4</v>
      </c>
      <c r="S1203" s="18">
        <v>5.1869999999999999E-2</v>
      </c>
      <c r="T1203" s="18">
        <v>0.2223</v>
      </c>
      <c r="U1203" s="18">
        <v>0.11115</v>
      </c>
      <c r="V1203" s="18">
        <v>1.42272</v>
      </c>
      <c r="W1203" s="18">
        <v>1.3338000000000001</v>
      </c>
      <c r="X1203" s="18">
        <v>0.88919999999999999</v>
      </c>
      <c r="Y1203" s="18">
        <v>3.952E-2</v>
      </c>
      <c r="Z1203" s="18">
        <v>0.17537</v>
      </c>
      <c r="AA1203" s="18">
        <v>0.25688</v>
      </c>
      <c r="AB1203" s="18">
        <v>0.45694999999999997</v>
      </c>
      <c r="AC1203" s="18">
        <v>0.14079</v>
      </c>
      <c r="AD1203" s="18">
        <v>0.74099999999999999</v>
      </c>
    </row>
    <row r="1204" spans="2:30" x14ac:dyDescent="0.25">
      <c r="B1204" t="s">
        <v>269</v>
      </c>
      <c r="C1204" t="s">
        <v>463</v>
      </c>
      <c r="D1204" t="s">
        <v>752</v>
      </c>
      <c r="E1204" s="35">
        <v>0.9</v>
      </c>
      <c r="F1204" s="35">
        <v>6.6</v>
      </c>
      <c r="G1204" s="36">
        <v>2.47E-3</v>
      </c>
      <c r="H1204" s="18">
        <v>4.4452980000000002</v>
      </c>
      <c r="I1204" s="16" t="s">
        <v>746</v>
      </c>
      <c r="J1204" s="16"/>
      <c r="K1204" s="16"/>
      <c r="L1204" s="37"/>
      <c r="M1204" s="37"/>
      <c r="N1204" s="37"/>
      <c r="O1204" s="37"/>
      <c r="P1204" s="37"/>
      <c r="Q1204" s="18">
        <v>2.717E-2</v>
      </c>
      <c r="R1204" s="18">
        <v>1.8525E-4</v>
      </c>
      <c r="S1204" s="18">
        <v>5.1869999999999999E-2</v>
      </c>
      <c r="T1204" s="18">
        <v>0.2223</v>
      </c>
      <c r="U1204" s="18">
        <v>0.11115</v>
      </c>
      <c r="V1204" s="18">
        <v>1.42272</v>
      </c>
      <c r="W1204" s="18">
        <v>1.3338000000000001</v>
      </c>
      <c r="X1204" s="18">
        <v>0.88919999999999999</v>
      </c>
      <c r="Y1204" s="18">
        <v>3.952E-2</v>
      </c>
      <c r="Z1204" s="18">
        <v>0.17537</v>
      </c>
      <c r="AA1204" s="18">
        <v>0.25688</v>
      </c>
      <c r="AB1204" s="18">
        <v>0.45694999999999997</v>
      </c>
      <c r="AC1204" s="18">
        <v>0.14079</v>
      </c>
      <c r="AD1204" s="18">
        <v>0.74099999999999999</v>
      </c>
    </row>
    <row r="1205" spans="2:30" x14ac:dyDescent="0.25">
      <c r="B1205" t="s">
        <v>269</v>
      </c>
      <c r="C1205" t="s">
        <v>463</v>
      </c>
      <c r="D1205" t="s">
        <v>752</v>
      </c>
      <c r="E1205" s="35">
        <v>0.9</v>
      </c>
      <c r="F1205" s="35">
        <v>6.6</v>
      </c>
      <c r="G1205" s="36">
        <v>2.47E-3</v>
      </c>
      <c r="H1205" s="18">
        <v>4.4452980000000002</v>
      </c>
      <c r="I1205" s="16" t="s">
        <v>746</v>
      </c>
      <c r="J1205" s="16"/>
      <c r="K1205" s="16"/>
      <c r="L1205" s="37"/>
      <c r="M1205" s="37"/>
      <c r="N1205" s="37"/>
      <c r="O1205" s="37"/>
      <c r="P1205" s="37"/>
      <c r="Q1205" s="18">
        <v>2.717E-2</v>
      </c>
      <c r="R1205" s="18">
        <v>1.8525E-4</v>
      </c>
      <c r="S1205" s="18">
        <v>5.1869999999999999E-2</v>
      </c>
      <c r="T1205" s="18">
        <v>0.2223</v>
      </c>
      <c r="U1205" s="18">
        <v>0.11115</v>
      </c>
      <c r="V1205" s="18">
        <v>1.42272</v>
      </c>
      <c r="W1205" s="18">
        <v>1.3338000000000001</v>
      </c>
      <c r="X1205" s="18">
        <v>0.88919999999999999</v>
      </c>
      <c r="Y1205" s="18">
        <v>3.952E-2</v>
      </c>
      <c r="Z1205" s="18">
        <v>0.17537</v>
      </c>
      <c r="AA1205" s="18">
        <v>0.25688</v>
      </c>
      <c r="AB1205" s="18">
        <v>0.45694999999999997</v>
      </c>
      <c r="AC1205" s="18">
        <v>0.14079</v>
      </c>
      <c r="AD1205" s="18">
        <v>0.74099999999999999</v>
      </c>
    </row>
    <row r="1206" spans="2:30" x14ac:dyDescent="0.25">
      <c r="B1206" t="s">
        <v>269</v>
      </c>
      <c r="C1206" t="s">
        <v>463</v>
      </c>
      <c r="D1206" t="s">
        <v>752</v>
      </c>
      <c r="E1206" s="35">
        <v>0.9</v>
      </c>
      <c r="F1206" s="35">
        <v>6.6</v>
      </c>
      <c r="G1206" s="36">
        <v>2.47E-3</v>
      </c>
      <c r="H1206" s="18">
        <v>4.4452980000000002</v>
      </c>
      <c r="I1206" s="16" t="s">
        <v>746</v>
      </c>
      <c r="J1206" s="16"/>
      <c r="K1206" s="16"/>
      <c r="L1206" s="37"/>
      <c r="M1206" s="37"/>
      <c r="N1206" s="37"/>
      <c r="O1206" s="37"/>
      <c r="P1206" s="37"/>
      <c r="Q1206" s="18">
        <v>2.717E-2</v>
      </c>
      <c r="R1206" s="18">
        <v>1.8525E-4</v>
      </c>
      <c r="S1206" s="18">
        <v>5.1869999999999999E-2</v>
      </c>
      <c r="T1206" s="18">
        <v>0.2223</v>
      </c>
      <c r="U1206" s="18">
        <v>0.11115</v>
      </c>
      <c r="V1206" s="18">
        <v>1.42272</v>
      </c>
      <c r="W1206" s="18">
        <v>1.3338000000000001</v>
      </c>
      <c r="X1206" s="18">
        <v>0.88919999999999999</v>
      </c>
      <c r="Y1206" s="18">
        <v>3.952E-2</v>
      </c>
      <c r="Z1206" s="18">
        <v>0.17537</v>
      </c>
      <c r="AA1206" s="18">
        <v>0.25688</v>
      </c>
      <c r="AB1206" s="18">
        <v>0.45694999999999997</v>
      </c>
      <c r="AC1206" s="18">
        <v>0.14079</v>
      </c>
      <c r="AD1206" s="18">
        <v>0.74099999999999999</v>
      </c>
    </row>
    <row r="1207" spans="2:30" x14ac:dyDescent="0.25">
      <c r="B1207" t="s">
        <v>269</v>
      </c>
      <c r="C1207" t="s">
        <v>463</v>
      </c>
      <c r="D1207" t="s">
        <v>752</v>
      </c>
      <c r="E1207" s="35">
        <v>0.9</v>
      </c>
      <c r="F1207" s="35">
        <v>6.6</v>
      </c>
      <c r="G1207" s="36">
        <v>2.47E-3</v>
      </c>
      <c r="H1207" s="18">
        <v>4.4452980000000002</v>
      </c>
      <c r="I1207" s="16" t="s">
        <v>746</v>
      </c>
      <c r="J1207" s="16"/>
      <c r="K1207" s="16"/>
      <c r="L1207" s="37"/>
      <c r="M1207" s="37"/>
      <c r="N1207" s="37"/>
      <c r="O1207" s="37"/>
      <c r="P1207" s="37"/>
      <c r="Q1207" s="18">
        <v>2.717E-2</v>
      </c>
      <c r="R1207" s="18">
        <v>1.8525E-4</v>
      </c>
      <c r="S1207" s="18">
        <v>5.1869999999999999E-2</v>
      </c>
      <c r="T1207" s="18">
        <v>0.2223</v>
      </c>
      <c r="U1207" s="18">
        <v>0.11115</v>
      </c>
      <c r="V1207" s="18">
        <v>1.42272</v>
      </c>
      <c r="W1207" s="18">
        <v>1.3338000000000001</v>
      </c>
      <c r="X1207" s="18">
        <v>0.88919999999999999</v>
      </c>
      <c r="Y1207" s="18">
        <v>3.952E-2</v>
      </c>
      <c r="Z1207" s="18">
        <v>0.17537</v>
      </c>
      <c r="AA1207" s="18">
        <v>0.25688</v>
      </c>
      <c r="AB1207" s="18">
        <v>0.45694999999999997</v>
      </c>
      <c r="AC1207" s="18">
        <v>0.14079</v>
      </c>
      <c r="AD1207" s="18">
        <v>0.74099999999999999</v>
      </c>
    </row>
    <row r="1208" spans="2:30" x14ac:dyDescent="0.25">
      <c r="B1208" t="s">
        <v>269</v>
      </c>
      <c r="C1208" t="s">
        <v>463</v>
      </c>
      <c r="D1208" t="s">
        <v>752</v>
      </c>
      <c r="E1208" s="35">
        <v>0.9</v>
      </c>
      <c r="F1208" s="35">
        <v>6.6</v>
      </c>
      <c r="G1208" s="36">
        <v>2.47E-3</v>
      </c>
      <c r="H1208" s="18">
        <v>4.4452980000000002</v>
      </c>
      <c r="I1208" s="16" t="s">
        <v>746</v>
      </c>
      <c r="J1208" s="16"/>
      <c r="K1208" s="16"/>
      <c r="L1208" s="37"/>
      <c r="M1208" s="37"/>
      <c r="N1208" s="37"/>
      <c r="O1208" s="37"/>
      <c r="P1208" s="37"/>
      <c r="Q1208" s="18">
        <v>2.717E-2</v>
      </c>
      <c r="R1208" s="18">
        <v>1.8525E-4</v>
      </c>
      <c r="S1208" s="18">
        <v>5.1869999999999999E-2</v>
      </c>
      <c r="T1208" s="18">
        <v>0.2223</v>
      </c>
      <c r="U1208" s="18">
        <v>0.11115</v>
      </c>
      <c r="V1208" s="18">
        <v>1.42272</v>
      </c>
      <c r="W1208" s="18">
        <v>1.3338000000000001</v>
      </c>
      <c r="X1208" s="18">
        <v>0.88919999999999999</v>
      </c>
      <c r="Y1208" s="18">
        <v>3.952E-2</v>
      </c>
      <c r="Z1208" s="18">
        <v>0.17537</v>
      </c>
      <c r="AA1208" s="18">
        <v>0.25688</v>
      </c>
      <c r="AB1208" s="18">
        <v>0.45694999999999997</v>
      </c>
      <c r="AC1208" s="18">
        <v>0.14079</v>
      </c>
      <c r="AD1208" s="18">
        <v>0.74099999999999999</v>
      </c>
    </row>
    <row r="1209" spans="2:30" x14ac:dyDescent="0.25">
      <c r="B1209" t="s">
        <v>269</v>
      </c>
      <c r="C1209" t="s">
        <v>463</v>
      </c>
      <c r="D1209" t="s">
        <v>752</v>
      </c>
      <c r="E1209" s="35">
        <v>0.9</v>
      </c>
      <c r="F1209" s="35">
        <v>6.6</v>
      </c>
      <c r="G1209" s="36">
        <v>2.47E-3</v>
      </c>
      <c r="H1209" s="18">
        <v>4.4452980000000002</v>
      </c>
      <c r="I1209" s="16" t="s">
        <v>746</v>
      </c>
      <c r="J1209" s="16"/>
      <c r="K1209" s="16"/>
      <c r="L1209" s="37"/>
      <c r="M1209" s="37"/>
      <c r="N1209" s="37"/>
      <c r="O1209" s="37"/>
      <c r="P1209" s="37"/>
      <c r="Q1209" s="18">
        <v>2.717E-2</v>
      </c>
      <c r="R1209" s="18">
        <v>1.8525E-4</v>
      </c>
      <c r="S1209" s="18">
        <v>5.1869999999999999E-2</v>
      </c>
      <c r="T1209" s="18">
        <v>0.2223</v>
      </c>
      <c r="U1209" s="18">
        <v>0.11115</v>
      </c>
      <c r="V1209" s="18">
        <v>1.42272</v>
      </c>
      <c r="W1209" s="18">
        <v>1.3338000000000001</v>
      </c>
      <c r="X1209" s="18">
        <v>0.88919999999999999</v>
      </c>
      <c r="Y1209" s="18">
        <v>3.952E-2</v>
      </c>
      <c r="Z1209" s="18">
        <v>0.17537</v>
      </c>
      <c r="AA1209" s="18">
        <v>0.25688</v>
      </c>
      <c r="AB1209" s="18">
        <v>0.45694999999999997</v>
      </c>
      <c r="AC1209" s="18">
        <v>0.14079</v>
      </c>
      <c r="AD1209" s="18">
        <v>0.74099999999999999</v>
      </c>
    </row>
    <row r="1210" spans="2:30" x14ac:dyDescent="0.25">
      <c r="B1210" t="s">
        <v>269</v>
      </c>
      <c r="C1210" t="s">
        <v>463</v>
      </c>
      <c r="D1210" t="s">
        <v>752</v>
      </c>
      <c r="E1210" s="35">
        <v>0.9</v>
      </c>
      <c r="F1210" s="35">
        <v>6.6</v>
      </c>
      <c r="G1210" s="36">
        <v>2.47E-3</v>
      </c>
      <c r="H1210" s="18">
        <v>4.4452980000000002</v>
      </c>
      <c r="I1210" s="16" t="s">
        <v>746</v>
      </c>
      <c r="J1210" s="16"/>
      <c r="K1210" s="16"/>
      <c r="L1210" s="37"/>
      <c r="M1210" s="37"/>
      <c r="N1210" s="37"/>
      <c r="O1210" s="37"/>
      <c r="P1210" s="37"/>
      <c r="Q1210" s="18">
        <v>2.717E-2</v>
      </c>
      <c r="R1210" s="18">
        <v>1.8525E-4</v>
      </c>
      <c r="S1210" s="18">
        <v>5.1869999999999999E-2</v>
      </c>
      <c r="T1210" s="18">
        <v>0.2223</v>
      </c>
      <c r="U1210" s="18">
        <v>0.11115</v>
      </c>
      <c r="V1210" s="18">
        <v>1.42272</v>
      </c>
      <c r="W1210" s="18">
        <v>1.3338000000000001</v>
      </c>
      <c r="X1210" s="18">
        <v>0.88919999999999999</v>
      </c>
      <c r="Y1210" s="18">
        <v>3.952E-2</v>
      </c>
      <c r="Z1210" s="18">
        <v>0.17537</v>
      </c>
      <c r="AA1210" s="18">
        <v>0.25688</v>
      </c>
      <c r="AB1210" s="18">
        <v>0.45694999999999997</v>
      </c>
      <c r="AC1210" s="18">
        <v>0.14079</v>
      </c>
      <c r="AD1210" s="18">
        <v>0.74099999999999999</v>
      </c>
    </row>
    <row r="1211" spans="2:30" x14ac:dyDescent="0.25">
      <c r="B1211" t="s">
        <v>269</v>
      </c>
      <c r="C1211" t="s">
        <v>463</v>
      </c>
      <c r="D1211" t="s">
        <v>752</v>
      </c>
      <c r="E1211" s="35">
        <v>0.9</v>
      </c>
      <c r="F1211" s="35">
        <v>6.6</v>
      </c>
      <c r="G1211" s="36">
        <v>2.47E-3</v>
      </c>
      <c r="H1211" s="18">
        <v>4.4452980000000002</v>
      </c>
      <c r="I1211" s="16" t="s">
        <v>746</v>
      </c>
      <c r="J1211" s="16"/>
      <c r="K1211" s="16"/>
      <c r="L1211" s="37"/>
      <c r="M1211" s="37"/>
      <c r="N1211" s="37"/>
      <c r="O1211" s="37"/>
      <c r="P1211" s="37"/>
      <c r="Q1211" s="18">
        <v>2.717E-2</v>
      </c>
      <c r="R1211" s="18">
        <v>1.8525E-4</v>
      </c>
      <c r="S1211" s="18">
        <v>5.1869999999999999E-2</v>
      </c>
      <c r="T1211" s="18">
        <v>0.2223</v>
      </c>
      <c r="U1211" s="18">
        <v>0.11115</v>
      </c>
      <c r="V1211" s="18">
        <v>1.42272</v>
      </c>
      <c r="W1211" s="18">
        <v>1.3338000000000001</v>
      </c>
      <c r="X1211" s="18">
        <v>0.88919999999999999</v>
      </c>
      <c r="Y1211" s="18">
        <v>3.952E-2</v>
      </c>
      <c r="Z1211" s="18">
        <v>0.17537</v>
      </c>
      <c r="AA1211" s="18">
        <v>0.25688</v>
      </c>
      <c r="AB1211" s="18">
        <v>0.45694999999999997</v>
      </c>
      <c r="AC1211" s="18">
        <v>0.14079</v>
      </c>
      <c r="AD1211" s="18">
        <v>0.74099999999999999</v>
      </c>
    </row>
    <row r="1212" spans="2:30" x14ac:dyDescent="0.25">
      <c r="B1212" t="s">
        <v>269</v>
      </c>
      <c r="C1212" t="s">
        <v>463</v>
      </c>
      <c r="D1212" t="s">
        <v>752</v>
      </c>
      <c r="E1212" s="35">
        <v>0.9</v>
      </c>
      <c r="F1212" s="35">
        <v>6.6</v>
      </c>
      <c r="G1212" s="36">
        <v>2.47E-3</v>
      </c>
      <c r="H1212" s="18">
        <v>4.4452980000000002</v>
      </c>
      <c r="I1212" s="16" t="s">
        <v>746</v>
      </c>
      <c r="J1212" s="16"/>
      <c r="K1212" s="16"/>
      <c r="L1212" s="37"/>
      <c r="M1212" s="37"/>
      <c r="N1212" s="37"/>
      <c r="O1212" s="37"/>
      <c r="P1212" s="37"/>
      <c r="Q1212" s="18">
        <v>2.717E-2</v>
      </c>
      <c r="R1212" s="18">
        <v>1.8525E-4</v>
      </c>
      <c r="S1212" s="18">
        <v>5.1869999999999999E-2</v>
      </c>
      <c r="T1212" s="18">
        <v>0.2223</v>
      </c>
      <c r="U1212" s="18">
        <v>0.11115</v>
      </c>
      <c r="V1212" s="18">
        <v>1.42272</v>
      </c>
      <c r="W1212" s="18">
        <v>1.3338000000000001</v>
      </c>
      <c r="X1212" s="18">
        <v>0.88919999999999999</v>
      </c>
      <c r="Y1212" s="18">
        <v>3.952E-2</v>
      </c>
      <c r="Z1212" s="18">
        <v>0.17537</v>
      </c>
      <c r="AA1212" s="18">
        <v>0.25688</v>
      </c>
      <c r="AB1212" s="18">
        <v>0.45694999999999997</v>
      </c>
      <c r="AC1212" s="18">
        <v>0.14079</v>
      </c>
      <c r="AD1212" s="18">
        <v>0.74099999999999999</v>
      </c>
    </row>
    <row r="1213" spans="2:30" x14ac:dyDescent="0.25">
      <c r="B1213" t="s">
        <v>269</v>
      </c>
      <c r="C1213" t="s">
        <v>463</v>
      </c>
      <c r="D1213" t="s">
        <v>752</v>
      </c>
      <c r="E1213" s="35">
        <v>0.9</v>
      </c>
      <c r="F1213" s="35">
        <v>6.6</v>
      </c>
      <c r="G1213" s="36">
        <v>2.47E-3</v>
      </c>
      <c r="H1213" s="18">
        <v>4.4452980000000002</v>
      </c>
      <c r="I1213" s="16" t="s">
        <v>746</v>
      </c>
      <c r="J1213" s="16"/>
      <c r="K1213" s="16"/>
      <c r="L1213" s="37"/>
      <c r="M1213" s="37"/>
      <c r="N1213" s="37"/>
      <c r="O1213" s="37"/>
      <c r="P1213" s="37"/>
      <c r="Q1213" s="18">
        <v>2.717E-2</v>
      </c>
      <c r="R1213" s="18">
        <v>1.8525E-4</v>
      </c>
      <c r="S1213" s="18">
        <v>5.1869999999999999E-2</v>
      </c>
      <c r="T1213" s="18">
        <v>0.2223</v>
      </c>
      <c r="U1213" s="18">
        <v>0.11115</v>
      </c>
      <c r="V1213" s="18">
        <v>1.42272</v>
      </c>
      <c r="W1213" s="18">
        <v>1.3338000000000001</v>
      </c>
      <c r="X1213" s="18">
        <v>0.88919999999999999</v>
      </c>
      <c r="Y1213" s="18">
        <v>3.952E-2</v>
      </c>
      <c r="Z1213" s="18">
        <v>0.17537</v>
      </c>
      <c r="AA1213" s="18">
        <v>0.25688</v>
      </c>
      <c r="AB1213" s="18">
        <v>0.45694999999999997</v>
      </c>
      <c r="AC1213" s="18">
        <v>0.14079</v>
      </c>
      <c r="AD1213" s="18">
        <v>0.74099999999999999</v>
      </c>
    </row>
    <row r="1214" spans="2:30" x14ac:dyDescent="0.25">
      <c r="B1214" t="s">
        <v>269</v>
      </c>
      <c r="C1214" t="s">
        <v>463</v>
      </c>
      <c r="D1214" t="s">
        <v>752</v>
      </c>
      <c r="E1214" s="35">
        <v>0.9</v>
      </c>
      <c r="F1214" s="35">
        <v>6.6</v>
      </c>
      <c r="G1214" s="36">
        <v>2.47E-3</v>
      </c>
      <c r="H1214" s="18">
        <v>4.4452980000000002</v>
      </c>
      <c r="I1214" s="16" t="s">
        <v>746</v>
      </c>
      <c r="J1214" s="16"/>
      <c r="K1214" s="16"/>
      <c r="L1214" s="37"/>
      <c r="M1214" s="37"/>
      <c r="N1214" s="37"/>
      <c r="O1214" s="37"/>
      <c r="P1214" s="37"/>
      <c r="Q1214" s="18">
        <v>2.717E-2</v>
      </c>
      <c r="R1214" s="18">
        <v>1.8525E-4</v>
      </c>
      <c r="S1214" s="18">
        <v>5.1869999999999999E-2</v>
      </c>
      <c r="T1214" s="18">
        <v>0.2223</v>
      </c>
      <c r="U1214" s="18">
        <v>0.11115</v>
      </c>
      <c r="V1214" s="18">
        <v>1.42272</v>
      </c>
      <c r="W1214" s="18">
        <v>1.3338000000000001</v>
      </c>
      <c r="X1214" s="18">
        <v>0.88919999999999999</v>
      </c>
      <c r="Y1214" s="18">
        <v>3.952E-2</v>
      </c>
      <c r="Z1214" s="18">
        <v>0.17537</v>
      </c>
      <c r="AA1214" s="18">
        <v>0.25688</v>
      </c>
      <c r="AB1214" s="18">
        <v>0.45694999999999997</v>
      </c>
      <c r="AC1214" s="18">
        <v>0.14079</v>
      </c>
      <c r="AD1214" s="18">
        <v>0.74099999999999999</v>
      </c>
    </row>
    <row r="1215" spans="2:30" x14ac:dyDescent="0.25">
      <c r="B1215" t="s">
        <v>269</v>
      </c>
      <c r="C1215" t="s">
        <v>463</v>
      </c>
      <c r="D1215" t="s">
        <v>752</v>
      </c>
      <c r="E1215" s="35">
        <v>0.9</v>
      </c>
      <c r="F1215" s="35">
        <v>6.6</v>
      </c>
      <c r="G1215" s="36">
        <v>2.47E-3</v>
      </c>
      <c r="H1215" s="18">
        <v>4.4452980000000002</v>
      </c>
      <c r="I1215" s="16" t="s">
        <v>746</v>
      </c>
      <c r="J1215" s="16"/>
      <c r="K1215" s="16"/>
      <c r="L1215" s="37"/>
      <c r="M1215" s="37"/>
      <c r="N1215" s="37"/>
      <c r="O1215" s="37"/>
      <c r="P1215" s="37"/>
      <c r="Q1215" s="18">
        <v>2.717E-2</v>
      </c>
      <c r="R1215" s="18">
        <v>1.8525E-4</v>
      </c>
      <c r="S1215" s="18">
        <v>5.1869999999999999E-2</v>
      </c>
      <c r="T1215" s="18">
        <v>0.2223</v>
      </c>
      <c r="U1215" s="18">
        <v>0.11115</v>
      </c>
      <c r="V1215" s="18">
        <v>1.42272</v>
      </c>
      <c r="W1215" s="18">
        <v>1.3338000000000001</v>
      </c>
      <c r="X1215" s="18">
        <v>0.88919999999999999</v>
      </c>
      <c r="Y1215" s="18">
        <v>3.952E-2</v>
      </c>
      <c r="Z1215" s="18">
        <v>0.17537</v>
      </c>
      <c r="AA1215" s="18">
        <v>0.25688</v>
      </c>
      <c r="AB1215" s="18">
        <v>0.45694999999999997</v>
      </c>
      <c r="AC1215" s="18">
        <v>0.14079</v>
      </c>
      <c r="AD1215" s="18">
        <v>0.74099999999999999</v>
      </c>
    </row>
    <row r="1216" spans="2:30" x14ac:dyDescent="0.25">
      <c r="B1216" t="s">
        <v>269</v>
      </c>
      <c r="C1216" t="s">
        <v>463</v>
      </c>
      <c r="D1216" t="s">
        <v>752</v>
      </c>
      <c r="E1216" s="35">
        <v>0.9</v>
      </c>
      <c r="F1216" s="35">
        <v>6.6</v>
      </c>
      <c r="G1216" s="36">
        <v>2.47E-3</v>
      </c>
      <c r="H1216" s="18">
        <v>4.4452980000000002</v>
      </c>
      <c r="I1216" s="16" t="s">
        <v>746</v>
      </c>
      <c r="J1216" s="16"/>
      <c r="K1216" s="16"/>
      <c r="L1216" s="37"/>
      <c r="M1216" s="37"/>
      <c r="N1216" s="37"/>
      <c r="O1216" s="37"/>
      <c r="P1216" s="37"/>
      <c r="Q1216" s="18">
        <v>2.717E-2</v>
      </c>
      <c r="R1216" s="18">
        <v>1.8525E-4</v>
      </c>
      <c r="S1216" s="18">
        <v>5.1869999999999999E-2</v>
      </c>
      <c r="T1216" s="18">
        <v>0.2223</v>
      </c>
      <c r="U1216" s="18">
        <v>0.11115</v>
      </c>
      <c r="V1216" s="18">
        <v>1.42272</v>
      </c>
      <c r="W1216" s="18">
        <v>1.3338000000000001</v>
      </c>
      <c r="X1216" s="18">
        <v>0.88919999999999999</v>
      </c>
      <c r="Y1216" s="18">
        <v>3.952E-2</v>
      </c>
      <c r="Z1216" s="18">
        <v>0.17537</v>
      </c>
      <c r="AA1216" s="18">
        <v>0.25688</v>
      </c>
      <c r="AB1216" s="18">
        <v>0.45694999999999997</v>
      </c>
      <c r="AC1216" s="18">
        <v>0.14079</v>
      </c>
      <c r="AD1216" s="18">
        <v>0.74099999999999999</v>
      </c>
    </row>
    <row r="1217" spans="2:30" x14ac:dyDescent="0.25">
      <c r="B1217" t="s">
        <v>269</v>
      </c>
      <c r="C1217" t="s">
        <v>463</v>
      </c>
      <c r="D1217" t="s">
        <v>752</v>
      </c>
      <c r="E1217" s="35">
        <v>0.9</v>
      </c>
      <c r="F1217" s="35">
        <v>6.6</v>
      </c>
      <c r="G1217" s="36">
        <v>2.47E-3</v>
      </c>
      <c r="H1217" s="18">
        <v>4.4452980000000002</v>
      </c>
      <c r="I1217" s="16" t="s">
        <v>746</v>
      </c>
      <c r="J1217" s="16"/>
      <c r="K1217" s="16"/>
      <c r="L1217" s="37"/>
      <c r="M1217" s="37"/>
      <c r="N1217" s="37"/>
      <c r="O1217" s="37"/>
      <c r="P1217" s="37"/>
      <c r="Q1217" s="18">
        <v>2.717E-2</v>
      </c>
      <c r="R1217" s="18">
        <v>1.8525E-4</v>
      </c>
      <c r="S1217" s="18">
        <v>5.1869999999999999E-2</v>
      </c>
      <c r="T1217" s="18">
        <v>0.2223</v>
      </c>
      <c r="U1217" s="18">
        <v>0.11115</v>
      </c>
      <c r="V1217" s="18">
        <v>1.42272</v>
      </c>
      <c r="W1217" s="18">
        <v>1.3338000000000001</v>
      </c>
      <c r="X1217" s="18">
        <v>0.88919999999999999</v>
      </c>
      <c r="Y1217" s="18">
        <v>3.952E-2</v>
      </c>
      <c r="Z1217" s="18">
        <v>0.17537</v>
      </c>
      <c r="AA1217" s="18">
        <v>0.25688</v>
      </c>
      <c r="AB1217" s="18">
        <v>0.45694999999999997</v>
      </c>
      <c r="AC1217" s="18">
        <v>0.14079</v>
      </c>
      <c r="AD1217" s="18">
        <v>0.74099999999999999</v>
      </c>
    </row>
    <row r="1218" spans="2:30" x14ac:dyDescent="0.25">
      <c r="B1218" t="s">
        <v>269</v>
      </c>
      <c r="C1218" t="s">
        <v>463</v>
      </c>
      <c r="D1218" t="s">
        <v>752</v>
      </c>
      <c r="E1218" s="35">
        <v>0.9</v>
      </c>
      <c r="F1218" s="35">
        <v>6.6</v>
      </c>
      <c r="G1218" s="36">
        <v>2.47E-3</v>
      </c>
      <c r="H1218" s="18">
        <v>4.4452980000000002</v>
      </c>
      <c r="I1218" s="16" t="s">
        <v>746</v>
      </c>
      <c r="J1218" s="16"/>
      <c r="K1218" s="16"/>
      <c r="L1218" s="37"/>
      <c r="M1218" s="37"/>
      <c r="N1218" s="37"/>
      <c r="O1218" s="37"/>
      <c r="P1218" s="37"/>
      <c r="Q1218" s="18">
        <v>2.717E-2</v>
      </c>
      <c r="R1218" s="18">
        <v>1.8525E-4</v>
      </c>
      <c r="S1218" s="18">
        <v>5.1869999999999999E-2</v>
      </c>
      <c r="T1218" s="18">
        <v>0.2223</v>
      </c>
      <c r="U1218" s="18">
        <v>0.11115</v>
      </c>
      <c r="V1218" s="18">
        <v>1.42272</v>
      </c>
      <c r="W1218" s="18">
        <v>1.3338000000000001</v>
      </c>
      <c r="X1218" s="18">
        <v>0.88919999999999999</v>
      </c>
      <c r="Y1218" s="18">
        <v>3.952E-2</v>
      </c>
      <c r="Z1218" s="18">
        <v>0.17537</v>
      </c>
      <c r="AA1218" s="18">
        <v>0.25688</v>
      </c>
      <c r="AB1218" s="18">
        <v>0.45694999999999997</v>
      </c>
      <c r="AC1218" s="18">
        <v>0.14079</v>
      </c>
      <c r="AD1218" s="18">
        <v>0.74099999999999999</v>
      </c>
    </row>
    <row r="1219" spans="2:30" x14ac:dyDescent="0.25">
      <c r="B1219" t="s">
        <v>269</v>
      </c>
      <c r="C1219" t="s">
        <v>463</v>
      </c>
      <c r="D1219" t="s">
        <v>752</v>
      </c>
      <c r="E1219" s="35">
        <v>0.9</v>
      </c>
      <c r="F1219" s="35">
        <v>6.6</v>
      </c>
      <c r="G1219" s="36">
        <v>2.47E-3</v>
      </c>
      <c r="H1219" s="18">
        <v>4.4452980000000002</v>
      </c>
      <c r="I1219" s="16" t="s">
        <v>746</v>
      </c>
      <c r="J1219" s="16"/>
      <c r="K1219" s="16"/>
      <c r="L1219" s="37"/>
      <c r="M1219" s="37"/>
      <c r="N1219" s="37"/>
      <c r="O1219" s="37"/>
      <c r="P1219" s="37"/>
      <c r="Q1219" s="18">
        <v>2.717E-2</v>
      </c>
      <c r="R1219" s="18">
        <v>1.8525E-4</v>
      </c>
      <c r="S1219" s="18">
        <v>5.1869999999999999E-2</v>
      </c>
      <c r="T1219" s="18">
        <v>0.2223</v>
      </c>
      <c r="U1219" s="18">
        <v>0.11115</v>
      </c>
      <c r="V1219" s="18">
        <v>1.42272</v>
      </c>
      <c r="W1219" s="18">
        <v>1.3338000000000001</v>
      </c>
      <c r="X1219" s="18">
        <v>0.88919999999999999</v>
      </c>
      <c r="Y1219" s="18">
        <v>3.952E-2</v>
      </c>
      <c r="Z1219" s="18">
        <v>0.17537</v>
      </c>
      <c r="AA1219" s="18">
        <v>0.25688</v>
      </c>
      <c r="AB1219" s="18">
        <v>0.45694999999999997</v>
      </c>
      <c r="AC1219" s="18">
        <v>0.14079</v>
      </c>
      <c r="AD1219" s="18">
        <v>0.74099999999999999</v>
      </c>
    </row>
    <row r="1220" spans="2:30" x14ac:dyDescent="0.25">
      <c r="B1220" t="s">
        <v>269</v>
      </c>
      <c r="C1220" t="s">
        <v>463</v>
      </c>
      <c r="D1220" t="s">
        <v>752</v>
      </c>
      <c r="E1220" s="35">
        <v>0.9</v>
      </c>
      <c r="F1220" s="35">
        <v>6.6</v>
      </c>
      <c r="G1220" s="36">
        <v>2.47E-3</v>
      </c>
      <c r="H1220" s="18">
        <v>4.4452980000000002</v>
      </c>
      <c r="I1220" s="16" t="s">
        <v>746</v>
      </c>
      <c r="J1220" s="16"/>
      <c r="K1220" s="16"/>
      <c r="L1220" s="37"/>
      <c r="M1220" s="37"/>
      <c r="N1220" s="37"/>
      <c r="O1220" s="37"/>
      <c r="P1220" s="37"/>
      <c r="Q1220" s="18">
        <v>2.717E-2</v>
      </c>
      <c r="R1220" s="18">
        <v>1.8525E-4</v>
      </c>
      <c r="S1220" s="18">
        <v>5.1869999999999999E-2</v>
      </c>
      <c r="T1220" s="18">
        <v>0.2223</v>
      </c>
      <c r="U1220" s="18">
        <v>0.11115</v>
      </c>
      <c r="V1220" s="18">
        <v>1.42272</v>
      </c>
      <c r="W1220" s="18">
        <v>1.3338000000000001</v>
      </c>
      <c r="X1220" s="18">
        <v>0.88919999999999999</v>
      </c>
      <c r="Y1220" s="18">
        <v>3.952E-2</v>
      </c>
      <c r="Z1220" s="18">
        <v>0.17537</v>
      </c>
      <c r="AA1220" s="18">
        <v>0.25688</v>
      </c>
      <c r="AB1220" s="18">
        <v>0.45694999999999997</v>
      </c>
      <c r="AC1220" s="18">
        <v>0.14079</v>
      </c>
      <c r="AD1220" s="18">
        <v>0.74099999999999999</v>
      </c>
    </row>
    <row r="1221" spans="2:30" x14ac:dyDescent="0.25">
      <c r="B1221" t="s">
        <v>269</v>
      </c>
      <c r="C1221" t="s">
        <v>463</v>
      </c>
      <c r="D1221" t="s">
        <v>752</v>
      </c>
      <c r="E1221" s="35">
        <v>0.9</v>
      </c>
      <c r="F1221" s="35">
        <v>6.6</v>
      </c>
      <c r="G1221" s="36">
        <v>2.47E-3</v>
      </c>
      <c r="H1221" s="18">
        <v>4.4452980000000002</v>
      </c>
      <c r="I1221" s="16" t="s">
        <v>746</v>
      </c>
      <c r="J1221" s="16"/>
      <c r="K1221" s="16"/>
      <c r="L1221" s="37"/>
      <c r="M1221" s="37"/>
      <c r="N1221" s="37"/>
      <c r="O1221" s="37"/>
      <c r="P1221" s="37"/>
      <c r="Q1221" s="18">
        <v>2.717E-2</v>
      </c>
      <c r="R1221" s="18">
        <v>1.8525E-4</v>
      </c>
      <c r="S1221" s="18">
        <v>5.1869999999999999E-2</v>
      </c>
      <c r="T1221" s="18">
        <v>0.2223</v>
      </c>
      <c r="U1221" s="18">
        <v>0.11115</v>
      </c>
      <c r="V1221" s="18">
        <v>1.42272</v>
      </c>
      <c r="W1221" s="18">
        <v>1.3338000000000001</v>
      </c>
      <c r="X1221" s="18">
        <v>0.88919999999999999</v>
      </c>
      <c r="Y1221" s="18">
        <v>3.952E-2</v>
      </c>
      <c r="Z1221" s="18">
        <v>0.17537</v>
      </c>
      <c r="AA1221" s="18">
        <v>0.25688</v>
      </c>
      <c r="AB1221" s="18">
        <v>0.45694999999999997</v>
      </c>
      <c r="AC1221" s="18">
        <v>0.14079</v>
      </c>
      <c r="AD1221" s="18">
        <v>0.74099999999999999</v>
      </c>
    </row>
    <row r="1222" spans="2:30" x14ac:dyDescent="0.25">
      <c r="B1222" t="s">
        <v>269</v>
      </c>
      <c r="C1222" t="s">
        <v>463</v>
      </c>
      <c r="D1222" t="s">
        <v>752</v>
      </c>
      <c r="E1222" s="35">
        <v>0.9</v>
      </c>
      <c r="F1222" s="35">
        <v>6.6</v>
      </c>
      <c r="G1222" s="36">
        <v>2.47E-3</v>
      </c>
      <c r="H1222" s="18">
        <v>4.4452980000000002</v>
      </c>
      <c r="I1222" s="16" t="s">
        <v>746</v>
      </c>
      <c r="J1222" s="16"/>
      <c r="K1222" s="16"/>
      <c r="L1222" s="37"/>
      <c r="M1222" s="37"/>
      <c r="N1222" s="37"/>
      <c r="O1222" s="37"/>
      <c r="P1222" s="37"/>
      <c r="Q1222" s="18">
        <v>2.717E-2</v>
      </c>
      <c r="R1222" s="18">
        <v>1.8525E-4</v>
      </c>
      <c r="S1222" s="18">
        <v>5.1869999999999999E-2</v>
      </c>
      <c r="T1222" s="18">
        <v>0.2223</v>
      </c>
      <c r="U1222" s="18">
        <v>0.11115</v>
      </c>
      <c r="V1222" s="18">
        <v>1.42272</v>
      </c>
      <c r="W1222" s="18">
        <v>1.3338000000000001</v>
      </c>
      <c r="X1222" s="18">
        <v>0.88919999999999999</v>
      </c>
      <c r="Y1222" s="18">
        <v>3.952E-2</v>
      </c>
      <c r="Z1222" s="18">
        <v>0.17537</v>
      </c>
      <c r="AA1222" s="18">
        <v>0.25688</v>
      </c>
      <c r="AB1222" s="18">
        <v>0.45694999999999997</v>
      </c>
      <c r="AC1222" s="18">
        <v>0.14079</v>
      </c>
      <c r="AD1222" s="18">
        <v>0.74099999999999999</v>
      </c>
    </row>
    <row r="1223" spans="2:30" x14ac:dyDescent="0.25">
      <c r="B1223" t="s">
        <v>269</v>
      </c>
      <c r="C1223" t="s">
        <v>463</v>
      </c>
      <c r="D1223" t="s">
        <v>752</v>
      </c>
      <c r="E1223" s="35">
        <v>0.9</v>
      </c>
      <c r="F1223" s="35">
        <v>6.6</v>
      </c>
      <c r="G1223" s="36">
        <v>2.47E-3</v>
      </c>
      <c r="H1223" s="18">
        <v>4.4452980000000002</v>
      </c>
      <c r="I1223" s="16" t="s">
        <v>746</v>
      </c>
      <c r="J1223" s="16"/>
      <c r="K1223" s="16"/>
      <c r="L1223" s="37"/>
      <c r="M1223" s="37"/>
      <c r="N1223" s="37"/>
      <c r="O1223" s="37"/>
      <c r="P1223" s="37"/>
      <c r="Q1223" s="18">
        <v>2.717E-2</v>
      </c>
      <c r="R1223" s="18">
        <v>1.8525E-4</v>
      </c>
      <c r="S1223" s="18">
        <v>5.1869999999999999E-2</v>
      </c>
      <c r="T1223" s="18">
        <v>0.2223</v>
      </c>
      <c r="U1223" s="18">
        <v>0.11115</v>
      </c>
      <c r="V1223" s="18">
        <v>1.42272</v>
      </c>
      <c r="W1223" s="18">
        <v>1.3338000000000001</v>
      </c>
      <c r="X1223" s="18">
        <v>0.88919999999999999</v>
      </c>
      <c r="Y1223" s="18">
        <v>3.952E-2</v>
      </c>
      <c r="Z1223" s="18">
        <v>0.17537</v>
      </c>
      <c r="AA1223" s="18">
        <v>0.25688</v>
      </c>
      <c r="AB1223" s="18">
        <v>0.45694999999999997</v>
      </c>
      <c r="AC1223" s="18">
        <v>0.14079</v>
      </c>
      <c r="AD1223" s="18">
        <v>0.74099999999999999</v>
      </c>
    </row>
    <row r="1224" spans="2:30" x14ac:dyDescent="0.25">
      <c r="B1224" t="s">
        <v>269</v>
      </c>
      <c r="C1224" t="s">
        <v>463</v>
      </c>
      <c r="D1224" t="s">
        <v>752</v>
      </c>
      <c r="E1224" s="35">
        <v>0.9</v>
      </c>
      <c r="F1224" s="35">
        <v>6.6</v>
      </c>
      <c r="G1224" s="36">
        <v>2.47E-3</v>
      </c>
      <c r="H1224" s="18">
        <v>4.4452980000000002</v>
      </c>
      <c r="I1224" s="16" t="s">
        <v>746</v>
      </c>
      <c r="J1224" s="16"/>
      <c r="K1224" s="16"/>
      <c r="L1224" s="37"/>
      <c r="M1224" s="37"/>
      <c r="N1224" s="37"/>
      <c r="O1224" s="37"/>
      <c r="P1224" s="37"/>
      <c r="Q1224" s="18">
        <v>2.717E-2</v>
      </c>
      <c r="R1224" s="18">
        <v>1.8525E-4</v>
      </c>
      <c r="S1224" s="18">
        <v>5.1869999999999999E-2</v>
      </c>
      <c r="T1224" s="18">
        <v>0.2223</v>
      </c>
      <c r="U1224" s="18">
        <v>0.11115</v>
      </c>
      <c r="V1224" s="18">
        <v>1.42272</v>
      </c>
      <c r="W1224" s="18">
        <v>1.3338000000000001</v>
      </c>
      <c r="X1224" s="18">
        <v>0.88919999999999999</v>
      </c>
      <c r="Y1224" s="18">
        <v>3.952E-2</v>
      </c>
      <c r="Z1224" s="18">
        <v>0.17537</v>
      </c>
      <c r="AA1224" s="18">
        <v>0.25688</v>
      </c>
      <c r="AB1224" s="18">
        <v>0.45694999999999997</v>
      </c>
      <c r="AC1224" s="18">
        <v>0.14079</v>
      </c>
      <c r="AD1224" s="18">
        <v>0.74099999999999999</v>
      </c>
    </row>
    <row r="1225" spans="2:30" x14ac:dyDescent="0.25">
      <c r="B1225" t="s">
        <v>269</v>
      </c>
      <c r="C1225" t="s">
        <v>463</v>
      </c>
      <c r="D1225" t="s">
        <v>752</v>
      </c>
      <c r="E1225" s="35">
        <v>0.9</v>
      </c>
      <c r="F1225" s="35">
        <v>6.6</v>
      </c>
      <c r="G1225" s="36">
        <v>2.47E-3</v>
      </c>
      <c r="H1225" s="18">
        <v>4.4452980000000002</v>
      </c>
      <c r="I1225" s="16" t="s">
        <v>746</v>
      </c>
      <c r="J1225" s="16"/>
      <c r="K1225" s="16"/>
      <c r="L1225" s="37"/>
      <c r="M1225" s="37"/>
      <c r="N1225" s="37"/>
      <c r="O1225" s="37"/>
      <c r="P1225" s="37"/>
      <c r="Q1225" s="18">
        <v>2.717E-2</v>
      </c>
      <c r="R1225" s="18">
        <v>1.8525E-4</v>
      </c>
      <c r="S1225" s="18">
        <v>5.1869999999999999E-2</v>
      </c>
      <c r="T1225" s="18">
        <v>0.2223</v>
      </c>
      <c r="U1225" s="18">
        <v>0.11115</v>
      </c>
      <c r="V1225" s="18">
        <v>1.42272</v>
      </c>
      <c r="W1225" s="18">
        <v>1.3338000000000001</v>
      </c>
      <c r="X1225" s="18">
        <v>0.88919999999999999</v>
      </c>
      <c r="Y1225" s="18">
        <v>3.952E-2</v>
      </c>
      <c r="Z1225" s="18">
        <v>0.17537</v>
      </c>
      <c r="AA1225" s="18">
        <v>0.25688</v>
      </c>
      <c r="AB1225" s="18">
        <v>0.45694999999999997</v>
      </c>
      <c r="AC1225" s="18">
        <v>0.14079</v>
      </c>
      <c r="AD1225" s="18">
        <v>0.74099999999999999</v>
      </c>
    </row>
    <row r="1226" spans="2:30" x14ac:dyDescent="0.25">
      <c r="B1226" t="s">
        <v>269</v>
      </c>
      <c r="C1226" t="s">
        <v>463</v>
      </c>
      <c r="D1226" t="s">
        <v>752</v>
      </c>
      <c r="E1226" s="35">
        <v>0.9</v>
      </c>
      <c r="F1226" s="35">
        <v>6.6</v>
      </c>
      <c r="G1226" s="36">
        <v>2.47E-3</v>
      </c>
      <c r="H1226" s="18">
        <v>4.4452980000000002</v>
      </c>
      <c r="I1226" s="16" t="s">
        <v>746</v>
      </c>
      <c r="J1226" s="16"/>
      <c r="K1226" s="16"/>
      <c r="L1226" s="37"/>
      <c r="M1226" s="37"/>
      <c r="N1226" s="37"/>
      <c r="O1226" s="37"/>
      <c r="P1226" s="37"/>
      <c r="Q1226" s="18">
        <v>2.717E-2</v>
      </c>
      <c r="R1226" s="18">
        <v>1.8525E-4</v>
      </c>
      <c r="S1226" s="18">
        <v>5.1869999999999999E-2</v>
      </c>
      <c r="T1226" s="18">
        <v>0.2223</v>
      </c>
      <c r="U1226" s="18">
        <v>0.11115</v>
      </c>
      <c r="V1226" s="18">
        <v>1.42272</v>
      </c>
      <c r="W1226" s="18">
        <v>1.3338000000000001</v>
      </c>
      <c r="X1226" s="18">
        <v>0.88919999999999999</v>
      </c>
      <c r="Y1226" s="18">
        <v>3.952E-2</v>
      </c>
      <c r="Z1226" s="18">
        <v>0.17537</v>
      </c>
      <c r="AA1226" s="18">
        <v>0.25688</v>
      </c>
      <c r="AB1226" s="18">
        <v>0.45694999999999997</v>
      </c>
      <c r="AC1226" s="18">
        <v>0.14079</v>
      </c>
      <c r="AD1226" s="18">
        <v>0.74099999999999999</v>
      </c>
    </row>
    <row r="1227" spans="2:30" x14ac:dyDescent="0.25">
      <c r="B1227" t="s">
        <v>269</v>
      </c>
      <c r="C1227" t="s">
        <v>463</v>
      </c>
      <c r="D1227" t="s">
        <v>752</v>
      </c>
      <c r="E1227" s="35">
        <v>0.9</v>
      </c>
      <c r="F1227" s="35">
        <v>6.6</v>
      </c>
      <c r="G1227" s="36">
        <v>2.47E-3</v>
      </c>
      <c r="H1227" s="18">
        <v>4.4452980000000002</v>
      </c>
      <c r="I1227" s="16" t="s">
        <v>746</v>
      </c>
      <c r="J1227" s="16"/>
      <c r="K1227" s="16"/>
      <c r="L1227" s="37"/>
      <c r="M1227" s="37"/>
      <c r="N1227" s="37"/>
      <c r="O1227" s="37"/>
      <c r="P1227" s="37"/>
      <c r="Q1227" s="18">
        <v>2.717E-2</v>
      </c>
      <c r="R1227" s="18">
        <v>1.8525E-4</v>
      </c>
      <c r="S1227" s="18">
        <v>5.1869999999999999E-2</v>
      </c>
      <c r="T1227" s="18">
        <v>0.2223</v>
      </c>
      <c r="U1227" s="18">
        <v>0.11115</v>
      </c>
      <c r="V1227" s="18">
        <v>1.42272</v>
      </c>
      <c r="W1227" s="18">
        <v>1.3338000000000001</v>
      </c>
      <c r="X1227" s="18">
        <v>0.88919999999999999</v>
      </c>
      <c r="Y1227" s="18">
        <v>3.952E-2</v>
      </c>
      <c r="Z1227" s="18">
        <v>0.17537</v>
      </c>
      <c r="AA1227" s="18">
        <v>0.25688</v>
      </c>
      <c r="AB1227" s="18">
        <v>0.45694999999999997</v>
      </c>
      <c r="AC1227" s="18">
        <v>0.14079</v>
      </c>
      <c r="AD1227" s="18">
        <v>0.74099999999999999</v>
      </c>
    </row>
    <row r="1228" spans="2:30" x14ac:dyDescent="0.25">
      <c r="B1228" t="s">
        <v>269</v>
      </c>
      <c r="C1228" t="s">
        <v>463</v>
      </c>
      <c r="D1228" t="s">
        <v>752</v>
      </c>
      <c r="E1228" s="35">
        <v>0.9</v>
      </c>
      <c r="F1228" s="35">
        <v>6.6</v>
      </c>
      <c r="G1228" s="36">
        <v>2.47E-3</v>
      </c>
      <c r="H1228" s="18">
        <v>4.4452980000000002</v>
      </c>
      <c r="I1228" s="16" t="s">
        <v>746</v>
      </c>
      <c r="J1228" s="16"/>
      <c r="K1228" s="16"/>
      <c r="L1228" s="37"/>
      <c r="M1228" s="37"/>
      <c r="N1228" s="37"/>
      <c r="O1228" s="37"/>
      <c r="P1228" s="37"/>
      <c r="Q1228" s="18">
        <v>2.717E-2</v>
      </c>
      <c r="R1228" s="18">
        <v>1.8525E-4</v>
      </c>
      <c r="S1228" s="18">
        <v>5.1869999999999999E-2</v>
      </c>
      <c r="T1228" s="18">
        <v>0.2223</v>
      </c>
      <c r="U1228" s="18">
        <v>0.11115</v>
      </c>
      <c r="V1228" s="18">
        <v>1.42272</v>
      </c>
      <c r="W1228" s="18">
        <v>1.3338000000000001</v>
      </c>
      <c r="X1228" s="18">
        <v>0.88919999999999999</v>
      </c>
      <c r="Y1228" s="18">
        <v>3.952E-2</v>
      </c>
      <c r="Z1228" s="18">
        <v>0.17537</v>
      </c>
      <c r="AA1228" s="18">
        <v>0.25688</v>
      </c>
      <c r="AB1228" s="18">
        <v>0.45694999999999997</v>
      </c>
      <c r="AC1228" s="18">
        <v>0.14079</v>
      </c>
      <c r="AD1228" s="18">
        <v>0.74099999999999999</v>
      </c>
    </row>
    <row r="1229" spans="2:30" x14ac:dyDescent="0.25">
      <c r="B1229" t="s">
        <v>269</v>
      </c>
      <c r="C1229" t="s">
        <v>463</v>
      </c>
      <c r="D1229" t="s">
        <v>752</v>
      </c>
      <c r="E1229" s="35">
        <v>0.9</v>
      </c>
      <c r="F1229" s="35">
        <v>6.6</v>
      </c>
      <c r="G1229" s="36">
        <v>2.47E-3</v>
      </c>
      <c r="H1229" s="18">
        <v>4.4452980000000002</v>
      </c>
      <c r="I1229" s="16" t="s">
        <v>746</v>
      </c>
      <c r="J1229" s="16"/>
      <c r="K1229" s="16"/>
      <c r="L1229" s="37"/>
      <c r="M1229" s="37"/>
      <c r="N1229" s="37"/>
      <c r="O1229" s="37"/>
      <c r="P1229" s="37"/>
      <c r="Q1229" s="18">
        <v>2.717E-2</v>
      </c>
      <c r="R1229" s="18">
        <v>1.8525E-4</v>
      </c>
      <c r="S1229" s="18">
        <v>5.1869999999999999E-2</v>
      </c>
      <c r="T1229" s="18">
        <v>0.2223</v>
      </c>
      <c r="U1229" s="18">
        <v>0.11115</v>
      </c>
      <c r="V1229" s="18">
        <v>1.42272</v>
      </c>
      <c r="W1229" s="18">
        <v>1.3338000000000001</v>
      </c>
      <c r="X1229" s="18">
        <v>0.88919999999999999</v>
      </c>
      <c r="Y1229" s="18">
        <v>3.952E-2</v>
      </c>
      <c r="Z1229" s="18">
        <v>0.17537</v>
      </c>
      <c r="AA1229" s="18">
        <v>0.25688</v>
      </c>
      <c r="AB1229" s="18">
        <v>0.45694999999999997</v>
      </c>
      <c r="AC1229" s="18">
        <v>0.14079</v>
      </c>
      <c r="AD1229" s="18">
        <v>0.74099999999999999</v>
      </c>
    </row>
    <row r="1230" spans="2:30" x14ac:dyDescent="0.25">
      <c r="B1230" t="s">
        <v>269</v>
      </c>
      <c r="C1230" t="s">
        <v>463</v>
      </c>
      <c r="D1230" t="s">
        <v>752</v>
      </c>
      <c r="E1230" s="35">
        <v>0.9</v>
      </c>
      <c r="F1230" s="35">
        <v>6.6</v>
      </c>
      <c r="G1230" s="36">
        <v>2.47E-3</v>
      </c>
      <c r="H1230" s="18">
        <v>4.4452980000000002</v>
      </c>
      <c r="I1230" s="16" t="s">
        <v>746</v>
      </c>
      <c r="J1230" s="16"/>
      <c r="K1230" s="16"/>
      <c r="L1230" s="37"/>
      <c r="M1230" s="37"/>
      <c r="N1230" s="37"/>
      <c r="O1230" s="37"/>
      <c r="P1230" s="37"/>
      <c r="Q1230" s="18">
        <v>2.717E-2</v>
      </c>
      <c r="R1230" s="18">
        <v>1.8525E-4</v>
      </c>
      <c r="S1230" s="18">
        <v>5.1869999999999999E-2</v>
      </c>
      <c r="T1230" s="18">
        <v>0.2223</v>
      </c>
      <c r="U1230" s="18">
        <v>0.11115</v>
      </c>
      <c r="V1230" s="18">
        <v>1.42272</v>
      </c>
      <c r="W1230" s="18">
        <v>1.3338000000000001</v>
      </c>
      <c r="X1230" s="18">
        <v>0.88919999999999999</v>
      </c>
      <c r="Y1230" s="18">
        <v>3.952E-2</v>
      </c>
      <c r="Z1230" s="18">
        <v>0.17537</v>
      </c>
      <c r="AA1230" s="18">
        <v>0.25688</v>
      </c>
      <c r="AB1230" s="18">
        <v>0.45694999999999997</v>
      </c>
      <c r="AC1230" s="18">
        <v>0.14079</v>
      </c>
      <c r="AD1230" s="18">
        <v>0.74099999999999999</v>
      </c>
    </row>
    <row r="1231" spans="2:30" x14ac:dyDescent="0.25">
      <c r="B1231" t="s">
        <v>269</v>
      </c>
      <c r="C1231" t="s">
        <v>463</v>
      </c>
      <c r="D1231" t="s">
        <v>752</v>
      </c>
      <c r="E1231" s="35">
        <v>0.9</v>
      </c>
      <c r="F1231" s="35">
        <v>6.6</v>
      </c>
      <c r="G1231" s="36">
        <v>2.47E-3</v>
      </c>
      <c r="H1231" s="18">
        <v>4.4452980000000002</v>
      </c>
      <c r="I1231" s="16" t="s">
        <v>746</v>
      </c>
      <c r="J1231" s="16"/>
      <c r="K1231" s="16"/>
      <c r="L1231" s="37"/>
      <c r="M1231" s="37"/>
      <c r="N1231" s="37"/>
      <c r="O1231" s="37"/>
      <c r="P1231" s="37"/>
      <c r="Q1231" s="18">
        <v>2.717E-2</v>
      </c>
      <c r="R1231" s="18">
        <v>1.8525E-4</v>
      </c>
      <c r="S1231" s="18">
        <v>5.1869999999999999E-2</v>
      </c>
      <c r="T1231" s="18">
        <v>0.2223</v>
      </c>
      <c r="U1231" s="18">
        <v>0.11115</v>
      </c>
      <c r="V1231" s="18">
        <v>1.42272</v>
      </c>
      <c r="W1231" s="18">
        <v>1.3338000000000001</v>
      </c>
      <c r="X1231" s="18">
        <v>0.88919999999999999</v>
      </c>
      <c r="Y1231" s="18">
        <v>3.952E-2</v>
      </c>
      <c r="Z1231" s="18">
        <v>0.17537</v>
      </c>
      <c r="AA1231" s="18">
        <v>0.25688</v>
      </c>
      <c r="AB1231" s="18">
        <v>0.45694999999999997</v>
      </c>
      <c r="AC1231" s="18">
        <v>0.14079</v>
      </c>
      <c r="AD1231" s="18">
        <v>0.74099999999999999</v>
      </c>
    </row>
    <row r="1232" spans="2:30" x14ac:dyDescent="0.25">
      <c r="B1232" t="s">
        <v>269</v>
      </c>
      <c r="C1232" t="s">
        <v>570</v>
      </c>
      <c r="D1232" t="s">
        <v>752</v>
      </c>
      <c r="E1232" s="35">
        <v>0.9</v>
      </c>
      <c r="F1232" s="35">
        <v>6.6</v>
      </c>
      <c r="G1232" s="36">
        <v>2.47E-3</v>
      </c>
      <c r="H1232" s="18">
        <v>4.4452980000000002</v>
      </c>
      <c r="I1232" s="16" t="s">
        <v>746</v>
      </c>
      <c r="J1232" s="16"/>
      <c r="K1232" s="16"/>
      <c r="L1232" s="37"/>
      <c r="M1232" s="37"/>
      <c r="N1232" s="37"/>
      <c r="O1232" s="37"/>
      <c r="P1232" s="37"/>
      <c r="Q1232" s="18">
        <v>2.717E-2</v>
      </c>
      <c r="R1232" s="18">
        <v>1.8525E-4</v>
      </c>
      <c r="S1232" s="18">
        <v>5.1869999999999999E-2</v>
      </c>
      <c r="T1232" s="18">
        <v>0.2223</v>
      </c>
      <c r="U1232" s="18">
        <v>0.11115</v>
      </c>
      <c r="V1232" s="18">
        <v>1.42272</v>
      </c>
      <c r="W1232" s="18">
        <v>1.3338000000000001</v>
      </c>
      <c r="X1232" s="18">
        <v>0.88919999999999999</v>
      </c>
      <c r="Y1232" s="18">
        <v>3.952E-2</v>
      </c>
      <c r="Z1232" s="18">
        <v>0.17537</v>
      </c>
      <c r="AA1232" s="18">
        <v>0.25688</v>
      </c>
      <c r="AB1232" s="18">
        <v>0.45694999999999997</v>
      </c>
      <c r="AC1232" s="18">
        <v>0.14079</v>
      </c>
      <c r="AD1232" s="18">
        <v>0.74099999999999999</v>
      </c>
    </row>
    <row r="1233" spans="2:30" x14ac:dyDescent="0.25">
      <c r="B1233" t="s">
        <v>269</v>
      </c>
      <c r="C1233" t="s">
        <v>570</v>
      </c>
      <c r="D1233" t="s">
        <v>752</v>
      </c>
      <c r="E1233" s="35">
        <v>0.9</v>
      </c>
      <c r="F1233" s="35">
        <v>6.6</v>
      </c>
      <c r="G1233" s="36">
        <v>2.47E-3</v>
      </c>
      <c r="H1233" s="18">
        <v>4.4452980000000002</v>
      </c>
      <c r="I1233" s="16" t="s">
        <v>746</v>
      </c>
      <c r="J1233" s="16"/>
      <c r="K1233" s="16"/>
      <c r="L1233" s="37"/>
      <c r="M1233" s="37"/>
      <c r="N1233" s="37"/>
      <c r="O1233" s="37"/>
      <c r="P1233" s="37"/>
      <c r="Q1233" s="18">
        <v>2.717E-2</v>
      </c>
      <c r="R1233" s="18">
        <v>1.8525E-4</v>
      </c>
      <c r="S1233" s="18">
        <v>5.1869999999999999E-2</v>
      </c>
      <c r="T1233" s="18">
        <v>0.2223</v>
      </c>
      <c r="U1233" s="18">
        <v>0.11115</v>
      </c>
      <c r="V1233" s="18">
        <v>1.42272</v>
      </c>
      <c r="W1233" s="18">
        <v>1.3338000000000001</v>
      </c>
      <c r="X1233" s="18">
        <v>0.88919999999999999</v>
      </c>
      <c r="Y1233" s="18">
        <v>3.952E-2</v>
      </c>
      <c r="Z1233" s="18">
        <v>0.17537</v>
      </c>
      <c r="AA1233" s="18">
        <v>0.25688</v>
      </c>
      <c r="AB1233" s="18">
        <v>0.45694999999999997</v>
      </c>
      <c r="AC1233" s="18">
        <v>0.14079</v>
      </c>
      <c r="AD1233" s="18">
        <v>0.74099999999999999</v>
      </c>
    </row>
    <row r="1234" spans="2:30" x14ac:dyDescent="0.25">
      <c r="B1234" t="s">
        <v>269</v>
      </c>
      <c r="C1234" t="s">
        <v>570</v>
      </c>
      <c r="D1234" t="s">
        <v>752</v>
      </c>
      <c r="E1234" s="35">
        <v>0.9</v>
      </c>
      <c r="F1234" s="35">
        <v>6.6</v>
      </c>
      <c r="G1234" s="36">
        <v>2.47E-3</v>
      </c>
      <c r="H1234" s="18">
        <v>4.4452980000000002</v>
      </c>
      <c r="I1234" s="16" t="s">
        <v>746</v>
      </c>
      <c r="J1234" s="16"/>
      <c r="K1234" s="16"/>
      <c r="L1234" s="37"/>
      <c r="M1234" s="37"/>
      <c r="N1234" s="37"/>
      <c r="O1234" s="37"/>
      <c r="P1234" s="37"/>
      <c r="Q1234" s="18">
        <v>2.717E-2</v>
      </c>
      <c r="R1234" s="18">
        <v>1.8525E-4</v>
      </c>
      <c r="S1234" s="18">
        <v>5.1869999999999999E-2</v>
      </c>
      <c r="T1234" s="18">
        <v>0.2223</v>
      </c>
      <c r="U1234" s="18">
        <v>0.11115</v>
      </c>
      <c r="V1234" s="18">
        <v>1.42272</v>
      </c>
      <c r="W1234" s="18">
        <v>1.3338000000000001</v>
      </c>
      <c r="X1234" s="18">
        <v>0.88919999999999999</v>
      </c>
      <c r="Y1234" s="18">
        <v>3.952E-2</v>
      </c>
      <c r="Z1234" s="18">
        <v>0.17537</v>
      </c>
      <c r="AA1234" s="18">
        <v>0.25688</v>
      </c>
      <c r="AB1234" s="18">
        <v>0.45694999999999997</v>
      </c>
      <c r="AC1234" s="18">
        <v>0.14079</v>
      </c>
      <c r="AD1234" s="18">
        <v>0.74099999999999999</v>
      </c>
    </row>
    <row r="1235" spans="2:30" x14ac:dyDescent="0.25">
      <c r="B1235" t="s">
        <v>269</v>
      </c>
      <c r="C1235" t="s">
        <v>570</v>
      </c>
      <c r="D1235" t="s">
        <v>752</v>
      </c>
      <c r="E1235" s="35">
        <v>0.9</v>
      </c>
      <c r="F1235" s="35">
        <v>6.6</v>
      </c>
      <c r="G1235" s="36">
        <v>2.47E-3</v>
      </c>
      <c r="H1235" s="18">
        <v>4.4452980000000002</v>
      </c>
      <c r="I1235" s="16" t="s">
        <v>746</v>
      </c>
      <c r="J1235" s="16"/>
      <c r="K1235" s="16"/>
      <c r="L1235" s="37"/>
      <c r="M1235" s="37"/>
      <c r="N1235" s="37"/>
      <c r="O1235" s="37"/>
      <c r="P1235" s="37"/>
      <c r="Q1235" s="18">
        <v>2.717E-2</v>
      </c>
      <c r="R1235" s="18">
        <v>1.8525E-4</v>
      </c>
      <c r="S1235" s="18">
        <v>5.1869999999999999E-2</v>
      </c>
      <c r="T1235" s="18">
        <v>0.2223</v>
      </c>
      <c r="U1235" s="18">
        <v>0.11115</v>
      </c>
      <c r="V1235" s="18">
        <v>1.42272</v>
      </c>
      <c r="W1235" s="18">
        <v>1.3338000000000001</v>
      </c>
      <c r="X1235" s="18">
        <v>0.88919999999999999</v>
      </c>
      <c r="Y1235" s="18">
        <v>3.952E-2</v>
      </c>
      <c r="Z1235" s="18">
        <v>0.17537</v>
      </c>
      <c r="AA1235" s="18">
        <v>0.25688</v>
      </c>
      <c r="AB1235" s="18">
        <v>0.45694999999999997</v>
      </c>
      <c r="AC1235" s="18">
        <v>0.14079</v>
      </c>
      <c r="AD1235" s="18">
        <v>0.74099999999999999</v>
      </c>
    </row>
    <row r="1236" spans="2:30" x14ac:dyDescent="0.25">
      <c r="B1236" t="s">
        <v>269</v>
      </c>
      <c r="C1236" t="s">
        <v>570</v>
      </c>
      <c r="D1236" t="s">
        <v>752</v>
      </c>
      <c r="E1236" s="35">
        <v>0.9</v>
      </c>
      <c r="F1236" s="35">
        <v>6.6</v>
      </c>
      <c r="G1236" s="36">
        <v>2.47E-3</v>
      </c>
      <c r="H1236" s="18">
        <v>4.4452980000000002</v>
      </c>
      <c r="I1236" s="16" t="s">
        <v>746</v>
      </c>
      <c r="J1236" s="16"/>
      <c r="K1236" s="16"/>
      <c r="L1236" s="37"/>
      <c r="M1236" s="37"/>
      <c r="N1236" s="37"/>
      <c r="O1236" s="37"/>
      <c r="P1236" s="37"/>
      <c r="Q1236" s="18">
        <v>2.717E-2</v>
      </c>
      <c r="R1236" s="18">
        <v>1.8525E-4</v>
      </c>
      <c r="S1236" s="18">
        <v>5.1869999999999999E-2</v>
      </c>
      <c r="T1236" s="18">
        <v>0.2223</v>
      </c>
      <c r="U1236" s="18">
        <v>0.11115</v>
      </c>
      <c r="V1236" s="18">
        <v>1.42272</v>
      </c>
      <c r="W1236" s="18">
        <v>1.3338000000000001</v>
      </c>
      <c r="X1236" s="18">
        <v>0.88919999999999999</v>
      </c>
      <c r="Y1236" s="18">
        <v>3.952E-2</v>
      </c>
      <c r="Z1236" s="18">
        <v>0.17537</v>
      </c>
      <c r="AA1236" s="18">
        <v>0.25688</v>
      </c>
      <c r="AB1236" s="18">
        <v>0.45694999999999997</v>
      </c>
      <c r="AC1236" s="18">
        <v>0.14079</v>
      </c>
      <c r="AD1236" s="18">
        <v>0.74099999999999999</v>
      </c>
    </row>
    <row r="1237" spans="2:30" x14ac:dyDescent="0.25">
      <c r="B1237" t="s">
        <v>269</v>
      </c>
      <c r="C1237" t="s">
        <v>570</v>
      </c>
      <c r="D1237" t="s">
        <v>752</v>
      </c>
      <c r="E1237" s="35">
        <v>0.9</v>
      </c>
      <c r="F1237" s="35">
        <v>6.6</v>
      </c>
      <c r="G1237" s="36">
        <v>2.47E-3</v>
      </c>
      <c r="H1237" s="18">
        <v>4.4452980000000002</v>
      </c>
      <c r="I1237" s="16" t="s">
        <v>746</v>
      </c>
      <c r="J1237" s="16"/>
      <c r="K1237" s="16"/>
      <c r="L1237" s="37"/>
      <c r="M1237" s="37"/>
      <c r="N1237" s="37"/>
      <c r="O1237" s="37"/>
      <c r="P1237" s="37"/>
      <c r="Q1237" s="18">
        <v>2.717E-2</v>
      </c>
      <c r="R1237" s="18">
        <v>1.8525E-4</v>
      </c>
      <c r="S1237" s="18">
        <v>5.1869999999999999E-2</v>
      </c>
      <c r="T1237" s="18">
        <v>0.2223</v>
      </c>
      <c r="U1237" s="18">
        <v>0.11115</v>
      </c>
      <c r="V1237" s="18">
        <v>1.42272</v>
      </c>
      <c r="W1237" s="18">
        <v>1.3338000000000001</v>
      </c>
      <c r="X1237" s="18">
        <v>0.88919999999999999</v>
      </c>
      <c r="Y1237" s="18">
        <v>3.952E-2</v>
      </c>
      <c r="Z1237" s="18">
        <v>0.17537</v>
      </c>
      <c r="AA1237" s="18">
        <v>0.25688</v>
      </c>
      <c r="AB1237" s="18">
        <v>0.45694999999999997</v>
      </c>
      <c r="AC1237" s="18">
        <v>0.14079</v>
      </c>
      <c r="AD1237" s="18">
        <v>0.74099999999999999</v>
      </c>
    </row>
    <row r="1238" spans="2:30" x14ac:dyDescent="0.25">
      <c r="B1238" t="s">
        <v>269</v>
      </c>
      <c r="C1238" t="s">
        <v>570</v>
      </c>
      <c r="D1238" t="s">
        <v>752</v>
      </c>
      <c r="E1238" s="35">
        <v>0.9</v>
      </c>
      <c r="F1238" s="35">
        <v>6.6</v>
      </c>
      <c r="G1238" s="36">
        <v>2.47E-3</v>
      </c>
      <c r="H1238" s="18">
        <v>4.4452980000000002</v>
      </c>
      <c r="I1238" s="16" t="s">
        <v>746</v>
      </c>
      <c r="J1238" s="16"/>
      <c r="K1238" s="16"/>
      <c r="L1238" s="37"/>
      <c r="M1238" s="37"/>
      <c r="N1238" s="37"/>
      <c r="O1238" s="37"/>
      <c r="P1238" s="37"/>
      <c r="Q1238" s="18">
        <v>2.717E-2</v>
      </c>
      <c r="R1238" s="18">
        <v>1.8525E-4</v>
      </c>
      <c r="S1238" s="18">
        <v>5.1869999999999999E-2</v>
      </c>
      <c r="T1238" s="18">
        <v>0.2223</v>
      </c>
      <c r="U1238" s="18">
        <v>0.11115</v>
      </c>
      <c r="V1238" s="18">
        <v>1.42272</v>
      </c>
      <c r="W1238" s="18">
        <v>1.3338000000000001</v>
      </c>
      <c r="X1238" s="18">
        <v>0.88919999999999999</v>
      </c>
      <c r="Y1238" s="18">
        <v>3.952E-2</v>
      </c>
      <c r="Z1238" s="18">
        <v>0.17537</v>
      </c>
      <c r="AA1238" s="18">
        <v>0.25688</v>
      </c>
      <c r="AB1238" s="18">
        <v>0.45694999999999997</v>
      </c>
      <c r="AC1238" s="18">
        <v>0.14079</v>
      </c>
      <c r="AD1238" s="18">
        <v>0.74099999999999999</v>
      </c>
    </row>
    <row r="1239" spans="2:30" x14ac:dyDescent="0.25">
      <c r="B1239" t="s">
        <v>269</v>
      </c>
      <c r="C1239" t="s">
        <v>570</v>
      </c>
      <c r="D1239" t="s">
        <v>752</v>
      </c>
      <c r="E1239" s="35">
        <v>0.9</v>
      </c>
      <c r="F1239" s="35">
        <v>6.6</v>
      </c>
      <c r="G1239" s="36">
        <v>2.47E-3</v>
      </c>
      <c r="H1239" s="18">
        <v>4.4452980000000002</v>
      </c>
      <c r="I1239" s="16" t="s">
        <v>746</v>
      </c>
      <c r="J1239" s="16"/>
      <c r="K1239" s="16"/>
      <c r="L1239" s="37"/>
      <c r="M1239" s="37"/>
      <c r="N1239" s="37"/>
      <c r="O1239" s="37"/>
      <c r="P1239" s="37"/>
      <c r="Q1239" s="18">
        <v>2.717E-2</v>
      </c>
      <c r="R1239" s="18">
        <v>1.8525E-4</v>
      </c>
      <c r="S1239" s="18">
        <v>5.1869999999999999E-2</v>
      </c>
      <c r="T1239" s="18">
        <v>0.2223</v>
      </c>
      <c r="U1239" s="18">
        <v>0.11115</v>
      </c>
      <c r="V1239" s="18">
        <v>1.42272</v>
      </c>
      <c r="W1239" s="18">
        <v>1.3338000000000001</v>
      </c>
      <c r="X1239" s="18">
        <v>0.88919999999999999</v>
      </c>
      <c r="Y1239" s="18">
        <v>3.952E-2</v>
      </c>
      <c r="Z1239" s="18">
        <v>0.17537</v>
      </c>
      <c r="AA1239" s="18">
        <v>0.25688</v>
      </c>
      <c r="AB1239" s="18">
        <v>0.45694999999999997</v>
      </c>
      <c r="AC1239" s="18">
        <v>0.14079</v>
      </c>
      <c r="AD1239" s="18">
        <v>0.74099999999999999</v>
      </c>
    </row>
    <row r="1240" spans="2:30" x14ac:dyDescent="0.25">
      <c r="B1240" t="s">
        <v>269</v>
      </c>
      <c r="C1240" t="s">
        <v>570</v>
      </c>
      <c r="D1240" t="s">
        <v>752</v>
      </c>
      <c r="E1240" s="35">
        <v>0.9</v>
      </c>
      <c r="F1240" s="35">
        <v>6.6</v>
      </c>
      <c r="G1240" s="36">
        <v>2.47E-3</v>
      </c>
      <c r="H1240" s="18">
        <v>4.4452980000000002</v>
      </c>
      <c r="I1240" s="16" t="s">
        <v>746</v>
      </c>
      <c r="J1240" s="16"/>
      <c r="K1240" s="16"/>
      <c r="L1240" s="37"/>
      <c r="M1240" s="37"/>
      <c r="N1240" s="37"/>
      <c r="O1240" s="37"/>
      <c r="P1240" s="37"/>
      <c r="Q1240" s="18">
        <v>2.717E-2</v>
      </c>
      <c r="R1240" s="18">
        <v>1.8525E-4</v>
      </c>
      <c r="S1240" s="18">
        <v>5.1869999999999999E-2</v>
      </c>
      <c r="T1240" s="18">
        <v>0.2223</v>
      </c>
      <c r="U1240" s="18">
        <v>0.11115</v>
      </c>
      <c r="V1240" s="18">
        <v>1.42272</v>
      </c>
      <c r="W1240" s="18">
        <v>1.3338000000000001</v>
      </c>
      <c r="X1240" s="18">
        <v>0.88919999999999999</v>
      </c>
      <c r="Y1240" s="18">
        <v>3.952E-2</v>
      </c>
      <c r="Z1240" s="18">
        <v>0.17537</v>
      </c>
      <c r="AA1240" s="18">
        <v>0.25688</v>
      </c>
      <c r="AB1240" s="18">
        <v>0.45694999999999997</v>
      </c>
      <c r="AC1240" s="18">
        <v>0.14079</v>
      </c>
      <c r="AD1240" s="18">
        <v>0.74099999999999999</v>
      </c>
    </row>
    <row r="1241" spans="2:30" x14ac:dyDescent="0.25">
      <c r="B1241" t="s">
        <v>269</v>
      </c>
      <c r="C1241" t="s">
        <v>570</v>
      </c>
      <c r="D1241" t="s">
        <v>752</v>
      </c>
      <c r="E1241" s="35">
        <v>0.9</v>
      </c>
      <c r="F1241" s="35">
        <v>6.6</v>
      </c>
      <c r="G1241" s="36">
        <v>2.47E-3</v>
      </c>
      <c r="H1241" s="18">
        <v>4.4452980000000002</v>
      </c>
      <c r="I1241" s="16" t="s">
        <v>746</v>
      </c>
      <c r="J1241" s="16"/>
      <c r="K1241" s="16"/>
      <c r="L1241" s="37"/>
      <c r="M1241" s="37"/>
      <c r="N1241" s="37"/>
      <c r="O1241" s="37"/>
      <c r="P1241" s="37"/>
      <c r="Q1241" s="18">
        <v>2.717E-2</v>
      </c>
      <c r="R1241" s="18">
        <v>1.8525E-4</v>
      </c>
      <c r="S1241" s="18">
        <v>5.1869999999999999E-2</v>
      </c>
      <c r="T1241" s="18">
        <v>0.2223</v>
      </c>
      <c r="U1241" s="18">
        <v>0.11115</v>
      </c>
      <c r="V1241" s="18">
        <v>1.42272</v>
      </c>
      <c r="W1241" s="18">
        <v>1.3338000000000001</v>
      </c>
      <c r="X1241" s="18">
        <v>0.88919999999999999</v>
      </c>
      <c r="Y1241" s="18">
        <v>3.952E-2</v>
      </c>
      <c r="Z1241" s="18">
        <v>0.17537</v>
      </c>
      <c r="AA1241" s="18">
        <v>0.25688</v>
      </c>
      <c r="AB1241" s="18">
        <v>0.45694999999999997</v>
      </c>
      <c r="AC1241" s="18">
        <v>0.14079</v>
      </c>
      <c r="AD1241" s="18">
        <v>0.74099999999999999</v>
      </c>
    </row>
    <row r="1242" spans="2:30" x14ac:dyDescent="0.25">
      <c r="B1242" t="s">
        <v>269</v>
      </c>
      <c r="C1242" t="s">
        <v>570</v>
      </c>
      <c r="D1242" t="s">
        <v>752</v>
      </c>
      <c r="E1242" s="35">
        <v>0.9</v>
      </c>
      <c r="F1242" s="35">
        <v>6.6</v>
      </c>
      <c r="G1242" s="36">
        <v>2.47E-3</v>
      </c>
      <c r="H1242" s="18">
        <v>4.4452980000000002</v>
      </c>
      <c r="I1242" s="16" t="s">
        <v>746</v>
      </c>
      <c r="J1242" s="16"/>
      <c r="K1242" s="16"/>
      <c r="L1242" s="37"/>
      <c r="M1242" s="37"/>
      <c r="N1242" s="37"/>
      <c r="O1242" s="37"/>
      <c r="P1242" s="37"/>
      <c r="Q1242" s="18">
        <v>2.717E-2</v>
      </c>
      <c r="R1242" s="18">
        <v>1.8525E-4</v>
      </c>
      <c r="S1242" s="18">
        <v>5.1869999999999999E-2</v>
      </c>
      <c r="T1242" s="18">
        <v>0.2223</v>
      </c>
      <c r="U1242" s="18">
        <v>0.11115</v>
      </c>
      <c r="V1242" s="18">
        <v>1.42272</v>
      </c>
      <c r="W1242" s="18">
        <v>1.3338000000000001</v>
      </c>
      <c r="X1242" s="18">
        <v>0.88919999999999999</v>
      </c>
      <c r="Y1242" s="18">
        <v>3.952E-2</v>
      </c>
      <c r="Z1242" s="18">
        <v>0.17537</v>
      </c>
      <c r="AA1242" s="18">
        <v>0.25688</v>
      </c>
      <c r="AB1242" s="18">
        <v>0.45694999999999997</v>
      </c>
      <c r="AC1242" s="18">
        <v>0.14079</v>
      </c>
      <c r="AD1242" s="18">
        <v>0.74099999999999999</v>
      </c>
    </row>
    <row r="1243" spans="2:30" x14ac:dyDescent="0.25">
      <c r="B1243" t="s">
        <v>269</v>
      </c>
      <c r="C1243" t="s">
        <v>570</v>
      </c>
      <c r="D1243" t="s">
        <v>752</v>
      </c>
      <c r="E1243" s="35">
        <v>0.9</v>
      </c>
      <c r="F1243" s="35">
        <v>6.6</v>
      </c>
      <c r="G1243" s="36">
        <v>2.47E-3</v>
      </c>
      <c r="H1243" s="18">
        <v>4.4452980000000002</v>
      </c>
      <c r="I1243" s="16" t="s">
        <v>746</v>
      </c>
      <c r="J1243" s="16"/>
      <c r="K1243" s="16"/>
      <c r="L1243" s="37"/>
      <c r="M1243" s="37"/>
      <c r="N1243" s="37"/>
      <c r="O1243" s="37"/>
      <c r="P1243" s="37"/>
      <c r="Q1243" s="18">
        <v>2.717E-2</v>
      </c>
      <c r="R1243" s="18">
        <v>1.8525E-4</v>
      </c>
      <c r="S1243" s="18">
        <v>5.1869999999999999E-2</v>
      </c>
      <c r="T1243" s="18">
        <v>0.2223</v>
      </c>
      <c r="U1243" s="18">
        <v>0.11115</v>
      </c>
      <c r="V1243" s="18">
        <v>1.42272</v>
      </c>
      <c r="W1243" s="18">
        <v>1.3338000000000001</v>
      </c>
      <c r="X1243" s="18">
        <v>0.88919999999999999</v>
      </c>
      <c r="Y1243" s="18">
        <v>3.952E-2</v>
      </c>
      <c r="Z1243" s="18">
        <v>0.17537</v>
      </c>
      <c r="AA1243" s="18">
        <v>0.25688</v>
      </c>
      <c r="AB1243" s="18">
        <v>0.45694999999999997</v>
      </c>
      <c r="AC1243" s="18">
        <v>0.14079</v>
      </c>
      <c r="AD1243" s="18">
        <v>0.74099999999999999</v>
      </c>
    </row>
    <row r="1244" spans="2:30" x14ac:dyDescent="0.25">
      <c r="B1244" t="s">
        <v>269</v>
      </c>
      <c r="C1244" t="s">
        <v>570</v>
      </c>
      <c r="D1244" t="s">
        <v>752</v>
      </c>
      <c r="E1244" s="35">
        <v>0.9</v>
      </c>
      <c r="F1244" s="35">
        <v>6.6</v>
      </c>
      <c r="G1244" s="36">
        <v>2.47E-3</v>
      </c>
      <c r="H1244" s="18">
        <v>4.4452980000000002</v>
      </c>
      <c r="I1244" s="16" t="s">
        <v>746</v>
      </c>
      <c r="J1244" s="16"/>
      <c r="K1244" s="16"/>
      <c r="L1244" s="37"/>
      <c r="M1244" s="37"/>
      <c r="N1244" s="37"/>
      <c r="O1244" s="37"/>
      <c r="P1244" s="37"/>
      <c r="Q1244" s="18">
        <v>2.717E-2</v>
      </c>
      <c r="R1244" s="18">
        <v>1.8525E-4</v>
      </c>
      <c r="S1244" s="18">
        <v>5.1869999999999999E-2</v>
      </c>
      <c r="T1244" s="18">
        <v>0.2223</v>
      </c>
      <c r="U1244" s="18">
        <v>0.11115</v>
      </c>
      <c r="V1244" s="18">
        <v>1.42272</v>
      </c>
      <c r="W1244" s="18">
        <v>1.3338000000000001</v>
      </c>
      <c r="X1244" s="18">
        <v>0.88919999999999999</v>
      </c>
      <c r="Y1244" s="18">
        <v>3.952E-2</v>
      </c>
      <c r="Z1244" s="18">
        <v>0.17537</v>
      </c>
      <c r="AA1244" s="18">
        <v>0.25688</v>
      </c>
      <c r="AB1244" s="18">
        <v>0.45694999999999997</v>
      </c>
      <c r="AC1244" s="18">
        <v>0.14079</v>
      </c>
      <c r="AD1244" s="18">
        <v>0.74099999999999999</v>
      </c>
    </row>
    <row r="1245" spans="2:30" x14ac:dyDescent="0.25">
      <c r="B1245" t="s">
        <v>269</v>
      </c>
      <c r="C1245" t="s">
        <v>570</v>
      </c>
      <c r="D1245" t="s">
        <v>752</v>
      </c>
      <c r="E1245" s="35">
        <v>0.9</v>
      </c>
      <c r="F1245" s="35">
        <v>6.6</v>
      </c>
      <c r="G1245" s="36">
        <v>2.47E-3</v>
      </c>
      <c r="H1245" s="18">
        <v>4.4452980000000002</v>
      </c>
      <c r="I1245" s="16" t="s">
        <v>746</v>
      </c>
      <c r="J1245" s="16"/>
      <c r="K1245" s="16"/>
      <c r="L1245" s="37"/>
      <c r="M1245" s="37"/>
      <c r="N1245" s="37"/>
      <c r="O1245" s="37"/>
      <c r="P1245" s="37"/>
      <c r="Q1245" s="18">
        <v>2.717E-2</v>
      </c>
      <c r="R1245" s="18">
        <v>1.8525E-4</v>
      </c>
      <c r="S1245" s="18">
        <v>5.1869999999999999E-2</v>
      </c>
      <c r="T1245" s="18">
        <v>0.2223</v>
      </c>
      <c r="U1245" s="18">
        <v>0.11115</v>
      </c>
      <c r="V1245" s="18">
        <v>1.42272</v>
      </c>
      <c r="W1245" s="18">
        <v>1.3338000000000001</v>
      </c>
      <c r="X1245" s="18">
        <v>0.88919999999999999</v>
      </c>
      <c r="Y1245" s="18">
        <v>3.952E-2</v>
      </c>
      <c r="Z1245" s="18">
        <v>0.17537</v>
      </c>
      <c r="AA1245" s="18">
        <v>0.25688</v>
      </c>
      <c r="AB1245" s="18">
        <v>0.45694999999999997</v>
      </c>
      <c r="AC1245" s="18">
        <v>0.14079</v>
      </c>
      <c r="AD1245" s="18">
        <v>0.74099999999999999</v>
      </c>
    </row>
    <row r="1246" spans="2:30" x14ac:dyDescent="0.25">
      <c r="B1246" t="s">
        <v>269</v>
      </c>
      <c r="C1246" t="s">
        <v>570</v>
      </c>
      <c r="D1246" t="s">
        <v>752</v>
      </c>
      <c r="E1246" s="35">
        <v>0.9</v>
      </c>
      <c r="F1246" s="35">
        <v>6.6</v>
      </c>
      <c r="G1246" s="36">
        <v>2.47E-3</v>
      </c>
      <c r="H1246" s="18">
        <v>4.4452980000000002</v>
      </c>
      <c r="I1246" s="16" t="s">
        <v>746</v>
      </c>
      <c r="J1246" s="16"/>
      <c r="K1246" s="16"/>
      <c r="L1246" s="37"/>
      <c r="M1246" s="37"/>
      <c r="N1246" s="37"/>
      <c r="O1246" s="37"/>
      <c r="P1246" s="37"/>
      <c r="Q1246" s="18">
        <v>2.717E-2</v>
      </c>
      <c r="R1246" s="18">
        <v>1.8525E-4</v>
      </c>
      <c r="S1246" s="18">
        <v>5.1869999999999999E-2</v>
      </c>
      <c r="T1246" s="18">
        <v>0.2223</v>
      </c>
      <c r="U1246" s="18">
        <v>0.11115</v>
      </c>
      <c r="V1246" s="18">
        <v>1.42272</v>
      </c>
      <c r="W1246" s="18">
        <v>1.3338000000000001</v>
      </c>
      <c r="X1246" s="18">
        <v>0.88919999999999999</v>
      </c>
      <c r="Y1246" s="18">
        <v>3.952E-2</v>
      </c>
      <c r="Z1246" s="18">
        <v>0.17537</v>
      </c>
      <c r="AA1246" s="18">
        <v>0.25688</v>
      </c>
      <c r="AB1246" s="18">
        <v>0.45694999999999997</v>
      </c>
      <c r="AC1246" s="18">
        <v>0.14079</v>
      </c>
      <c r="AD1246" s="18">
        <v>0.74099999999999999</v>
      </c>
    </row>
    <row r="1247" spans="2:30" x14ac:dyDescent="0.25">
      <c r="B1247" t="s">
        <v>269</v>
      </c>
      <c r="C1247" t="s">
        <v>570</v>
      </c>
      <c r="D1247" t="s">
        <v>752</v>
      </c>
      <c r="E1247" s="35">
        <v>0.9</v>
      </c>
      <c r="F1247" s="35">
        <v>6.6</v>
      </c>
      <c r="G1247" s="36">
        <v>2.47E-3</v>
      </c>
      <c r="H1247" s="18">
        <v>4.4452980000000002</v>
      </c>
      <c r="I1247" s="16" t="s">
        <v>746</v>
      </c>
      <c r="J1247" s="16"/>
      <c r="K1247" s="16"/>
      <c r="L1247" s="37"/>
      <c r="M1247" s="37"/>
      <c r="N1247" s="37"/>
      <c r="O1247" s="37"/>
      <c r="P1247" s="37"/>
      <c r="Q1247" s="18">
        <v>2.717E-2</v>
      </c>
      <c r="R1247" s="18">
        <v>1.8525E-4</v>
      </c>
      <c r="S1247" s="18">
        <v>5.1869999999999999E-2</v>
      </c>
      <c r="T1247" s="18">
        <v>0.2223</v>
      </c>
      <c r="U1247" s="18">
        <v>0.11115</v>
      </c>
      <c r="V1247" s="18">
        <v>1.42272</v>
      </c>
      <c r="W1247" s="18">
        <v>1.3338000000000001</v>
      </c>
      <c r="X1247" s="18">
        <v>0.88919999999999999</v>
      </c>
      <c r="Y1247" s="18">
        <v>3.952E-2</v>
      </c>
      <c r="Z1247" s="18">
        <v>0.17537</v>
      </c>
      <c r="AA1247" s="18">
        <v>0.25688</v>
      </c>
      <c r="AB1247" s="18">
        <v>0.45694999999999997</v>
      </c>
      <c r="AC1247" s="18">
        <v>0.14079</v>
      </c>
      <c r="AD1247" s="18">
        <v>0.74099999999999999</v>
      </c>
    </row>
    <row r="1248" spans="2:30" x14ac:dyDescent="0.25">
      <c r="B1248" t="s">
        <v>269</v>
      </c>
      <c r="C1248" t="s">
        <v>570</v>
      </c>
      <c r="D1248" t="s">
        <v>752</v>
      </c>
      <c r="E1248" s="35">
        <v>0.9</v>
      </c>
      <c r="F1248" s="35">
        <v>6.6</v>
      </c>
      <c r="G1248" s="36">
        <v>2.47E-3</v>
      </c>
      <c r="H1248" s="18">
        <v>4.4452980000000002</v>
      </c>
      <c r="I1248" s="16" t="s">
        <v>746</v>
      </c>
      <c r="J1248" s="16"/>
      <c r="K1248" s="16"/>
      <c r="L1248" s="37"/>
      <c r="M1248" s="37"/>
      <c r="N1248" s="37"/>
      <c r="O1248" s="37"/>
      <c r="P1248" s="37"/>
      <c r="Q1248" s="18">
        <v>2.717E-2</v>
      </c>
      <c r="R1248" s="18">
        <v>1.8525E-4</v>
      </c>
      <c r="S1248" s="18">
        <v>5.1869999999999999E-2</v>
      </c>
      <c r="T1248" s="18">
        <v>0.2223</v>
      </c>
      <c r="U1248" s="18">
        <v>0.11115</v>
      </c>
      <c r="V1248" s="18">
        <v>1.42272</v>
      </c>
      <c r="W1248" s="18">
        <v>1.3338000000000001</v>
      </c>
      <c r="X1248" s="18">
        <v>0.88919999999999999</v>
      </c>
      <c r="Y1248" s="18">
        <v>3.952E-2</v>
      </c>
      <c r="Z1248" s="18">
        <v>0.17537</v>
      </c>
      <c r="AA1248" s="18">
        <v>0.25688</v>
      </c>
      <c r="AB1248" s="18">
        <v>0.45694999999999997</v>
      </c>
      <c r="AC1248" s="18">
        <v>0.14079</v>
      </c>
      <c r="AD1248" s="18">
        <v>0.74099999999999999</v>
      </c>
    </row>
    <row r="1249" spans="2:30" x14ac:dyDescent="0.25">
      <c r="B1249" t="s">
        <v>269</v>
      </c>
      <c r="C1249" t="s">
        <v>570</v>
      </c>
      <c r="D1249" t="s">
        <v>752</v>
      </c>
      <c r="E1249" s="35">
        <v>0.9</v>
      </c>
      <c r="F1249" s="35">
        <v>6.6</v>
      </c>
      <c r="G1249" s="36">
        <v>2.47E-3</v>
      </c>
      <c r="H1249" s="18">
        <v>4.4452980000000002</v>
      </c>
      <c r="I1249" s="16" t="s">
        <v>746</v>
      </c>
      <c r="J1249" s="16"/>
      <c r="K1249" s="16"/>
      <c r="L1249" s="37"/>
      <c r="M1249" s="37"/>
      <c r="N1249" s="37"/>
      <c r="O1249" s="37"/>
      <c r="P1249" s="37"/>
      <c r="Q1249" s="18">
        <v>2.717E-2</v>
      </c>
      <c r="R1249" s="18">
        <v>1.8525E-4</v>
      </c>
      <c r="S1249" s="18">
        <v>5.1869999999999999E-2</v>
      </c>
      <c r="T1249" s="18">
        <v>0.2223</v>
      </c>
      <c r="U1249" s="18">
        <v>0.11115</v>
      </c>
      <c r="V1249" s="18">
        <v>1.42272</v>
      </c>
      <c r="W1249" s="18">
        <v>1.3338000000000001</v>
      </c>
      <c r="X1249" s="18">
        <v>0.88919999999999999</v>
      </c>
      <c r="Y1249" s="18">
        <v>3.952E-2</v>
      </c>
      <c r="Z1249" s="18">
        <v>0.17537</v>
      </c>
      <c r="AA1249" s="18">
        <v>0.25688</v>
      </c>
      <c r="AB1249" s="18">
        <v>0.45694999999999997</v>
      </c>
      <c r="AC1249" s="18">
        <v>0.14079</v>
      </c>
      <c r="AD1249" s="18">
        <v>0.74099999999999999</v>
      </c>
    </row>
    <row r="1250" spans="2:30" x14ac:dyDescent="0.25">
      <c r="B1250" t="s">
        <v>269</v>
      </c>
      <c r="C1250" t="s">
        <v>570</v>
      </c>
      <c r="D1250" t="s">
        <v>752</v>
      </c>
      <c r="E1250" s="35">
        <v>0.9</v>
      </c>
      <c r="F1250" s="35">
        <v>6.6</v>
      </c>
      <c r="G1250" s="36">
        <v>2.47E-3</v>
      </c>
      <c r="H1250" s="18">
        <v>4.4452980000000002</v>
      </c>
      <c r="I1250" s="16" t="s">
        <v>746</v>
      </c>
      <c r="J1250" s="16"/>
      <c r="K1250" s="16"/>
      <c r="L1250" s="37"/>
      <c r="M1250" s="37"/>
      <c r="N1250" s="37"/>
      <c r="O1250" s="37"/>
      <c r="P1250" s="37"/>
      <c r="Q1250" s="18">
        <v>2.717E-2</v>
      </c>
      <c r="R1250" s="18">
        <v>1.8525E-4</v>
      </c>
      <c r="S1250" s="18">
        <v>5.1869999999999999E-2</v>
      </c>
      <c r="T1250" s="18">
        <v>0.2223</v>
      </c>
      <c r="U1250" s="18">
        <v>0.11115</v>
      </c>
      <c r="V1250" s="18">
        <v>1.42272</v>
      </c>
      <c r="W1250" s="18">
        <v>1.3338000000000001</v>
      </c>
      <c r="X1250" s="18">
        <v>0.88919999999999999</v>
      </c>
      <c r="Y1250" s="18">
        <v>3.952E-2</v>
      </c>
      <c r="Z1250" s="18">
        <v>0.17537</v>
      </c>
      <c r="AA1250" s="18">
        <v>0.25688</v>
      </c>
      <c r="AB1250" s="18">
        <v>0.45694999999999997</v>
      </c>
      <c r="AC1250" s="18">
        <v>0.14079</v>
      </c>
      <c r="AD1250" s="18">
        <v>0.74099999999999999</v>
      </c>
    </row>
    <row r="1251" spans="2:30" x14ac:dyDescent="0.25">
      <c r="B1251" t="s">
        <v>269</v>
      </c>
      <c r="C1251" t="s">
        <v>570</v>
      </c>
      <c r="D1251" t="s">
        <v>752</v>
      </c>
      <c r="E1251" s="35">
        <v>0.9</v>
      </c>
      <c r="F1251" s="35">
        <v>6.6</v>
      </c>
      <c r="G1251" s="36">
        <v>2.47E-3</v>
      </c>
      <c r="H1251" s="18">
        <v>4.4452980000000002</v>
      </c>
      <c r="I1251" s="16" t="s">
        <v>746</v>
      </c>
      <c r="J1251" s="16"/>
      <c r="K1251" s="16"/>
      <c r="L1251" s="37"/>
      <c r="M1251" s="37"/>
      <c r="N1251" s="37"/>
      <c r="O1251" s="37"/>
      <c r="P1251" s="37"/>
      <c r="Q1251" s="18">
        <v>2.717E-2</v>
      </c>
      <c r="R1251" s="18">
        <v>1.8525E-4</v>
      </c>
      <c r="S1251" s="18">
        <v>5.1869999999999999E-2</v>
      </c>
      <c r="T1251" s="18">
        <v>0.2223</v>
      </c>
      <c r="U1251" s="18">
        <v>0.11115</v>
      </c>
      <c r="V1251" s="18">
        <v>1.42272</v>
      </c>
      <c r="W1251" s="18">
        <v>1.3338000000000001</v>
      </c>
      <c r="X1251" s="18">
        <v>0.88919999999999999</v>
      </c>
      <c r="Y1251" s="18">
        <v>3.952E-2</v>
      </c>
      <c r="Z1251" s="18">
        <v>0.17537</v>
      </c>
      <c r="AA1251" s="18">
        <v>0.25688</v>
      </c>
      <c r="AB1251" s="18">
        <v>0.45694999999999997</v>
      </c>
      <c r="AC1251" s="18">
        <v>0.14079</v>
      </c>
      <c r="AD1251" s="18">
        <v>0.74099999999999999</v>
      </c>
    </row>
    <row r="1252" spans="2:30" x14ac:dyDescent="0.25">
      <c r="B1252" t="s">
        <v>269</v>
      </c>
      <c r="C1252" t="s">
        <v>570</v>
      </c>
      <c r="D1252" t="s">
        <v>752</v>
      </c>
      <c r="E1252" s="35">
        <v>0.9</v>
      </c>
      <c r="F1252" s="35">
        <v>6.6</v>
      </c>
      <c r="G1252" s="36">
        <v>2.47E-3</v>
      </c>
      <c r="H1252" s="18">
        <v>4.4452980000000002</v>
      </c>
      <c r="I1252" s="16" t="s">
        <v>746</v>
      </c>
      <c r="J1252" s="16"/>
      <c r="K1252" s="16"/>
      <c r="L1252" s="37"/>
      <c r="M1252" s="37"/>
      <c r="N1252" s="37"/>
      <c r="O1252" s="37"/>
      <c r="P1252" s="37"/>
      <c r="Q1252" s="18">
        <v>2.717E-2</v>
      </c>
      <c r="R1252" s="18">
        <v>1.8525E-4</v>
      </c>
      <c r="S1252" s="18">
        <v>5.1869999999999999E-2</v>
      </c>
      <c r="T1252" s="18">
        <v>0.2223</v>
      </c>
      <c r="U1252" s="18">
        <v>0.11115</v>
      </c>
      <c r="V1252" s="18">
        <v>1.42272</v>
      </c>
      <c r="W1252" s="18">
        <v>1.3338000000000001</v>
      </c>
      <c r="X1252" s="18">
        <v>0.88919999999999999</v>
      </c>
      <c r="Y1252" s="18">
        <v>3.952E-2</v>
      </c>
      <c r="Z1252" s="18">
        <v>0.17537</v>
      </c>
      <c r="AA1252" s="18">
        <v>0.25688</v>
      </c>
      <c r="AB1252" s="18">
        <v>0.45694999999999997</v>
      </c>
      <c r="AC1252" s="18">
        <v>0.14079</v>
      </c>
      <c r="AD1252" s="18">
        <v>0.74099999999999999</v>
      </c>
    </row>
    <row r="1253" spans="2:30" x14ac:dyDescent="0.25">
      <c r="B1253" t="s">
        <v>269</v>
      </c>
      <c r="C1253" t="s">
        <v>570</v>
      </c>
      <c r="D1253" t="s">
        <v>752</v>
      </c>
      <c r="E1253" s="35">
        <v>0.9</v>
      </c>
      <c r="F1253" s="35">
        <v>6.6</v>
      </c>
      <c r="G1253" s="36">
        <v>2.47E-3</v>
      </c>
      <c r="H1253" s="18">
        <v>4.4452980000000002</v>
      </c>
      <c r="I1253" s="16" t="s">
        <v>746</v>
      </c>
      <c r="J1253" s="16"/>
      <c r="K1253" s="16"/>
      <c r="L1253" s="37"/>
      <c r="M1253" s="37"/>
      <c r="N1253" s="37"/>
      <c r="O1253" s="37"/>
      <c r="P1253" s="37"/>
      <c r="Q1253" s="18">
        <v>2.717E-2</v>
      </c>
      <c r="R1253" s="18">
        <v>1.8525E-4</v>
      </c>
      <c r="S1253" s="18">
        <v>5.1869999999999999E-2</v>
      </c>
      <c r="T1253" s="18">
        <v>0.2223</v>
      </c>
      <c r="U1253" s="18">
        <v>0.11115</v>
      </c>
      <c r="V1253" s="18">
        <v>1.42272</v>
      </c>
      <c r="W1253" s="18">
        <v>1.3338000000000001</v>
      </c>
      <c r="X1253" s="18">
        <v>0.88919999999999999</v>
      </c>
      <c r="Y1253" s="18">
        <v>3.952E-2</v>
      </c>
      <c r="Z1253" s="18">
        <v>0.17537</v>
      </c>
      <c r="AA1253" s="18">
        <v>0.25688</v>
      </c>
      <c r="AB1253" s="18">
        <v>0.45694999999999997</v>
      </c>
      <c r="AC1253" s="18">
        <v>0.14079</v>
      </c>
      <c r="AD1253" s="18">
        <v>0.74099999999999999</v>
      </c>
    </row>
    <row r="1254" spans="2:30" x14ac:dyDescent="0.25">
      <c r="B1254" t="s">
        <v>269</v>
      </c>
      <c r="C1254" t="s">
        <v>570</v>
      </c>
      <c r="D1254" t="s">
        <v>752</v>
      </c>
      <c r="E1254" s="35">
        <v>0.9</v>
      </c>
      <c r="F1254" s="35">
        <v>6.6</v>
      </c>
      <c r="G1254" s="36">
        <v>2.47E-3</v>
      </c>
      <c r="H1254" s="18">
        <v>4.4452980000000002</v>
      </c>
      <c r="I1254" s="16" t="s">
        <v>746</v>
      </c>
      <c r="J1254" s="16"/>
      <c r="K1254" s="16"/>
      <c r="L1254" s="37"/>
      <c r="M1254" s="37"/>
      <c r="N1254" s="37"/>
      <c r="O1254" s="37"/>
      <c r="P1254" s="37"/>
      <c r="Q1254" s="18">
        <v>2.717E-2</v>
      </c>
      <c r="R1254" s="18">
        <v>1.8525E-4</v>
      </c>
      <c r="S1254" s="18">
        <v>5.1869999999999999E-2</v>
      </c>
      <c r="T1254" s="18">
        <v>0.2223</v>
      </c>
      <c r="U1254" s="18">
        <v>0.11115</v>
      </c>
      <c r="V1254" s="18">
        <v>1.42272</v>
      </c>
      <c r="W1254" s="18">
        <v>1.3338000000000001</v>
      </c>
      <c r="X1254" s="18">
        <v>0.88919999999999999</v>
      </c>
      <c r="Y1254" s="18">
        <v>3.952E-2</v>
      </c>
      <c r="Z1254" s="18">
        <v>0.17537</v>
      </c>
      <c r="AA1254" s="18">
        <v>0.25688</v>
      </c>
      <c r="AB1254" s="18">
        <v>0.45694999999999997</v>
      </c>
      <c r="AC1254" s="18">
        <v>0.14079</v>
      </c>
      <c r="AD1254" s="18">
        <v>0.74099999999999999</v>
      </c>
    </row>
    <row r="1255" spans="2:30" x14ac:dyDescent="0.25">
      <c r="B1255" t="s">
        <v>269</v>
      </c>
      <c r="C1255" t="s">
        <v>570</v>
      </c>
      <c r="D1255" t="s">
        <v>752</v>
      </c>
      <c r="E1255" s="35">
        <v>0.9</v>
      </c>
      <c r="F1255" s="35">
        <v>6.6</v>
      </c>
      <c r="G1255" s="36">
        <v>2.47E-3</v>
      </c>
      <c r="H1255" s="18">
        <v>4.4452980000000002</v>
      </c>
      <c r="I1255" s="16" t="s">
        <v>746</v>
      </c>
      <c r="J1255" s="16"/>
      <c r="K1255" s="16"/>
      <c r="L1255" s="37"/>
      <c r="M1255" s="37"/>
      <c r="N1255" s="37"/>
      <c r="O1255" s="37"/>
      <c r="P1255" s="37"/>
      <c r="Q1255" s="18">
        <v>2.717E-2</v>
      </c>
      <c r="R1255" s="18">
        <v>1.8525E-4</v>
      </c>
      <c r="S1255" s="18">
        <v>5.1869999999999999E-2</v>
      </c>
      <c r="T1255" s="18">
        <v>0.2223</v>
      </c>
      <c r="U1255" s="18">
        <v>0.11115</v>
      </c>
      <c r="V1255" s="18">
        <v>1.42272</v>
      </c>
      <c r="W1255" s="18">
        <v>1.3338000000000001</v>
      </c>
      <c r="X1255" s="18">
        <v>0.88919999999999999</v>
      </c>
      <c r="Y1255" s="18">
        <v>3.952E-2</v>
      </c>
      <c r="Z1255" s="18">
        <v>0.17537</v>
      </c>
      <c r="AA1255" s="18">
        <v>0.25688</v>
      </c>
      <c r="AB1255" s="18">
        <v>0.45694999999999997</v>
      </c>
      <c r="AC1255" s="18">
        <v>0.14079</v>
      </c>
      <c r="AD1255" s="18">
        <v>0.74099999999999999</v>
      </c>
    </row>
    <row r="1256" spans="2:30" x14ac:dyDescent="0.25">
      <c r="B1256" t="s">
        <v>269</v>
      </c>
      <c r="C1256" t="s">
        <v>570</v>
      </c>
      <c r="D1256" t="s">
        <v>752</v>
      </c>
      <c r="E1256" s="35">
        <v>0.9</v>
      </c>
      <c r="F1256" s="35">
        <v>6.6</v>
      </c>
      <c r="G1256" s="36">
        <v>2.47E-3</v>
      </c>
      <c r="H1256" s="18">
        <v>4.4452980000000002</v>
      </c>
      <c r="I1256" s="16" t="s">
        <v>746</v>
      </c>
      <c r="J1256" s="16"/>
      <c r="K1256" s="16"/>
      <c r="L1256" s="37"/>
      <c r="M1256" s="37"/>
      <c r="N1256" s="37"/>
      <c r="O1256" s="37"/>
      <c r="P1256" s="37"/>
      <c r="Q1256" s="18">
        <v>2.717E-2</v>
      </c>
      <c r="R1256" s="18">
        <v>1.8525E-4</v>
      </c>
      <c r="S1256" s="18">
        <v>5.1869999999999999E-2</v>
      </c>
      <c r="T1256" s="18">
        <v>0.2223</v>
      </c>
      <c r="U1256" s="18">
        <v>0.11115</v>
      </c>
      <c r="V1256" s="18">
        <v>1.42272</v>
      </c>
      <c r="W1256" s="18">
        <v>1.3338000000000001</v>
      </c>
      <c r="X1256" s="18">
        <v>0.88919999999999999</v>
      </c>
      <c r="Y1256" s="18">
        <v>3.952E-2</v>
      </c>
      <c r="Z1256" s="18">
        <v>0.17537</v>
      </c>
      <c r="AA1256" s="18">
        <v>0.25688</v>
      </c>
      <c r="AB1256" s="18">
        <v>0.45694999999999997</v>
      </c>
      <c r="AC1256" s="18">
        <v>0.14079</v>
      </c>
      <c r="AD1256" s="18">
        <v>0.74099999999999999</v>
      </c>
    </row>
    <row r="1257" spans="2:30" x14ac:dyDescent="0.25">
      <c r="B1257" t="s">
        <v>269</v>
      </c>
      <c r="C1257" t="s">
        <v>570</v>
      </c>
      <c r="D1257" t="s">
        <v>752</v>
      </c>
      <c r="E1257" s="35">
        <v>0.9</v>
      </c>
      <c r="F1257" s="35">
        <v>6.6</v>
      </c>
      <c r="G1257" s="36">
        <v>2.47E-3</v>
      </c>
      <c r="H1257" s="18">
        <v>4.4452980000000002</v>
      </c>
      <c r="I1257" s="16" t="s">
        <v>746</v>
      </c>
      <c r="J1257" s="16"/>
      <c r="K1257" s="16"/>
      <c r="L1257" s="37"/>
      <c r="M1257" s="37"/>
      <c r="N1257" s="37"/>
      <c r="O1257" s="37"/>
      <c r="P1257" s="37"/>
      <c r="Q1257" s="18">
        <v>2.717E-2</v>
      </c>
      <c r="R1257" s="18">
        <v>1.8525E-4</v>
      </c>
      <c r="S1257" s="18">
        <v>5.1869999999999999E-2</v>
      </c>
      <c r="T1257" s="18">
        <v>0.2223</v>
      </c>
      <c r="U1257" s="18">
        <v>0.11115</v>
      </c>
      <c r="V1257" s="18">
        <v>1.42272</v>
      </c>
      <c r="W1257" s="18">
        <v>1.3338000000000001</v>
      </c>
      <c r="X1257" s="18">
        <v>0.88919999999999999</v>
      </c>
      <c r="Y1257" s="18">
        <v>3.952E-2</v>
      </c>
      <c r="Z1257" s="18">
        <v>0.17537</v>
      </c>
      <c r="AA1257" s="18">
        <v>0.25688</v>
      </c>
      <c r="AB1257" s="18">
        <v>0.45694999999999997</v>
      </c>
      <c r="AC1257" s="18">
        <v>0.14079</v>
      </c>
      <c r="AD1257" s="18">
        <v>0.74099999999999999</v>
      </c>
    </row>
    <row r="1258" spans="2:30" x14ac:dyDescent="0.25">
      <c r="B1258" t="s">
        <v>269</v>
      </c>
      <c r="C1258" t="s">
        <v>570</v>
      </c>
      <c r="D1258" t="s">
        <v>752</v>
      </c>
      <c r="E1258" s="35">
        <v>0.9</v>
      </c>
      <c r="F1258" s="35">
        <v>6.6</v>
      </c>
      <c r="G1258" s="36">
        <v>2.47E-3</v>
      </c>
      <c r="H1258" s="18">
        <v>4.4452980000000002</v>
      </c>
      <c r="I1258" s="16" t="s">
        <v>746</v>
      </c>
      <c r="J1258" s="16"/>
      <c r="K1258" s="16"/>
      <c r="L1258" s="37"/>
      <c r="M1258" s="37"/>
      <c r="N1258" s="37"/>
      <c r="O1258" s="37"/>
      <c r="P1258" s="37"/>
      <c r="Q1258" s="18">
        <v>2.717E-2</v>
      </c>
      <c r="R1258" s="18">
        <v>1.8525E-4</v>
      </c>
      <c r="S1258" s="18">
        <v>5.1869999999999999E-2</v>
      </c>
      <c r="T1258" s="18">
        <v>0.2223</v>
      </c>
      <c r="U1258" s="18">
        <v>0.11115</v>
      </c>
      <c r="V1258" s="18">
        <v>1.42272</v>
      </c>
      <c r="W1258" s="18">
        <v>1.3338000000000001</v>
      </c>
      <c r="X1258" s="18">
        <v>0.88919999999999999</v>
      </c>
      <c r="Y1258" s="18">
        <v>3.952E-2</v>
      </c>
      <c r="Z1258" s="18">
        <v>0.17537</v>
      </c>
      <c r="AA1258" s="18">
        <v>0.25688</v>
      </c>
      <c r="AB1258" s="18">
        <v>0.45694999999999997</v>
      </c>
      <c r="AC1258" s="18">
        <v>0.14079</v>
      </c>
      <c r="AD1258" s="18">
        <v>0.74099999999999999</v>
      </c>
    </row>
    <row r="1259" spans="2:30" x14ac:dyDescent="0.25">
      <c r="B1259" t="s">
        <v>269</v>
      </c>
      <c r="C1259" t="s">
        <v>570</v>
      </c>
      <c r="D1259" t="s">
        <v>752</v>
      </c>
      <c r="E1259" s="35">
        <v>0.9</v>
      </c>
      <c r="F1259" s="35">
        <v>6.6</v>
      </c>
      <c r="G1259" s="36">
        <v>2.47E-3</v>
      </c>
      <c r="H1259" s="18">
        <v>4.4452980000000002</v>
      </c>
      <c r="I1259" s="16" t="s">
        <v>746</v>
      </c>
      <c r="J1259" s="16"/>
      <c r="K1259" s="16"/>
      <c r="L1259" s="37"/>
      <c r="M1259" s="37"/>
      <c r="N1259" s="37"/>
      <c r="O1259" s="37"/>
      <c r="P1259" s="37"/>
      <c r="Q1259" s="18">
        <v>2.717E-2</v>
      </c>
      <c r="R1259" s="18">
        <v>1.8525E-4</v>
      </c>
      <c r="S1259" s="18">
        <v>5.1869999999999999E-2</v>
      </c>
      <c r="T1259" s="18">
        <v>0.2223</v>
      </c>
      <c r="U1259" s="18">
        <v>0.11115</v>
      </c>
      <c r="V1259" s="18">
        <v>1.42272</v>
      </c>
      <c r="W1259" s="18">
        <v>1.3338000000000001</v>
      </c>
      <c r="X1259" s="18">
        <v>0.88919999999999999</v>
      </c>
      <c r="Y1259" s="18">
        <v>3.952E-2</v>
      </c>
      <c r="Z1259" s="18">
        <v>0.17537</v>
      </c>
      <c r="AA1259" s="18">
        <v>0.25688</v>
      </c>
      <c r="AB1259" s="18">
        <v>0.45694999999999997</v>
      </c>
      <c r="AC1259" s="18">
        <v>0.14079</v>
      </c>
      <c r="AD1259" s="18">
        <v>0.74099999999999999</v>
      </c>
    </row>
    <row r="1260" spans="2:30" x14ac:dyDescent="0.25">
      <c r="B1260" t="s">
        <v>269</v>
      </c>
      <c r="C1260" t="s">
        <v>570</v>
      </c>
      <c r="D1260" t="s">
        <v>752</v>
      </c>
      <c r="E1260" s="35">
        <v>0.9</v>
      </c>
      <c r="F1260" s="35">
        <v>6.6</v>
      </c>
      <c r="G1260" s="36">
        <v>2.47E-3</v>
      </c>
      <c r="H1260" s="18">
        <v>4.4452980000000002</v>
      </c>
      <c r="I1260" s="16" t="s">
        <v>746</v>
      </c>
      <c r="J1260" s="16"/>
      <c r="K1260" s="16"/>
      <c r="L1260" s="37"/>
      <c r="M1260" s="37"/>
      <c r="N1260" s="37"/>
      <c r="O1260" s="37"/>
      <c r="P1260" s="37"/>
      <c r="Q1260" s="18">
        <v>2.717E-2</v>
      </c>
      <c r="R1260" s="18">
        <v>1.8525E-4</v>
      </c>
      <c r="S1260" s="18">
        <v>5.1869999999999999E-2</v>
      </c>
      <c r="T1260" s="18">
        <v>0.2223</v>
      </c>
      <c r="U1260" s="18">
        <v>0.11115</v>
      </c>
      <c r="V1260" s="18">
        <v>1.42272</v>
      </c>
      <c r="W1260" s="18">
        <v>1.3338000000000001</v>
      </c>
      <c r="X1260" s="18">
        <v>0.88919999999999999</v>
      </c>
      <c r="Y1260" s="18">
        <v>3.952E-2</v>
      </c>
      <c r="Z1260" s="18">
        <v>0.17537</v>
      </c>
      <c r="AA1260" s="18">
        <v>0.25688</v>
      </c>
      <c r="AB1260" s="18">
        <v>0.45694999999999997</v>
      </c>
      <c r="AC1260" s="18">
        <v>0.14079</v>
      </c>
      <c r="AD1260" s="18">
        <v>0.74099999999999999</v>
      </c>
    </row>
    <row r="1261" spans="2:30" x14ac:dyDescent="0.25">
      <c r="B1261" t="s">
        <v>269</v>
      </c>
      <c r="C1261" t="s">
        <v>570</v>
      </c>
      <c r="D1261" t="s">
        <v>752</v>
      </c>
      <c r="E1261" s="35">
        <v>0.9</v>
      </c>
      <c r="F1261" s="35">
        <v>6.6</v>
      </c>
      <c r="G1261" s="36">
        <v>2.47E-3</v>
      </c>
      <c r="H1261" s="18">
        <v>4.4452980000000002</v>
      </c>
      <c r="I1261" s="16" t="s">
        <v>746</v>
      </c>
      <c r="J1261" s="16"/>
      <c r="K1261" s="16"/>
      <c r="L1261" s="37"/>
      <c r="M1261" s="37"/>
      <c r="N1261" s="37"/>
      <c r="O1261" s="37"/>
      <c r="P1261" s="37"/>
      <c r="Q1261" s="18">
        <v>2.717E-2</v>
      </c>
      <c r="R1261" s="18">
        <v>1.8525E-4</v>
      </c>
      <c r="S1261" s="18">
        <v>5.1869999999999999E-2</v>
      </c>
      <c r="T1261" s="18">
        <v>0.2223</v>
      </c>
      <c r="U1261" s="18">
        <v>0.11115</v>
      </c>
      <c r="V1261" s="18">
        <v>1.42272</v>
      </c>
      <c r="W1261" s="18">
        <v>1.3338000000000001</v>
      </c>
      <c r="X1261" s="18">
        <v>0.88919999999999999</v>
      </c>
      <c r="Y1261" s="18">
        <v>3.952E-2</v>
      </c>
      <c r="Z1261" s="18">
        <v>0.17537</v>
      </c>
      <c r="AA1261" s="18">
        <v>0.25688</v>
      </c>
      <c r="AB1261" s="18">
        <v>0.45694999999999997</v>
      </c>
      <c r="AC1261" s="18">
        <v>0.14079</v>
      </c>
      <c r="AD1261" s="18">
        <v>0.74099999999999999</v>
      </c>
    </row>
    <row r="1262" spans="2:30" x14ac:dyDescent="0.25">
      <c r="B1262" t="s">
        <v>269</v>
      </c>
      <c r="C1262" t="s">
        <v>570</v>
      </c>
      <c r="D1262" t="s">
        <v>752</v>
      </c>
      <c r="E1262" s="35">
        <v>0.9</v>
      </c>
      <c r="F1262" s="35">
        <v>6.6</v>
      </c>
      <c r="G1262" s="36">
        <v>2.47E-3</v>
      </c>
      <c r="H1262" s="18">
        <v>4.4452980000000002</v>
      </c>
      <c r="I1262" s="16" t="s">
        <v>746</v>
      </c>
      <c r="J1262" s="16"/>
      <c r="K1262" s="16"/>
      <c r="L1262" s="37"/>
      <c r="M1262" s="37"/>
      <c r="N1262" s="37"/>
      <c r="O1262" s="37"/>
      <c r="P1262" s="37"/>
      <c r="Q1262" s="18">
        <v>2.717E-2</v>
      </c>
      <c r="R1262" s="18">
        <v>1.8525E-4</v>
      </c>
      <c r="S1262" s="18">
        <v>5.1869999999999999E-2</v>
      </c>
      <c r="T1262" s="18">
        <v>0.2223</v>
      </c>
      <c r="U1262" s="18">
        <v>0.11115</v>
      </c>
      <c r="V1262" s="18">
        <v>1.42272</v>
      </c>
      <c r="W1262" s="18">
        <v>1.3338000000000001</v>
      </c>
      <c r="X1262" s="18">
        <v>0.88919999999999999</v>
      </c>
      <c r="Y1262" s="18">
        <v>3.952E-2</v>
      </c>
      <c r="Z1262" s="18">
        <v>0.17537</v>
      </c>
      <c r="AA1262" s="18">
        <v>0.25688</v>
      </c>
      <c r="AB1262" s="18">
        <v>0.45694999999999997</v>
      </c>
      <c r="AC1262" s="18">
        <v>0.14079</v>
      </c>
      <c r="AD1262" s="18">
        <v>0.74099999999999999</v>
      </c>
    </row>
    <row r="1263" spans="2:30" x14ac:dyDescent="0.25">
      <c r="B1263" t="s">
        <v>269</v>
      </c>
      <c r="C1263" t="s">
        <v>570</v>
      </c>
      <c r="D1263" t="s">
        <v>752</v>
      </c>
      <c r="E1263" s="35">
        <v>0.9</v>
      </c>
      <c r="F1263" s="35">
        <v>6.6</v>
      </c>
      <c r="G1263" s="36">
        <v>2.47E-3</v>
      </c>
      <c r="H1263" s="18">
        <v>4.4452980000000002</v>
      </c>
      <c r="I1263" s="16" t="s">
        <v>746</v>
      </c>
      <c r="J1263" s="16"/>
      <c r="K1263" s="16"/>
      <c r="L1263" s="37"/>
      <c r="M1263" s="37"/>
      <c r="N1263" s="37"/>
      <c r="O1263" s="37"/>
      <c r="P1263" s="37"/>
      <c r="Q1263" s="18">
        <v>2.717E-2</v>
      </c>
      <c r="R1263" s="18">
        <v>1.8525E-4</v>
      </c>
      <c r="S1263" s="18">
        <v>5.1869999999999999E-2</v>
      </c>
      <c r="T1263" s="18">
        <v>0.2223</v>
      </c>
      <c r="U1263" s="18">
        <v>0.11115</v>
      </c>
      <c r="V1263" s="18">
        <v>1.42272</v>
      </c>
      <c r="W1263" s="18">
        <v>1.3338000000000001</v>
      </c>
      <c r="X1263" s="18">
        <v>0.88919999999999999</v>
      </c>
      <c r="Y1263" s="18">
        <v>3.952E-2</v>
      </c>
      <c r="Z1263" s="18">
        <v>0.17537</v>
      </c>
      <c r="AA1263" s="18">
        <v>0.25688</v>
      </c>
      <c r="AB1263" s="18">
        <v>0.45694999999999997</v>
      </c>
      <c r="AC1263" s="18">
        <v>0.14079</v>
      </c>
      <c r="AD1263" s="18">
        <v>0.74099999999999999</v>
      </c>
    </row>
    <row r="1264" spans="2:30" x14ac:dyDescent="0.25">
      <c r="B1264" t="s">
        <v>269</v>
      </c>
      <c r="C1264" t="s">
        <v>570</v>
      </c>
      <c r="D1264" t="s">
        <v>752</v>
      </c>
      <c r="E1264" s="35">
        <v>0.9</v>
      </c>
      <c r="F1264" s="35">
        <v>6.6</v>
      </c>
      <c r="G1264" s="36">
        <v>2.47E-3</v>
      </c>
      <c r="H1264" s="18">
        <v>4.4452980000000002</v>
      </c>
      <c r="I1264" s="16" t="s">
        <v>746</v>
      </c>
      <c r="J1264" s="16"/>
      <c r="K1264" s="16"/>
      <c r="L1264" s="37"/>
      <c r="M1264" s="37"/>
      <c r="N1264" s="37"/>
      <c r="O1264" s="37"/>
      <c r="P1264" s="37"/>
      <c r="Q1264" s="18">
        <v>2.717E-2</v>
      </c>
      <c r="R1264" s="18">
        <v>1.8525E-4</v>
      </c>
      <c r="S1264" s="18">
        <v>5.1869999999999999E-2</v>
      </c>
      <c r="T1264" s="18">
        <v>0.2223</v>
      </c>
      <c r="U1264" s="18">
        <v>0.11115</v>
      </c>
      <c r="V1264" s="18">
        <v>1.42272</v>
      </c>
      <c r="W1264" s="18">
        <v>1.3338000000000001</v>
      </c>
      <c r="X1264" s="18">
        <v>0.88919999999999999</v>
      </c>
      <c r="Y1264" s="18">
        <v>3.952E-2</v>
      </c>
      <c r="Z1264" s="18">
        <v>0.17537</v>
      </c>
      <c r="AA1264" s="18">
        <v>0.25688</v>
      </c>
      <c r="AB1264" s="18">
        <v>0.45694999999999997</v>
      </c>
      <c r="AC1264" s="18">
        <v>0.14079</v>
      </c>
      <c r="AD1264" s="18">
        <v>0.74099999999999999</v>
      </c>
    </row>
    <row r="1265" spans="2:30" x14ac:dyDescent="0.25">
      <c r="B1265" t="s">
        <v>269</v>
      </c>
      <c r="C1265" t="s">
        <v>570</v>
      </c>
      <c r="D1265" t="s">
        <v>752</v>
      </c>
      <c r="E1265" s="35">
        <v>0.9</v>
      </c>
      <c r="F1265" s="35">
        <v>6.6</v>
      </c>
      <c r="G1265" s="36">
        <v>2.47E-3</v>
      </c>
      <c r="H1265" s="18">
        <v>4.4452980000000002</v>
      </c>
      <c r="I1265" s="16" t="s">
        <v>746</v>
      </c>
      <c r="J1265" s="16"/>
      <c r="K1265" s="16"/>
      <c r="L1265" s="37"/>
      <c r="M1265" s="37"/>
      <c r="N1265" s="37"/>
      <c r="O1265" s="37"/>
      <c r="P1265" s="37"/>
      <c r="Q1265" s="18">
        <v>2.717E-2</v>
      </c>
      <c r="R1265" s="18">
        <v>1.8525E-4</v>
      </c>
      <c r="S1265" s="18">
        <v>5.1869999999999999E-2</v>
      </c>
      <c r="T1265" s="18">
        <v>0.2223</v>
      </c>
      <c r="U1265" s="18">
        <v>0.11115</v>
      </c>
      <c r="V1265" s="18">
        <v>1.42272</v>
      </c>
      <c r="W1265" s="18">
        <v>1.3338000000000001</v>
      </c>
      <c r="X1265" s="18">
        <v>0.88919999999999999</v>
      </c>
      <c r="Y1265" s="18">
        <v>3.952E-2</v>
      </c>
      <c r="Z1265" s="18">
        <v>0.17537</v>
      </c>
      <c r="AA1265" s="18">
        <v>0.25688</v>
      </c>
      <c r="AB1265" s="18">
        <v>0.45694999999999997</v>
      </c>
      <c r="AC1265" s="18">
        <v>0.14079</v>
      </c>
      <c r="AD1265" s="18">
        <v>0.74099999999999999</v>
      </c>
    </row>
    <row r="1266" spans="2:30" x14ac:dyDescent="0.25">
      <c r="B1266" t="s">
        <v>269</v>
      </c>
      <c r="C1266" t="s">
        <v>570</v>
      </c>
      <c r="D1266" t="s">
        <v>752</v>
      </c>
      <c r="E1266" s="35">
        <v>0.9</v>
      </c>
      <c r="F1266" s="35">
        <v>6.6</v>
      </c>
      <c r="G1266" s="36">
        <v>2.47E-3</v>
      </c>
      <c r="H1266" s="18">
        <v>4.4452980000000002</v>
      </c>
      <c r="I1266" s="16" t="s">
        <v>746</v>
      </c>
      <c r="J1266" s="16"/>
      <c r="K1266" s="16"/>
      <c r="L1266" s="37"/>
      <c r="M1266" s="37"/>
      <c r="N1266" s="37"/>
      <c r="O1266" s="37"/>
      <c r="P1266" s="37"/>
      <c r="Q1266" s="18">
        <v>2.717E-2</v>
      </c>
      <c r="R1266" s="18">
        <v>1.8525E-4</v>
      </c>
      <c r="S1266" s="18">
        <v>5.1869999999999999E-2</v>
      </c>
      <c r="T1266" s="18">
        <v>0.2223</v>
      </c>
      <c r="U1266" s="18">
        <v>0.11115</v>
      </c>
      <c r="V1266" s="18">
        <v>1.42272</v>
      </c>
      <c r="W1266" s="18">
        <v>1.3338000000000001</v>
      </c>
      <c r="X1266" s="18">
        <v>0.88919999999999999</v>
      </c>
      <c r="Y1266" s="18">
        <v>3.952E-2</v>
      </c>
      <c r="Z1266" s="18">
        <v>0.17537</v>
      </c>
      <c r="AA1266" s="18">
        <v>0.25688</v>
      </c>
      <c r="AB1266" s="18">
        <v>0.45694999999999997</v>
      </c>
      <c r="AC1266" s="18">
        <v>0.14079</v>
      </c>
      <c r="AD1266" s="18">
        <v>0.74099999999999999</v>
      </c>
    </row>
    <row r="1267" spans="2:30" x14ac:dyDescent="0.25">
      <c r="B1267" t="s">
        <v>269</v>
      </c>
      <c r="C1267" t="s">
        <v>570</v>
      </c>
      <c r="D1267" t="s">
        <v>752</v>
      </c>
      <c r="E1267" s="35">
        <v>0.9</v>
      </c>
      <c r="F1267" s="35">
        <v>6.6</v>
      </c>
      <c r="G1267" s="36">
        <v>2.47E-3</v>
      </c>
      <c r="H1267" s="18">
        <v>4.4452980000000002</v>
      </c>
      <c r="I1267" s="16" t="s">
        <v>746</v>
      </c>
      <c r="J1267" s="16"/>
      <c r="K1267" s="16"/>
      <c r="L1267" s="37"/>
      <c r="M1267" s="37"/>
      <c r="N1267" s="37"/>
      <c r="O1267" s="37"/>
      <c r="P1267" s="37"/>
      <c r="Q1267" s="18">
        <v>2.717E-2</v>
      </c>
      <c r="R1267" s="18">
        <v>1.8525E-4</v>
      </c>
      <c r="S1267" s="18">
        <v>5.1869999999999999E-2</v>
      </c>
      <c r="T1267" s="18">
        <v>0.2223</v>
      </c>
      <c r="U1267" s="18">
        <v>0.11115</v>
      </c>
      <c r="V1267" s="18">
        <v>1.42272</v>
      </c>
      <c r="W1267" s="18">
        <v>1.3338000000000001</v>
      </c>
      <c r="X1267" s="18">
        <v>0.88919999999999999</v>
      </c>
      <c r="Y1267" s="18">
        <v>3.952E-2</v>
      </c>
      <c r="Z1267" s="18">
        <v>0.17537</v>
      </c>
      <c r="AA1267" s="18">
        <v>0.25688</v>
      </c>
      <c r="AB1267" s="18">
        <v>0.45694999999999997</v>
      </c>
      <c r="AC1267" s="18">
        <v>0.14079</v>
      </c>
      <c r="AD1267" s="18">
        <v>0.74099999999999999</v>
      </c>
    </row>
    <row r="1268" spans="2:30" x14ac:dyDescent="0.25">
      <c r="B1268" t="s">
        <v>269</v>
      </c>
      <c r="C1268" t="s">
        <v>570</v>
      </c>
      <c r="D1268" t="s">
        <v>752</v>
      </c>
      <c r="E1268" s="35">
        <v>0.9</v>
      </c>
      <c r="F1268" s="35">
        <v>6.6</v>
      </c>
      <c r="G1268" s="36">
        <v>2.47E-3</v>
      </c>
      <c r="H1268" s="18">
        <v>4.4452980000000002</v>
      </c>
      <c r="I1268" s="16" t="s">
        <v>746</v>
      </c>
      <c r="J1268" s="16"/>
      <c r="K1268" s="16"/>
      <c r="L1268" s="37"/>
      <c r="M1268" s="37"/>
      <c r="N1268" s="37"/>
      <c r="O1268" s="37"/>
      <c r="P1268" s="37"/>
      <c r="Q1268" s="18">
        <v>2.717E-2</v>
      </c>
      <c r="R1268" s="18">
        <v>1.8525E-4</v>
      </c>
      <c r="S1268" s="18">
        <v>5.1869999999999999E-2</v>
      </c>
      <c r="T1268" s="18">
        <v>0.2223</v>
      </c>
      <c r="U1268" s="18">
        <v>0.11115</v>
      </c>
      <c r="V1268" s="18">
        <v>1.42272</v>
      </c>
      <c r="W1268" s="18">
        <v>1.3338000000000001</v>
      </c>
      <c r="X1268" s="18">
        <v>0.88919999999999999</v>
      </c>
      <c r="Y1268" s="18">
        <v>3.952E-2</v>
      </c>
      <c r="Z1268" s="18">
        <v>0.17537</v>
      </c>
      <c r="AA1268" s="18">
        <v>0.25688</v>
      </c>
      <c r="AB1268" s="18">
        <v>0.45694999999999997</v>
      </c>
      <c r="AC1268" s="18">
        <v>0.14079</v>
      </c>
      <c r="AD1268" s="18">
        <v>0.74099999999999999</v>
      </c>
    </row>
    <row r="1269" spans="2:30" x14ac:dyDescent="0.25">
      <c r="B1269" t="s">
        <v>269</v>
      </c>
      <c r="C1269" t="s">
        <v>570</v>
      </c>
      <c r="D1269" t="s">
        <v>752</v>
      </c>
      <c r="E1269" s="35">
        <v>0.9</v>
      </c>
      <c r="F1269" s="35">
        <v>6.6</v>
      </c>
      <c r="G1269" s="36">
        <v>2.47E-3</v>
      </c>
      <c r="H1269" s="18">
        <v>4.4452980000000002</v>
      </c>
      <c r="I1269" s="16" t="s">
        <v>746</v>
      </c>
      <c r="J1269" s="16"/>
      <c r="K1269" s="16"/>
      <c r="L1269" s="37"/>
      <c r="M1269" s="37"/>
      <c r="N1269" s="37"/>
      <c r="O1269" s="37"/>
      <c r="P1269" s="37"/>
      <c r="Q1269" s="18">
        <v>2.717E-2</v>
      </c>
      <c r="R1269" s="18">
        <v>1.8525E-4</v>
      </c>
      <c r="S1269" s="18">
        <v>5.1869999999999999E-2</v>
      </c>
      <c r="T1269" s="18">
        <v>0.2223</v>
      </c>
      <c r="U1269" s="18">
        <v>0.11115</v>
      </c>
      <c r="V1269" s="18">
        <v>1.42272</v>
      </c>
      <c r="W1269" s="18">
        <v>1.3338000000000001</v>
      </c>
      <c r="X1269" s="18">
        <v>0.88919999999999999</v>
      </c>
      <c r="Y1269" s="18">
        <v>3.952E-2</v>
      </c>
      <c r="Z1269" s="18">
        <v>0.17537</v>
      </c>
      <c r="AA1269" s="18">
        <v>0.25688</v>
      </c>
      <c r="AB1269" s="18">
        <v>0.45694999999999997</v>
      </c>
      <c r="AC1269" s="18">
        <v>0.14079</v>
      </c>
      <c r="AD1269" s="18">
        <v>0.74099999999999999</v>
      </c>
    </row>
    <row r="1270" spans="2:30" x14ac:dyDescent="0.25">
      <c r="B1270" t="s">
        <v>269</v>
      </c>
      <c r="C1270" t="s">
        <v>570</v>
      </c>
      <c r="D1270" t="s">
        <v>752</v>
      </c>
      <c r="E1270" s="35">
        <v>0.9</v>
      </c>
      <c r="F1270" s="35">
        <v>6.6</v>
      </c>
      <c r="G1270" s="36">
        <v>2.47E-3</v>
      </c>
      <c r="H1270" s="18">
        <v>4.4452980000000002</v>
      </c>
      <c r="I1270" s="16" t="s">
        <v>746</v>
      </c>
      <c r="J1270" s="16"/>
      <c r="K1270" s="16"/>
      <c r="L1270" s="37"/>
      <c r="M1270" s="37"/>
      <c r="N1270" s="37"/>
      <c r="O1270" s="37"/>
      <c r="P1270" s="37"/>
      <c r="Q1270" s="18">
        <v>2.717E-2</v>
      </c>
      <c r="R1270" s="18">
        <v>1.8525E-4</v>
      </c>
      <c r="S1270" s="18">
        <v>5.1869999999999999E-2</v>
      </c>
      <c r="T1270" s="18">
        <v>0.2223</v>
      </c>
      <c r="U1270" s="18">
        <v>0.11115</v>
      </c>
      <c r="V1270" s="18">
        <v>1.42272</v>
      </c>
      <c r="W1270" s="18">
        <v>1.3338000000000001</v>
      </c>
      <c r="X1270" s="18">
        <v>0.88919999999999999</v>
      </c>
      <c r="Y1270" s="18">
        <v>3.952E-2</v>
      </c>
      <c r="Z1270" s="18">
        <v>0.17537</v>
      </c>
      <c r="AA1270" s="18">
        <v>0.25688</v>
      </c>
      <c r="AB1270" s="18">
        <v>0.45694999999999997</v>
      </c>
      <c r="AC1270" s="18">
        <v>0.14079</v>
      </c>
      <c r="AD1270" s="18">
        <v>0.74099999999999999</v>
      </c>
    </row>
    <row r="1271" spans="2:30" x14ac:dyDescent="0.25">
      <c r="B1271" t="s">
        <v>269</v>
      </c>
      <c r="C1271" t="s">
        <v>570</v>
      </c>
      <c r="D1271" t="s">
        <v>752</v>
      </c>
      <c r="E1271" s="35">
        <v>0.9</v>
      </c>
      <c r="F1271" s="35">
        <v>6.6</v>
      </c>
      <c r="G1271" s="36">
        <v>2.47E-3</v>
      </c>
      <c r="H1271" s="18">
        <v>4.4452980000000002</v>
      </c>
      <c r="I1271" s="16" t="s">
        <v>746</v>
      </c>
      <c r="J1271" s="16"/>
      <c r="K1271" s="16"/>
      <c r="L1271" s="37"/>
      <c r="M1271" s="37"/>
      <c r="N1271" s="37"/>
      <c r="O1271" s="37"/>
      <c r="P1271" s="37"/>
      <c r="Q1271" s="18">
        <v>2.717E-2</v>
      </c>
      <c r="R1271" s="18">
        <v>1.8525E-4</v>
      </c>
      <c r="S1271" s="18">
        <v>5.1869999999999999E-2</v>
      </c>
      <c r="T1271" s="18">
        <v>0.2223</v>
      </c>
      <c r="U1271" s="18">
        <v>0.11115</v>
      </c>
      <c r="V1271" s="18">
        <v>1.42272</v>
      </c>
      <c r="W1271" s="18">
        <v>1.3338000000000001</v>
      </c>
      <c r="X1271" s="18">
        <v>0.88919999999999999</v>
      </c>
      <c r="Y1271" s="18">
        <v>3.952E-2</v>
      </c>
      <c r="Z1271" s="18">
        <v>0.17537</v>
      </c>
      <c r="AA1271" s="18">
        <v>0.25688</v>
      </c>
      <c r="AB1271" s="18">
        <v>0.45694999999999997</v>
      </c>
      <c r="AC1271" s="18">
        <v>0.14079</v>
      </c>
      <c r="AD1271" s="18">
        <v>0.74099999999999999</v>
      </c>
    </row>
    <row r="1272" spans="2:30" x14ac:dyDescent="0.25">
      <c r="B1272" t="s">
        <v>269</v>
      </c>
      <c r="C1272" t="s">
        <v>570</v>
      </c>
      <c r="D1272" t="s">
        <v>752</v>
      </c>
      <c r="E1272" s="35">
        <v>0.9</v>
      </c>
      <c r="F1272" s="35">
        <v>6.6</v>
      </c>
      <c r="G1272" s="36">
        <v>2.47E-3</v>
      </c>
      <c r="H1272" s="18">
        <v>4.4452980000000002</v>
      </c>
      <c r="I1272" s="16" t="s">
        <v>746</v>
      </c>
      <c r="J1272" s="16"/>
      <c r="K1272" s="16"/>
      <c r="L1272" s="37"/>
      <c r="M1272" s="37"/>
      <c r="N1272" s="37"/>
      <c r="O1272" s="37"/>
      <c r="P1272" s="37"/>
      <c r="Q1272" s="18">
        <v>2.717E-2</v>
      </c>
      <c r="R1272" s="18">
        <v>1.8525E-4</v>
      </c>
      <c r="S1272" s="18">
        <v>5.1869999999999999E-2</v>
      </c>
      <c r="T1272" s="18">
        <v>0.2223</v>
      </c>
      <c r="U1272" s="18">
        <v>0.11115</v>
      </c>
      <c r="V1272" s="18">
        <v>1.42272</v>
      </c>
      <c r="W1272" s="18">
        <v>1.3338000000000001</v>
      </c>
      <c r="X1272" s="18">
        <v>0.88919999999999999</v>
      </c>
      <c r="Y1272" s="18">
        <v>3.952E-2</v>
      </c>
      <c r="Z1272" s="18">
        <v>0.17537</v>
      </c>
      <c r="AA1272" s="18">
        <v>0.25688</v>
      </c>
      <c r="AB1272" s="18">
        <v>0.45694999999999997</v>
      </c>
      <c r="AC1272" s="18">
        <v>0.14079</v>
      </c>
      <c r="AD1272" s="18">
        <v>0.74099999999999999</v>
      </c>
    </row>
    <row r="1273" spans="2:30" x14ac:dyDescent="0.25">
      <c r="B1273" t="s">
        <v>269</v>
      </c>
      <c r="C1273" t="s">
        <v>570</v>
      </c>
      <c r="D1273" t="s">
        <v>752</v>
      </c>
      <c r="E1273" s="35">
        <v>0.9</v>
      </c>
      <c r="F1273" s="35">
        <v>6.6</v>
      </c>
      <c r="G1273" s="36">
        <v>2.47E-3</v>
      </c>
      <c r="H1273" s="18">
        <v>4.4452980000000002</v>
      </c>
      <c r="I1273" s="16" t="s">
        <v>746</v>
      </c>
      <c r="J1273" s="16"/>
      <c r="K1273" s="16"/>
      <c r="L1273" s="37"/>
      <c r="M1273" s="37"/>
      <c r="N1273" s="37"/>
      <c r="O1273" s="37"/>
      <c r="P1273" s="37"/>
      <c r="Q1273" s="18">
        <v>2.717E-2</v>
      </c>
      <c r="R1273" s="18">
        <v>1.8525E-4</v>
      </c>
      <c r="S1273" s="18">
        <v>5.1869999999999999E-2</v>
      </c>
      <c r="T1273" s="18">
        <v>0.2223</v>
      </c>
      <c r="U1273" s="18">
        <v>0.11115</v>
      </c>
      <c r="V1273" s="18">
        <v>1.42272</v>
      </c>
      <c r="W1273" s="18">
        <v>1.3338000000000001</v>
      </c>
      <c r="X1273" s="18">
        <v>0.88919999999999999</v>
      </c>
      <c r="Y1273" s="18">
        <v>3.952E-2</v>
      </c>
      <c r="Z1273" s="18">
        <v>0.17537</v>
      </c>
      <c r="AA1273" s="18">
        <v>0.25688</v>
      </c>
      <c r="AB1273" s="18">
        <v>0.45694999999999997</v>
      </c>
      <c r="AC1273" s="18">
        <v>0.14079</v>
      </c>
      <c r="AD1273" s="18">
        <v>0.74099999999999999</v>
      </c>
    </row>
    <row r="1274" spans="2:30" x14ac:dyDescent="0.25">
      <c r="B1274" t="s">
        <v>269</v>
      </c>
      <c r="C1274" t="s">
        <v>570</v>
      </c>
      <c r="D1274" t="s">
        <v>752</v>
      </c>
      <c r="E1274" s="35">
        <v>0.9</v>
      </c>
      <c r="F1274" s="35">
        <v>6.6</v>
      </c>
      <c r="G1274" s="36">
        <v>2.47E-3</v>
      </c>
      <c r="H1274" s="18">
        <v>4.4452980000000002</v>
      </c>
      <c r="I1274" s="16" t="s">
        <v>746</v>
      </c>
      <c r="J1274" s="16"/>
      <c r="K1274" s="16"/>
      <c r="L1274" s="37"/>
      <c r="M1274" s="37"/>
      <c r="N1274" s="37"/>
      <c r="O1274" s="37"/>
      <c r="P1274" s="37"/>
      <c r="Q1274" s="18">
        <v>2.717E-2</v>
      </c>
      <c r="R1274" s="18">
        <v>1.8525E-4</v>
      </c>
      <c r="S1274" s="18">
        <v>5.1869999999999999E-2</v>
      </c>
      <c r="T1274" s="18">
        <v>0.2223</v>
      </c>
      <c r="U1274" s="18">
        <v>0.11115</v>
      </c>
      <c r="V1274" s="18">
        <v>1.42272</v>
      </c>
      <c r="W1274" s="18">
        <v>1.3338000000000001</v>
      </c>
      <c r="X1274" s="18">
        <v>0.88919999999999999</v>
      </c>
      <c r="Y1274" s="18">
        <v>3.952E-2</v>
      </c>
      <c r="Z1274" s="18">
        <v>0.17537</v>
      </c>
      <c r="AA1274" s="18">
        <v>0.25688</v>
      </c>
      <c r="AB1274" s="18">
        <v>0.45694999999999997</v>
      </c>
      <c r="AC1274" s="18">
        <v>0.14079</v>
      </c>
      <c r="AD1274" s="18">
        <v>0.74099999999999999</v>
      </c>
    </row>
    <row r="1275" spans="2:30" x14ac:dyDescent="0.25">
      <c r="B1275" t="s">
        <v>269</v>
      </c>
      <c r="C1275" t="s">
        <v>570</v>
      </c>
      <c r="D1275" t="s">
        <v>752</v>
      </c>
      <c r="E1275" s="35">
        <v>0.9</v>
      </c>
      <c r="F1275" s="35">
        <v>6.6</v>
      </c>
      <c r="G1275" s="36">
        <v>2.47E-3</v>
      </c>
      <c r="H1275" s="18">
        <v>4.4452980000000002</v>
      </c>
      <c r="I1275" s="16" t="s">
        <v>746</v>
      </c>
      <c r="J1275" s="16"/>
      <c r="K1275" s="16"/>
      <c r="L1275" s="37"/>
      <c r="M1275" s="37"/>
      <c r="N1275" s="37"/>
      <c r="O1275" s="37"/>
      <c r="P1275" s="37"/>
      <c r="Q1275" s="18">
        <v>2.717E-2</v>
      </c>
      <c r="R1275" s="18">
        <v>1.8525E-4</v>
      </c>
      <c r="S1275" s="18">
        <v>5.1869999999999999E-2</v>
      </c>
      <c r="T1275" s="18">
        <v>0.2223</v>
      </c>
      <c r="U1275" s="18">
        <v>0.11115</v>
      </c>
      <c r="V1275" s="18">
        <v>1.42272</v>
      </c>
      <c r="W1275" s="18">
        <v>1.3338000000000001</v>
      </c>
      <c r="X1275" s="18">
        <v>0.88919999999999999</v>
      </c>
      <c r="Y1275" s="18">
        <v>3.952E-2</v>
      </c>
      <c r="Z1275" s="18">
        <v>0.17537</v>
      </c>
      <c r="AA1275" s="18">
        <v>0.25688</v>
      </c>
      <c r="AB1275" s="18">
        <v>0.45694999999999997</v>
      </c>
      <c r="AC1275" s="18">
        <v>0.14079</v>
      </c>
      <c r="AD1275" s="18">
        <v>0.74099999999999999</v>
      </c>
    </row>
    <row r="1276" spans="2:30" x14ac:dyDescent="0.25">
      <c r="B1276" t="s">
        <v>269</v>
      </c>
      <c r="C1276" t="s">
        <v>570</v>
      </c>
      <c r="D1276" t="s">
        <v>752</v>
      </c>
      <c r="E1276" s="35">
        <v>0.9</v>
      </c>
      <c r="F1276" s="35">
        <v>6.6</v>
      </c>
      <c r="G1276" s="36">
        <v>2.47E-3</v>
      </c>
      <c r="H1276" s="18">
        <v>4.4452980000000002</v>
      </c>
      <c r="I1276" s="16" t="s">
        <v>746</v>
      </c>
      <c r="J1276" s="16"/>
      <c r="K1276" s="16"/>
      <c r="L1276" s="37"/>
      <c r="M1276" s="37"/>
      <c r="N1276" s="37"/>
      <c r="O1276" s="37"/>
      <c r="P1276" s="37"/>
      <c r="Q1276" s="18">
        <v>2.717E-2</v>
      </c>
      <c r="R1276" s="18">
        <v>1.8525E-4</v>
      </c>
      <c r="S1276" s="18">
        <v>5.1869999999999999E-2</v>
      </c>
      <c r="T1276" s="18">
        <v>0.2223</v>
      </c>
      <c r="U1276" s="18">
        <v>0.11115</v>
      </c>
      <c r="V1276" s="18">
        <v>1.42272</v>
      </c>
      <c r="W1276" s="18">
        <v>1.3338000000000001</v>
      </c>
      <c r="X1276" s="18">
        <v>0.88919999999999999</v>
      </c>
      <c r="Y1276" s="18">
        <v>3.952E-2</v>
      </c>
      <c r="Z1276" s="18">
        <v>0.17537</v>
      </c>
      <c r="AA1276" s="18">
        <v>0.25688</v>
      </c>
      <c r="AB1276" s="18">
        <v>0.45694999999999997</v>
      </c>
      <c r="AC1276" s="18">
        <v>0.14079</v>
      </c>
      <c r="AD1276" s="18">
        <v>0.74099999999999999</v>
      </c>
    </row>
    <row r="1277" spans="2:30" x14ac:dyDescent="0.25">
      <c r="B1277" t="s">
        <v>269</v>
      </c>
      <c r="C1277" t="s">
        <v>570</v>
      </c>
      <c r="D1277" t="s">
        <v>752</v>
      </c>
      <c r="E1277" s="35">
        <v>0.9</v>
      </c>
      <c r="F1277" s="35">
        <v>6.6</v>
      </c>
      <c r="G1277" s="36">
        <v>2.47E-3</v>
      </c>
      <c r="H1277" s="18">
        <v>4.4452980000000002</v>
      </c>
      <c r="I1277" s="16" t="s">
        <v>746</v>
      </c>
      <c r="J1277" s="16"/>
      <c r="K1277" s="16"/>
      <c r="L1277" s="37"/>
      <c r="M1277" s="37"/>
      <c r="N1277" s="37"/>
      <c r="O1277" s="37"/>
      <c r="P1277" s="37"/>
      <c r="Q1277" s="18">
        <v>2.717E-2</v>
      </c>
      <c r="R1277" s="18">
        <v>1.8525E-4</v>
      </c>
      <c r="S1277" s="18">
        <v>5.1869999999999999E-2</v>
      </c>
      <c r="T1277" s="18">
        <v>0.2223</v>
      </c>
      <c r="U1277" s="18">
        <v>0.11115</v>
      </c>
      <c r="V1277" s="18">
        <v>1.42272</v>
      </c>
      <c r="W1277" s="18">
        <v>1.3338000000000001</v>
      </c>
      <c r="X1277" s="18">
        <v>0.88919999999999999</v>
      </c>
      <c r="Y1277" s="18">
        <v>3.952E-2</v>
      </c>
      <c r="Z1277" s="18">
        <v>0.17537</v>
      </c>
      <c r="AA1277" s="18">
        <v>0.25688</v>
      </c>
      <c r="AB1277" s="18">
        <v>0.45694999999999997</v>
      </c>
      <c r="AC1277" s="18">
        <v>0.14079</v>
      </c>
      <c r="AD1277" s="18">
        <v>0.74099999999999999</v>
      </c>
    </row>
    <row r="1278" spans="2:30" x14ac:dyDescent="0.25">
      <c r="B1278" t="s">
        <v>269</v>
      </c>
      <c r="C1278" t="s">
        <v>570</v>
      </c>
      <c r="D1278" t="s">
        <v>752</v>
      </c>
      <c r="E1278" s="35">
        <v>0.9</v>
      </c>
      <c r="F1278" s="35">
        <v>6.6</v>
      </c>
      <c r="G1278" s="36">
        <v>2.47E-3</v>
      </c>
      <c r="H1278" s="18">
        <v>4.4452980000000002</v>
      </c>
      <c r="I1278" s="16" t="s">
        <v>746</v>
      </c>
      <c r="J1278" s="16"/>
      <c r="K1278" s="16"/>
      <c r="L1278" s="37"/>
      <c r="M1278" s="37"/>
      <c r="N1278" s="37"/>
      <c r="O1278" s="37"/>
      <c r="P1278" s="37"/>
      <c r="Q1278" s="18">
        <v>2.717E-2</v>
      </c>
      <c r="R1278" s="18">
        <v>1.8525E-4</v>
      </c>
      <c r="S1278" s="18">
        <v>5.1869999999999999E-2</v>
      </c>
      <c r="T1278" s="18">
        <v>0.2223</v>
      </c>
      <c r="U1278" s="18">
        <v>0.11115</v>
      </c>
      <c r="V1278" s="18">
        <v>1.42272</v>
      </c>
      <c r="W1278" s="18">
        <v>1.3338000000000001</v>
      </c>
      <c r="X1278" s="18">
        <v>0.88919999999999999</v>
      </c>
      <c r="Y1278" s="18">
        <v>3.952E-2</v>
      </c>
      <c r="Z1278" s="18">
        <v>0.17537</v>
      </c>
      <c r="AA1278" s="18">
        <v>0.25688</v>
      </c>
      <c r="AB1278" s="18">
        <v>0.45694999999999997</v>
      </c>
      <c r="AC1278" s="18">
        <v>0.14079</v>
      </c>
      <c r="AD1278" s="18">
        <v>0.74099999999999999</v>
      </c>
    </row>
    <row r="1279" spans="2:30" x14ac:dyDescent="0.25">
      <c r="B1279" t="s">
        <v>269</v>
      </c>
      <c r="C1279" t="s">
        <v>570</v>
      </c>
      <c r="D1279" t="s">
        <v>752</v>
      </c>
      <c r="E1279" s="35">
        <v>0.9</v>
      </c>
      <c r="F1279" s="35">
        <v>6.6</v>
      </c>
      <c r="G1279" s="36">
        <v>2.47E-3</v>
      </c>
      <c r="H1279" s="18">
        <v>4.4452980000000002</v>
      </c>
      <c r="I1279" s="16" t="s">
        <v>746</v>
      </c>
      <c r="J1279" s="16"/>
      <c r="K1279" s="16"/>
      <c r="L1279" s="37"/>
      <c r="M1279" s="37"/>
      <c r="N1279" s="37"/>
      <c r="O1279" s="37"/>
      <c r="P1279" s="37"/>
      <c r="Q1279" s="18">
        <v>2.717E-2</v>
      </c>
      <c r="R1279" s="18">
        <v>1.8525E-4</v>
      </c>
      <c r="S1279" s="18">
        <v>5.1869999999999999E-2</v>
      </c>
      <c r="T1279" s="18">
        <v>0.2223</v>
      </c>
      <c r="U1279" s="18">
        <v>0.11115</v>
      </c>
      <c r="V1279" s="18">
        <v>1.42272</v>
      </c>
      <c r="W1279" s="18">
        <v>1.3338000000000001</v>
      </c>
      <c r="X1279" s="18">
        <v>0.88919999999999999</v>
      </c>
      <c r="Y1279" s="18">
        <v>3.952E-2</v>
      </c>
      <c r="Z1279" s="18">
        <v>0.17537</v>
      </c>
      <c r="AA1279" s="18">
        <v>0.25688</v>
      </c>
      <c r="AB1279" s="18">
        <v>0.45694999999999997</v>
      </c>
      <c r="AC1279" s="18">
        <v>0.14079</v>
      </c>
      <c r="AD1279" s="18">
        <v>0.74099999999999999</v>
      </c>
    </row>
    <row r="1280" spans="2:30" x14ac:dyDescent="0.25">
      <c r="B1280" t="s">
        <v>269</v>
      </c>
      <c r="C1280" t="s">
        <v>570</v>
      </c>
      <c r="D1280" t="s">
        <v>752</v>
      </c>
      <c r="E1280" s="35">
        <v>0.9</v>
      </c>
      <c r="F1280" s="35">
        <v>6.6</v>
      </c>
      <c r="G1280" s="36">
        <v>2.47E-3</v>
      </c>
      <c r="H1280" s="18">
        <v>4.4452980000000002</v>
      </c>
      <c r="I1280" s="16" t="s">
        <v>746</v>
      </c>
      <c r="J1280" s="16"/>
      <c r="K1280" s="16"/>
      <c r="L1280" s="37"/>
      <c r="M1280" s="37"/>
      <c r="N1280" s="37"/>
      <c r="O1280" s="37"/>
      <c r="P1280" s="37"/>
      <c r="Q1280" s="18">
        <v>2.717E-2</v>
      </c>
      <c r="R1280" s="18">
        <v>1.8525E-4</v>
      </c>
      <c r="S1280" s="18">
        <v>5.1869999999999999E-2</v>
      </c>
      <c r="T1280" s="18">
        <v>0.2223</v>
      </c>
      <c r="U1280" s="18">
        <v>0.11115</v>
      </c>
      <c r="V1280" s="18">
        <v>1.42272</v>
      </c>
      <c r="W1280" s="18">
        <v>1.3338000000000001</v>
      </c>
      <c r="X1280" s="18">
        <v>0.88919999999999999</v>
      </c>
      <c r="Y1280" s="18">
        <v>3.952E-2</v>
      </c>
      <c r="Z1280" s="18">
        <v>0.17537</v>
      </c>
      <c r="AA1280" s="18">
        <v>0.25688</v>
      </c>
      <c r="AB1280" s="18">
        <v>0.45694999999999997</v>
      </c>
      <c r="AC1280" s="18">
        <v>0.14079</v>
      </c>
      <c r="AD1280" s="18">
        <v>0.74099999999999999</v>
      </c>
    </row>
    <row r="1281" spans="2:30" x14ac:dyDescent="0.25">
      <c r="B1281" t="s">
        <v>269</v>
      </c>
      <c r="C1281" t="s">
        <v>570</v>
      </c>
      <c r="D1281" t="s">
        <v>752</v>
      </c>
      <c r="E1281" s="35">
        <v>0.9</v>
      </c>
      <c r="F1281" s="35">
        <v>6.6</v>
      </c>
      <c r="G1281" s="36">
        <v>2.47E-3</v>
      </c>
      <c r="H1281" s="18">
        <v>4.4452980000000002</v>
      </c>
      <c r="I1281" s="16" t="s">
        <v>746</v>
      </c>
      <c r="J1281" s="16"/>
      <c r="K1281" s="16"/>
      <c r="L1281" s="37"/>
      <c r="M1281" s="37"/>
      <c r="N1281" s="37"/>
      <c r="O1281" s="37"/>
      <c r="P1281" s="37"/>
      <c r="Q1281" s="18">
        <v>2.717E-2</v>
      </c>
      <c r="R1281" s="18">
        <v>1.8525E-4</v>
      </c>
      <c r="S1281" s="18">
        <v>5.1869999999999999E-2</v>
      </c>
      <c r="T1281" s="18">
        <v>0.2223</v>
      </c>
      <c r="U1281" s="18">
        <v>0.11115</v>
      </c>
      <c r="V1281" s="18">
        <v>1.42272</v>
      </c>
      <c r="W1281" s="18">
        <v>1.3338000000000001</v>
      </c>
      <c r="X1281" s="18">
        <v>0.88919999999999999</v>
      </c>
      <c r="Y1281" s="18">
        <v>3.952E-2</v>
      </c>
      <c r="Z1281" s="18">
        <v>0.17537</v>
      </c>
      <c r="AA1281" s="18">
        <v>0.25688</v>
      </c>
      <c r="AB1281" s="18">
        <v>0.45694999999999997</v>
      </c>
      <c r="AC1281" s="18">
        <v>0.14079</v>
      </c>
      <c r="AD1281" s="18">
        <v>0.74099999999999999</v>
      </c>
    </row>
    <row r="1282" spans="2:30" x14ac:dyDescent="0.25">
      <c r="B1282" t="s">
        <v>269</v>
      </c>
      <c r="C1282" t="s">
        <v>570</v>
      </c>
      <c r="D1282" t="s">
        <v>752</v>
      </c>
      <c r="E1282" s="35">
        <v>0.9</v>
      </c>
      <c r="F1282" s="35">
        <v>6.6</v>
      </c>
      <c r="G1282" s="36">
        <v>2.47E-3</v>
      </c>
      <c r="H1282" s="18">
        <v>4.4452980000000002</v>
      </c>
      <c r="I1282" s="16" t="s">
        <v>746</v>
      </c>
      <c r="J1282" s="16"/>
      <c r="K1282" s="16"/>
      <c r="L1282" s="37"/>
      <c r="M1282" s="37"/>
      <c r="N1282" s="37"/>
      <c r="O1282" s="37"/>
      <c r="P1282" s="37"/>
      <c r="Q1282" s="18">
        <v>2.717E-2</v>
      </c>
      <c r="R1282" s="18">
        <v>1.8525E-4</v>
      </c>
      <c r="S1282" s="18">
        <v>5.1869999999999999E-2</v>
      </c>
      <c r="T1282" s="18">
        <v>0.2223</v>
      </c>
      <c r="U1282" s="18">
        <v>0.11115</v>
      </c>
      <c r="V1282" s="18">
        <v>1.42272</v>
      </c>
      <c r="W1282" s="18">
        <v>1.3338000000000001</v>
      </c>
      <c r="X1282" s="18">
        <v>0.88919999999999999</v>
      </c>
      <c r="Y1282" s="18">
        <v>3.952E-2</v>
      </c>
      <c r="Z1282" s="18">
        <v>0.17537</v>
      </c>
      <c r="AA1282" s="18">
        <v>0.25688</v>
      </c>
      <c r="AB1282" s="18">
        <v>0.45694999999999997</v>
      </c>
      <c r="AC1282" s="18">
        <v>0.14079</v>
      </c>
      <c r="AD1282" s="18">
        <v>0.74099999999999999</v>
      </c>
    </row>
    <row r="1283" spans="2:30" x14ac:dyDescent="0.25">
      <c r="B1283" t="s">
        <v>269</v>
      </c>
      <c r="C1283" t="s">
        <v>570</v>
      </c>
      <c r="D1283" t="s">
        <v>752</v>
      </c>
      <c r="E1283" s="35">
        <v>0.9</v>
      </c>
      <c r="F1283" s="35">
        <v>6.6</v>
      </c>
      <c r="G1283" s="36">
        <v>2.47E-3</v>
      </c>
      <c r="H1283" s="18">
        <v>4.4452980000000002</v>
      </c>
      <c r="I1283" s="16" t="s">
        <v>746</v>
      </c>
      <c r="J1283" s="16"/>
      <c r="K1283" s="16"/>
      <c r="L1283" s="37"/>
      <c r="M1283" s="37"/>
      <c r="N1283" s="37"/>
      <c r="O1283" s="37"/>
      <c r="P1283" s="37"/>
      <c r="Q1283" s="18">
        <v>2.717E-2</v>
      </c>
      <c r="R1283" s="18">
        <v>1.8525E-4</v>
      </c>
      <c r="S1283" s="18">
        <v>5.1869999999999999E-2</v>
      </c>
      <c r="T1283" s="18">
        <v>0.2223</v>
      </c>
      <c r="U1283" s="18">
        <v>0.11115</v>
      </c>
      <c r="V1283" s="18">
        <v>1.42272</v>
      </c>
      <c r="W1283" s="18">
        <v>1.3338000000000001</v>
      </c>
      <c r="X1283" s="18">
        <v>0.88919999999999999</v>
      </c>
      <c r="Y1283" s="18">
        <v>3.952E-2</v>
      </c>
      <c r="Z1283" s="18">
        <v>0.17537</v>
      </c>
      <c r="AA1283" s="18">
        <v>0.25688</v>
      </c>
      <c r="AB1283" s="18">
        <v>0.45694999999999997</v>
      </c>
      <c r="AC1283" s="18">
        <v>0.14079</v>
      </c>
      <c r="AD1283" s="18">
        <v>0.74099999999999999</v>
      </c>
    </row>
    <row r="1284" spans="2:30" x14ac:dyDescent="0.25">
      <c r="B1284" t="s">
        <v>269</v>
      </c>
      <c r="C1284" t="s">
        <v>570</v>
      </c>
      <c r="D1284" t="s">
        <v>752</v>
      </c>
      <c r="E1284" s="35">
        <v>0.9</v>
      </c>
      <c r="F1284" s="35">
        <v>6.6</v>
      </c>
      <c r="G1284" s="36">
        <v>2.47E-3</v>
      </c>
      <c r="H1284" s="18">
        <v>4.4452980000000002</v>
      </c>
      <c r="I1284" s="16" t="s">
        <v>746</v>
      </c>
      <c r="J1284" s="16"/>
      <c r="K1284" s="16"/>
      <c r="L1284" s="37"/>
      <c r="M1284" s="37"/>
      <c r="N1284" s="37"/>
      <c r="O1284" s="37"/>
      <c r="P1284" s="37"/>
      <c r="Q1284" s="18">
        <v>2.717E-2</v>
      </c>
      <c r="R1284" s="18">
        <v>1.8525E-4</v>
      </c>
      <c r="S1284" s="18">
        <v>5.1869999999999999E-2</v>
      </c>
      <c r="T1284" s="18">
        <v>0.2223</v>
      </c>
      <c r="U1284" s="18">
        <v>0.11115</v>
      </c>
      <c r="V1284" s="18">
        <v>1.42272</v>
      </c>
      <c r="W1284" s="18">
        <v>1.3338000000000001</v>
      </c>
      <c r="X1284" s="18">
        <v>0.88919999999999999</v>
      </c>
      <c r="Y1284" s="18">
        <v>3.952E-2</v>
      </c>
      <c r="Z1284" s="18">
        <v>0.17537</v>
      </c>
      <c r="AA1284" s="18">
        <v>0.25688</v>
      </c>
      <c r="AB1284" s="18">
        <v>0.45694999999999997</v>
      </c>
      <c r="AC1284" s="18">
        <v>0.14079</v>
      </c>
      <c r="AD1284" s="18">
        <v>0.74099999999999999</v>
      </c>
    </row>
    <row r="1285" spans="2:30" x14ac:dyDescent="0.25">
      <c r="B1285" t="s">
        <v>269</v>
      </c>
      <c r="C1285" t="s">
        <v>570</v>
      </c>
      <c r="D1285" t="s">
        <v>752</v>
      </c>
      <c r="E1285" s="35">
        <v>0.9</v>
      </c>
      <c r="F1285" s="35">
        <v>6.6</v>
      </c>
      <c r="G1285" s="36">
        <v>2.47E-3</v>
      </c>
      <c r="H1285" s="18">
        <v>4.4452980000000002</v>
      </c>
      <c r="I1285" s="16" t="s">
        <v>746</v>
      </c>
      <c r="J1285" s="16"/>
      <c r="K1285" s="16"/>
      <c r="L1285" s="37"/>
      <c r="M1285" s="37"/>
      <c r="N1285" s="37"/>
      <c r="O1285" s="37"/>
      <c r="P1285" s="37"/>
      <c r="Q1285" s="18">
        <v>2.717E-2</v>
      </c>
      <c r="R1285" s="18">
        <v>1.8525E-4</v>
      </c>
      <c r="S1285" s="18">
        <v>5.1869999999999999E-2</v>
      </c>
      <c r="T1285" s="18">
        <v>0.2223</v>
      </c>
      <c r="U1285" s="18">
        <v>0.11115</v>
      </c>
      <c r="V1285" s="18">
        <v>1.42272</v>
      </c>
      <c r="W1285" s="18">
        <v>1.3338000000000001</v>
      </c>
      <c r="X1285" s="18">
        <v>0.88919999999999999</v>
      </c>
      <c r="Y1285" s="18">
        <v>3.952E-2</v>
      </c>
      <c r="Z1285" s="18">
        <v>0.17537</v>
      </c>
      <c r="AA1285" s="18">
        <v>0.25688</v>
      </c>
      <c r="AB1285" s="18">
        <v>0.45694999999999997</v>
      </c>
      <c r="AC1285" s="18">
        <v>0.14079</v>
      </c>
      <c r="AD1285" s="18">
        <v>0.74099999999999999</v>
      </c>
    </row>
    <row r="1286" spans="2:30" x14ac:dyDescent="0.25">
      <c r="B1286" t="s">
        <v>269</v>
      </c>
      <c r="C1286" t="s">
        <v>570</v>
      </c>
      <c r="D1286" t="s">
        <v>752</v>
      </c>
      <c r="E1286" s="35">
        <v>0.9</v>
      </c>
      <c r="F1286" s="35">
        <v>6.6</v>
      </c>
      <c r="G1286" s="36">
        <v>2.47E-3</v>
      </c>
      <c r="H1286" s="18">
        <v>4.4452980000000002</v>
      </c>
      <c r="I1286" s="16" t="s">
        <v>746</v>
      </c>
      <c r="J1286" s="16"/>
      <c r="K1286" s="16"/>
      <c r="L1286" s="37"/>
      <c r="M1286" s="37"/>
      <c r="N1286" s="37"/>
      <c r="O1286" s="37"/>
      <c r="P1286" s="37"/>
      <c r="Q1286" s="18">
        <v>2.717E-2</v>
      </c>
      <c r="R1286" s="18">
        <v>1.8525E-4</v>
      </c>
      <c r="S1286" s="18">
        <v>5.1869999999999999E-2</v>
      </c>
      <c r="T1286" s="18">
        <v>0.2223</v>
      </c>
      <c r="U1286" s="18">
        <v>0.11115</v>
      </c>
      <c r="V1286" s="18">
        <v>1.42272</v>
      </c>
      <c r="W1286" s="18">
        <v>1.3338000000000001</v>
      </c>
      <c r="X1286" s="18">
        <v>0.88919999999999999</v>
      </c>
      <c r="Y1286" s="18">
        <v>3.952E-2</v>
      </c>
      <c r="Z1286" s="18">
        <v>0.17537</v>
      </c>
      <c r="AA1286" s="18">
        <v>0.25688</v>
      </c>
      <c r="AB1286" s="18">
        <v>0.45694999999999997</v>
      </c>
      <c r="AC1286" s="18">
        <v>0.14079</v>
      </c>
      <c r="AD1286" s="18">
        <v>0.74099999999999999</v>
      </c>
    </row>
    <row r="1287" spans="2:30" x14ac:dyDescent="0.25">
      <c r="B1287" t="s">
        <v>269</v>
      </c>
      <c r="C1287" t="s">
        <v>570</v>
      </c>
      <c r="D1287" t="s">
        <v>752</v>
      </c>
      <c r="E1287" s="35">
        <v>0.9</v>
      </c>
      <c r="F1287" s="35">
        <v>6.6</v>
      </c>
      <c r="G1287" s="36">
        <v>2.47E-3</v>
      </c>
      <c r="H1287" s="18">
        <v>4.4452980000000002</v>
      </c>
      <c r="I1287" s="16" t="s">
        <v>746</v>
      </c>
      <c r="J1287" s="16"/>
      <c r="K1287" s="16"/>
      <c r="L1287" s="37"/>
      <c r="M1287" s="37"/>
      <c r="N1287" s="37"/>
      <c r="O1287" s="37"/>
      <c r="P1287" s="37"/>
      <c r="Q1287" s="18">
        <v>2.717E-2</v>
      </c>
      <c r="R1287" s="18">
        <v>1.8525E-4</v>
      </c>
      <c r="S1287" s="18">
        <v>5.1869999999999999E-2</v>
      </c>
      <c r="T1287" s="18">
        <v>0.2223</v>
      </c>
      <c r="U1287" s="18">
        <v>0.11115</v>
      </c>
      <c r="V1287" s="18">
        <v>1.42272</v>
      </c>
      <c r="W1287" s="18">
        <v>1.3338000000000001</v>
      </c>
      <c r="X1287" s="18">
        <v>0.88919999999999999</v>
      </c>
      <c r="Y1287" s="18">
        <v>3.952E-2</v>
      </c>
      <c r="Z1287" s="18">
        <v>0.17537</v>
      </c>
      <c r="AA1287" s="18">
        <v>0.25688</v>
      </c>
      <c r="AB1287" s="18">
        <v>0.45694999999999997</v>
      </c>
      <c r="AC1287" s="18">
        <v>0.14079</v>
      </c>
      <c r="AD1287" s="18">
        <v>0.74099999999999999</v>
      </c>
    </row>
    <row r="1288" spans="2:30" x14ac:dyDescent="0.25">
      <c r="B1288" t="s">
        <v>269</v>
      </c>
      <c r="C1288" t="s">
        <v>570</v>
      </c>
      <c r="D1288" t="s">
        <v>752</v>
      </c>
      <c r="E1288" s="35">
        <v>0.9</v>
      </c>
      <c r="F1288" s="35">
        <v>6.6</v>
      </c>
      <c r="G1288" s="36">
        <v>2.47E-3</v>
      </c>
      <c r="H1288" s="18">
        <v>4.4452980000000002</v>
      </c>
      <c r="I1288" s="16" t="s">
        <v>746</v>
      </c>
      <c r="J1288" s="16"/>
      <c r="K1288" s="16"/>
      <c r="L1288" s="37"/>
      <c r="M1288" s="37"/>
      <c r="N1288" s="37"/>
      <c r="O1288" s="37"/>
      <c r="P1288" s="37"/>
      <c r="Q1288" s="18">
        <v>2.717E-2</v>
      </c>
      <c r="R1288" s="18">
        <v>1.8525E-4</v>
      </c>
      <c r="S1288" s="18">
        <v>5.1869999999999999E-2</v>
      </c>
      <c r="T1288" s="18">
        <v>0.2223</v>
      </c>
      <c r="U1288" s="18">
        <v>0.11115</v>
      </c>
      <c r="V1288" s="18">
        <v>1.42272</v>
      </c>
      <c r="W1288" s="18">
        <v>1.3338000000000001</v>
      </c>
      <c r="X1288" s="18">
        <v>0.88919999999999999</v>
      </c>
      <c r="Y1288" s="18">
        <v>3.952E-2</v>
      </c>
      <c r="Z1288" s="18">
        <v>0.17537</v>
      </c>
      <c r="AA1288" s="18">
        <v>0.25688</v>
      </c>
      <c r="AB1288" s="18">
        <v>0.45694999999999997</v>
      </c>
      <c r="AC1288" s="18">
        <v>0.14079</v>
      </c>
      <c r="AD1288" s="18">
        <v>0.74099999999999999</v>
      </c>
    </row>
    <row r="1289" spans="2:30" x14ac:dyDescent="0.25">
      <c r="B1289" t="s">
        <v>269</v>
      </c>
      <c r="C1289" t="s">
        <v>570</v>
      </c>
      <c r="D1289" t="s">
        <v>752</v>
      </c>
      <c r="E1289" s="35">
        <v>0.9</v>
      </c>
      <c r="F1289" s="35">
        <v>6.6</v>
      </c>
      <c r="G1289" s="36">
        <v>2.47E-3</v>
      </c>
      <c r="H1289" s="18">
        <v>4.4452980000000002</v>
      </c>
      <c r="I1289" s="16" t="s">
        <v>746</v>
      </c>
      <c r="J1289" s="16"/>
      <c r="K1289" s="16"/>
      <c r="L1289" s="37"/>
      <c r="M1289" s="37"/>
      <c r="N1289" s="37"/>
      <c r="O1289" s="37"/>
      <c r="P1289" s="37"/>
      <c r="Q1289" s="18">
        <v>2.717E-2</v>
      </c>
      <c r="R1289" s="18">
        <v>1.8525E-4</v>
      </c>
      <c r="S1289" s="18">
        <v>5.1869999999999999E-2</v>
      </c>
      <c r="T1289" s="18">
        <v>0.2223</v>
      </c>
      <c r="U1289" s="18">
        <v>0.11115</v>
      </c>
      <c r="V1289" s="18">
        <v>1.42272</v>
      </c>
      <c r="W1289" s="18">
        <v>1.3338000000000001</v>
      </c>
      <c r="X1289" s="18">
        <v>0.88919999999999999</v>
      </c>
      <c r="Y1289" s="18">
        <v>3.952E-2</v>
      </c>
      <c r="Z1289" s="18">
        <v>0.17537</v>
      </c>
      <c r="AA1289" s="18">
        <v>0.25688</v>
      </c>
      <c r="AB1289" s="18">
        <v>0.45694999999999997</v>
      </c>
      <c r="AC1289" s="18">
        <v>0.14079</v>
      </c>
      <c r="AD1289" s="18">
        <v>0.74099999999999999</v>
      </c>
    </row>
    <row r="1290" spans="2:30" x14ac:dyDescent="0.25">
      <c r="B1290" t="s">
        <v>269</v>
      </c>
      <c r="C1290" t="s">
        <v>570</v>
      </c>
      <c r="D1290" t="s">
        <v>752</v>
      </c>
      <c r="E1290" s="35">
        <v>0.9</v>
      </c>
      <c r="F1290" s="35">
        <v>6.6</v>
      </c>
      <c r="G1290" s="36">
        <v>2.47E-3</v>
      </c>
      <c r="H1290" s="18">
        <v>4.4452980000000002</v>
      </c>
      <c r="I1290" s="16" t="s">
        <v>746</v>
      </c>
      <c r="J1290" s="16"/>
      <c r="K1290" s="16"/>
      <c r="L1290" s="37"/>
      <c r="M1290" s="37"/>
      <c r="N1290" s="37"/>
      <c r="O1290" s="37"/>
      <c r="P1290" s="37"/>
      <c r="Q1290" s="18">
        <v>2.717E-2</v>
      </c>
      <c r="R1290" s="18">
        <v>1.8525E-4</v>
      </c>
      <c r="S1290" s="18">
        <v>5.1869999999999999E-2</v>
      </c>
      <c r="T1290" s="18">
        <v>0.2223</v>
      </c>
      <c r="U1290" s="18">
        <v>0.11115</v>
      </c>
      <c r="V1290" s="18">
        <v>1.42272</v>
      </c>
      <c r="W1290" s="18">
        <v>1.3338000000000001</v>
      </c>
      <c r="X1290" s="18">
        <v>0.88919999999999999</v>
      </c>
      <c r="Y1290" s="18">
        <v>3.952E-2</v>
      </c>
      <c r="Z1290" s="18">
        <v>0.17537</v>
      </c>
      <c r="AA1290" s="18">
        <v>0.25688</v>
      </c>
      <c r="AB1290" s="18">
        <v>0.45694999999999997</v>
      </c>
      <c r="AC1290" s="18">
        <v>0.14079</v>
      </c>
      <c r="AD1290" s="18">
        <v>0.74099999999999999</v>
      </c>
    </row>
    <row r="1291" spans="2:30" x14ac:dyDescent="0.25">
      <c r="B1291" t="s">
        <v>269</v>
      </c>
      <c r="C1291" t="s">
        <v>570</v>
      </c>
      <c r="D1291" t="s">
        <v>752</v>
      </c>
      <c r="E1291" s="35">
        <v>0.9</v>
      </c>
      <c r="F1291" s="35">
        <v>6.6</v>
      </c>
      <c r="G1291" s="36">
        <v>2.47E-3</v>
      </c>
      <c r="H1291" s="18">
        <v>4.4452980000000002</v>
      </c>
      <c r="I1291" s="16" t="s">
        <v>746</v>
      </c>
      <c r="J1291" s="16"/>
      <c r="K1291" s="16"/>
      <c r="L1291" s="37"/>
      <c r="M1291" s="37"/>
      <c r="N1291" s="37"/>
      <c r="O1291" s="37"/>
      <c r="P1291" s="37"/>
      <c r="Q1291" s="18">
        <v>2.717E-2</v>
      </c>
      <c r="R1291" s="18">
        <v>1.8525E-4</v>
      </c>
      <c r="S1291" s="18">
        <v>5.1869999999999999E-2</v>
      </c>
      <c r="T1291" s="18">
        <v>0.2223</v>
      </c>
      <c r="U1291" s="18">
        <v>0.11115</v>
      </c>
      <c r="V1291" s="18">
        <v>1.42272</v>
      </c>
      <c r="W1291" s="18">
        <v>1.3338000000000001</v>
      </c>
      <c r="X1291" s="18">
        <v>0.88919999999999999</v>
      </c>
      <c r="Y1291" s="18">
        <v>3.952E-2</v>
      </c>
      <c r="Z1291" s="18">
        <v>0.17537</v>
      </c>
      <c r="AA1291" s="18">
        <v>0.25688</v>
      </c>
      <c r="AB1291" s="18">
        <v>0.45694999999999997</v>
      </c>
      <c r="AC1291" s="18">
        <v>0.14079</v>
      </c>
      <c r="AD1291" s="18">
        <v>0.74099999999999999</v>
      </c>
    </row>
    <row r="1292" spans="2:30" x14ac:dyDescent="0.25">
      <c r="B1292" t="s">
        <v>269</v>
      </c>
      <c r="C1292" t="s">
        <v>570</v>
      </c>
      <c r="D1292" t="s">
        <v>752</v>
      </c>
      <c r="E1292" s="35">
        <v>0.9</v>
      </c>
      <c r="F1292" s="35">
        <v>6.6</v>
      </c>
      <c r="G1292" s="36">
        <v>2.47E-3</v>
      </c>
      <c r="H1292" s="18">
        <v>4.4452980000000002</v>
      </c>
      <c r="I1292" s="16" t="s">
        <v>746</v>
      </c>
      <c r="J1292" s="16"/>
      <c r="K1292" s="16"/>
      <c r="L1292" s="37"/>
      <c r="M1292" s="37"/>
      <c r="N1292" s="37"/>
      <c r="O1292" s="37"/>
      <c r="P1292" s="37"/>
      <c r="Q1292" s="18">
        <v>2.717E-2</v>
      </c>
      <c r="R1292" s="18">
        <v>1.8525E-4</v>
      </c>
      <c r="S1292" s="18">
        <v>5.1869999999999999E-2</v>
      </c>
      <c r="T1292" s="18">
        <v>0.2223</v>
      </c>
      <c r="U1292" s="18">
        <v>0.11115</v>
      </c>
      <c r="V1292" s="18">
        <v>1.42272</v>
      </c>
      <c r="W1292" s="18">
        <v>1.3338000000000001</v>
      </c>
      <c r="X1292" s="18">
        <v>0.88919999999999999</v>
      </c>
      <c r="Y1292" s="18">
        <v>3.952E-2</v>
      </c>
      <c r="Z1292" s="18">
        <v>0.17537</v>
      </c>
      <c r="AA1292" s="18">
        <v>0.25688</v>
      </c>
      <c r="AB1292" s="18">
        <v>0.45694999999999997</v>
      </c>
      <c r="AC1292" s="18">
        <v>0.14079</v>
      </c>
      <c r="AD1292" s="18">
        <v>0.74099999999999999</v>
      </c>
    </row>
    <row r="1293" spans="2:30" x14ac:dyDescent="0.25">
      <c r="B1293" t="s">
        <v>269</v>
      </c>
      <c r="C1293" t="s">
        <v>570</v>
      </c>
      <c r="D1293" t="s">
        <v>752</v>
      </c>
      <c r="E1293" s="35">
        <v>0.9</v>
      </c>
      <c r="F1293" s="35">
        <v>6.6</v>
      </c>
      <c r="G1293" s="36">
        <v>2.47E-3</v>
      </c>
      <c r="H1293" s="18">
        <v>4.4452980000000002</v>
      </c>
      <c r="I1293" s="16" t="s">
        <v>746</v>
      </c>
      <c r="J1293" s="16"/>
      <c r="K1293" s="16"/>
      <c r="L1293" s="37"/>
      <c r="M1293" s="37"/>
      <c r="N1293" s="37"/>
      <c r="O1293" s="37"/>
      <c r="P1293" s="37"/>
      <c r="Q1293" s="18">
        <v>2.717E-2</v>
      </c>
      <c r="R1293" s="18">
        <v>1.8525E-4</v>
      </c>
      <c r="S1293" s="18">
        <v>5.1869999999999999E-2</v>
      </c>
      <c r="T1293" s="18">
        <v>0.2223</v>
      </c>
      <c r="U1293" s="18">
        <v>0.11115</v>
      </c>
      <c r="V1293" s="18">
        <v>1.42272</v>
      </c>
      <c r="W1293" s="18">
        <v>1.3338000000000001</v>
      </c>
      <c r="X1293" s="18">
        <v>0.88919999999999999</v>
      </c>
      <c r="Y1293" s="18">
        <v>3.952E-2</v>
      </c>
      <c r="Z1293" s="18">
        <v>0.17537</v>
      </c>
      <c r="AA1293" s="18">
        <v>0.25688</v>
      </c>
      <c r="AB1293" s="18">
        <v>0.45694999999999997</v>
      </c>
      <c r="AC1293" s="18">
        <v>0.14079</v>
      </c>
      <c r="AD1293" s="18">
        <v>0.74099999999999999</v>
      </c>
    </row>
    <row r="1294" spans="2:30" x14ac:dyDescent="0.25">
      <c r="B1294" t="s">
        <v>269</v>
      </c>
      <c r="C1294" t="s">
        <v>570</v>
      </c>
      <c r="D1294" t="s">
        <v>752</v>
      </c>
      <c r="E1294" s="35">
        <v>0.9</v>
      </c>
      <c r="F1294" s="35">
        <v>6.6</v>
      </c>
      <c r="G1294" s="36">
        <v>2.47E-3</v>
      </c>
      <c r="H1294" s="18">
        <v>4.4452980000000002</v>
      </c>
      <c r="I1294" s="16" t="s">
        <v>746</v>
      </c>
      <c r="J1294" s="16"/>
      <c r="K1294" s="16"/>
      <c r="L1294" s="37"/>
      <c r="M1294" s="37"/>
      <c r="N1294" s="37"/>
      <c r="O1294" s="37"/>
      <c r="P1294" s="37"/>
      <c r="Q1294" s="18">
        <v>2.717E-2</v>
      </c>
      <c r="R1294" s="18">
        <v>1.8525E-4</v>
      </c>
      <c r="S1294" s="18">
        <v>5.1869999999999999E-2</v>
      </c>
      <c r="T1294" s="18">
        <v>0.2223</v>
      </c>
      <c r="U1294" s="18">
        <v>0.11115</v>
      </c>
      <c r="V1294" s="18">
        <v>1.42272</v>
      </c>
      <c r="W1294" s="18">
        <v>1.3338000000000001</v>
      </c>
      <c r="X1294" s="18">
        <v>0.88919999999999999</v>
      </c>
      <c r="Y1294" s="18">
        <v>3.952E-2</v>
      </c>
      <c r="Z1294" s="18">
        <v>0.17537</v>
      </c>
      <c r="AA1294" s="18">
        <v>0.25688</v>
      </c>
      <c r="AB1294" s="18">
        <v>0.45694999999999997</v>
      </c>
      <c r="AC1294" s="18">
        <v>0.14079</v>
      </c>
      <c r="AD1294" s="18">
        <v>0.74099999999999999</v>
      </c>
    </row>
    <row r="1295" spans="2:30" x14ac:dyDescent="0.25">
      <c r="B1295" t="s">
        <v>269</v>
      </c>
      <c r="C1295" t="s">
        <v>570</v>
      </c>
      <c r="D1295" t="s">
        <v>752</v>
      </c>
      <c r="E1295" s="35">
        <v>0.9</v>
      </c>
      <c r="F1295" s="35">
        <v>6.6</v>
      </c>
      <c r="G1295" s="36">
        <v>2.47E-3</v>
      </c>
      <c r="H1295" s="18">
        <v>4.4452980000000002</v>
      </c>
      <c r="I1295" s="16" t="s">
        <v>746</v>
      </c>
      <c r="J1295" s="16"/>
      <c r="K1295" s="16"/>
      <c r="L1295" s="37"/>
      <c r="M1295" s="37"/>
      <c r="N1295" s="37"/>
      <c r="O1295" s="37"/>
      <c r="P1295" s="37"/>
      <c r="Q1295" s="18">
        <v>2.717E-2</v>
      </c>
      <c r="R1295" s="18">
        <v>1.8525E-4</v>
      </c>
      <c r="S1295" s="18">
        <v>5.1869999999999999E-2</v>
      </c>
      <c r="T1295" s="18">
        <v>0.2223</v>
      </c>
      <c r="U1295" s="18">
        <v>0.11115</v>
      </c>
      <c r="V1295" s="18">
        <v>1.42272</v>
      </c>
      <c r="W1295" s="18">
        <v>1.3338000000000001</v>
      </c>
      <c r="X1295" s="18">
        <v>0.88919999999999999</v>
      </c>
      <c r="Y1295" s="18">
        <v>3.952E-2</v>
      </c>
      <c r="Z1295" s="18">
        <v>0.17537</v>
      </c>
      <c r="AA1295" s="18">
        <v>0.25688</v>
      </c>
      <c r="AB1295" s="18">
        <v>0.45694999999999997</v>
      </c>
      <c r="AC1295" s="18">
        <v>0.14079</v>
      </c>
      <c r="AD1295" s="18">
        <v>0.74099999999999999</v>
      </c>
    </row>
    <row r="1296" spans="2:30" x14ac:dyDescent="0.25">
      <c r="B1296" t="s">
        <v>269</v>
      </c>
      <c r="C1296" t="s">
        <v>570</v>
      </c>
      <c r="D1296" t="s">
        <v>752</v>
      </c>
      <c r="E1296" s="35">
        <v>0.9</v>
      </c>
      <c r="F1296" s="35">
        <v>6.6</v>
      </c>
      <c r="G1296" s="36">
        <v>2.47E-3</v>
      </c>
      <c r="H1296" s="18">
        <v>4.4452980000000002</v>
      </c>
      <c r="I1296" s="16" t="s">
        <v>746</v>
      </c>
      <c r="J1296" s="16"/>
      <c r="K1296" s="16"/>
      <c r="L1296" s="37"/>
      <c r="M1296" s="37"/>
      <c r="N1296" s="37"/>
      <c r="O1296" s="37"/>
      <c r="P1296" s="37"/>
      <c r="Q1296" s="18">
        <v>2.717E-2</v>
      </c>
      <c r="R1296" s="18">
        <v>1.8525E-4</v>
      </c>
      <c r="S1296" s="18">
        <v>5.1869999999999999E-2</v>
      </c>
      <c r="T1296" s="18">
        <v>0.2223</v>
      </c>
      <c r="U1296" s="18">
        <v>0.11115</v>
      </c>
      <c r="V1296" s="18">
        <v>1.42272</v>
      </c>
      <c r="W1296" s="18">
        <v>1.3338000000000001</v>
      </c>
      <c r="X1296" s="18">
        <v>0.88919999999999999</v>
      </c>
      <c r="Y1296" s="18">
        <v>3.952E-2</v>
      </c>
      <c r="Z1296" s="18">
        <v>0.17537</v>
      </c>
      <c r="AA1296" s="18">
        <v>0.25688</v>
      </c>
      <c r="AB1296" s="18">
        <v>0.45694999999999997</v>
      </c>
      <c r="AC1296" s="18">
        <v>0.14079</v>
      </c>
      <c r="AD1296" s="18">
        <v>0.74099999999999999</v>
      </c>
    </row>
    <row r="1297" spans="2:30" x14ac:dyDescent="0.25">
      <c r="B1297" t="s">
        <v>269</v>
      </c>
      <c r="C1297" t="s">
        <v>570</v>
      </c>
      <c r="D1297" t="s">
        <v>752</v>
      </c>
      <c r="E1297" s="35">
        <v>0.9</v>
      </c>
      <c r="F1297" s="35">
        <v>6.6</v>
      </c>
      <c r="G1297" s="36">
        <v>2.47E-3</v>
      </c>
      <c r="H1297" s="18">
        <v>4.4452980000000002</v>
      </c>
      <c r="I1297" s="16" t="s">
        <v>746</v>
      </c>
      <c r="J1297" s="16"/>
      <c r="K1297" s="16"/>
      <c r="L1297" s="37"/>
      <c r="M1297" s="37"/>
      <c r="N1297" s="37"/>
      <c r="O1297" s="37"/>
      <c r="P1297" s="37"/>
      <c r="Q1297" s="18">
        <v>2.717E-2</v>
      </c>
      <c r="R1297" s="18">
        <v>1.8525E-4</v>
      </c>
      <c r="S1297" s="18">
        <v>5.1869999999999999E-2</v>
      </c>
      <c r="T1297" s="18">
        <v>0.2223</v>
      </c>
      <c r="U1297" s="18">
        <v>0.11115</v>
      </c>
      <c r="V1297" s="18">
        <v>1.42272</v>
      </c>
      <c r="W1297" s="18">
        <v>1.3338000000000001</v>
      </c>
      <c r="X1297" s="18">
        <v>0.88919999999999999</v>
      </c>
      <c r="Y1297" s="18">
        <v>3.952E-2</v>
      </c>
      <c r="Z1297" s="18">
        <v>0.17537</v>
      </c>
      <c r="AA1297" s="18">
        <v>0.25688</v>
      </c>
      <c r="AB1297" s="18">
        <v>0.45694999999999997</v>
      </c>
      <c r="AC1297" s="18">
        <v>0.14079</v>
      </c>
      <c r="AD1297" s="18">
        <v>0.74099999999999999</v>
      </c>
    </row>
    <row r="1298" spans="2:30" x14ac:dyDescent="0.25">
      <c r="B1298" t="s">
        <v>269</v>
      </c>
      <c r="C1298" t="s">
        <v>570</v>
      </c>
      <c r="D1298" t="s">
        <v>752</v>
      </c>
      <c r="E1298" s="35">
        <v>0.9</v>
      </c>
      <c r="F1298" s="35">
        <v>6.6</v>
      </c>
      <c r="G1298" s="36">
        <v>2.47E-3</v>
      </c>
      <c r="H1298" s="18">
        <v>4.4452980000000002</v>
      </c>
      <c r="I1298" s="16" t="s">
        <v>746</v>
      </c>
      <c r="J1298" s="16"/>
      <c r="K1298" s="16"/>
      <c r="L1298" s="37"/>
      <c r="M1298" s="37"/>
      <c r="N1298" s="37"/>
      <c r="O1298" s="37"/>
      <c r="P1298" s="37"/>
      <c r="Q1298" s="18">
        <v>2.717E-2</v>
      </c>
      <c r="R1298" s="18">
        <v>1.8525E-4</v>
      </c>
      <c r="S1298" s="18">
        <v>5.1869999999999999E-2</v>
      </c>
      <c r="T1298" s="18">
        <v>0.2223</v>
      </c>
      <c r="U1298" s="18">
        <v>0.11115</v>
      </c>
      <c r="V1298" s="18">
        <v>1.42272</v>
      </c>
      <c r="W1298" s="18">
        <v>1.3338000000000001</v>
      </c>
      <c r="X1298" s="18">
        <v>0.88919999999999999</v>
      </c>
      <c r="Y1298" s="18">
        <v>3.952E-2</v>
      </c>
      <c r="Z1298" s="18">
        <v>0.17537</v>
      </c>
      <c r="AA1298" s="18">
        <v>0.25688</v>
      </c>
      <c r="AB1298" s="18">
        <v>0.45694999999999997</v>
      </c>
      <c r="AC1298" s="18">
        <v>0.14079</v>
      </c>
      <c r="AD1298" s="18">
        <v>0.74099999999999999</v>
      </c>
    </row>
    <row r="1299" spans="2:30" x14ac:dyDescent="0.25">
      <c r="B1299" t="s">
        <v>269</v>
      </c>
      <c r="C1299" t="s">
        <v>570</v>
      </c>
      <c r="D1299" t="s">
        <v>752</v>
      </c>
      <c r="E1299" s="35">
        <v>0.9</v>
      </c>
      <c r="F1299" s="35">
        <v>6.6</v>
      </c>
      <c r="G1299" s="36">
        <v>2.47E-3</v>
      </c>
      <c r="H1299" s="18">
        <v>4.4452980000000002</v>
      </c>
      <c r="I1299" s="16" t="s">
        <v>746</v>
      </c>
      <c r="J1299" s="16"/>
      <c r="K1299" s="16"/>
      <c r="L1299" s="37"/>
      <c r="M1299" s="37"/>
      <c r="N1299" s="37"/>
      <c r="O1299" s="37"/>
      <c r="P1299" s="37"/>
      <c r="Q1299" s="18">
        <v>2.717E-2</v>
      </c>
      <c r="R1299" s="18">
        <v>1.8525E-4</v>
      </c>
      <c r="S1299" s="18">
        <v>5.1869999999999999E-2</v>
      </c>
      <c r="T1299" s="18">
        <v>0.2223</v>
      </c>
      <c r="U1299" s="18">
        <v>0.11115</v>
      </c>
      <c r="V1299" s="18">
        <v>1.42272</v>
      </c>
      <c r="W1299" s="18">
        <v>1.3338000000000001</v>
      </c>
      <c r="X1299" s="18">
        <v>0.88919999999999999</v>
      </c>
      <c r="Y1299" s="18">
        <v>3.952E-2</v>
      </c>
      <c r="Z1299" s="18">
        <v>0.17537</v>
      </c>
      <c r="AA1299" s="18">
        <v>0.25688</v>
      </c>
      <c r="AB1299" s="18">
        <v>0.45694999999999997</v>
      </c>
      <c r="AC1299" s="18">
        <v>0.14079</v>
      </c>
      <c r="AD1299" s="18">
        <v>0.74099999999999999</v>
      </c>
    </row>
    <row r="1300" spans="2:30" x14ac:dyDescent="0.25">
      <c r="B1300" t="s">
        <v>269</v>
      </c>
      <c r="C1300" t="s">
        <v>570</v>
      </c>
      <c r="D1300" t="s">
        <v>752</v>
      </c>
      <c r="E1300" s="35">
        <v>0.9</v>
      </c>
      <c r="F1300" s="35">
        <v>6.6</v>
      </c>
      <c r="G1300" s="36">
        <v>2.47E-3</v>
      </c>
      <c r="H1300" s="18">
        <v>4.4452980000000002</v>
      </c>
      <c r="I1300" s="16" t="s">
        <v>746</v>
      </c>
      <c r="J1300" s="16"/>
      <c r="K1300" s="16"/>
      <c r="L1300" s="37"/>
      <c r="M1300" s="37"/>
      <c r="N1300" s="37"/>
      <c r="O1300" s="37"/>
      <c r="P1300" s="37"/>
      <c r="Q1300" s="18">
        <v>2.717E-2</v>
      </c>
      <c r="R1300" s="18">
        <v>1.8525E-4</v>
      </c>
      <c r="S1300" s="18">
        <v>5.1869999999999999E-2</v>
      </c>
      <c r="T1300" s="18">
        <v>0.2223</v>
      </c>
      <c r="U1300" s="18">
        <v>0.11115</v>
      </c>
      <c r="V1300" s="18">
        <v>1.42272</v>
      </c>
      <c r="W1300" s="18">
        <v>1.3338000000000001</v>
      </c>
      <c r="X1300" s="18">
        <v>0.88919999999999999</v>
      </c>
      <c r="Y1300" s="18">
        <v>3.952E-2</v>
      </c>
      <c r="Z1300" s="18">
        <v>0.17537</v>
      </c>
      <c r="AA1300" s="18">
        <v>0.25688</v>
      </c>
      <c r="AB1300" s="18">
        <v>0.45694999999999997</v>
      </c>
      <c r="AC1300" s="18">
        <v>0.14079</v>
      </c>
      <c r="AD1300" s="18">
        <v>0.74099999999999999</v>
      </c>
    </row>
    <row r="1301" spans="2:30" x14ac:dyDescent="0.25">
      <c r="B1301" t="s">
        <v>269</v>
      </c>
      <c r="C1301" t="s">
        <v>570</v>
      </c>
      <c r="D1301" t="s">
        <v>752</v>
      </c>
      <c r="E1301" s="35">
        <v>0.9</v>
      </c>
      <c r="F1301" s="35">
        <v>6.6</v>
      </c>
      <c r="G1301" s="36">
        <v>2.47E-3</v>
      </c>
      <c r="H1301" s="18">
        <v>4.4452980000000002</v>
      </c>
      <c r="I1301" s="16" t="s">
        <v>746</v>
      </c>
      <c r="J1301" s="16"/>
      <c r="K1301" s="16"/>
      <c r="L1301" s="37"/>
      <c r="M1301" s="37"/>
      <c r="N1301" s="37"/>
      <c r="O1301" s="37"/>
      <c r="P1301" s="37"/>
      <c r="Q1301" s="18">
        <v>2.717E-2</v>
      </c>
      <c r="R1301" s="18">
        <v>1.8525E-4</v>
      </c>
      <c r="S1301" s="18">
        <v>5.1869999999999999E-2</v>
      </c>
      <c r="T1301" s="18">
        <v>0.2223</v>
      </c>
      <c r="U1301" s="18">
        <v>0.11115</v>
      </c>
      <c r="V1301" s="18">
        <v>1.42272</v>
      </c>
      <c r="W1301" s="18">
        <v>1.3338000000000001</v>
      </c>
      <c r="X1301" s="18">
        <v>0.88919999999999999</v>
      </c>
      <c r="Y1301" s="18">
        <v>3.952E-2</v>
      </c>
      <c r="Z1301" s="18">
        <v>0.17537</v>
      </c>
      <c r="AA1301" s="18">
        <v>0.25688</v>
      </c>
      <c r="AB1301" s="18">
        <v>0.45694999999999997</v>
      </c>
      <c r="AC1301" s="18">
        <v>0.14079</v>
      </c>
      <c r="AD1301" s="18">
        <v>0.74099999999999999</v>
      </c>
    </row>
    <row r="1302" spans="2:30" x14ac:dyDescent="0.25">
      <c r="B1302" t="s">
        <v>269</v>
      </c>
      <c r="C1302" t="s">
        <v>570</v>
      </c>
      <c r="D1302" t="s">
        <v>752</v>
      </c>
      <c r="E1302" s="35">
        <v>0.9</v>
      </c>
      <c r="F1302" s="35">
        <v>6.6</v>
      </c>
      <c r="G1302" s="36">
        <v>2.47E-3</v>
      </c>
      <c r="H1302" s="18">
        <v>4.4452980000000002</v>
      </c>
      <c r="I1302" s="16" t="s">
        <v>746</v>
      </c>
      <c r="J1302" s="16"/>
      <c r="K1302" s="16"/>
      <c r="L1302" s="37"/>
      <c r="M1302" s="37"/>
      <c r="N1302" s="37"/>
      <c r="O1302" s="37"/>
      <c r="P1302" s="37"/>
      <c r="Q1302" s="18">
        <v>2.717E-2</v>
      </c>
      <c r="R1302" s="18">
        <v>1.8525E-4</v>
      </c>
      <c r="S1302" s="18">
        <v>5.1869999999999999E-2</v>
      </c>
      <c r="T1302" s="18">
        <v>0.2223</v>
      </c>
      <c r="U1302" s="18">
        <v>0.11115</v>
      </c>
      <c r="V1302" s="18">
        <v>1.42272</v>
      </c>
      <c r="W1302" s="18">
        <v>1.3338000000000001</v>
      </c>
      <c r="X1302" s="18">
        <v>0.88919999999999999</v>
      </c>
      <c r="Y1302" s="18">
        <v>3.952E-2</v>
      </c>
      <c r="Z1302" s="18">
        <v>0.17537</v>
      </c>
      <c r="AA1302" s="18">
        <v>0.25688</v>
      </c>
      <c r="AB1302" s="18">
        <v>0.45694999999999997</v>
      </c>
      <c r="AC1302" s="18">
        <v>0.14079</v>
      </c>
      <c r="AD1302" s="18">
        <v>0.74099999999999999</v>
      </c>
    </row>
    <row r="1303" spans="2:30" x14ac:dyDescent="0.25">
      <c r="B1303" t="s">
        <v>269</v>
      </c>
      <c r="C1303" t="s">
        <v>570</v>
      </c>
      <c r="D1303" t="s">
        <v>752</v>
      </c>
      <c r="E1303" s="35">
        <v>0.9</v>
      </c>
      <c r="F1303" s="35">
        <v>6.6</v>
      </c>
      <c r="G1303" s="36">
        <v>2.47E-3</v>
      </c>
      <c r="H1303" s="18">
        <v>4.4452980000000002</v>
      </c>
      <c r="I1303" s="16" t="s">
        <v>746</v>
      </c>
      <c r="J1303" s="16"/>
      <c r="K1303" s="16"/>
      <c r="L1303" s="37"/>
      <c r="M1303" s="37"/>
      <c r="N1303" s="37"/>
      <c r="O1303" s="37"/>
      <c r="P1303" s="37"/>
      <c r="Q1303" s="18">
        <v>2.717E-2</v>
      </c>
      <c r="R1303" s="18">
        <v>1.8525E-4</v>
      </c>
      <c r="S1303" s="18">
        <v>5.1869999999999999E-2</v>
      </c>
      <c r="T1303" s="18">
        <v>0.2223</v>
      </c>
      <c r="U1303" s="18">
        <v>0.11115</v>
      </c>
      <c r="V1303" s="18">
        <v>1.42272</v>
      </c>
      <c r="W1303" s="18">
        <v>1.3338000000000001</v>
      </c>
      <c r="X1303" s="18">
        <v>0.88919999999999999</v>
      </c>
      <c r="Y1303" s="18">
        <v>3.952E-2</v>
      </c>
      <c r="Z1303" s="18">
        <v>0.17537</v>
      </c>
      <c r="AA1303" s="18">
        <v>0.25688</v>
      </c>
      <c r="AB1303" s="18">
        <v>0.45694999999999997</v>
      </c>
      <c r="AC1303" s="18">
        <v>0.14079</v>
      </c>
      <c r="AD1303" s="18">
        <v>0.74099999999999999</v>
      </c>
    </row>
    <row r="1304" spans="2:30" x14ac:dyDescent="0.25">
      <c r="B1304" t="s">
        <v>269</v>
      </c>
      <c r="C1304" t="s">
        <v>570</v>
      </c>
      <c r="D1304" t="s">
        <v>752</v>
      </c>
      <c r="E1304" s="35">
        <v>0.9</v>
      </c>
      <c r="F1304" s="35">
        <v>6.6</v>
      </c>
      <c r="G1304" s="36">
        <v>2.47E-3</v>
      </c>
      <c r="H1304" s="18">
        <v>4.4452980000000002</v>
      </c>
      <c r="I1304" s="16" t="s">
        <v>746</v>
      </c>
      <c r="J1304" s="16"/>
      <c r="K1304" s="16"/>
      <c r="L1304" s="37"/>
      <c r="M1304" s="37"/>
      <c r="N1304" s="37"/>
      <c r="O1304" s="37"/>
      <c r="P1304" s="37"/>
      <c r="Q1304" s="18">
        <v>2.717E-2</v>
      </c>
      <c r="R1304" s="18">
        <v>1.8525E-4</v>
      </c>
      <c r="S1304" s="18">
        <v>5.1869999999999999E-2</v>
      </c>
      <c r="T1304" s="18">
        <v>0.2223</v>
      </c>
      <c r="U1304" s="18">
        <v>0.11115</v>
      </c>
      <c r="V1304" s="18">
        <v>1.42272</v>
      </c>
      <c r="W1304" s="18">
        <v>1.3338000000000001</v>
      </c>
      <c r="X1304" s="18">
        <v>0.88919999999999999</v>
      </c>
      <c r="Y1304" s="18">
        <v>3.952E-2</v>
      </c>
      <c r="Z1304" s="18">
        <v>0.17537</v>
      </c>
      <c r="AA1304" s="18">
        <v>0.25688</v>
      </c>
      <c r="AB1304" s="18">
        <v>0.45694999999999997</v>
      </c>
      <c r="AC1304" s="18">
        <v>0.14079</v>
      </c>
      <c r="AD1304" s="18">
        <v>0.74099999999999999</v>
      </c>
    </row>
    <row r="1305" spans="2:30" x14ac:dyDescent="0.25">
      <c r="B1305" t="s">
        <v>269</v>
      </c>
      <c r="C1305" t="s">
        <v>570</v>
      </c>
      <c r="D1305" t="s">
        <v>752</v>
      </c>
      <c r="E1305" s="35">
        <v>0.9</v>
      </c>
      <c r="F1305" s="35">
        <v>6.6</v>
      </c>
      <c r="G1305" s="36">
        <v>2.47E-3</v>
      </c>
      <c r="H1305" s="18">
        <v>4.4452980000000002</v>
      </c>
      <c r="I1305" s="16" t="s">
        <v>746</v>
      </c>
      <c r="J1305" s="16"/>
      <c r="K1305" s="16"/>
      <c r="L1305" s="37"/>
      <c r="M1305" s="37"/>
      <c r="N1305" s="37"/>
      <c r="O1305" s="37"/>
      <c r="P1305" s="37"/>
      <c r="Q1305" s="18">
        <v>2.717E-2</v>
      </c>
      <c r="R1305" s="18">
        <v>1.8525E-4</v>
      </c>
      <c r="S1305" s="18">
        <v>5.1869999999999999E-2</v>
      </c>
      <c r="T1305" s="18">
        <v>0.2223</v>
      </c>
      <c r="U1305" s="18">
        <v>0.11115</v>
      </c>
      <c r="V1305" s="18">
        <v>1.42272</v>
      </c>
      <c r="W1305" s="18">
        <v>1.3338000000000001</v>
      </c>
      <c r="X1305" s="18">
        <v>0.88919999999999999</v>
      </c>
      <c r="Y1305" s="18">
        <v>3.952E-2</v>
      </c>
      <c r="Z1305" s="18">
        <v>0.17537</v>
      </c>
      <c r="AA1305" s="18">
        <v>0.25688</v>
      </c>
      <c r="AB1305" s="18">
        <v>0.45694999999999997</v>
      </c>
      <c r="AC1305" s="18">
        <v>0.14079</v>
      </c>
      <c r="AD1305" s="18">
        <v>0.74099999999999999</v>
      </c>
    </row>
    <row r="1306" spans="2:30" x14ac:dyDescent="0.25">
      <c r="B1306" t="s">
        <v>269</v>
      </c>
      <c r="C1306" t="s">
        <v>570</v>
      </c>
      <c r="D1306" t="s">
        <v>752</v>
      </c>
      <c r="E1306" s="35">
        <v>0.9</v>
      </c>
      <c r="F1306" s="35">
        <v>6.6</v>
      </c>
      <c r="G1306" s="36">
        <v>2.47E-3</v>
      </c>
      <c r="H1306" s="18">
        <v>4.4452980000000002</v>
      </c>
      <c r="I1306" s="16" t="s">
        <v>746</v>
      </c>
      <c r="J1306" s="16"/>
      <c r="K1306" s="16"/>
      <c r="L1306" s="37"/>
      <c r="M1306" s="37"/>
      <c r="N1306" s="37"/>
      <c r="O1306" s="37"/>
      <c r="P1306" s="37"/>
      <c r="Q1306" s="18">
        <v>2.717E-2</v>
      </c>
      <c r="R1306" s="18">
        <v>1.8525E-4</v>
      </c>
      <c r="S1306" s="18">
        <v>5.1869999999999999E-2</v>
      </c>
      <c r="T1306" s="18">
        <v>0.2223</v>
      </c>
      <c r="U1306" s="18">
        <v>0.11115</v>
      </c>
      <c r="V1306" s="18">
        <v>1.42272</v>
      </c>
      <c r="W1306" s="18">
        <v>1.3338000000000001</v>
      </c>
      <c r="X1306" s="18">
        <v>0.88919999999999999</v>
      </c>
      <c r="Y1306" s="18">
        <v>3.952E-2</v>
      </c>
      <c r="Z1306" s="18">
        <v>0.17537</v>
      </c>
      <c r="AA1306" s="18">
        <v>0.25688</v>
      </c>
      <c r="AB1306" s="18">
        <v>0.45694999999999997</v>
      </c>
      <c r="AC1306" s="18">
        <v>0.14079</v>
      </c>
      <c r="AD1306" s="18">
        <v>0.74099999999999999</v>
      </c>
    </row>
    <row r="1307" spans="2:30" x14ac:dyDescent="0.25">
      <c r="B1307" t="s">
        <v>269</v>
      </c>
      <c r="C1307" t="s">
        <v>570</v>
      </c>
      <c r="D1307" t="s">
        <v>752</v>
      </c>
      <c r="E1307" s="35">
        <v>0.9</v>
      </c>
      <c r="F1307" s="35">
        <v>6.6</v>
      </c>
      <c r="G1307" s="36">
        <v>2.47E-3</v>
      </c>
      <c r="H1307" s="18">
        <v>4.4452980000000002</v>
      </c>
      <c r="I1307" s="16" t="s">
        <v>746</v>
      </c>
      <c r="J1307" s="16"/>
      <c r="K1307" s="16"/>
      <c r="L1307" s="37"/>
      <c r="M1307" s="37"/>
      <c r="N1307" s="37"/>
      <c r="O1307" s="37"/>
      <c r="P1307" s="37"/>
      <c r="Q1307" s="18">
        <v>2.717E-2</v>
      </c>
      <c r="R1307" s="18">
        <v>1.8525E-4</v>
      </c>
      <c r="S1307" s="18">
        <v>5.1869999999999999E-2</v>
      </c>
      <c r="T1307" s="18">
        <v>0.2223</v>
      </c>
      <c r="U1307" s="18">
        <v>0.11115</v>
      </c>
      <c r="V1307" s="18">
        <v>1.42272</v>
      </c>
      <c r="W1307" s="18">
        <v>1.3338000000000001</v>
      </c>
      <c r="X1307" s="18">
        <v>0.88919999999999999</v>
      </c>
      <c r="Y1307" s="18">
        <v>3.952E-2</v>
      </c>
      <c r="Z1307" s="18">
        <v>0.17537</v>
      </c>
      <c r="AA1307" s="18">
        <v>0.25688</v>
      </c>
      <c r="AB1307" s="18">
        <v>0.45694999999999997</v>
      </c>
      <c r="AC1307" s="18">
        <v>0.14079</v>
      </c>
      <c r="AD1307" s="18">
        <v>0.74099999999999999</v>
      </c>
    </row>
    <row r="1308" spans="2:30" x14ac:dyDescent="0.25">
      <c r="B1308" t="s">
        <v>269</v>
      </c>
      <c r="C1308" t="s">
        <v>570</v>
      </c>
      <c r="D1308" t="s">
        <v>752</v>
      </c>
      <c r="E1308" s="35">
        <v>0.9</v>
      </c>
      <c r="F1308" s="35">
        <v>6.6</v>
      </c>
      <c r="G1308" s="36">
        <v>2.47E-3</v>
      </c>
      <c r="H1308" s="18">
        <v>4.4452980000000002</v>
      </c>
      <c r="I1308" s="16" t="s">
        <v>746</v>
      </c>
      <c r="J1308" s="16"/>
      <c r="K1308" s="16"/>
      <c r="L1308" s="37"/>
      <c r="M1308" s="37"/>
      <c r="N1308" s="37"/>
      <c r="O1308" s="37"/>
      <c r="P1308" s="37"/>
      <c r="Q1308" s="18">
        <v>2.717E-2</v>
      </c>
      <c r="R1308" s="18">
        <v>1.8525E-4</v>
      </c>
      <c r="S1308" s="18">
        <v>5.1869999999999999E-2</v>
      </c>
      <c r="T1308" s="18">
        <v>0.2223</v>
      </c>
      <c r="U1308" s="18">
        <v>0.11115</v>
      </c>
      <c r="V1308" s="18">
        <v>1.42272</v>
      </c>
      <c r="W1308" s="18">
        <v>1.3338000000000001</v>
      </c>
      <c r="X1308" s="18">
        <v>0.88919999999999999</v>
      </c>
      <c r="Y1308" s="18">
        <v>3.952E-2</v>
      </c>
      <c r="Z1308" s="18">
        <v>0.17537</v>
      </c>
      <c r="AA1308" s="18">
        <v>0.25688</v>
      </c>
      <c r="AB1308" s="18">
        <v>0.45694999999999997</v>
      </c>
      <c r="AC1308" s="18">
        <v>0.14079</v>
      </c>
      <c r="AD1308" s="18">
        <v>0.74099999999999999</v>
      </c>
    </row>
    <row r="1309" spans="2:30" x14ac:dyDescent="0.25">
      <c r="B1309" t="s">
        <v>269</v>
      </c>
      <c r="C1309" t="s">
        <v>570</v>
      </c>
      <c r="D1309" t="s">
        <v>752</v>
      </c>
      <c r="E1309" s="35">
        <v>0.9</v>
      </c>
      <c r="F1309" s="35">
        <v>6.6</v>
      </c>
      <c r="G1309" s="36">
        <v>2.47E-3</v>
      </c>
      <c r="H1309" s="18">
        <v>4.4452980000000002</v>
      </c>
      <c r="I1309" s="16" t="s">
        <v>746</v>
      </c>
      <c r="J1309" s="16"/>
      <c r="K1309" s="16"/>
      <c r="L1309" s="37"/>
      <c r="M1309" s="37"/>
      <c r="N1309" s="37"/>
      <c r="O1309" s="37"/>
      <c r="P1309" s="37"/>
      <c r="Q1309" s="18">
        <v>2.717E-2</v>
      </c>
      <c r="R1309" s="18">
        <v>1.8525E-4</v>
      </c>
      <c r="S1309" s="18">
        <v>5.1869999999999999E-2</v>
      </c>
      <c r="T1309" s="18">
        <v>0.2223</v>
      </c>
      <c r="U1309" s="18">
        <v>0.11115</v>
      </c>
      <c r="V1309" s="18">
        <v>1.42272</v>
      </c>
      <c r="W1309" s="18">
        <v>1.3338000000000001</v>
      </c>
      <c r="X1309" s="18">
        <v>0.88919999999999999</v>
      </c>
      <c r="Y1309" s="18">
        <v>3.952E-2</v>
      </c>
      <c r="Z1309" s="18">
        <v>0.17537</v>
      </c>
      <c r="AA1309" s="18">
        <v>0.25688</v>
      </c>
      <c r="AB1309" s="18">
        <v>0.45694999999999997</v>
      </c>
      <c r="AC1309" s="18">
        <v>0.14079</v>
      </c>
      <c r="AD1309" s="18">
        <v>0.74099999999999999</v>
      </c>
    </row>
    <row r="1310" spans="2:30" x14ac:dyDescent="0.25">
      <c r="B1310" t="s">
        <v>269</v>
      </c>
      <c r="C1310" t="s">
        <v>570</v>
      </c>
      <c r="D1310" t="s">
        <v>752</v>
      </c>
      <c r="E1310" s="35">
        <v>0.9</v>
      </c>
      <c r="F1310" s="35">
        <v>6.6</v>
      </c>
      <c r="G1310" s="36">
        <v>2.47E-3</v>
      </c>
      <c r="H1310" s="18">
        <v>4.4452980000000002</v>
      </c>
      <c r="I1310" s="16" t="s">
        <v>746</v>
      </c>
      <c r="J1310" s="16"/>
      <c r="K1310" s="16"/>
      <c r="L1310" s="37"/>
      <c r="M1310" s="37"/>
      <c r="N1310" s="37"/>
      <c r="O1310" s="37"/>
      <c r="P1310" s="37"/>
      <c r="Q1310" s="18">
        <v>2.717E-2</v>
      </c>
      <c r="R1310" s="18">
        <v>1.8525E-4</v>
      </c>
      <c r="S1310" s="18">
        <v>5.1869999999999999E-2</v>
      </c>
      <c r="T1310" s="18">
        <v>0.2223</v>
      </c>
      <c r="U1310" s="18">
        <v>0.11115</v>
      </c>
      <c r="V1310" s="18">
        <v>1.42272</v>
      </c>
      <c r="W1310" s="18">
        <v>1.3338000000000001</v>
      </c>
      <c r="X1310" s="18">
        <v>0.88919999999999999</v>
      </c>
      <c r="Y1310" s="18">
        <v>3.952E-2</v>
      </c>
      <c r="Z1310" s="18">
        <v>0.17537</v>
      </c>
      <c r="AA1310" s="18">
        <v>0.25688</v>
      </c>
      <c r="AB1310" s="18">
        <v>0.45694999999999997</v>
      </c>
      <c r="AC1310" s="18">
        <v>0.14079</v>
      </c>
      <c r="AD1310" s="18">
        <v>0.74099999999999999</v>
      </c>
    </row>
    <row r="1311" spans="2:30" x14ac:dyDescent="0.25">
      <c r="B1311" t="s">
        <v>269</v>
      </c>
      <c r="C1311" t="s">
        <v>570</v>
      </c>
      <c r="D1311" t="s">
        <v>752</v>
      </c>
      <c r="E1311" s="35">
        <v>0.9</v>
      </c>
      <c r="F1311" s="35">
        <v>6.6</v>
      </c>
      <c r="G1311" s="36">
        <v>2.47E-3</v>
      </c>
      <c r="H1311" s="18">
        <v>4.4452980000000002</v>
      </c>
      <c r="I1311" s="16" t="s">
        <v>746</v>
      </c>
      <c r="J1311" s="16"/>
      <c r="K1311" s="16"/>
      <c r="L1311" s="37"/>
      <c r="M1311" s="37"/>
      <c r="N1311" s="37"/>
      <c r="O1311" s="37"/>
      <c r="P1311" s="37"/>
      <c r="Q1311" s="18">
        <v>2.717E-2</v>
      </c>
      <c r="R1311" s="18">
        <v>1.8525E-4</v>
      </c>
      <c r="S1311" s="18">
        <v>5.1869999999999999E-2</v>
      </c>
      <c r="T1311" s="18">
        <v>0.2223</v>
      </c>
      <c r="U1311" s="18">
        <v>0.11115</v>
      </c>
      <c r="V1311" s="18">
        <v>1.42272</v>
      </c>
      <c r="W1311" s="18">
        <v>1.3338000000000001</v>
      </c>
      <c r="X1311" s="18">
        <v>0.88919999999999999</v>
      </c>
      <c r="Y1311" s="18">
        <v>3.952E-2</v>
      </c>
      <c r="Z1311" s="18">
        <v>0.17537</v>
      </c>
      <c r="AA1311" s="18">
        <v>0.25688</v>
      </c>
      <c r="AB1311" s="18">
        <v>0.45694999999999997</v>
      </c>
      <c r="AC1311" s="18">
        <v>0.14079</v>
      </c>
      <c r="AD1311" s="18">
        <v>0.74099999999999999</v>
      </c>
    </row>
    <row r="1312" spans="2:30" x14ac:dyDescent="0.25">
      <c r="B1312" t="s">
        <v>269</v>
      </c>
      <c r="C1312" t="s">
        <v>570</v>
      </c>
      <c r="D1312" t="s">
        <v>752</v>
      </c>
      <c r="E1312" s="35">
        <v>0.9</v>
      </c>
      <c r="F1312" s="35">
        <v>6.6</v>
      </c>
      <c r="G1312" s="36">
        <v>2.47E-3</v>
      </c>
      <c r="H1312" s="18">
        <v>4.4452980000000002</v>
      </c>
      <c r="I1312" s="16" t="s">
        <v>746</v>
      </c>
      <c r="J1312" s="16"/>
      <c r="K1312" s="16"/>
      <c r="L1312" s="37"/>
      <c r="M1312" s="37"/>
      <c r="N1312" s="37"/>
      <c r="O1312" s="37"/>
      <c r="P1312" s="37"/>
      <c r="Q1312" s="18">
        <v>2.717E-2</v>
      </c>
      <c r="R1312" s="18">
        <v>1.8525E-4</v>
      </c>
      <c r="S1312" s="18">
        <v>5.1869999999999999E-2</v>
      </c>
      <c r="T1312" s="18">
        <v>0.2223</v>
      </c>
      <c r="U1312" s="18">
        <v>0.11115</v>
      </c>
      <c r="V1312" s="18">
        <v>1.42272</v>
      </c>
      <c r="W1312" s="18">
        <v>1.3338000000000001</v>
      </c>
      <c r="X1312" s="18">
        <v>0.88919999999999999</v>
      </c>
      <c r="Y1312" s="18">
        <v>3.952E-2</v>
      </c>
      <c r="Z1312" s="18">
        <v>0.17537</v>
      </c>
      <c r="AA1312" s="18">
        <v>0.25688</v>
      </c>
      <c r="AB1312" s="18">
        <v>0.45694999999999997</v>
      </c>
      <c r="AC1312" s="18">
        <v>0.14079</v>
      </c>
      <c r="AD1312" s="18">
        <v>0.74099999999999999</v>
      </c>
    </row>
    <row r="1313" spans="2:30" x14ac:dyDescent="0.25">
      <c r="B1313" t="s">
        <v>269</v>
      </c>
      <c r="C1313" t="s">
        <v>570</v>
      </c>
      <c r="D1313" t="s">
        <v>752</v>
      </c>
      <c r="E1313" s="35">
        <v>0.9</v>
      </c>
      <c r="F1313" s="35">
        <v>6.6</v>
      </c>
      <c r="G1313" s="36">
        <v>2.47E-3</v>
      </c>
      <c r="H1313" s="18">
        <v>4.4452980000000002</v>
      </c>
      <c r="I1313" s="16" t="s">
        <v>746</v>
      </c>
      <c r="J1313" s="16"/>
      <c r="K1313" s="16"/>
      <c r="L1313" s="37"/>
      <c r="M1313" s="37"/>
      <c r="N1313" s="37"/>
      <c r="O1313" s="37"/>
      <c r="P1313" s="37"/>
      <c r="Q1313" s="18">
        <v>2.717E-2</v>
      </c>
      <c r="R1313" s="18">
        <v>1.8525E-4</v>
      </c>
      <c r="S1313" s="18">
        <v>5.1869999999999999E-2</v>
      </c>
      <c r="T1313" s="18">
        <v>0.2223</v>
      </c>
      <c r="U1313" s="18">
        <v>0.11115</v>
      </c>
      <c r="V1313" s="18">
        <v>1.42272</v>
      </c>
      <c r="W1313" s="18">
        <v>1.3338000000000001</v>
      </c>
      <c r="X1313" s="18">
        <v>0.88919999999999999</v>
      </c>
      <c r="Y1313" s="18">
        <v>3.952E-2</v>
      </c>
      <c r="Z1313" s="18">
        <v>0.17537</v>
      </c>
      <c r="AA1313" s="18">
        <v>0.25688</v>
      </c>
      <c r="AB1313" s="18">
        <v>0.45694999999999997</v>
      </c>
      <c r="AC1313" s="18">
        <v>0.14079</v>
      </c>
      <c r="AD1313" s="18">
        <v>0.74099999999999999</v>
      </c>
    </row>
    <row r="1314" spans="2:30" x14ac:dyDescent="0.25">
      <c r="B1314" t="s">
        <v>269</v>
      </c>
      <c r="C1314" t="s">
        <v>570</v>
      </c>
      <c r="D1314" t="s">
        <v>752</v>
      </c>
      <c r="E1314" s="35">
        <v>0.9</v>
      </c>
      <c r="F1314" s="35">
        <v>6.6</v>
      </c>
      <c r="G1314" s="36">
        <v>2.47E-3</v>
      </c>
      <c r="H1314" s="18">
        <v>4.4452980000000002</v>
      </c>
      <c r="I1314" s="16" t="s">
        <v>746</v>
      </c>
      <c r="J1314" s="16"/>
      <c r="K1314" s="16"/>
      <c r="L1314" s="37"/>
      <c r="M1314" s="37"/>
      <c r="N1314" s="37"/>
      <c r="O1314" s="37"/>
      <c r="P1314" s="37"/>
      <c r="Q1314" s="18">
        <v>2.717E-2</v>
      </c>
      <c r="R1314" s="18">
        <v>1.8525E-4</v>
      </c>
      <c r="S1314" s="18">
        <v>5.1869999999999999E-2</v>
      </c>
      <c r="T1314" s="18">
        <v>0.2223</v>
      </c>
      <c r="U1314" s="18">
        <v>0.11115</v>
      </c>
      <c r="V1314" s="18">
        <v>1.42272</v>
      </c>
      <c r="W1314" s="18">
        <v>1.3338000000000001</v>
      </c>
      <c r="X1314" s="18">
        <v>0.88919999999999999</v>
      </c>
      <c r="Y1314" s="18">
        <v>3.952E-2</v>
      </c>
      <c r="Z1314" s="18">
        <v>0.17537</v>
      </c>
      <c r="AA1314" s="18">
        <v>0.25688</v>
      </c>
      <c r="AB1314" s="18">
        <v>0.45694999999999997</v>
      </c>
      <c r="AC1314" s="18">
        <v>0.14079</v>
      </c>
      <c r="AD1314" s="18">
        <v>0.74099999999999999</v>
      </c>
    </row>
    <row r="1315" spans="2:30" x14ac:dyDescent="0.25">
      <c r="B1315" t="s">
        <v>269</v>
      </c>
      <c r="C1315" t="s">
        <v>463</v>
      </c>
      <c r="D1315" t="s">
        <v>747</v>
      </c>
      <c r="E1315" s="35">
        <v>0.9</v>
      </c>
      <c r="F1315" s="35">
        <v>6.6</v>
      </c>
      <c r="G1315" s="36">
        <v>4.9449999999999997E-3</v>
      </c>
      <c r="H1315" s="18">
        <v>8.9002979999999994</v>
      </c>
      <c r="I1315" s="16" t="s">
        <v>746</v>
      </c>
      <c r="J1315" s="16"/>
      <c r="K1315" s="16"/>
      <c r="L1315" s="37"/>
      <c r="M1315" s="37"/>
      <c r="N1315" s="37"/>
      <c r="O1315" s="37"/>
      <c r="P1315" s="37"/>
      <c r="Q1315" s="18">
        <v>5.4394999999999999E-2</v>
      </c>
      <c r="R1315" s="18">
        <v>3.7087499999999995E-4</v>
      </c>
      <c r="S1315" s="18">
        <v>0.10384499999999999</v>
      </c>
      <c r="T1315" s="18">
        <v>0.44505</v>
      </c>
      <c r="U1315" s="18">
        <v>0.222525</v>
      </c>
      <c r="V1315" s="18">
        <v>2.8483199999999997</v>
      </c>
      <c r="W1315" s="18">
        <v>2.6702999999999997</v>
      </c>
      <c r="X1315" s="18">
        <v>1.7802</v>
      </c>
      <c r="Y1315" s="18">
        <v>7.9119999999999996E-2</v>
      </c>
      <c r="Z1315" s="18">
        <v>0.35109499999999999</v>
      </c>
      <c r="AA1315" s="18">
        <v>0.51427999999999996</v>
      </c>
      <c r="AB1315" s="18">
        <v>0.914825</v>
      </c>
      <c r="AC1315" s="18">
        <v>0.28186499999999998</v>
      </c>
      <c r="AD1315" s="18">
        <v>1.4834999999999998</v>
      </c>
    </row>
    <row r="1316" spans="2:30" x14ac:dyDescent="0.25">
      <c r="B1316" t="s">
        <v>269</v>
      </c>
      <c r="C1316" t="s">
        <v>463</v>
      </c>
      <c r="D1316" t="s">
        <v>748</v>
      </c>
      <c r="E1316" s="35">
        <v>0.9</v>
      </c>
      <c r="F1316" s="35">
        <v>6.6</v>
      </c>
      <c r="G1316" s="36">
        <v>4.1200000000000004E-3</v>
      </c>
      <c r="H1316" s="18">
        <v>7.4152979999999999</v>
      </c>
      <c r="I1316" s="16" t="s">
        <v>746</v>
      </c>
      <c r="J1316" s="16"/>
      <c r="K1316" s="16"/>
      <c r="L1316" s="37"/>
      <c r="M1316" s="37"/>
      <c r="N1316" s="37"/>
      <c r="O1316" s="37"/>
      <c r="P1316" s="37"/>
      <c r="Q1316" s="18">
        <v>4.5320000000000006E-2</v>
      </c>
      <c r="R1316" s="18">
        <v>3.0900000000000003E-4</v>
      </c>
      <c r="S1316" s="18">
        <v>8.6520000000000014E-2</v>
      </c>
      <c r="T1316" s="18">
        <v>0.37080000000000002</v>
      </c>
      <c r="U1316" s="18">
        <v>0.18540000000000001</v>
      </c>
      <c r="V1316" s="18">
        <v>2.3731200000000001</v>
      </c>
      <c r="W1316" s="18">
        <v>2.2248000000000001</v>
      </c>
      <c r="X1316" s="18">
        <v>1.4832000000000001</v>
      </c>
      <c r="Y1316" s="18">
        <v>6.5920000000000006E-2</v>
      </c>
      <c r="Z1316" s="18">
        <v>0.29252</v>
      </c>
      <c r="AA1316" s="18">
        <v>0.42848000000000003</v>
      </c>
      <c r="AB1316" s="18">
        <v>0.7622000000000001</v>
      </c>
      <c r="AC1316" s="18">
        <v>0.23484000000000002</v>
      </c>
      <c r="AD1316" s="18">
        <v>1.2360000000000002</v>
      </c>
    </row>
    <row r="1317" spans="2:30" x14ac:dyDescent="0.25">
      <c r="B1317" t="s">
        <v>269</v>
      </c>
      <c r="C1317" t="s">
        <v>463</v>
      </c>
      <c r="D1317" t="s">
        <v>747</v>
      </c>
      <c r="E1317" s="35">
        <v>0.9</v>
      </c>
      <c r="F1317" s="35">
        <v>6.6</v>
      </c>
      <c r="G1317" s="36">
        <v>4.9449999999999997E-3</v>
      </c>
      <c r="H1317" s="18">
        <v>8.9002979999999994</v>
      </c>
      <c r="I1317" s="16" t="s">
        <v>746</v>
      </c>
      <c r="J1317" s="16"/>
      <c r="K1317" s="16"/>
      <c r="L1317" s="37"/>
      <c r="M1317" s="37"/>
      <c r="N1317" s="37"/>
      <c r="O1317" s="37"/>
      <c r="P1317" s="37"/>
      <c r="Q1317" s="18">
        <v>5.4394999999999999E-2</v>
      </c>
      <c r="R1317" s="18">
        <v>3.7087499999999995E-4</v>
      </c>
      <c r="S1317" s="18">
        <v>0.10384499999999999</v>
      </c>
      <c r="T1317" s="18">
        <v>0.44505</v>
      </c>
      <c r="U1317" s="18">
        <v>0.222525</v>
      </c>
      <c r="V1317" s="18">
        <v>2.8483199999999997</v>
      </c>
      <c r="W1317" s="18">
        <v>2.6702999999999997</v>
      </c>
      <c r="X1317" s="18">
        <v>1.7802</v>
      </c>
      <c r="Y1317" s="18">
        <v>7.9119999999999996E-2</v>
      </c>
      <c r="Z1317" s="18">
        <v>0.35109499999999999</v>
      </c>
      <c r="AA1317" s="18">
        <v>0.51427999999999996</v>
      </c>
      <c r="AB1317" s="18">
        <v>0.914825</v>
      </c>
      <c r="AC1317" s="18">
        <v>0.28186499999999998</v>
      </c>
      <c r="AD1317" s="18">
        <v>1.4834999999999998</v>
      </c>
    </row>
    <row r="1318" spans="2:30" x14ac:dyDescent="0.25">
      <c r="B1318" t="s">
        <v>269</v>
      </c>
      <c r="C1318" t="s">
        <v>463</v>
      </c>
      <c r="D1318" t="s">
        <v>748</v>
      </c>
      <c r="E1318" s="35">
        <v>0.9</v>
      </c>
      <c r="F1318" s="35">
        <v>6.6</v>
      </c>
      <c r="G1318" s="36">
        <v>4.1200000000000004E-3</v>
      </c>
      <c r="H1318" s="18">
        <v>7.4152979999999999</v>
      </c>
      <c r="I1318" s="16" t="s">
        <v>746</v>
      </c>
      <c r="J1318" s="16"/>
      <c r="K1318" s="16"/>
      <c r="L1318" s="37"/>
      <c r="M1318" s="37"/>
      <c r="N1318" s="37"/>
      <c r="O1318" s="37"/>
      <c r="P1318" s="37"/>
      <c r="Q1318" s="18">
        <v>4.5320000000000006E-2</v>
      </c>
      <c r="R1318" s="18">
        <v>3.0900000000000003E-4</v>
      </c>
      <c r="S1318" s="18">
        <v>8.6520000000000014E-2</v>
      </c>
      <c r="T1318" s="18">
        <v>0.37080000000000002</v>
      </c>
      <c r="U1318" s="18">
        <v>0.18540000000000001</v>
      </c>
      <c r="V1318" s="18">
        <v>2.3731200000000001</v>
      </c>
      <c r="W1318" s="18">
        <v>2.2248000000000001</v>
      </c>
      <c r="X1318" s="18">
        <v>1.4832000000000001</v>
      </c>
      <c r="Y1318" s="18">
        <v>6.5920000000000006E-2</v>
      </c>
      <c r="Z1318" s="18">
        <v>0.29252</v>
      </c>
      <c r="AA1318" s="18">
        <v>0.42848000000000003</v>
      </c>
      <c r="AB1318" s="18">
        <v>0.7622000000000001</v>
      </c>
      <c r="AC1318" s="18">
        <v>0.23484000000000002</v>
      </c>
      <c r="AD1318" s="18">
        <v>1.2360000000000002</v>
      </c>
    </row>
    <row r="1319" spans="2:30" x14ac:dyDescent="0.25">
      <c r="B1319" t="s">
        <v>269</v>
      </c>
      <c r="C1319" t="s">
        <v>463</v>
      </c>
      <c r="D1319" t="s">
        <v>748</v>
      </c>
      <c r="E1319" s="35">
        <v>0.9</v>
      </c>
      <c r="F1319" s="35">
        <v>6.6</v>
      </c>
      <c r="G1319" s="36">
        <v>4.1200000000000004E-3</v>
      </c>
      <c r="H1319" s="18">
        <v>7.4152979999999999</v>
      </c>
      <c r="I1319" s="16" t="s">
        <v>746</v>
      </c>
      <c r="J1319" s="16"/>
      <c r="K1319" s="16"/>
      <c r="L1319" s="37"/>
      <c r="M1319" s="37"/>
      <c r="N1319" s="37"/>
      <c r="O1319" s="37"/>
      <c r="P1319" s="37"/>
      <c r="Q1319" s="18">
        <v>4.5320000000000006E-2</v>
      </c>
      <c r="R1319" s="18">
        <v>3.0900000000000003E-4</v>
      </c>
      <c r="S1319" s="18">
        <v>8.6520000000000014E-2</v>
      </c>
      <c r="T1319" s="18">
        <v>0.37080000000000002</v>
      </c>
      <c r="U1319" s="18">
        <v>0.18540000000000001</v>
      </c>
      <c r="V1319" s="18">
        <v>2.3731200000000001</v>
      </c>
      <c r="W1319" s="18">
        <v>2.2248000000000001</v>
      </c>
      <c r="X1319" s="18">
        <v>1.4832000000000001</v>
      </c>
      <c r="Y1319" s="18">
        <v>6.5920000000000006E-2</v>
      </c>
      <c r="Z1319" s="18">
        <v>0.29252</v>
      </c>
      <c r="AA1319" s="18">
        <v>0.42848000000000003</v>
      </c>
      <c r="AB1319" s="18">
        <v>0.7622000000000001</v>
      </c>
      <c r="AC1319" s="18">
        <v>0.23484000000000002</v>
      </c>
      <c r="AD1319" s="18">
        <v>1.2360000000000002</v>
      </c>
    </row>
    <row r="1320" spans="2:30" x14ac:dyDescent="0.25">
      <c r="B1320" t="s">
        <v>269</v>
      </c>
      <c r="C1320" t="s">
        <v>463</v>
      </c>
      <c r="D1320" t="s">
        <v>747</v>
      </c>
      <c r="E1320" s="35">
        <v>0.9</v>
      </c>
      <c r="F1320" s="35">
        <v>6.6</v>
      </c>
      <c r="G1320" s="36">
        <v>4.9449999999999997E-3</v>
      </c>
      <c r="H1320" s="18">
        <v>8.9002979999999994</v>
      </c>
      <c r="I1320" s="16" t="s">
        <v>746</v>
      </c>
      <c r="J1320" s="16"/>
      <c r="K1320" s="16"/>
      <c r="L1320" s="37"/>
      <c r="M1320" s="37"/>
      <c r="N1320" s="37"/>
      <c r="O1320" s="37"/>
      <c r="P1320" s="37"/>
      <c r="Q1320" s="18">
        <v>5.4394999999999999E-2</v>
      </c>
      <c r="R1320" s="18">
        <v>3.7087499999999995E-4</v>
      </c>
      <c r="S1320" s="18">
        <v>0.10384499999999999</v>
      </c>
      <c r="T1320" s="18">
        <v>0.44505</v>
      </c>
      <c r="U1320" s="18">
        <v>0.222525</v>
      </c>
      <c r="V1320" s="18">
        <v>2.8483199999999997</v>
      </c>
      <c r="W1320" s="18">
        <v>2.6702999999999997</v>
      </c>
      <c r="X1320" s="18">
        <v>1.7802</v>
      </c>
      <c r="Y1320" s="18">
        <v>7.9119999999999996E-2</v>
      </c>
      <c r="Z1320" s="18">
        <v>0.35109499999999999</v>
      </c>
      <c r="AA1320" s="18">
        <v>0.51427999999999996</v>
      </c>
      <c r="AB1320" s="18">
        <v>0.914825</v>
      </c>
      <c r="AC1320" s="18">
        <v>0.28186499999999998</v>
      </c>
      <c r="AD1320" s="18">
        <v>1.4834999999999998</v>
      </c>
    </row>
    <row r="1321" spans="2:30" x14ac:dyDescent="0.25">
      <c r="B1321" t="s">
        <v>269</v>
      </c>
      <c r="C1321" t="s">
        <v>463</v>
      </c>
      <c r="D1321" t="s">
        <v>747</v>
      </c>
      <c r="E1321" s="35">
        <v>0.9</v>
      </c>
      <c r="F1321" s="35">
        <v>6.6</v>
      </c>
      <c r="G1321" s="36">
        <v>4.9449999999999997E-3</v>
      </c>
      <c r="H1321" s="18">
        <v>8.9002979999999994</v>
      </c>
      <c r="I1321" s="16" t="s">
        <v>746</v>
      </c>
      <c r="J1321" s="16"/>
      <c r="K1321" s="16"/>
      <c r="L1321" s="37"/>
      <c r="M1321" s="37"/>
      <c r="N1321" s="37"/>
      <c r="O1321" s="37"/>
      <c r="P1321" s="37"/>
      <c r="Q1321" s="18">
        <v>5.4394999999999999E-2</v>
      </c>
      <c r="R1321" s="18">
        <v>3.7087499999999995E-4</v>
      </c>
      <c r="S1321" s="18">
        <v>0.10384499999999999</v>
      </c>
      <c r="T1321" s="18">
        <v>0.44505</v>
      </c>
      <c r="U1321" s="18">
        <v>0.222525</v>
      </c>
      <c r="V1321" s="18">
        <v>2.8483199999999997</v>
      </c>
      <c r="W1321" s="18">
        <v>2.6702999999999997</v>
      </c>
      <c r="X1321" s="18">
        <v>1.7802</v>
      </c>
      <c r="Y1321" s="18">
        <v>7.9119999999999996E-2</v>
      </c>
      <c r="Z1321" s="18">
        <v>0.35109499999999999</v>
      </c>
      <c r="AA1321" s="18">
        <v>0.51427999999999996</v>
      </c>
      <c r="AB1321" s="18">
        <v>0.914825</v>
      </c>
      <c r="AC1321" s="18">
        <v>0.28186499999999998</v>
      </c>
      <c r="AD1321" s="18">
        <v>1.4834999999999998</v>
      </c>
    </row>
    <row r="1322" spans="2:30" x14ac:dyDescent="0.25">
      <c r="B1322" t="s">
        <v>269</v>
      </c>
      <c r="C1322" t="s">
        <v>463</v>
      </c>
      <c r="D1322" t="s">
        <v>748</v>
      </c>
      <c r="E1322" s="35">
        <v>0.9</v>
      </c>
      <c r="F1322" s="35">
        <v>6.6</v>
      </c>
      <c r="G1322" s="36">
        <v>4.1200000000000004E-3</v>
      </c>
      <c r="H1322" s="18">
        <v>7.4152979999999999</v>
      </c>
      <c r="I1322" s="16" t="s">
        <v>746</v>
      </c>
      <c r="J1322" s="16"/>
      <c r="K1322" s="16"/>
      <c r="L1322" s="37"/>
      <c r="M1322" s="37"/>
      <c r="N1322" s="37"/>
      <c r="O1322" s="37"/>
      <c r="P1322" s="37"/>
      <c r="Q1322" s="18">
        <v>4.5320000000000006E-2</v>
      </c>
      <c r="R1322" s="18">
        <v>3.0900000000000003E-4</v>
      </c>
      <c r="S1322" s="18">
        <v>8.6520000000000014E-2</v>
      </c>
      <c r="T1322" s="18">
        <v>0.37080000000000002</v>
      </c>
      <c r="U1322" s="18">
        <v>0.18540000000000001</v>
      </c>
      <c r="V1322" s="18">
        <v>2.3731200000000001</v>
      </c>
      <c r="W1322" s="18">
        <v>2.2248000000000001</v>
      </c>
      <c r="X1322" s="18">
        <v>1.4832000000000001</v>
      </c>
      <c r="Y1322" s="18">
        <v>6.5920000000000006E-2</v>
      </c>
      <c r="Z1322" s="18">
        <v>0.29252</v>
      </c>
      <c r="AA1322" s="18">
        <v>0.42848000000000003</v>
      </c>
      <c r="AB1322" s="18">
        <v>0.7622000000000001</v>
      </c>
      <c r="AC1322" s="18">
        <v>0.23484000000000002</v>
      </c>
      <c r="AD1322" s="18">
        <v>1.2360000000000002</v>
      </c>
    </row>
    <row r="1323" spans="2:30" x14ac:dyDescent="0.25">
      <c r="B1323" t="s">
        <v>269</v>
      </c>
      <c r="C1323" t="s">
        <v>463</v>
      </c>
      <c r="D1323" t="s">
        <v>748</v>
      </c>
      <c r="E1323" s="35">
        <v>0.9</v>
      </c>
      <c r="F1323" s="35">
        <v>6.6</v>
      </c>
      <c r="G1323" s="36">
        <v>4.1200000000000004E-3</v>
      </c>
      <c r="H1323" s="18">
        <v>7.4152979999999999</v>
      </c>
      <c r="I1323" s="16" t="s">
        <v>746</v>
      </c>
      <c r="J1323" s="16"/>
      <c r="K1323" s="16"/>
      <c r="L1323" s="37"/>
      <c r="M1323" s="37"/>
      <c r="N1323" s="37"/>
      <c r="O1323" s="37"/>
      <c r="P1323" s="37"/>
      <c r="Q1323" s="18">
        <v>4.5320000000000006E-2</v>
      </c>
      <c r="R1323" s="18">
        <v>3.0900000000000003E-4</v>
      </c>
      <c r="S1323" s="18">
        <v>8.6520000000000014E-2</v>
      </c>
      <c r="T1323" s="18">
        <v>0.37080000000000002</v>
      </c>
      <c r="U1323" s="18">
        <v>0.18540000000000001</v>
      </c>
      <c r="V1323" s="18">
        <v>2.3731200000000001</v>
      </c>
      <c r="W1323" s="18">
        <v>2.2248000000000001</v>
      </c>
      <c r="X1323" s="18">
        <v>1.4832000000000001</v>
      </c>
      <c r="Y1323" s="18">
        <v>6.5920000000000006E-2</v>
      </c>
      <c r="Z1323" s="18">
        <v>0.29252</v>
      </c>
      <c r="AA1323" s="18">
        <v>0.42848000000000003</v>
      </c>
      <c r="AB1323" s="18">
        <v>0.7622000000000001</v>
      </c>
      <c r="AC1323" s="18">
        <v>0.23484000000000002</v>
      </c>
      <c r="AD1323" s="18">
        <v>1.2360000000000002</v>
      </c>
    </row>
    <row r="1324" spans="2:30" x14ac:dyDescent="0.25">
      <c r="B1324" t="s">
        <v>269</v>
      </c>
      <c r="C1324" t="s">
        <v>463</v>
      </c>
      <c r="D1324" t="s">
        <v>750</v>
      </c>
      <c r="E1324" s="35">
        <v>0.9</v>
      </c>
      <c r="F1324" s="35">
        <v>6.6</v>
      </c>
      <c r="G1324" s="36">
        <v>3.0200000000000001E-3</v>
      </c>
      <c r="H1324" s="18">
        <v>5.4352980000000004</v>
      </c>
      <c r="I1324" s="16" t="s">
        <v>746</v>
      </c>
      <c r="J1324" s="16"/>
      <c r="K1324" s="16"/>
      <c r="L1324" s="37"/>
      <c r="M1324" s="37"/>
      <c r="N1324" s="37"/>
      <c r="O1324" s="37"/>
      <c r="P1324" s="37"/>
      <c r="Q1324" s="18">
        <v>3.322E-2</v>
      </c>
      <c r="R1324" s="18">
        <v>2.265E-4</v>
      </c>
      <c r="S1324" s="18">
        <v>6.3420000000000004E-2</v>
      </c>
      <c r="T1324" s="18">
        <v>0.27179999999999999</v>
      </c>
      <c r="U1324" s="18">
        <v>0.13589999999999999</v>
      </c>
      <c r="V1324" s="18">
        <v>1.7395200000000002</v>
      </c>
      <c r="W1324" s="18">
        <v>1.6308</v>
      </c>
      <c r="X1324" s="18">
        <v>1.0871999999999999</v>
      </c>
      <c r="Y1324" s="18">
        <v>4.8320000000000002E-2</v>
      </c>
      <c r="Z1324" s="18">
        <v>0.21442</v>
      </c>
      <c r="AA1324" s="18">
        <v>0.31408000000000003</v>
      </c>
      <c r="AB1324" s="18">
        <v>0.55869999999999997</v>
      </c>
      <c r="AC1324" s="18">
        <v>0.17214000000000002</v>
      </c>
      <c r="AD1324" s="18">
        <v>0.90600000000000003</v>
      </c>
    </row>
    <row r="1325" spans="2:30" x14ac:dyDescent="0.25">
      <c r="B1325" t="s">
        <v>269</v>
      </c>
      <c r="C1325" t="s">
        <v>463</v>
      </c>
      <c r="D1325" t="s">
        <v>750</v>
      </c>
      <c r="E1325" s="35">
        <v>0.9</v>
      </c>
      <c r="F1325" s="35">
        <v>6.6</v>
      </c>
      <c r="G1325" s="36">
        <v>3.0200000000000001E-3</v>
      </c>
      <c r="H1325" s="18">
        <v>5.4352980000000004</v>
      </c>
      <c r="I1325" s="16" t="s">
        <v>746</v>
      </c>
      <c r="J1325" s="16"/>
      <c r="K1325" s="16"/>
      <c r="L1325" s="37"/>
      <c r="M1325" s="37"/>
      <c r="N1325" s="37"/>
      <c r="O1325" s="37"/>
      <c r="P1325" s="37"/>
      <c r="Q1325" s="18">
        <v>3.322E-2</v>
      </c>
      <c r="R1325" s="18">
        <v>2.265E-4</v>
      </c>
      <c r="S1325" s="18">
        <v>6.3420000000000004E-2</v>
      </c>
      <c r="T1325" s="18">
        <v>0.27179999999999999</v>
      </c>
      <c r="U1325" s="18">
        <v>0.13589999999999999</v>
      </c>
      <c r="V1325" s="18">
        <v>1.7395200000000002</v>
      </c>
      <c r="W1325" s="18">
        <v>1.6308</v>
      </c>
      <c r="X1325" s="18">
        <v>1.0871999999999999</v>
      </c>
      <c r="Y1325" s="18">
        <v>4.8320000000000002E-2</v>
      </c>
      <c r="Z1325" s="18">
        <v>0.21442</v>
      </c>
      <c r="AA1325" s="18">
        <v>0.31408000000000003</v>
      </c>
      <c r="AB1325" s="18">
        <v>0.55869999999999997</v>
      </c>
      <c r="AC1325" s="18">
        <v>0.17214000000000002</v>
      </c>
      <c r="AD1325" s="18">
        <v>0.90600000000000003</v>
      </c>
    </row>
    <row r="1326" spans="2:30" x14ac:dyDescent="0.25">
      <c r="B1326" t="s">
        <v>269</v>
      </c>
      <c r="C1326" t="s">
        <v>463</v>
      </c>
      <c r="D1326" t="s">
        <v>747</v>
      </c>
      <c r="E1326" s="35">
        <v>0.9</v>
      </c>
      <c r="F1326" s="35">
        <v>6.6</v>
      </c>
      <c r="G1326" s="36">
        <v>4.9449999999999997E-3</v>
      </c>
      <c r="H1326" s="18">
        <v>8.9002979999999994</v>
      </c>
      <c r="I1326" s="16" t="s">
        <v>746</v>
      </c>
      <c r="J1326" s="16"/>
      <c r="K1326" s="16"/>
      <c r="L1326" s="37"/>
      <c r="M1326" s="37"/>
      <c r="N1326" s="37"/>
      <c r="O1326" s="37"/>
      <c r="P1326" s="37"/>
      <c r="Q1326" s="18">
        <v>5.4394999999999999E-2</v>
      </c>
      <c r="R1326" s="18">
        <v>3.7087499999999995E-4</v>
      </c>
      <c r="S1326" s="18">
        <v>0.10384499999999999</v>
      </c>
      <c r="T1326" s="18">
        <v>0.44505</v>
      </c>
      <c r="U1326" s="18">
        <v>0.222525</v>
      </c>
      <c r="V1326" s="18">
        <v>2.8483199999999997</v>
      </c>
      <c r="W1326" s="18">
        <v>2.6702999999999997</v>
      </c>
      <c r="X1326" s="18">
        <v>1.7802</v>
      </c>
      <c r="Y1326" s="18">
        <v>7.9119999999999996E-2</v>
      </c>
      <c r="Z1326" s="18">
        <v>0.35109499999999999</v>
      </c>
      <c r="AA1326" s="18">
        <v>0.51427999999999996</v>
      </c>
      <c r="AB1326" s="18">
        <v>0.914825</v>
      </c>
      <c r="AC1326" s="18">
        <v>0.28186499999999998</v>
      </c>
      <c r="AD1326" s="18">
        <v>1.4834999999999998</v>
      </c>
    </row>
    <row r="1327" spans="2:30" x14ac:dyDescent="0.25">
      <c r="B1327" t="s">
        <v>269</v>
      </c>
      <c r="C1327" t="s">
        <v>463</v>
      </c>
      <c r="D1327" t="s">
        <v>748</v>
      </c>
      <c r="E1327" s="35">
        <v>0.9</v>
      </c>
      <c r="F1327" s="35">
        <v>6.6</v>
      </c>
      <c r="G1327" s="36">
        <v>4.1200000000000004E-3</v>
      </c>
      <c r="H1327" s="18">
        <v>7.4152979999999999</v>
      </c>
      <c r="I1327" s="16" t="s">
        <v>746</v>
      </c>
      <c r="J1327" s="16"/>
      <c r="K1327" s="16"/>
      <c r="L1327" s="37"/>
      <c r="M1327" s="37"/>
      <c r="N1327" s="37"/>
      <c r="O1327" s="37"/>
      <c r="P1327" s="37"/>
      <c r="Q1327" s="18">
        <v>4.5320000000000006E-2</v>
      </c>
      <c r="R1327" s="18">
        <v>3.0900000000000003E-4</v>
      </c>
      <c r="S1327" s="18">
        <v>8.6520000000000014E-2</v>
      </c>
      <c r="T1327" s="18">
        <v>0.37080000000000002</v>
      </c>
      <c r="U1327" s="18">
        <v>0.18540000000000001</v>
      </c>
      <c r="V1327" s="18">
        <v>2.3731200000000001</v>
      </c>
      <c r="W1327" s="18">
        <v>2.2248000000000001</v>
      </c>
      <c r="X1327" s="18">
        <v>1.4832000000000001</v>
      </c>
      <c r="Y1327" s="18">
        <v>6.5920000000000006E-2</v>
      </c>
      <c r="Z1327" s="18">
        <v>0.29252</v>
      </c>
      <c r="AA1327" s="18">
        <v>0.42848000000000003</v>
      </c>
      <c r="AB1327" s="18">
        <v>0.7622000000000001</v>
      </c>
      <c r="AC1327" s="18">
        <v>0.23484000000000002</v>
      </c>
      <c r="AD1327" s="18">
        <v>1.2360000000000002</v>
      </c>
    </row>
    <row r="1328" spans="2:30" x14ac:dyDescent="0.25">
      <c r="B1328" t="s">
        <v>269</v>
      </c>
      <c r="C1328" t="s">
        <v>463</v>
      </c>
      <c r="D1328" t="s">
        <v>753</v>
      </c>
      <c r="E1328" s="35">
        <v>0.9</v>
      </c>
      <c r="F1328" s="35">
        <v>6.6</v>
      </c>
      <c r="G1328" s="36">
        <v>5.77E-3</v>
      </c>
      <c r="H1328" s="18">
        <v>10.385298000000001</v>
      </c>
      <c r="I1328" s="16" t="s">
        <v>746</v>
      </c>
      <c r="J1328" s="16"/>
      <c r="K1328" s="16"/>
      <c r="L1328" s="37"/>
      <c r="M1328" s="37"/>
      <c r="N1328" s="37"/>
      <c r="O1328" s="37"/>
      <c r="P1328" s="37"/>
      <c r="Q1328" s="18">
        <v>6.3469999999999999E-2</v>
      </c>
      <c r="R1328" s="18">
        <v>4.3274999999999997E-4</v>
      </c>
      <c r="S1328" s="18">
        <v>0.12117</v>
      </c>
      <c r="T1328" s="18">
        <v>0.51929999999999998</v>
      </c>
      <c r="U1328" s="18">
        <v>0.25964999999999999</v>
      </c>
      <c r="V1328" s="18">
        <v>3.3235199999999998</v>
      </c>
      <c r="W1328" s="18">
        <v>3.1158000000000001</v>
      </c>
      <c r="X1328" s="18">
        <v>2.0771999999999999</v>
      </c>
      <c r="Y1328" s="18">
        <v>9.2319999999999999E-2</v>
      </c>
      <c r="Z1328" s="18">
        <v>0.40966999999999998</v>
      </c>
      <c r="AA1328" s="18">
        <v>0.60007999999999995</v>
      </c>
      <c r="AB1328" s="18">
        <v>1.06745</v>
      </c>
      <c r="AC1328" s="18">
        <v>0.32889000000000002</v>
      </c>
      <c r="AD1328" s="18">
        <v>1.7310000000000001</v>
      </c>
    </row>
    <row r="1329" spans="2:30" x14ac:dyDescent="0.25">
      <c r="B1329" t="s">
        <v>269</v>
      </c>
      <c r="C1329" t="s">
        <v>463</v>
      </c>
      <c r="D1329" t="s">
        <v>753</v>
      </c>
      <c r="E1329" s="35">
        <v>0.9</v>
      </c>
      <c r="F1329" s="35">
        <v>6.6</v>
      </c>
      <c r="G1329" s="36">
        <v>5.77E-3</v>
      </c>
      <c r="H1329" s="18">
        <v>10.385298000000001</v>
      </c>
      <c r="I1329" s="16" t="s">
        <v>746</v>
      </c>
      <c r="J1329" s="16"/>
      <c r="K1329" s="16"/>
      <c r="L1329" s="37"/>
      <c r="M1329" s="37"/>
      <c r="N1329" s="37"/>
      <c r="O1329" s="37"/>
      <c r="P1329" s="37"/>
      <c r="Q1329" s="18">
        <v>6.3469999999999999E-2</v>
      </c>
      <c r="R1329" s="18">
        <v>4.3274999999999997E-4</v>
      </c>
      <c r="S1329" s="18">
        <v>0.12117</v>
      </c>
      <c r="T1329" s="18">
        <v>0.51929999999999998</v>
      </c>
      <c r="U1329" s="18">
        <v>0.25964999999999999</v>
      </c>
      <c r="V1329" s="18">
        <v>3.3235199999999998</v>
      </c>
      <c r="W1329" s="18">
        <v>3.1158000000000001</v>
      </c>
      <c r="X1329" s="18">
        <v>2.0771999999999999</v>
      </c>
      <c r="Y1329" s="18">
        <v>9.2319999999999999E-2</v>
      </c>
      <c r="Z1329" s="18">
        <v>0.40966999999999998</v>
      </c>
      <c r="AA1329" s="18">
        <v>0.60007999999999995</v>
      </c>
      <c r="AB1329" s="18">
        <v>1.06745</v>
      </c>
      <c r="AC1329" s="18">
        <v>0.32889000000000002</v>
      </c>
      <c r="AD1329" s="18">
        <v>1.7310000000000001</v>
      </c>
    </row>
    <row r="1330" spans="2:30" x14ac:dyDescent="0.25">
      <c r="B1330" t="s">
        <v>269</v>
      </c>
      <c r="C1330" t="s">
        <v>463</v>
      </c>
      <c r="D1330" t="s">
        <v>753</v>
      </c>
      <c r="E1330" s="35">
        <v>0.9</v>
      </c>
      <c r="F1330" s="35">
        <v>6.6</v>
      </c>
      <c r="G1330" s="36">
        <v>5.77E-3</v>
      </c>
      <c r="H1330" s="18">
        <v>10.385298000000001</v>
      </c>
      <c r="I1330" s="16" t="s">
        <v>746</v>
      </c>
      <c r="J1330" s="16"/>
      <c r="K1330" s="16"/>
      <c r="L1330" s="37"/>
      <c r="M1330" s="37"/>
      <c r="N1330" s="37"/>
      <c r="O1330" s="37"/>
      <c r="P1330" s="37"/>
      <c r="Q1330" s="18">
        <v>6.3469999999999999E-2</v>
      </c>
      <c r="R1330" s="18">
        <v>4.3274999999999997E-4</v>
      </c>
      <c r="S1330" s="18">
        <v>0.12117</v>
      </c>
      <c r="T1330" s="18">
        <v>0.51929999999999998</v>
      </c>
      <c r="U1330" s="18">
        <v>0.25964999999999999</v>
      </c>
      <c r="V1330" s="18">
        <v>3.3235199999999998</v>
      </c>
      <c r="W1330" s="18">
        <v>3.1158000000000001</v>
      </c>
      <c r="X1330" s="18">
        <v>2.0771999999999999</v>
      </c>
      <c r="Y1330" s="18">
        <v>9.2319999999999999E-2</v>
      </c>
      <c r="Z1330" s="18">
        <v>0.40966999999999998</v>
      </c>
      <c r="AA1330" s="18">
        <v>0.60007999999999995</v>
      </c>
      <c r="AB1330" s="18">
        <v>1.06745</v>
      </c>
      <c r="AC1330" s="18">
        <v>0.32889000000000002</v>
      </c>
      <c r="AD1330" s="18">
        <v>1.7310000000000001</v>
      </c>
    </row>
    <row r="1331" spans="2:30" x14ac:dyDescent="0.25">
      <c r="B1331" t="s">
        <v>269</v>
      </c>
      <c r="C1331" t="s">
        <v>463</v>
      </c>
      <c r="D1331" t="s">
        <v>748</v>
      </c>
      <c r="E1331" s="35">
        <v>0.9</v>
      </c>
      <c r="F1331" s="35">
        <v>6.6</v>
      </c>
      <c r="G1331" s="36">
        <v>4.1200000000000004E-3</v>
      </c>
      <c r="H1331" s="18">
        <v>7.4152979999999999</v>
      </c>
      <c r="I1331" s="16" t="s">
        <v>746</v>
      </c>
      <c r="J1331" s="16"/>
      <c r="K1331" s="16"/>
      <c r="L1331" s="37"/>
      <c r="M1331" s="37"/>
      <c r="N1331" s="37"/>
      <c r="O1331" s="37"/>
      <c r="P1331" s="37"/>
      <c r="Q1331" s="18">
        <v>4.5320000000000006E-2</v>
      </c>
      <c r="R1331" s="18">
        <v>3.0900000000000003E-4</v>
      </c>
      <c r="S1331" s="18">
        <v>8.6520000000000014E-2</v>
      </c>
      <c r="T1331" s="18">
        <v>0.37080000000000002</v>
      </c>
      <c r="U1331" s="18">
        <v>0.18540000000000001</v>
      </c>
      <c r="V1331" s="18">
        <v>2.3731200000000001</v>
      </c>
      <c r="W1331" s="18">
        <v>2.2248000000000001</v>
      </c>
      <c r="X1331" s="18">
        <v>1.4832000000000001</v>
      </c>
      <c r="Y1331" s="18">
        <v>6.5920000000000006E-2</v>
      </c>
      <c r="Z1331" s="18">
        <v>0.29252</v>
      </c>
      <c r="AA1331" s="18">
        <v>0.42848000000000003</v>
      </c>
      <c r="AB1331" s="18">
        <v>0.7622000000000001</v>
      </c>
      <c r="AC1331" s="18">
        <v>0.23484000000000002</v>
      </c>
      <c r="AD1331" s="18">
        <v>1.2360000000000002</v>
      </c>
    </row>
    <row r="1332" spans="2:30" x14ac:dyDescent="0.25">
      <c r="B1332" t="s">
        <v>269</v>
      </c>
      <c r="C1332" t="s">
        <v>463</v>
      </c>
      <c r="D1332" t="s">
        <v>747</v>
      </c>
      <c r="E1332" s="35">
        <v>0.9</v>
      </c>
      <c r="F1332" s="35">
        <v>6.6</v>
      </c>
      <c r="G1332" s="36">
        <v>4.9449999999999997E-3</v>
      </c>
      <c r="H1332" s="18">
        <v>8.9002979999999994</v>
      </c>
      <c r="I1332" s="16" t="s">
        <v>746</v>
      </c>
      <c r="J1332" s="16"/>
      <c r="K1332" s="16"/>
      <c r="L1332" s="37"/>
      <c r="M1332" s="37"/>
      <c r="N1332" s="37"/>
      <c r="O1332" s="37"/>
      <c r="P1332" s="37"/>
      <c r="Q1332" s="18">
        <v>5.4394999999999999E-2</v>
      </c>
      <c r="R1332" s="18">
        <v>3.7087499999999995E-4</v>
      </c>
      <c r="S1332" s="18">
        <v>0.10384499999999999</v>
      </c>
      <c r="T1332" s="18">
        <v>0.44505</v>
      </c>
      <c r="U1332" s="18">
        <v>0.222525</v>
      </c>
      <c r="V1332" s="18">
        <v>2.8483199999999997</v>
      </c>
      <c r="W1332" s="18">
        <v>2.6702999999999997</v>
      </c>
      <c r="X1332" s="18">
        <v>1.7802</v>
      </c>
      <c r="Y1332" s="18">
        <v>7.9119999999999996E-2</v>
      </c>
      <c r="Z1332" s="18">
        <v>0.35109499999999999</v>
      </c>
      <c r="AA1332" s="18">
        <v>0.51427999999999996</v>
      </c>
      <c r="AB1332" s="18">
        <v>0.914825</v>
      </c>
      <c r="AC1332" s="18">
        <v>0.28186499999999998</v>
      </c>
      <c r="AD1332" s="18">
        <v>1.4834999999999998</v>
      </c>
    </row>
    <row r="1333" spans="2:30" x14ac:dyDescent="0.25">
      <c r="B1333" t="s">
        <v>269</v>
      </c>
      <c r="C1333" t="s">
        <v>463</v>
      </c>
      <c r="D1333" t="s">
        <v>753</v>
      </c>
      <c r="E1333" s="35">
        <v>0.9</v>
      </c>
      <c r="F1333" s="35">
        <v>6.6</v>
      </c>
      <c r="G1333" s="36">
        <v>5.77E-3</v>
      </c>
      <c r="H1333" s="18">
        <v>10.385298000000001</v>
      </c>
      <c r="I1333" s="16" t="s">
        <v>746</v>
      </c>
      <c r="J1333" s="16"/>
      <c r="K1333" s="16"/>
      <c r="L1333" s="37"/>
      <c r="M1333" s="37"/>
      <c r="N1333" s="37"/>
      <c r="O1333" s="37"/>
      <c r="P1333" s="37"/>
      <c r="Q1333" s="18">
        <v>6.3469999999999999E-2</v>
      </c>
      <c r="R1333" s="18">
        <v>4.3274999999999997E-4</v>
      </c>
      <c r="S1333" s="18">
        <v>0.12117</v>
      </c>
      <c r="T1333" s="18">
        <v>0.51929999999999998</v>
      </c>
      <c r="U1333" s="18">
        <v>0.25964999999999999</v>
      </c>
      <c r="V1333" s="18">
        <v>3.3235199999999998</v>
      </c>
      <c r="W1333" s="18">
        <v>3.1158000000000001</v>
      </c>
      <c r="X1333" s="18">
        <v>2.0771999999999999</v>
      </c>
      <c r="Y1333" s="18">
        <v>9.2319999999999999E-2</v>
      </c>
      <c r="Z1333" s="18">
        <v>0.40966999999999998</v>
      </c>
      <c r="AA1333" s="18">
        <v>0.60007999999999995</v>
      </c>
      <c r="AB1333" s="18">
        <v>1.06745</v>
      </c>
      <c r="AC1333" s="18">
        <v>0.32889000000000002</v>
      </c>
      <c r="AD1333" s="18">
        <v>1.7310000000000001</v>
      </c>
    </row>
    <row r="1334" spans="2:30" x14ac:dyDescent="0.25">
      <c r="B1334" t="s">
        <v>269</v>
      </c>
      <c r="C1334" t="s">
        <v>463</v>
      </c>
      <c r="D1334" t="s">
        <v>748</v>
      </c>
      <c r="E1334" s="35">
        <v>0.9</v>
      </c>
      <c r="F1334" s="35">
        <v>6.6</v>
      </c>
      <c r="G1334" s="36">
        <v>4.1200000000000004E-3</v>
      </c>
      <c r="H1334" s="18">
        <v>7.4152979999999999</v>
      </c>
      <c r="I1334" s="16" t="s">
        <v>746</v>
      </c>
      <c r="J1334" s="16"/>
      <c r="K1334" s="16"/>
      <c r="L1334" s="37"/>
      <c r="M1334" s="37"/>
      <c r="N1334" s="37"/>
      <c r="O1334" s="37"/>
      <c r="P1334" s="37"/>
      <c r="Q1334" s="18">
        <v>4.5320000000000006E-2</v>
      </c>
      <c r="R1334" s="18">
        <v>3.0900000000000003E-4</v>
      </c>
      <c r="S1334" s="18">
        <v>8.6520000000000014E-2</v>
      </c>
      <c r="T1334" s="18">
        <v>0.37080000000000002</v>
      </c>
      <c r="U1334" s="18">
        <v>0.18540000000000001</v>
      </c>
      <c r="V1334" s="18">
        <v>2.3731200000000001</v>
      </c>
      <c r="W1334" s="18">
        <v>2.2248000000000001</v>
      </c>
      <c r="X1334" s="18">
        <v>1.4832000000000001</v>
      </c>
      <c r="Y1334" s="18">
        <v>6.5920000000000006E-2</v>
      </c>
      <c r="Z1334" s="18">
        <v>0.29252</v>
      </c>
      <c r="AA1334" s="18">
        <v>0.42848000000000003</v>
      </c>
      <c r="AB1334" s="18">
        <v>0.7622000000000001</v>
      </c>
      <c r="AC1334" s="18">
        <v>0.23484000000000002</v>
      </c>
      <c r="AD1334" s="18">
        <v>1.2360000000000002</v>
      </c>
    </row>
    <row r="1335" spans="2:30" x14ac:dyDescent="0.25">
      <c r="B1335" t="s">
        <v>269</v>
      </c>
      <c r="C1335" t="s">
        <v>463</v>
      </c>
      <c r="D1335" t="s">
        <v>748</v>
      </c>
      <c r="E1335" s="35">
        <v>0.9</v>
      </c>
      <c r="F1335" s="35">
        <v>6.6</v>
      </c>
      <c r="G1335" s="36">
        <v>4.1200000000000004E-3</v>
      </c>
      <c r="H1335" s="18">
        <v>7.4152979999999999</v>
      </c>
      <c r="I1335" s="16" t="s">
        <v>746</v>
      </c>
      <c r="J1335" s="16"/>
      <c r="K1335" s="16"/>
      <c r="L1335" s="37"/>
      <c r="M1335" s="37"/>
      <c r="N1335" s="37"/>
      <c r="O1335" s="37"/>
      <c r="P1335" s="37"/>
      <c r="Q1335" s="18">
        <v>4.5320000000000006E-2</v>
      </c>
      <c r="R1335" s="18">
        <v>3.0900000000000003E-4</v>
      </c>
      <c r="S1335" s="18">
        <v>8.6520000000000014E-2</v>
      </c>
      <c r="T1335" s="18">
        <v>0.37080000000000002</v>
      </c>
      <c r="U1335" s="18">
        <v>0.18540000000000001</v>
      </c>
      <c r="V1335" s="18">
        <v>2.3731200000000001</v>
      </c>
      <c r="W1335" s="18">
        <v>2.2248000000000001</v>
      </c>
      <c r="X1335" s="18">
        <v>1.4832000000000001</v>
      </c>
      <c r="Y1335" s="18">
        <v>6.5920000000000006E-2</v>
      </c>
      <c r="Z1335" s="18">
        <v>0.29252</v>
      </c>
      <c r="AA1335" s="18">
        <v>0.42848000000000003</v>
      </c>
      <c r="AB1335" s="18">
        <v>0.7622000000000001</v>
      </c>
      <c r="AC1335" s="18">
        <v>0.23484000000000002</v>
      </c>
      <c r="AD1335" s="18">
        <v>1.2360000000000002</v>
      </c>
    </row>
    <row r="1336" spans="2:30" x14ac:dyDescent="0.25">
      <c r="B1336" t="s">
        <v>269</v>
      </c>
      <c r="C1336" t="s">
        <v>463</v>
      </c>
      <c r="D1336" t="s">
        <v>748</v>
      </c>
      <c r="E1336" s="35">
        <v>0.9</v>
      </c>
      <c r="F1336" s="35">
        <v>6.6</v>
      </c>
      <c r="G1336" s="36">
        <v>4.1200000000000004E-3</v>
      </c>
      <c r="H1336" s="18">
        <v>7.4152979999999999</v>
      </c>
      <c r="I1336" s="16" t="s">
        <v>746</v>
      </c>
      <c r="J1336" s="16"/>
      <c r="K1336" s="16"/>
      <c r="L1336" s="37"/>
      <c r="M1336" s="37"/>
      <c r="N1336" s="37"/>
      <c r="O1336" s="37"/>
      <c r="P1336" s="37"/>
      <c r="Q1336" s="18">
        <v>4.5320000000000006E-2</v>
      </c>
      <c r="R1336" s="18">
        <v>3.0900000000000003E-4</v>
      </c>
      <c r="S1336" s="18">
        <v>8.6520000000000014E-2</v>
      </c>
      <c r="T1336" s="18">
        <v>0.37080000000000002</v>
      </c>
      <c r="U1336" s="18">
        <v>0.18540000000000001</v>
      </c>
      <c r="V1336" s="18">
        <v>2.3731200000000001</v>
      </c>
      <c r="W1336" s="18">
        <v>2.2248000000000001</v>
      </c>
      <c r="X1336" s="18">
        <v>1.4832000000000001</v>
      </c>
      <c r="Y1336" s="18">
        <v>6.5920000000000006E-2</v>
      </c>
      <c r="Z1336" s="18">
        <v>0.29252</v>
      </c>
      <c r="AA1336" s="18">
        <v>0.42848000000000003</v>
      </c>
      <c r="AB1336" s="18">
        <v>0.7622000000000001</v>
      </c>
      <c r="AC1336" s="18">
        <v>0.23484000000000002</v>
      </c>
      <c r="AD1336" s="18">
        <v>1.2360000000000002</v>
      </c>
    </row>
    <row r="1337" spans="2:30" x14ac:dyDescent="0.25">
      <c r="B1337" t="s">
        <v>269</v>
      </c>
      <c r="C1337" t="s">
        <v>463</v>
      </c>
      <c r="D1337" t="s">
        <v>748</v>
      </c>
      <c r="E1337" s="35">
        <v>0.9</v>
      </c>
      <c r="F1337" s="35">
        <v>6.6</v>
      </c>
      <c r="G1337" s="36">
        <v>4.1200000000000004E-3</v>
      </c>
      <c r="H1337" s="18">
        <v>7.4152979999999999</v>
      </c>
      <c r="I1337" s="16" t="s">
        <v>746</v>
      </c>
      <c r="J1337" s="16"/>
      <c r="K1337" s="16"/>
      <c r="L1337" s="37"/>
      <c r="M1337" s="37"/>
      <c r="N1337" s="37"/>
      <c r="O1337" s="37"/>
      <c r="P1337" s="37"/>
      <c r="Q1337" s="18">
        <v>4.5320000000000006E-2</v>
      </c>
      <c r="R1337" s="18">
        <v>3.0900000000000003E-4</v>
      </c>
      <c r="S1337" s="18">
        <v>8.6520000000000014E-2</v>
      </c>
      <c r="T1337" s="18">
        <v>0.37080000000000002</v>
      </c>
      <c r="U1337" s="18">
        <v>0.18540000000000001</v>
      </c>
      <c r="V1337" s="18">
        <v>2.3731200000000001</v>
      </c>
      <c r="W1337" s="18">
        <v>2.2248000000000001</v>
      </c>
      <c r="X1337" s="18">
        <v>1.4832000000000001</v>
      </c>
      <c r="Y1337" s="18">
        <v>6.5920000000000006E-2</v>
      </c>
      <c r="Z1337" s="18">
        <v>0.29252</v>
      </c>
      <c r="AA1337" s="18">
        <v>0.42848000000000003</v>
      </c>
      <c r="AB1337" s="18">
        <v>0.7622000000000001</v>
      </c>
      <c r="AC1337" s="18">
        <v>0.23484000000000002</v>
      </c>
      <c r="AD1337" s="18">
        <v>1.2360000000000002</v>
      </c>
    </row>
    <row r="1338" spans="2:30" x14ac:dyDescent="0.25">
      <c r="B1338" t="s">
        <v>269</v>
      </c>
      <c r="C1338" t="s">
        <v>463</v>
      </c>
      <c r="D1338" t="s">
        <v>748</v>
      </c>
      <c r="E1338" s="35">
        <v>0.9</v>
      </c>
      <c r="F1338" s="35">
        <v>6.6</v>
      </c>
      <c r="G1338" s="36">
        <v>4.1200000000000004E-3</v>
      </c>
      <c r="H1338" s="18">
        <v>7.4152979999999999</v>
      </c>
      <c r="I1338" s="16" t="s">
        <v>746</v>
      </c>
      <c r="J1338" s="16"/>
      <c r="K1338" s="16"/>
      <c r="L1338" s="37"/>
      <c r="M1338" s="37"/>
      <c r="N1338" s="37"/>
      <c r="O1338" s="37"/>
      <c r="P1338" s="37"/>
      <c r="Q1338" s="18">
        <v>4.5320000000000006E-2</v>
      </c>
      <c r="R1338" s="18">
        <v>3.0900000000000003E-4</v>
      </c>
      <c r="S1338" s="18">
        <v>8.6520000000000014E-2</v>
      </c>
      <c r="T1338" s="18">
        <v>0.37080000000000002</v>
      </c>
      <c r="U1338" s="18">
        <v>0.18540000000000001</v>
      </c>
      <c r="V1338" s="18">
        <v>2.3731200000000001</v>
      </c>
      <c r="W1338" s="18">
        <v>2.2248000000000001</v>
      </c>
      <c r="X1338" s="18">
        <v>1.4832000000000001</v>
      </c>
      <c r="Y1338" s="18">
        <v>6.5920000000000006E-2</v>
      </c>
      <c r="Z1338" s="18">
        <v>0.29252</v>
      </c>
      <c r="AA1338" s="18">
        <v>0.42848000000000003</v>
      </c>
      <c r="AB1338" s="18">
        <v>0.7622000000000001</v>
      </c>
      <c r="AC1338" s="18">
        <v>0.23484000000000002</v>
      </c>
      <c r="AD1338" s="18">
        <v>1.2360000000000002</v>
      </c>
    </row>
    <row r="1339" spans="2:30" x14ac:dyDescent="0.25">
      <c r="B1339" t="s">
        <v>269</v>
      </c>
      <c r="C1339" t="s">
        <v>463</v>
      </c>
      <c r="D1339" t="s">
        <v>748</v>
      </c>
      <c r="E1339" s="35">
        <v>0.9</v>
      </c>
      <c r="F1339" s="35">
        <v>6.6</v>
      </c>
      <c r="G1339" s="36">
        <v>4.1200000000000004E-3</v>
      </c>
      <c r="H1339" s="18">
        <v>7.4152979999999999</v>
      </c>
      <c r="I1339" s="16" t="s">
        <v>746</v>
      </c>
      <c r="J1339" s="16"/>
      <c r="K1339" s="16"/>
      <c r="L1339" s="37"/>
      <c r="M1339" s="37"/>
      <c r="N1339" s="37"/>
      <c r="O1339" s="37"/>
      <c r="P1339" s="37"/>
      <c r="Q1339" s="18">
        <v>4.5320000000000006E-2</v>
      </c>
      <c r="R1339" s="18">
        <v>3.0900000000000003E-4</v>
      </c>
      <c r="S1339" s="18">
        <v>8.6520000000000014E-2</v>
      </c>
      <c r="T1339" s="18">
        <v>0.37080000000000002</v>
      </c>
      <c r="U1339" s="18">
        <v>0.18540000000000001</v>
      </c>
      <c r="V1339" s="18">
        <v>2.3731200000000001</v>
      </c>
      <c r="W1339" s="18">
        <v>2.2248000000000001</v>
      </c>
      <c r="X1339" s="18">
        <v>1.4832000000000001</v>
      </c>
      <c r="Y1339" s="18">
        <v>6.5920000000000006E-2</v>
      </c>
      <c r="Z1339" s="18">
        <v>0.29252</v>
      </c>
      <c r="AA1339" s="18">
        <v>0.42848000000000003</v>
      </c>
      <c r="AB1339" s="18">
        <v>0.7622000000000001</v>
      </c>
      <c r="AC1339" s="18">
        <v>0.23484000000000002</v>
      </c>
      <c r="AD1339" s="18">
        <v>1.2360000000000002</v>
      </c>
    </row>
    <row r="1340" spans="2:30" x14ac:dyDescent="0.25">
      <c r="B1340" t="s">
        <v>269</v>
      </c>
      <c r="C1340" t="s">
        <v>463</v>
      </c>
      <c r="D1340" t="s">
        <v>748</v>
      </c>
      <c r="E1340" s="35">
        <v>0.9</v>
      </c>
      <c r="F1340" s="35">
        <v>6.6</v>
      </c>
      <c r="G1340" s="36">
        <v>4.1200000000000004E-3</v>
      </c>
      <c r="H1340" s="18">
        <v>7.4152979999999999</v>
      </c>
      <c r="I1340" s="16" t="s">
        <v>746</v>
      </c>
      <c r="J1340" s="16"/>
      <c r="K1340" s="16"/>
      <c r="L1340" s="37"/>
      <c r="M1340" s="37"/>
      <c r="N1340" s="37"/>
      <c r="O1340" s="37"/>
      <c r="P1340" s="37"/>
      <c r="Q1340" s="18">
        <v>4.5320000000000006E-2</v>
      </c>
      <c r="R1340" s="18">
        <v>3.0900000000000003E-4</v>
      </c>
      <c r="S1340" s="18">
        <v>8.6520000000000014E-2</v>
      </c>
      <c r="T1340" s="18">
        <v>0.37080000000000002</v>
      </c>
      <c r="U1340" s="18">
        <v>0.18540000000000001</v>
      </c>
      <c r="V1340" s="18">
        <v>2.3731200000000001</v>
      </c>
      <c r="W1340" s="18">
        <v>2.2248000000000001</v>
      </c>
      <c r="X1340" s="18">
        <v>1.4832000000000001</v>
      </c>
      <c r="Y1340" s="18">
        <v>6.5920000000000006E-2</v>
      </c>
      <c r="Z1340" s="18">
        <v>0.29252</v>
      </c>
      <c r="AA1340" s="18">
        <v>0.42848000000000003</v>
      </c>
      <c r="AB1340" s="18">
        <v>0.7622000000000001</v>
      </c>
      <c r="AC1340" s="18">
        <v>0.23484000000000002</v>
      </c>
      <c r="AD1340" s="18">
        <v>1.2360000000000002</v>
      </c>
    </row>
    <row r="1341" spans="2:30" x14ac:dyDescent="0.25">
      <c r="B1341" t="s">
        <v>269</v>
      </c>
      <c r="C1341" t="s">
        <v>463</v>
      </c>
      <c r="D1341" t="s">
        <v>748</v>
      </c>
      <c r="E1341" s="35">
        <v>0.9</v>
      </c>
      <c r="F1341" s="35">
        <v>6.6</v>
      </c>
      <c r="G1341" s="36">
        <v>4.1200000000000004E-3</v>
      </c>
      <c r="H1341" s="18">
        <v>7.4152979999999999</v>
      </c>
      <c r="I1341" s="16" t="s">
        <v>746</v>
      </c>
      <c r="J1341" s="16"/>
      <c r="K1341" s="16"/>
      <c r="L1341" s="37"/>
      <c r="M1341" s="37"/>
      <c r="N1341" s="37"/>
      <c r="O1341" s="37"/>
      <c r="P1341" s="37"/>
      <c r="Q1341" s="18">
        <v>4.5320000000000006E-2</v>
      </c>
      <c r="R1341" s="18">
        <v>3.0900000000000003E-4</v>
      </c>
      <c r="S1341" s="18">
        <v>8.6520000000000014E-2</v>
      </c>
      <c r="T1341" s="18">
        <v>0.37080000000000002</v>
      </c>
      <c r="U1341" s="18">
        <v>0.18540000000000001</v>
      </c>
      <c r="V1341" s="18">
        <v>2.3731200000000001</v>
      </c>
      <c r="W1341" s="18">
        <v>2.2248000000000001</v>
      </c>
      <c r="X1341" s="18">
        <v>1.4832000000000001</v>
      </c>
      <c r="Y1341" s="18">
        <v>6.5920000000000006E-2</v>
      </c>
      <c r="Z1341" s="18">
        <v>0.29252</v>
      </c>
      <c r="AA1341" s="18">
        <v>0.42848000000000003</v>
      </c>
      <c r="AB1341" s="18">
        <v>0.7622000000000001</v>
      </c>
      <c r="AC1341" s="18">
        <v>0.23484000000000002</v>
      </c>
      <c r="AD1341" s="18">
        <v>1.2360000000000002</v>
      </c>
    </row>
    <row r="1342" spans="2:30" x14ac:dyDescent="0.25">
      <c r="B1342" t="s">
        <v>269</v>
      </c>
      <c r="C1342" t="s">
        <v>463</v>
      </c>
      <c r="D1342" t="s">
        <v>748</v>
      </c>
      <c r="E1342" s="35">
        <v>0.9</v>
      </c>
      <c r="F1342" s="35">
        <v>6.6</v>
      </c>
      <c r="G1342" s="36">
        <v>4.1200000000000004E-3</v>
      </c>
      <c r="H1342" s="18">
        <v>7.4152979999999999</v>
      </c>
      <c r="I1342" s="16" t="s">
        <v>746</v>
      </c>
      <c r="J1342" s="16"/>
      <c r="K1342" s="16"/>
      <c r="L1342" s="37"/>
      <c r="M1342" s="37"/>
      <c r="N1342" s="37"/>
      <c r="O1342" s="37"/>
      <c r="P1342" s="37"/>
      <c r="Q1342" s="18">
        <v>4.5320000000000006E-2</v>
      </c>
      <c r="R1342" s="18">
        <v>3.0900000000000003E-4</v>
      </c>
      <c r="S1342" s="18">
        <v>8.6520000000000014E-2</v>
      </c>
      <c r="T1342" s="18">
        <v>0.37080000000000002</v>
      </c>
      <c r="U1342" s="18">
        <v>0.18540000000000001</v>
      </c>
      <c r="V1342" s="18">
        <v>2.3731200000000001</v>
      </c>
      <c r="W1342" s="18">
        <v>2.2248000000000001</v>
      </c>
      <c r="X1342" s="18">
        <v>1.4832000000000001</v>
      </c>
      <c r="Y1342" s="18">
        <v>6.5920000000000006E-2</v>
      </c>
      <c r="Z1342" s="18">
        <v>0.29252</v>
      </c>
      <c r="AA1342" s="18">
        <v>0.42848000000000003</v>
      </c>
      <c r="AB1342" s="18">
        <v>0.7622000000000001</v>
      </c>
      <c r="AC1342" s="18">
        <v>0.23484000000000002</v>
      </c>
      <c r="AD1342" s="18">
        <v>1.2360000000000002</v>
      </c>
    </row>
    <row r="1343" spans="2:30" x14ac:dyDescent="0.25">
      <c r="B1343" t="s">
        <v>269</v>
      </c>
      <c r="C1343" t="s">
        <v>570</v>
      </c>
      <c r="D1343" t="s">
        <v>749</v>
      </c>
      <c r="E1343" s="35">
        <v>0.9</v>
      </c>
      <c r="F1343" s="35">
        <v>6.6</v>
      </c>
      <c r="G1343" s="36">
        <v>3.5699999999999998E-3</v>
      </c>
      <c r="H1343" s="18">
        <v>6.4252979999999997</v>
      </c>
      <c r="I1343" s="16" t="s">
        <v>746</v>
      </c>
      <c r="J1343" s="16"/>
      <c r="K1343" s="16"/>
      <c r="L1343" s="37"/>
      <c r="M1343" s="37"/>
      <c r="N1343" s="37"/>
      <c r="O1343" s="37"/>
      <c r="P1343" s="37"/>
      <c r="Q1343" s="18">
        <v>3.9269999999999999E-2</v>
      </c>
      <c r="R1343" s="18">
        <v>2.6774999999999998E-4</v>
      </c>
      <c r="S1343" s="18">
        <v>7.4969999999999995E-2</v>
      </c>
      <c r="T1343" s="18">
        <v>0.32129999999999997</v>
      </c>
      <c r="U1343" s="18">
        <v>0.16064999999999999</v>
      </c>
      <c r="V1343" s="18">
        <v>2.0563199999999999</v>
      </c>
      <c r="W1343" s="18">
        <v>1.9278</v>
      </c>
      <c r="X1343" s="18">
        <v>1.2851999999999999</v>
      </c>
      <c r="Y1343" s="18">
        <v>5.7119999999999997E-2</v>
      </c>
      <c r="Z1343" s="18">
        <v>0.25346999999999997</v>
      </c>
      <c r="AA1343" s="18">
        <v>0.37128</v>
      </c>
      <c r="AB1343" s="18">
        <v>0.66044999999999998</v>
      </c>
      <c r="AC1343" s="18">
        <v>0.20348999999999998</v>
      </c>
      <c r="AD1343" s="18">
        <v>1.071</v>
      </c>
    </row>
    <row r="1344" spans="2:30" x14ac:dyDescent="0.25">
      <c r="B1344" t="s">
        <v>269</v>
      </c>
      <c r="C1344" t="s">
        <v>570</v>
      </c>
      <c r="D1344" t="s">
        <v>749</v>
      </c>
      <c r="E1344" s="35">
        <v>0.9</v>
      </c>
      <c r="F1344" s="35">
        <v>6.6</v>
      </c>
      <c r="G1344" s="36">
        <v>3.5699999999999998E-3</v>
      </c>
      <c r="H1344" s="18">
        <v>6.4252979999999997</v>
      </c>
      <c r="I1344" s="16" t="s">
        <v>746</v>
      </c>
      <c r="J1344" s="16"/>
      <c r="K1344" s="16"/>
      <c r="L1344" s="37"/>
      <c r="M1344" s="37"/>
      <c r="N1344" s="37"/>
      <c r="O1344" s="37"/>
      <c r="P1344" s="37"/>
      <c r="Q1344" s="18">
        <v>3.9269999999999999E-2</v>
      </c>
      <c r="R1344" s="18">
        <v>2.6774999999999998E-4</v>
      </c>
      <c r="S1344" s="18">
        <v>7.4969999999999995E-2</v>
      </c>
      <c r="T1344" s="18">
        <v>0.32129999999999997</v>
      </c>
      <c r="U1344" s="18">
        <v>0.16064999999999999</v>
      </c>
      <c r="V1344" s="18">
        <v>2.0563199999999999</v>
      </c>
      <c r="W1344" s="18">
        <v>1.9278</v>
      </c>
      <c r="X1344" s="18">
        <v>1.2851999999999999</v>
      </c>
      <c r="Y1344" s="18">
        <v>5.7119999999999997E-2</v>
      </c>
      <c r="Z1344" s="18">
        <v>0.25346999999999997</v>
      </c>
      <c r="AA1344" s="18">
        <v>0.37128</v>
      </c>
      <c r="AB1344" s="18">
        <v>0.66044999999999998</v>
      </c>
      <c r="AC1344" s="18">
        <v>0.20348999999999998</v>
      </c>
      <c r="AD1344" s="18">
        <v>1.071</v>
      </c>
    </row>
    <row r="1345" spans="2:30" x14ac:dyDescent="0.25">
      <c r="B1345" t="s">
        <v>269</v>
      </c>
      <c r="C1345" t="s">
        <v>570</v>
      </c>
      <c r="D1345" t="s">
        <v>748</v>
      </c>
      <c r="E1345" s="35">
        <v>0.9</v>
      </c>
      <c r="F1345" s="35">
        <v>6.6</v>
      </c>
      <c r="G1345" s="36">
        <v>4.1200000000000004E-3</v>
      </c>
      <c r="H1345" s="18">
        <v>7.4152979999999999</v>
      </c>
      <c r="I1345" s="16" t="s">
        <v>746</v>
      </c>
      <c r="J1345" s="16"/>
      <c r="K1345" s="16"/>
      <c r="L1345" s="37"/>
      <c r="M1345" s="37"/>
      <c r="N1345" s="37"/>
      <c r="O1345" s="37"/>
      <c r="P1345" s="37"/>
      <c r="Q1345" s="18">
        <v>4.5320000000000006E-2</v>
      </c>
      <c r="R1345" s="18">
        <v>3.0900000000000003E-4</v>
      </c>
      <c r="S1345" s="18">
        <v>8.6520000000000014E-2</v>
      </c>
      <c r="T1345" s="18">
        <v>0.37080000000000002</v>
      </c>
      <c r="U1345" s="18">
        <v>0.18540000000000001</v>
      </c>
      <c r="V1345" s="18">
        <v>2.3731200000000001</v>
      </c>
      <c r="W1345" s="18">
        <v>2.2248000000000001</v>
      </c>
      <c r="X1345" s="18">
        <v>1.4832000000000001</v>
      </c>
      <c r="Y1345" s="18">
        <v>6.5920000000000006E-2</v>
      </c>
      <c r="Z1345" s="18">
        <v>0.29252</v>
      </c>
      <c r="AA1345" s="18">
        <v>0.42848000000000003</v>
      </c>
      <c r="AB1345" s="18">
        <v>0.7622000000000001</v>
      </c>
      <c r="AC1345" s="18">
        <v>0.23484000000000002</v>
      </c>
      <c r="AD1345" s="18">
        <v>1.2360000000000002</v>
      </c>
    </row>
    <row r="1346" spans="2:30" x14ac:dyDescent="0.25">
      <c r="B1346" t="s">
        <v>269</v>
      </c>
      <c r="C1346" t="s">
        <v>570</v>
      </c>
      <c r="D1346" t="s">
        <v>749</v>
      </c>
      <c r="E1346" s="35">
        <v>0.9</v>
      </c>
      <c r="F1346" s="35">
        <v>6.6</v>
      </c>
      <c r="G1346" s="36">
        <v>3.5699999999999998E-3</v>
      </c>
      <c r="H1346" s="18">
        <v>6.4252979999999997</v>
      </c>
      <c r="I1346" s="16" t="s">
        <v>746</v>
      </c>
      <c r="J1346" s="16"/>
      <c r="K1346" s="16"/>
      <c r="L1346" s="37"/>
      <c r="M1346" s="37"/>
      <c r="N1346" s="37"/>
      <c r="O1346" s="37"/>
      <c r="P1346" s="37"/>
      <c r="Q1346" s="18">
        <v>3.9269999999999999E-2</v>
      </c>
      <c r="R1346" s="18">
        <v>2.6774999999999998E-4</v>
      </c>
      <c r="S1346" s="18">
        <v>7.4969999999999995E-2</v>
      </c>
      <c r="T1346" s="18">
        <v>0.32129999999999997</v>
      </c>
      <c r="U1346" s="18">
        <v>0.16064999999999999</v>
      </c>
      <c r="V1346" s="18">
        <v>2.0563199999999999</v>
      </c>
      <c r="W1346" s="18">
        <v>1.9278</v>
      </c>
      <c r="X1346" s="18">
        <v>1.2851999999999999</v>
      </c>
      <c r="Y1346" s="18">
        <v>5.7119999999999997E-2</v>
      </c>
      <c r="Z1346" s="18">
        <v>0.25346999999999997</v>
      </c>
      <c r="AA1346" s="18">
        <v>0.37128</v>
      </c>
      <c r="AB1346" s="18">
        <v>0.66044999999999998</v>
      </c>
      <c r="AC1346" s="18">
        <v>0.20348999999999998</v>
      </c>
      <c r="AD1346" s="18">
        <v>1.071</v>
      </c>
    </row>
    <row r="1347" spans="2:30" x14ac:dyDescent="0.25">
      <c r="B1347" t="s">
        <v>269</v>
      </c>
      <c r="C1347" t="s">
        <v>570</v>
      </c>
      <c r="D1347" t="s">
        <v>750</v>
      </c>
      <c r="E1347" s="35">
        <v>0.9</v>
      </c>
      <c r="F1347" s="35">
        <v>6.6</v>
      </c>
      <c r="G1347" s="36">
        <v>3.0200000000000001E-3</v>
      </c>
      <c r="H1347" s="18">
        <v>5.4352980000000004</v>
      </c>
      <c r="I1347" s="16" t="s">
        <v>746</v>
      </c>
      <c r="J1347" s="16"/>
      <c r="K1347" s="16"/>
      <c r="L1347" s="37"/>
      <c r="M1347" s="37"/>
      <c r="N1347" s="37"/>
      <c r="O1347" s="37"/>
      <c r="P1347" s="37"/>
      <c r="Q1347" s="18">
        <v>3.322E-2</v>
      </c>
      <c r="R1347" s="18">
        <v>2.265E-4</v>
      </c>
      <c r="S1347" s="18">
        <v>6.3420000000000004E-2</v>
      </c>
      <c r="T1347" s="18">
        <v>0.27179999999999999</v>
      </c>
      <c r="U1347" s="18">
        <v>0.13589999999999999</v>
      </c>
      <c r="V1347" s="18">
        <v>1.7395200000000002</v>
      </c>
      <c r="W1347" s="18">
        <v>1.6308</v>
      </c>
      <c r="X1347" s="18">
        <v>1.0871999999999999</v>
      </c>
      <c r="Y1347" s="18">
        <v>4.8320000000000002E-2</v>
      </c>
      <c r="Z1347" s="18">
        <v>0.21442</v>
      </c>
      <c r="AA1347" s="18">
        <v>0.31408000000000003</v>
      </c>
      <c r="AB1347" s="18">
        <v>0.55869999999999997</v>
      </c>
      <c r="AC1347" s="18">
        <v>0.17214000000000002</v>
      </c>
      <c r="AD1347" s="18">
        <v>0.90600000000000003</v>
      </c>
    </row>
    <row r="1348" spans="2:30" x14ac:dyDescent="0.25">
      <c r="B1348" t="s">
        <v>269</v>
      </c>
      <c r="C1348" t="s">
        <v>570</v>
      </c>
      <c r="D1348" t="s">
        <v>750</v>
      </c>
      <c r="E1348" s="35">
        <v>0.9</v>
      </c>
      <c r="F1348" s="35">
        <v>6.6</v>
      </c>
      <c r="G1348" s="36">
        <v>3.0200000000000001E-3</v>
      </c>
      <c r="H1348" s="18">
        <v>5.4352980000000004</v>
      </c>
      <c r="I1348" s="16" t="s">
        <v>746</v>
      </c>
      <c r="J1348" s="16"/>
      <c r="K1348" s="16"/>
      <c r="L1348" s="37"/>
      <c r="M1348" s="37"/>
      <c r="N1348" s="37"/>
      <c r="O1348" s="37"/>
      <c r="P1348" s="37"/>
      <c r="Q1348" s="18">
        <v>3.322E-2</v>
      </c>
      <c r="R1348" s="18">
        <v>2.265E-4</v>
      </c>
      <c r="S1348" s="18">
        <v>6.3420000000000004E-2</v>
      </c>
      <c r="T1348" s="18">
        <v>0.27179999999999999</v>
      </c>
      <c r="U1348" s="18">
        <v>0.13589999999999999</v>
      </c>
      <c r="V1348" s="18">
        <v>1.7395200000000002</v>
      </c>
      <c r="W1348" s="18">
        <v>1.6308</v>
      </c>
      <c r="X1348" s="18">
        <v>1.0871999999999999</v>
      </c>
      <c r="Y1348" s="18">
        <v>4.8320000000000002E-2</v>
      </c>
      <c r="Z1348" s="18">
        <v>0.21442</v>
      </c>
      <c r="AA1348" s="18">
        <v>0.31408000000000003</v>
      </c>
      <c r="AB1348" s="18">
        <v>0.55869999999999997</v>
      </c>
      <c r="AC1348" s="18">
        <v>0.17214000000000002</v>
      </c>
      <c r="AD1348" s="18">
        <v>0.90600000000000003</v>
      </c>
    </row>
    <row r="1349" spans="2:30" x14ac:dyDescent="0.25">
      <c r="B1349" t="s">
        <v>269</v>
      </c>
      <c r="C1349" t="s">
        <v>570</v>
      </c>
      <c r="D1349" t="s">
        <v>748</v>
      </c>
      <c r="E1349" s="35">
        <v>0.9</v>
      </c>
      <c r="F1349" s="35">
        <v>6.6</v>
      </c>
      <c r="G1349" s="36">
        <v>4.1200000000000004E-3</v>
      </c>
      <c r="H1349" s="18">
        <v>7.4152979999999999</v>
      </c>
      <c r="I1349" s="16" t="s">
        <v>746</v>
      </c>
      <c r="J1349" s="16"/>
      <c r="K1349" s="16"/>
      <c r="L1349" s="37"/>
      <c r="M1349" s="37"/>
      <c r="N1349" s="37"/>
      <c r="O1349" s="37"/>
      <c r="P1349" s="37"/>
      <c r="Q1349" s="18">
        <v>4.5320000000000006E-2</v>
      </c>
      <c r="R1349" s="18">
        <v>3.0900000000000003E-4</v>
      </c>
      <c r="S1349" s="18">
        <v>8.6520000000000014E-2</v>
      </c>
      <c r="T1349" s="18">
        <v>0.37080000000000002</v>
      </c>
      <c r="U1349" s="18">
        <v>0.18540000000000001</v>
      </c>
      <c r="V1349" s="18">
        <v>2.3731200000000001</v>
      </c>
      <c r="W1349" s="18">
        <v>2.2248000000000001</v>
      </c>
      <c r="X1349" s="18">
        <v>1.4832000000000001</v>
      </c>
      <c r="Y1349" s="18">
        <v>6.5920000000000006E-2</v>
      </c>
      <c r="Z1349" s="18">
        <v>0.29252</v>
      </c>
      <c r="AA1349" s="18">
        <v>0.42848000000000003</v>
      </c>
      <c r="AB1349" s="18">
        <v>0.7622000000000001</v>
      </c>
      <c r="AC1349" s="18">
        <v>0.23484000000000002</v>
      </c>
      <c r="AD1349" s="18">
        <v>1.2360000000000002</v>
      </c>
    </row>
    <row r="1350" spans="2:30" x14ac:dyDescent="0.25">
      <c r="B1350" t="s">
        <v>269</v>
      </c>
      <c r="C1350" t="s">
        <v>570</v>
      </c>
      <c r="D1350" t="s">
        <v>750</v>
      </c>
      <c r="E1350" s="35">
        <v>0.9</v>
      </c>
      <c r="F1350" s="35">
        <v>6.6</v>
      </c>
      <c r="G1350" s="36">
        <v>3.0200000000000001E-3</v>
      </c>
      <c r="H1350" s="18">
        <v>5.4352980000000004</v>
      </c>
      <c r="I1350" s="16" t="s">
        <v>746</v>
      </c>
      <c r="J1350" s="16"/>
      <c r="K1350" s="16"/>
      <c r="L1350" s="37"/>
      <c r="M1350" s="37"/>
      <c r="N1350" s="37"/>
      <c r="O1350" s="37"/>
      <c r="P1350" s="37"/>
      <c r="Q1350" s="18">
        <v>3.322E-2</v>
      </c>
      <c r="R1350" s="18">
        <v>2.265E-4</v>
      </c>
      <c r="S1350" s="18">
        <v>6.3420000000000004E-2</v>
      </c>
      <c r="T1350" s="18">
        <v>0.27179999999999999</v>
      </c>
      <c r="U1350" s="18">
        <v>0.13589999999999999</v>
      </c>
      <c r="V1350" s="18">
        <v>1.7395200000000002</v>
      </c>
      <c r="W1350" s="18">
        <v>1.6308</v>
      </c>
      <c r="X1350" s="18">
        <v>1.0871999999999999</v>
      </c>
      <c r="Y1350" s="18">
        <v>4.8320000000000002E-2</v>
      </c>
      <c r="Z1350" s="18">
        <v>0.21442</v>
      </c>
      <c r="AA1350" s="18">
        <v>0.31408000000000003</v>
      </c>
      <c r="AB1350" s="18">
        <v>0.55869999999999997</v>
      </c>
      <c r="AC1350" s="18">
        <v>0.17214000000000002</v>
      </c>
      <c r="AD1350" s="18">
        <v>0.90600000000000003</v>
      </c>
    </row>
    <row r="1351" spans="2:30" x14ac:dyDescent="0.25">
      <c r="B1351" t="s">
        <v>269</v>
      </c>
      <c r="C1351" t="s">
        <v>570</v>
      </c>
      <c r="D1351" t="s">
        <v>750</v>
      </c>
      <c r="E1351" s="35">
        <v>0.9</v>
      </c>
      <c r="F1351" s="35">
        <v>6.6</v>
      </c>
      <c r="G1351" s="36">
        <v>3.0200000000000001E-3</v>
      </c>
      <c r="H1351" s="18">
        <v>5.4352980000000004</v>
      </c>
      <c r="I1351" s="16" t="s">
        <v>746</v>
      </c>
      <c r="J1351" s="16"/>
      <c r="K1351" s="16"/>
      <c r="L1351" s="37"/>
      <c r="M1351" s="37"/>
      <c r="N1351" s="37"/>
      <c r="O1351" s="37"/>
      <c r="P1351" s="37"/>
      <c r="Q1351" s="18">
        <v>3.322E-2</v>
      </c>
      <c r="R1351" s="18">
        <v>2.265E-4</v>
      </c>
      <c r="S1351" s="18">
        <v>6.3420000000000004E-2</v>
      </c>
      <c r="T1351" s="18">
        <v>0.27179999999999999</v>
      </c>
      <c r="U1351" s="18">
        <v>0.13589999999999999</v>
      </c>
      <c r="V1351" s="18">
        <v>1.7395200000000002</v>
      </c>
      <c r="W1351" s="18">
        <v>1.6308</v>
      </c>
      <c r="X1351" s="18">
        <v>1.0871999999999999</v>
      </c>
      <c r="Y1351" s="18">
        <v>4.8320000000000002E-2</v>
      </c>
      <c r="Z1351" s="18">
        <v>0.21442</v>
      </c>
      <c r="AA1351" s="18">
        <v>0.31408000000000003</v>
      </c>
      <c r="AB1351" s="18">
        <v>0.55869999999999997</v>
      </c>
      <c r="AC1351" s="18">
        <v>0.17214000000000002</v>
      </c>
      <c r="AD1351" s="18">
        <v>0.90600000000000003</v>
      </c>
    </row>
    <row r="1352" spans="2:30" x14ac:dyDescent="0.25">
      <c r="B1352" t="s">
        <v>269</v>
      </c>
      <c r="C1352" t="s">
        <v>570</v>
      </c>
      <c r="D1352" t="s">
        <v>747</v>
      </c>
      <c r="E1352" s="35">
        <v>0.9</v>
      </c>
      <c r="F1352" s="35">
        <v>6.6</v>
      </c>
      <c r="G1352" s="36">
        <v>4.9449999999999997E-3</v>
      </c>
      <c r="H1352" s="18">
        <v>8.9002979999999994</v>
      </c>
      <c r="I1352" s="16" t="s">
        <v>746</v>
      </c>
      <c r="J1352" s="16"/>
      <c r="K1352" s="16"/>
      <c r="L1352" s="37"/>
      <c r="M1352" s="37"/>
      <c r="N1352" s="37"/>
      <c r="O1352" s="37"/>
      <c r="P1352" s="37"/>
      <c r="Q1352" s="18">
        <v>5.4394999999999999E-2</v>
      </c>
      <c r="R1352" s="18">
        <v>3.7087499999999995E-4</v>
      </c>
      <c r="S1352" s="18">
        <v>0.10384499999999999</v>
      </c>
      <c r="T1352" s="18">
        <v>0.44505</v>
      </c>
      <c r="U1352" s="18">
        <v>0.222525</v>
      </c>
      <c r="V1352" s="18">
        <v>2.8483199999999997</v>
      </c>
      <c r="W1352" s="18">
        <v>2.6702999999999997</v>
      </c>
      <c r="X1352" s="18">
        <v>1.7802</v>
      </c>
      <c r="Y1352" s="18">
        <v>7.9119999999999996E-2</v>
      </c>
      <c r="Z1352" s="18">
        <v>0.35109499999999999</v>
      </c>
      <c r="AA1352" s="18">
        <v>0.51427999999999996</v>
      </c>
      <c r="AB1352" s="18">
        <v>0.914825</v>
      </c>
      <c r="AC1352" s="18">
        <v>0.28186499999999998</v>
      </c>
      <c r="AD1352" s="18">
        <v>1.4834999999999998</v>
      </c>
    </row>
    <row r="1353" spans="2:30" x14ac:dyDescent="0.25">
      <c r="B1353" t="s">
        <v>269</v>
      </c>
      <c r="C1353" t="s">
        <v>570</v>
      </c>
      <c r="D1353" t="s">
        <v>748</v>
      </c>
      <c r="E1353" s="35">
        <v>0.9</v>
      </c>
      <c r="F1353" s="35">
        <v>6.6</v>
      </c>
      <c r="G1353" s="36">
        <v>4.1200000000000004E-3</v>
      </c>
      <c r="H1353" s="18">
        <v>7.4152979999999999</v>
      </c>
      <c r="I1353" s="16" t="s">
        <v>746</v>
      </c>
      <c r="J1353" s="16"/>
      <c r="K1353" s="16"/>
      <c r="L1353" s="37"/>
      <c r="M1353" s="37"/>
      <c r="N1353" s="37"/>
      <c r="O1353" s="37"/>
      <c r="P1353" s="37"/>
      <c r="Q1353" s="18">
        <v>4.5320000000000006E-2</v>
      </c>
      <c r="R1353" s="18">
        <v>3.0900000000000003E-4</v>
      </c>
      <c r="S1353" s="18">
        <v>8.6520000000000014E-2</v>
      </c>
      <c r="T1353" s="18">
        <v>0.37080000000000002</v>
      </c>
      <c r="U1353" s="18">
        <v>0.18540000000000001</v>
      </c>
      <c r="V1353" s="18">
        <v>2.3731200000000001</v>
      </c>
      <c r="W1353" s="18">
        <v>2.2248000000000001</v>
      </c>
      <c r="X1353" s="18">
        <v>1.4832000000000001</v>
      </c>
      <c r="Y1353" s="18">
        <v>6.5920000000000006E-2</v>
      </c>
      <c r="Z1353" s="18">
        <v>0.29252</v>
      </c>
      <c r="AA1353" s="18">
        <v>0.42848000000000003</v>
      </c>
      <c r="AB1353" s="18">
        <v>0.7622000000000001</v>
      </c>
      <c r="AC1353" s="18">
        <v>0.23484000000000002</v>
      </c>
      <c r="AD1353" s="18">
        <v>1.2360000000000002</v>
      </c>
    </row>
    <row r="1354" spans="2:30" x14ac:dyDescent="0.25">
      <c r="B1354" t="s">
        <v>269</v>
      </c>
      <c r="C1354" t="s">
        <v>570</v>
      </c>
      <c r="D1354" t="s">
        <v>747</v>
      </c>
      <c r="E1354" s="35">
        <v>0.9</v>
      </c>
      <c r="F1354" s="35">
        <v>6.6</v>
      </c>
      <c r="G1354" s="36">
        <v>4.9449999999999997E-3</v>
      </c>
      <c r="H1354" s="18">
        <v>8.9002979999999994</v>
      </c>
      <c r="I1354" s="16" t="s">
        <v>746</v>
      </c>
      <c r="J1354" s="16"/>
      <c r="K1354" s="16"/>
      <c r="L1354" s="37"/>
      <c r="M1354" s="37"/>
      <c r="N1354" s="37"/>
      <c r="O1354" s="37"/>
      <c r="P1354" s="37"/>
      <c r="Q1354" s="18">
        <v>5.4394999999999999E-2</v>
      </c>
      <c r="R1354" s="18">
        <v>3.7087499999999995E-4</v>
      </c>
      <c r="S1354" s="18">
        <v>0.10384499999999999</v>
      </c>
      <c r="T1354" s="18">
        <v>0.44505</v>
      </c>
      <c r="U1354" s="18">
        <v>0.222525</v>
      </c>
      <c r="V1354" s="18">
        <v>2.8483199999999997</v>
      </c>
      <c r="W1354" s="18">
        <v>2.6702999999999997</v>
      </c>
      <c r="X1354" s="18">
        <v>1.7802</v>
      </c>
      <c r="Y1354" s="18">
        <v>7.9119999999999996E-2</v>
      </c>
      <c r="Z1354" s="18">
        <v>0.35109499999999999</v>
      </c>
      <c r="AA1354" s="18">
        <v>0.51427999999999996</v>
      </c>
      <c r="AB1354" s="18">
        <v>0.914825</v>
      </c>
      <c r="AC1354" s="18">
        <v>0.28186499999999998</v>
      </c>
      <c r="AD1354" s="18">
        <v>1.4834999999999998</v>
      </c>
    </row>
    <row r="1355" spans="2:30" x14ac:dyDescent="0.25">
      <c r="B1355" t="s">
        <v>269</v>
      </c>
      <c r="C1355" t="s">
        <v>570</v>
      </c>
      <c r="D1355" t="s">
        <v>748</v>
      </c>
      <c r="E1355" s="35">
        <v>0.9</v>
      </c>
      <c r="F1355" s="35">
        <v>6.6</v>
      </c>
      <c r="G1355" s="36">
        <v>4.1200000000000004E-3</v>
      </c>
      <c r="H1355" s="18">
        <v>7.4152979999999999</v>
      </c>
      <c r="I1355" s="16" t="s">
        <v>746</v>
      </c>
      <c r="J1355" s="16"/>
      <c r="K1355" s="16"/>
      <c r="L1355" s="37"/>
      <c r="M1355" s="37"/>
      <c r="N1355" s="37"/>
      <c r="O1355" s="37"/>
      <c r="P1355" s="37"/>
      <c r="Q1355" s="18">
        <v>4.5320000000000006E-2</v>
      </c>
      <c r="R1355" s="18">
        <v>3.0900000000000003E-4</v>
      </c>
      <c r="S1355" s="18">
        <v>8.6520000000000014E-2</v>
      </c>
      <c r="T1355" s="18">
        <v>0.37080000000000002</v>
      </c>
      <c r="U1355" s="18">
        <v>0.18540000000000001</v>
      </c>
      <c r="V1355" s="18">
        <v>2.3731200000000001</v>
      </c>
      <c r="W1355" s="18">
        <v>2.2248000000000001</v>
      </c>
      <c r="X1355" s="18">
        <v>1.4832000000000001</v>
      </c>
      <c r="Y1355" s="18">
        <v>6.5920000000000006E-2</v>
      </c>
      <c r="Z1355" s="18">
        <v>0.29252</v>
      </c>
      <c r="AA1355" s="18">
        <v>0.42848000000000003</v>
      </c>
      <c r="AB1355" s="18">
        <v>0.7622000000000001</v>
      </c>
      <c r="AC1355" s="18">
        <v>0.23484000000000002</v>
      </c>
      <c r="AD1355" s="18">
        <v>1.2360000000000002</v>
      </c>
    </row>
    <row r="1356" spans="2:30" x14ac:dyDescent="0.25">
      <c r="B1356" t="s">
        <v>269</v>
      </c>
      <c r="C1356" t="s">
        <v>570</v>
      </c>
      <c r="D1356" t="s">
        <v>753</v>
      </c>
      <c r="E1356" s="35">
        <v>0.9</v>
      </c>
      <c r="F1356" s="35">
        <v>6.6</v>
      </c>
      <c r="G1356" s="36">
        <v>5.77E-3</v>
      </c>
      <c r="H1356" s="18">
        <v>10.385298000000001</v>
      </c>
      <c r="I1356" s="16" t="s">
        <v>746</v>
      </c>
      <c r="J1356" s="16"/>
      <c r="K1356" s="16"/>
      <c r="L1356" s="37"/>
      <c r="M1356" s="37"/>
      <c r="N1356" s="37"/>
      <c r="O1356" s="37"/>
      <c r="P1356" s="37"/>
      <c r="Q1356" s="18">
        <v>6.3469999999999999E-2</v>
      </c>
      <c r="R1356" s="18">
        <v>4.3274999999999997E-4</v>
      </c>
      <c r="S1356" s="18">
        <v>0.12117</v>
      </c>
      <c r="T1356" s="18">
        <v>0.51929999999999998</v>
      </c>
      <c r="U1356" s="18">
        <v>0.25964999999999999</v>
      </c>
      <c r="V1356" s="18">
        <v>3.3235199999999998</v>
      </c>
      <c r="W1356" s="18">
        <v>3.1158000000000001</v>
      </c>
      <c r="X1356" s="18">
        <v>2.0771999999999999</v>
      </c>
      <c r="Y1356" s="18">
        <v>9.2319999999999999E-2</v>
      </c>
      <c r="Z1356" s="18">
        <v>0.40966999999999998</v>
      </c>
      <c r="AA1356" s="18">
        <v>0.60007999999999995</v>
      </c>
      <c r="AB1356" s="18">
        <v>1.06745</v>
      </c>
      <c r="AC1356" s="18">
        <v>0.32889000000000002</v>
      </c>
      <c r="AD1356" s="18">
        <v>1.7310000000000001</v>
      </c>
    </row>
    <row r="1357" spans="2:30" x14ac:dyDescent="0.25">
      <c r="B1357" t="s">
        <v>269</v>
      </c>
      <c r="C1357" t="s">
        <v>570</v>
      </c>
      <c r="D1357" t="s">
        <v>748</v>
      </c>
      <c r="E1357" s="35">
        <v>0.9</v>
      </c>
      <c r="F1357" s="35">
        <v>6.6</v>
      </c>
      <c r="G1357" s="36">
        <v>4.1200000000000004E-3</v>
      </c>
      <c r="H1357" s="18">
        <v>7.4152979999999999</v>
      </c>
      <c r="I1357" s="16" t="s">
        <v>746</v>
      </c>
      <c r="J1357" s="16"/>
      <c r="K1357" s="16"/>
      <c r="L1357" s="37"/>
      <c r="M1357" s="37"/>
      <c r="N1357" s="37"/>
      <c r="O1357" s="37"/>
      <c r="P1357" s="37"/>
      <c r="Q1357" s="18">
        <v>4.5320000000000006E-2</v>
      </c>
      <c r="R1357" s="18">
        <v>3.0900000000000003E-4</v>
      </c>
      <c r="S1357" s="18">
        <v>8.6520000000000014E-2</v>
      </c>
      <c r="T1357" s="18">
        <v>0.37080000000000002</v>
      </c>
      <c r="U1357" s="18">
        <v>0.18540000000000001</v>
      </c>
      <c r="V1357" s="18">
        <v>2.3731200000000001</v>
      </c>
      <c r="W1357" s="18">
        <v>2.2248000000000001</v>
      </c>
      <c r="X1357" s="18">
        <v>1.4832000000000001</v>
      </c>
      <c r="Y1357" s="18">
        <v>6.5920000000000006E-2</v>
      </c>
      <c r="Z1357" s="18">
        <v>0.29252</v>
      </c>
      <c r="AA1357" s="18">
        <v>0.42848000000000003</v>
      </c>
      <c r="AB1357" s="18">
        <v>0.7622000000000001</v>
      </c>
      <c r="AC1357" s="18">
        <v>0.23484000000000002</v>
      </c>
      <c r="AD1357" s="18">
        <v>1.2360000000000002</v>
      </c>
    </row>
    <row r="1358" spans="2:30" x14ac:dyDescent="0.25">
      <c r="B1358" t="s">
        <v>269</v>
      </c>
      <c r="C1358" t="s">
        <v>570</v>
      </c>
      <c r="D1358" t="s">
        <v>749</v>
      </c>
      <c r="E1358" s="35">
        <v>0.9</v>
      </c>
      <c r="F1358" s="35">
        <v>6.6</v>
      </c>
      <c r="G1358" s="36">
        <v>3.5699999999999998E-3</v>
      </c>
      <c r="H1358" s="18">
        <v>6.4252979999999997</v>
      </c>
      <c r="I1358" s="16" t="s">
        <v>746</v>
      </c>
      <c r="J1358" s="16"/>
      <c r="K1358" s="16"/>
      <c r="L1358" s="37"/>
      <c r="M1358" s="37"/>
      <c r="N1358" s="37"/>
      <c r="O1358" s="37"/>
      <c r="P1358" s="37"/>
      <c r="Q1358" s="18">
        <v>3.9269999999999999E-2</v>
      </c>
      <c r="R1358" s="18">
        <v>2.6774999999999998E-4</v>
      </c>
      <c r="S1358" s="18">
        <v>7.4969999999999995E-2</v>
      </c>
      <c r="T1358" s="18">
        <v>0.32129999999999997</v>
      </c>
      <c r="U1358" s="18">
        <v>0.16064999999999999</v>
      </c>
      <c r="V1358" s="18">
        <v>2.0563199999999999</v>
      </c>
      <c r="W1358" s="18">
        <v>1.9278</v>
      </c>
      <c r="X1358" s="18">
        <v>1.2851999999999999</v>
      </c>
      <c r="Y1358" s="18">
        <v>5.7119999999999997E-2</v>
      </c>
      <c r="Z1358" s="18">
        <v>0.25346999999999997</v>
      </c>
      <c r="AA1358" s="18">
        <v>0.37128</v>
      </c>
      <c r="AB1358" s="18">
        <v>0.66044999999999998</v>
      </c>
      <c r="AC1358" s="18">
        <v>0.20348999999999998</v>
      </c>
      <c r="AD1358" s="18">
        <v>1.071</v>
      </c>
    </row>
    <row r="1359" spans="2:30" x14ac:dyDescent="0.25">
      <c r="B1359" t="s">
        <v>269</v>
      </c>
      <c r="C1359" t="s">
        <v>570</v>
      </c>
      <c r="D1359" t="s">
        <v>750</v>
      </c>
      <c r="E1359" s="35">
        <v>0.9</v>
      </c>
      <c r="F1359" s="35">
        <v>6.6</v>
      </c>
      <c r="G1359" s="36">
        <v>3.0200000000000001E-3</v>
      </c>
      <c r="H1359" s="18">
        <v>5.4352980000000004</v>
      </c>
      <c r="I1359" s="16" t="s">
        <v>746</v>
      </c>
      <c r="J1359" s="16"/>
      <c r="K1359" s="16"/>
      <c r="L1359" s="37"/>
      <c r="M1359" s="37"/>
      <c r="N1359" s="37"/>
      <c r="O1359" s="37"/>
      <c r="P1359" s="37"/>
      <c r="Q1359" s="18">
        <v>3.322E-2</v>
      </c>
      <c r="R1359" s="18">
        <v>2.265E-4</v>
      </c>
      <c r="S1359" s="18">
        <v>6.3420000000000004E-2</v>
      </c>
      <c r="T1359" s="18">
        <v>0.27179999999999999</v>
      </c>
      <c r="U1359" s="18">
        <v>0.13589999999999999</v>
      </c>
      <c r="V1359" s="18">
        <v>1.7395200000000002</v>
      </c>
      <c r="W1359" s="18">
        <v>1.6308</v>
      </c>
      <c r="X1359" s="18">
        <v>1.0871999999999999</v>
      </c>
      <c r="Y1359" s="18">
        <v>4.8320000000000002E-2</v>
      </c>
      <c r="Z1359" s="18">
        <v>0.21442</v>
      </c>
      <c r="AA1359" s="18">
        <v>0.31408000000000003</v>
      </c>
      <c r="AB1359" s="18">
        <v>0.55869999999999997</v>
      </c>
      <c r="AC1359" s="18">
        <v>0.17214000000000002</v>
      </c>
      <c r="AD1359" s="18">
        <v>0.90600000000000003</v>
      </c>
    </row>
    <row r="1360" spans="2:30" x14ac:dyDescent="0.25">
      <c r="B1360" t="s">
        <v>269</v>
      </c>
      <c r="C1360" t="s">
        <v>570</v>
      </c>
      <c r="D1360" t="s">
        <v>750</v>
      </c>
      <c r="E1360" s="35">
        <v>0.9</v>
      </c>
      <c r="F1360" s="35">
        <v>6.6</v>
      </c>
      <c r="G1360" s="36">
        <v>3.0200000000000001E-3</v>
      </c>
      <c r="H1360" s="18">
        <v>5.4352980000000004</v>
      </c>
      <c r="I1360" s="16" t="s">
        <v>746</v>
      </c>
      <c r="J1360" s="16"/>
      <c r="K1360" s="16"/>
      <c r="L1360" s="37"/>
      <c r="M1360" s="37"/>
      <c r="N1360" s="37"/>
      <c r="O1360" s="37"/>
      <c r="P1360" s="37"/>
      <c r="Q1360" s="18">
        <v>3.322E-2</v>
      </c>
      <c r="R1360" s="18">
        <v>2.265E-4</v>
      </c>
      <c r="S1360" s="18">
        <v>6.3420000000000004E-2</v>
      </c>
      <c r="T1360" s="18">
        <v>0.27179999999999999</v>
      </c>
      <c r="U1360" s="18">
        <v>0.13589999999999999</v>
      </c>
      <c r="V1360" s="18">
        <v>1.7395200000000002</v>
      </c>
      <c r="W1360" s="18">
        <v>1.6308</v>
      </c>
      <c r="X1360" s="18">
        <v>1.0871999999999999</v>
      </c>
      <c r="Y1360" s="18">
        <v>4.8320000000000002E-2</v>
      </c>
      <c r="Z1360" s="18">
        <v>0.21442</v>
      </c>
      <c r="AA1360" s="18">
        <v>0.31408000000000003</v>
      </c>
      <c r="AB1360" s="18">
        <v>0.55869999999999997</v>
      </c>
      <c r="AC1360" s="18">
        <v>0.17214000000000002</v>
      </c>
      <c r="AD1360" s="18">
        <v>0.90600000000000003</v>
      </c>
    </row>
    <row r="1361" spans="2:30" x14ac:dyDescent="0.25">
      <c r="B1361" t="s">
        <v>269</v>
      </c>
      <c r="C1361" t="s">
        <v>570</v>
      </c>
      <c r="D1361" t="s">
        <v>747</v>
      </c>
      <c r="E1361" s="35">
        <v>0.9</v>
      </c>
      <c r="F1361" s="35">
        <v>6.6</v>
      </c>
      <c r="G1361" s="36">
        <v>4.9449999999999997E-3</v>
      </c>
      <c r="H1361" s="18">
        <v>8.9002979999999994</v>
      </c>
      <c r="I1361" s="16" t="s">
        <v>746</v>
      </c>
      <c r="J1361" s="16"/>
      <c r="K1361" s="16"/>
      <c r="L1361" s="37"/>
      <c r="M1361" s="37"/>
      <c r="N1361" s="37"/>
      <c r="O1361" s="37"/>
      <c r="P1361" s="37"/>
      <c r="Q1361" s="18">
        <v>5.4394999999999999E-2</v>
      </c>
      <c r="R1361" s="18">
        <v>3.7087499999999995E-4</v>
      </c>
      <c r="S1361" s="18">
        <v>0.10384499999999999</v>
      </c>
      <c r="T1361" s="18">
        <v>0.44505</v>
      </c>
      <c r="U1361" s="18">
        <v>0.222525</v>
      </c>
      <c r="V1361" s="18">
        <v>2.8483199999999997</v>
      </c>
      <c r="W1361" s="18">
        <v>2.6702999999999997</v>
      </c>
      <c r="X1361" s="18">
        <v>1.7802</v>
      </c>
      <c r="Y1361" s="18">
        <v>7.9119999999999996E-2</v>
      </c>
      <c r="Z1361" s="18">
        <v>0.35109499999999999</v>
      </c>
      <c r="AA1361" s="18">
        <v>0.51427999999999996</v>
      </c>
      <c r="AB1361" s="18">
        <v>0.914825</v>
      </c>
      <c r="AC1361" s="18">
        <v>0.28186499999999998</v>
      </c>
      <c r="AD1361" s="18">
        <v>1.4834999999999998</v>
      </c>
    </row>
    <row r="1362" spans="2:30" x14ac:dyDescent="0.25">
      <c r="B1362" t="s">
        <v>269</v>
      </c>
      <c r="C1362" t="s">
        <v>570</v>
      </c>
      <c r="D1362" t="s">
        <v>747</v>
      </c>
      <c r="E1362" s="35">
        <v>0.9</v>
      </c>
      <c r="F1362" s="35">
        <v>6.6</v>
      </c>
      <c r="G1362" s="36">
        <v>4.9449999999999997E-3</v>
      </c>
      <c r="H1362" s="18">
        <v>8.9002979999999994</v>
      </c>
      <c r="I1362" s="16" t="s">
        <v>746</v>
      </c>
      <c r="J1362" s="16"/>
      <c r="K1362" s="16"/>
      <c r="L1362" s="37"/>
      <c r="M1362" s="37"/>
      <c r="N1362" s="37"/>
      <c r="O1362" s="37"/>
      <c r="P1362" s="37"/>
      <c r="Q1362" s="18">
        <v>5.4394999999999999E-2</v>
      </c>
      <c r="R1362" s="18">
        <v>3.7087499999999995E-4</v>
      </c>
      <c r="S1362" s="18">
        <v>0.10384499999999999</v>
      </c>
      <c r="T1362" s="18">
        <v>0.44505</v>
      </c>
      <c r="U1362" s="18">
        <v>0.222525</v>
      </c>
      <c r="V1362" s="18">
        <v>2.8483199999999997</v>
      </c>
      <c r="W1362" s="18">
        <v>2.6702999999999997</v>
      </c>
      <c r="X1362" s="18">
        <v>1.7802</v>
      </c>
      <c r="Y1362" s="18">
        <v>7.9119999999999996E-2</v>
      </c>
      <c r="Z1362" s="18">
        <v>0.35109499999999999</v>
      </c>
      <c r="AA1362" s="18">
        <v>0.51427999999999996</v>
      </c>
      <c r="AB1362" s="18">
        <v>0.914825</v>
      </c>
      <c r="AC1362" s="18">
        <v>0.28186499999999998</v>
      </c>
      <c r="AD1362" s="18">
        <v>1.4834999999999998</v>
      </c>
    </row>
    <row r="1363" spans="2:30" x14ac:dyDescent="0.25">
      <c r="B1363" t="s">
        <v>269</v>
      </c>
      <c r="C1363" t="s">
        <v>570</v>
      </c>
      <c r="D1363" t="s">
        <v>753</v>
      </c>
      <c r="E1363" s="35">
        <v>0.9</v>
      </c>
      <c r="F1363" s="35">
        <v>6.6</v>
      </c>
      <c r="G1363" s="36">
        <v>5.77E-3</v>
      </c>
      <c r="H1363" s="18">
        <v>10.385298000000001</v>
      </c>
      <c r="I1363" s="16" t="s">
        <v>746</v>
      </c>
      <c r="J1363" s="16"/>
      <c r="K1363" s="16"/>
      <c r="L1363" s="37"/>
      <c r="M1363" s="37"/>
      <c r="N1363" s="37"/>
      <c r="O1363" s="37"/>
      <c r="P1363" s="37"/>
      <c r="Q1363" s="18">
        <v>6.3469999999999999E-2</v>
      </c>
      <c r="R1363" s="18">
        <v>4.3274999999999997E-4</v>
      </c>
      <c r="S1363" s="18">
        <v>0.12117</v>
      </c>
      <c r="T1363" s="18">
        <v>0.51929999999999998</v>
      </c>
      <c r="U1363" s="18">
        <v>0.25964999999999999</v>
      </c>
      <c r="V1363" s="18">
        <v>3.3235199999999998</v>
      </c>
      <c r="W1363" s="18">
        <v>3.1158000000000001</v>
      </c>
      <c r="X1363" s="18">
        <v>2.0771999999999999</v>
      </c>
      <c r="Y1363" s="18">
        <v>9.2319999999999999E-2</v>
      </c>
      <c r="Z1363" s="18">
        <v>0.40966999999999998</v>
      </c>
      <c r="AA1363" s="18">
        <v>0.60007999999999995</v>
      </c>
      <c r="AB1363" s="18">
        <v>1.06745</v>
      </c>
      <c r="AC1363" s="18">
        <v>0.32889000000000002</v>
      </c>
      <c r="AD1363" s="18">
        <v>1.7310000000000001</v>
      </c>
    </row>
    <row r="1364" spans="2:30" x14ac:dyDescent="0.25">
      <c r="B1364" t="s">
        <v>269</v>
      </c>
      <c r="C1364" t="s">
        <v>570</v>
      </c>
      <c r="D1364" t="s">
        <v>748</v>
      </c>
      <c r="E1364" s="35">
        <v>0.9</v>
      </c>
      <c r="F1364" s="35">
        <v>6.6</v>
      </c>
      <c r="G1364" s="36">
        <v>4.1200000000000004E-3</v>
      </c>
      <c r="H1364" s="18">
        <v>7.4152979999999999</v>
      </c>
      <c r="I1364" s="16" t="s">
        <v>746</v>
      </c>
      <c r="J1364" s="16"/>
      <c r="K1364" s="16"/>
      <c r="L1364" s="37"/>
      <c r="M1364" s="37"/>
      <c r="N1364" s="37"/>
      <c r="O1364" s="37"/>
      <c r="P1364" s="37"/>
      <c r="Q1364" s="18">
        <v>4.5320000000000006E-2</v>
      </c>
      <c r="R1364" s="18">
        <v>3.0900000000000003E-4</v>
      </c>
      <c r="S1364" s="18">
        <v>8.6520000000000014E-2</v>
      </c>
      <c r="T1364" s="18">
        <v>0.37080000000000002</v>
      </c>
      <c r="U1364" s="18">
        <v>0.18540000000000001</v>
      </c>
      <c r="V1364" s="18">
        <v>2.3731200000000001</v>
      </c>
      <c r="W1364" s="18">
        <v>2.2248000000000001</v>
      </c>
      <c r="X1364" s="18">
        <v>1.4832000000000001</v>
      </c>
      <c r="Y1364" s="18">
        <v>6.5920000000000006E-2</v>
      </c>
      <c r="Z1364" s="18">
        <v>0.29252</v>
      </c>
      <c r="AA1364" s="18">
        <v>0.42848000000000003</v>
      </c>
      <c r="AB1364" s="18">
        <v>0.7622000000000001</v>
      </c>
      <c r="AC1364" s="18">
        <v>0.23484000000000002</v>
      </c>
      <c r="AD1364" s="18">
        <v>1.2360000000000002</v>
      </c>
    </row>
    <row r="1365" spans="2:30" x14ac:dyDescent="0.25">
      <c r="B1365" t="s">
        <v>269</v>
      </c>
      <c r="C1365" t="s">
        <v>570</v>
      </c>
      <c r="D1365" t="s">
        <v>749</v>
      </c>
      <c r="E1365" s="35">
        <v>0.9</v>
      </c>
      <c r="F1365" s="35">
        <v>6.6</v>
      </c>
      <c r="G1365" s="36">
        <v>3.5699999999999998E-3</v>
      </c>
      <c r="H1365" s="18">
        <v>6.4252979999999997</v>
      </c>
      <c r="I1365" s="16" t="s">
        <v>746</v>
      </c>
      <c r="J1365" s="16"/>
      <c r="K1365" s="16"/>
      <c r="L1365" s="37"/>
      <c r="M1365" s="37"/>
      <c r="N1365" s="37"/>
      <c r="O1365" s="37"/>
      <c r="P1365" s="37"/>
      <c r="Q1365" s="18">
        <v>3.9269999999999999E-2</v>
      </c>
      <c r="R1365" s="18">
        <v>2.6774999999999998E-4</v>
      </c>
      <c r="S1365" s="18">
        <v>7.4969999999999995E-2</v>
      </c>
      <c r="T1365" s="18">
        <v>0.32129999999999997</v>
      </c>
      <c r="U1365" s="18">
        <v>0.16064999999999999</v>
      </c>
      <c r="V1365" s="18">
        <v>2.0563199999999999</v>
      </c>
      <c r="W1365" s="18">
        <v>1.9278</v>
      </c>
      <c r="X1365" s="18">
        <v>1.2851999999999999</v>
      </c>
      <c r="Y1365" s="18">
        <v>5.7119999999999997E-2</v>
      </c>
      <c r="Z1365" s="18">
        <v>0.25346999999999997</v>
      </c>
      <c r="AA1365" s="18">
        <v>0.37128</v>
      </c>
      <c r="AB1365" s="18">
        <v>0.66044999999999998</v>
      </c>
      <c r="AC1365" s="18">
        <v>0.20348999999999998</v>
      </c>
      <c r="AD1365" s="18">
        <v>1.071</v>
      </c>
    </row>
    <row r="1366" spans="2:30" x14ac:dyDescent="0.25">
      <c r="B1366" t="s">
        <v>269</v>
      </c>
      <c r="C1366" t="s">
        <v>570</v>
      </c>
      <c r="D1366" t="s">
        <v>749</v>
      </c>
      <c r="E1366" s="35">
        <v>0.9</v>
      </c>
      <c r="F1366" s="35">
        <v>6.6</v>
      </c>
      <c r="G1366" s="36">
        <v>3.5699999999999998E-3</v>
      </c>
      <c r="H1366" s="18">
        <v>6.4252979999999997</v>
      </c>
      <c r="I1366" s="16" t="s">
        <v>746</v>
      </c>
      <c r="J1366" s="16"/>
      <c r="K1366" s="16"/>
      <c r="L1366" s="37"/>
      <c r="M1366" s="37"/>
      <c r="N1366" s="37"/>
      <c r="O1366" s="37"/>
      <c r="P1366" s="37"/>
      <c r="Q1366" s="18">
        <v>3.9269999999999999E-2</v>
      </c>
      <c r="R1366" s="18">
        <v>2.6774999999999998E-4</v>
      </c>
      <c r="S1366" s="18">
        <v>7.4969999999999995E-2</v>
      </c>
      <c r="T1366" s="18">
        <v>0.32129999999999997</v>
      </c>
      <c r="U1366" s="18">
        <v>0.16064999999999999</v>
      </c>
      <c r="V1366" s="18">
        <v>2.0563199999999999</v>
      </c>
      <c r="W1366" s="18">
        <v>1.9278</v>
      </c>
      <c r="X1366" s="18">
        <v>1.2851999999999999</v>
      </c>
      <c r="Y1366" s="18">
        <v>5.7119999999999997E-2</v>
      </c>
      <c r="Z1366" s="18">
        <v>0.25346999999999997</v>
      </c>
      <c r="AA1366" s="18">
        <v>0.37128</v>
      </c>
      <c r="AB1366" s="18">
        <v>0.66044999999999998</v>
      </c>
      <c r="AC1366" s="18">
        <v>0.20348999999999998</v>
      </c>
      <c r="AD1366" s="18">
        <v>1.071</v>
      </c>
    </row>
    <row r="1367" spans="2:30" x14ac:dyDescent="0.25">
      <c r="B1367" t="s">
        <v>269</v>
      </c>
      <c r="C1367" t="s">
        <v>570</v>
      </c>
      <c r="D1367" t="s">
        <v>750</v>
      </c>
      <c r="E1367" s="35">
        <v>0.9</v>
      </c>
      <c r="F1367" s="35">
        <v>6.6</v>
      </c>
      <c r="G1367" s="36">
        <v>3.0200000000000001E-3</v>
      </c>
      <c r="H1367" s="18">
        <v>5.4352980000000004</v>
      </c>
      <c r="I1367" s="16" t="s">
        <v>746</v>
      </c>
      <c r="J1367" s="16"/>
      <c r="K1367" s="16"/>
      <c r="L1367" s="37"/>
      <c r="M1367" s="37"/>
      <c r="N1367" s="37"/>
      <c r="O1367" s="37"/>
      <c r="P1367" s="37"/>
      <c r="Q1367" s="18">
        <v>3.322E-2</v>
      </c>
      <c r="R1367" s="18">
        <v>2.265E-4</v>
      </c>
      <c r="S1367" s="18">
        <v>6.3420000000000004E-2</v>
      </c>
      <c r="T1367" s="18">
        <v>0.27179999999999999</v>
      </c>
      <c r="U1367" s="18">
        <v>0.13589999999999999</v>
      </c>
      <c r="V1367" s="18">
        <v>1.7395200000000002</v>
      </c>
      <c r="W1367" s="18">
        <v>1.6308</v>
      </c>
      <c r="X1367" s="18">
        <v>1.0871999999999999</v>
      </c>
      <c r="Y1367" s="18">
        <v>4.8320000000000002E-2</v>
      </c>
      <c r="Z1367" s="18">
        <v>0.21442</v>
      </c>
      <c r="AA1367" s="18">
        <v>0.31408000000000003</v>
      </c>
      <c r="AB1367" s="18">
        <v>0.55869999999999997</v>
      </c>
      <c r="AC1367" s="18">
        <v>0.17214000000000002</v>
      </c>
      <c r="AD1367" s="18">
        <v>0.90600000000000003</v>
      </c>
    </row>
    <row r="1368" spans="2:30" x14ac:dyDescent="0.25">
      <c r="B1368" t="s">
        <v>269</v>
      </c>
      <c r="C1368" t="s">
        <v>570</v>
      </c>
      <c r="D1368" t="s">
        <v>749</v>
      </c>
      <c r="E1368" s="35">
        <v>0.9</v>
      </c>
      <c r="F1368" s="35">
        <v>6.6</v>
      </c>
      <c r="G1368" s="36">
        <v>3.5699999999999998E-3</v>
      </c>
      <c r="H1368" s="18">
        <v>6.4252979999999997</v>
      </c>
      <c r="I1368" s="16" t="s">
        <v>746</v>
      </c>
      <c r="J1368" s="16"/>
      <c r="K1368" s="16"/>
      <c r="L1368" s="37"/>
      <c r="M1368" s="37"/>
      <c r="N1368" s="37"/>
      <c r="O1368" s="37"/>
      <c r="P1368" s="37"/>
      <c r="Q1368" s="18">
        <v>3.9269999999999999E-2</v>
      </c>
      <c r="R1368" s="18">
        <v>2.6774999999999998E-4</v>
      </c>
      <c r="S1368" s="18">
        <v>7.4969999999999995E-2</v>
      </c>
      <c r="T1368" s="18">
        <v>0.32129999999999997</v>
      </c>
      <c r="U1368" s="18">
        <v>0.16064999999999999</v>
      </c>
      <c r="V1368" s="18">
        <v>2.0563199999999999</v>
      </c>
      <c r="W1368" s="18">
        <v>1.9278</v>
      </c>
      <c r="X1368" s="18">
        <v>1.2851999999999999</v>
      </c>
      <c r="Y1368" s="18">
        <v>5.7119999999999997E-2</v>
      </c>
      <c r="Z1368" s="18">
        <v>0.25346999999999997</v>
      </c>
      <c r="AA1368" s="18">
        <v>0.37128</v>
      </c>
      <c r="AB1368" s="18">
        <v>0.66044999999999998</v>
      </c>
      <c r="AC1368" s="18">
        <v>0.20348999999999998</v>
      </c>
      <c r="AD1368" s="18">
        <v>1.071</v>
      </c>
    </row>
    <row r="1369" spans="2:30" x14ac:dyDescent="0.25">
      <c r="B1369" t="s">
        <v>269</v>
      </c>
      <c r="C1369" t="s">
        <v>570</v>
      </c>
      <c r="D1369" t="s">
        <v>750</v>
      </c>
      <c r="E1369" s="35">
        <v>0.9</v>
      </c>
      <c r="F1369" s="35">
        <v>6.6</v>
      </c>
      <c r="G1369" s="36">
        <v>3.0200000000000001E-3</v>
      </c>
      <c r="H1369" s="18">
        <v>5.4352980000000004</v>
      </c>
      <c r="I1369" s="16" t="s">
        <v>746</v>
      </c>
      <c r="J1369" s="16"/>
      <c r="K1369" s="16"/>
      <c r="L1369" s="37"/>
      <c r="M1369" s="37"/>
      <c r="N1369" s="37"/>
      <c r="O1369" s="37"/>
      <c r="P1369" s="37"/>
      <c r="Q1369" s="18">
        <v>3.322E-2</v>
      </c>
      <c r="R1369" s="18">
        <v>2.265E-4</v>
      </c>
      <c r="S1369" s="18">
        <v>6.3420000000000004E-2</v>
      </c>
      <c r="T1369" s="18">
        <v>0.27179999999999999</v>
      </c>
      <c r="U1369" s="18">
        <v>0.13589999999999999</v>
      </c>
      <c r="V1369" s="18">
        <v>1.7395200000000002</v>
      </c>
      <c r="W1369" s="18">
        <v>1.6308</v>
      </c>
      <c r="X1369" s="18">
        <v>1.0871999999999999</v>
      </c>
      <c r="Y1369" s="18">
        <v>4.8320000000000002E-2</v>
      </c>
      <c r="Z1369" s="18">
        <v>0.21442</v>
      </c>
      <c r="AA1369" s="18">
        <v>0.31408000000000003</v>
      </c>
      <c r="AB1369" s="18">
        <v>0.55869999999999997</v>
      </c>
      <c r="AC1369" s="18">
        <v>0.17214000000000002</v>
      </c>
      <c r="AD1369" s="18">
        <v>0.90600000000000003</v>
      </c>
    </row>
    <row r="1370" spans="2:30" x14ac:dyDescent="0.25">
      <c r="B1370" t="s">
        <v>269</v>
      </c>
      <c r="C1370" t="s">
        <v>570</v>
      </c>
      <c r="D1370" t="s">
        <v>749</v>
      </c>
      <c r="E1370" s="35">
        <v>0.9</v>
      </c>
      <c r="F1370" s="35">
        <v>6.6</v>
      </c>
      <c r="G1370" s="36">
        <v>3.5699999999999998E-3</v>
      </c>
      <c r="H1370" s="18">
        <v>6.4252979999999997</v>
      </c>
      <c r="I1370" s="16" t="s">
        <v>746</v>
      </c>
      <c r="J1370" s="16"/>
      <c r="K1370" s="16"/>
      <c r="L1370" s="37"/>
      <c r="M1370" s="37"/>
      <c r="N1370" s="37"/>
      <c r="O1370" s="37"/>
      <c r="P1370" s="37"/>
      <c r="Q1370" s="18">
        <v>3.9269999999999999E-2</v>
      </c>
      <c r="R1370" s="18">
        <v>2.6774999999999998E-4</v>
      </c>
      <c r="S1370" s="18">
        <v>7.4969999999999995E-2</v>
      </c>
      <c r="T1370" s="18">
        <v>0.32129999999999997</v>
      </c>
      <c r="U1370" s="18">
        <v>0.16064999999999999</v>
      </c>
      <c r="V1370" s="18">
        <v>2.0563199999999999</v>
      </c>
      <c r="W1370" s="18">
        <v>1.9278</v>
      </c>
      <c r="X1370" s="18">
        <v>1.2851999999999999</v>
      </c>
      <c r="Y1370" s="18">
        <v>5.7119999999999997E-2</v>
      </c>
      <c r="Z1370" s="18">
        <v>0.25346999999999997</v>
      </c>
      <c r="AA1370" s="18">
        <v>0.37128</v>
      </c>
      <c r="AB1370" s="18">
        <v>0.66044999999999998</v>
      </c>
      <c r="AC1370" s="18">
        <v>0.20348999999999998</v>
      </c>
      <c r="AD1370" s="18">
        <v>1.071</v>
      </c>
    </row>
    <row r="1371" spans="2:30" x14ac:dyDescent="0.25">
      <c r="B1371" t="s">
        <v>269</v>
      </c>
      <c r="C1371" t="s">
        <v>570</v>
      </c>
      <c r="D1371" t="s">
        <v>749</v>
      </c>
      <c r="E1371" s="35">
        <v>0.9</v>
      </c>
      <c r="F1371" s="35">
        <v>6.6</v>
      </c>
      <c r="G1371" s="36">
        <v>3.5699999999999998E-3</v>
      </c>
      <c r="H1371" s="18">
        <v>6.4252979999999997</v>
      </c>
      <c r="I1371" s="16" t="s">
        <v>746</v>
      </c>
      <c r="J1371" s="16"/>
      <c r="K1371" s="16"/>
      <c r="L1371" s="37"/>
      <c r="M1371" s="37"/>
      <c r="N1371" s="37"/>
      <c r="O1371" s="37"/>
      <c r="P1371" s="37"/>
      <c r="Q1371" s="18">
        <v>3.9269999999999999E-2</v>
      </c>
      <c r="R1371" s="18">
        <v>2.6774999999999998E-4</v>
      </c>
      <c r="S1371" s="18">
        <v>7.4969999999999995E-2</v>
      </c>
      <c r="T1371" s="18">
        <v>0.32129999999999997</v>
      </c>
      <c r="U1371" s="18">
        <v>0.16064999999999999</v>
      </c>
      <c r="V1371" s="18">
        <v>2.0563199999999999</v>
      </c>
      <c r="W1371" s="18">
        <v>1.9278</v>
      </c>
      <c r="X1371" s="18">
        <v>1.2851999999999999</v>
      </c>
      <c r="Y1371" s="18">
        <v>5.7119999999999997E-2</v>
      </c>
      <c r="Z1371" s="18">
        <v>0.25346999999999997</v>
      </c>
      <c r="AA1371" s="18">
        <v>0.37128</v>
      </c>
      <c r="AB1371" s="18">
        <v>0.66044999999999998</v>
      </c>
      <c r="AC1371" s="18">
        <v>0.20348999999999998</v>
      </c>
      <c r="AD1371" s="18">
        <v>1.071</v>
      </c>
    </row>
    <row r="1372" spans="2:30" x14ac:dyDescent="0.25">
      <c r="B1372" t="s">
        <v>269</v>
      </c>
      <c r="C1372" t="s">
        <v>570</v>
      </c>
      <c r="D1372" t="s">
        <v>747</v>
      </c>
      <c r="E1372" s="35">
        <v>0.9</v>
      </c>
      <c r="F1372" s="35">
        <v>6.6</v>
      </c>
      <c r="G1372" s="36">
        <v>4.9449999999999997E-3</v>
      </c>
      <c r="H1372" s="18">
        <v>8.9002979999999994</v>
      </c>
      <c r="I1372" s="16" t="s">
        <v>746</v>
      </c>
      <c r="J1372" s="16"/>
      <c r="K1372" s="16"/>
      <c r="L1372" s="37"/>
      <c r="M1372" s="37"/>
      <c r="N1372" s="37"/>
      <c r="O1372" s="37"/>
      <c r="P1372" s="37"/>
      <c r="Q1372" s="18">
        <v>5.4394999999999999E-2</v>
      </c>
      <c r="R1372" s="18">
        <v>3.7087499999999995E-4</v>
      </c>
      <c r="S1372" s="18">
        <v>0.10384499999999999</v>
      </c>
      <c r="T1372" s="18">
        <v>0.44505</v>
      </c>
      <c r="U1372" s="18">
        <v>0.222525</v>
      </c>
      <c r="V1372" s="18">
        <v>2.8483199999999997</v>
      </c>
      <c r="W1372" s="18">
        <v>2.6702999999999997</v>
      </c>
      <c r="X1372" s="18">
        <v>1.7802</v>
      </c>
      <c r="Y1372" s="18">
        <v>7.9119999999999996E-2</v>
      </c>
      <c r="Z1372" s="18">
        <v>0.35109499999999999</v>
      </c>
      <c r="AA1372" s="18">
        <v>0.51427999999999996</v>
      </c>
      <c r="AB1372" s="18">
        <v>0.914825</v>
      </c>
      <c r="AC1372" s="18">
        <v>0.28186499999999998</v>
      </c>
      <c r="AD1372" s="18">
        <v>1.4834999999999998</v>
      </c>
    </row>
    <row r="1373" spans="2:30" x14ac:dyDescent="0.25">
      <c r="B1373" t="s">
        <v>269</v>
      </c>
      <c r="C1373" t="s">
        <v>570</v>
      </c>
      <c r="D1373" t="s">
        <v>747</v>
      </c>
      <c r="E1373" s="35">
        <v>0.9</v>
      </c>
      <c r="F1373" s="35">
        <v>6.6</v>
      </c>
      <c r="G1373" s="36">
        <v>4.9449999999999997E-3</v>
      </c>
      <c r="H1373" s="18">
        <v>8.9002979999999994</v>
      </c>
      <c r="I1373" s="16" t="s">
        <v>746</v>
      </c>
      <c r="J1373" s="16"/>
      <c r="K1373" s="16"/>
      <c r="L1373" s="37"/>
      <c r="M1373" s="37"/>
      <c r="N1373" s="37"/>
      <c r="O1373" s="37"/>
      <c r="P1373" s="37"/>
      <c r="Q1373" s="18">
        <v>5.4394999999999999E-2</v>
      </c>
      <c r="R1373" s="18">
        <v>3.7087499999999995E-4</v>
      </c>
      <c r="S1373" s="18">
        <v>0.10384499999999999</v>
      </c>
      <c r="T1373" s="18">
        <v>0.44505</v>
      </c>
      <c r="U1373" s="18">
        <v>0.222525</v>
      </c>
      <c r="V1373" s="18">
        <v>2.8483199999999997</v>
      </c>
      <c r="W1373" s="18">
        <v>2.6702999999999997</v>
      </c>
      <c r="X1373" s="18">
        <v>1.7802</v>
      </c>
      <c r="Y1373" s="18">
        <v>7.9119999999999996E-2</v>
      </c>
      <c r="Z1373" s="18">
        <v>0.35109499999999999</v>
      </c>
      <c r="AA1373" s="18">
        <v>0.51427999999999996</v>
      </c>
      <c r="AB1373" s="18">
        <v>0.914825</v>
      </c>
      <c r="AC1373" s="18">
        <v>0.28186499999999998</v>
      </c>
      <c r="AD1373" s="18">
        <v>1.4834999999999998</v>
      </c>
    </row>
    <row r="1374" spans="2:30" x14ac:dyDescent="0.25">
      <c r="B1374" t="s">
        <v>269</v>
      </c>
      <c r="C1374" t="s">
        <v>570</v>
      </c>
      <c r="D1374" t="s">
        <v>748</v>
      </c>
      <c r="E1374" s="35">
        <v>0.9</v>
      </c>
      <c r="F1374" s="35">
        <v>6.6</v>
      </c>
      <c r="G1374" s="36">
        <v>4.1200000000000004E-3</v>
      </c>
      <c r="H1374" s="18">
        <v>7.4152979999999999</v>
      </c>
      <c r="I1374" s="16" t="s">
        <v>746</v>
      </c>
      <c r="J1374" s="16"/>
      <c r="K1374" s="16"/>
      <c r="L1374" s="37"/>
      <c r="M1374" s="37"/>
      <c r="N1374" s="37"/>
      <c r="O1374" s="37"/>
      <c r="P1374" s="37"/>
      <c r="Q1374" s="18">
        <v>4.5320000000000006E-2</v>
      </c>
      <c r="R1374" s="18">
        <v>3.0900000000000003E-4</v>
      </c>
      <c r="S1374" s="18">
        <v>8.6520000000000014E-2</v>
      </c>
      <c r="T1374" s="18">
        <v>0.37080000000000002</v>
      </c>
      <c r="U1374" s="18">
        <v>0.18540000000000001</v>
      </c>
      <c r="V1374" s="18">
        <v>2.3731200000000001</v>
      </c>
      <c r="W1374" s="18">
        <v>2.2248000000000001</v>
      </c>
      <c r="X1374" s="18">
        <v>1.4832000000000001</v>
      </c>
      <c r="Y1374" s="18">
        <v>6.5920000000000006E-2</v>
      </c>
      <c r="Z1374" s="18">
        <v>0.29252</v>
      </c>
      <c r="AA1374" s="18">
        <v>0.42848000000000003</v>
      </c>
      <c r="AB1374" s="18">
        <v>0.7622000000000001</v>
      </c>
      <c r="AC1374" s="18">
        <v>0.23484000000000002</v>
      </c>
      <c r="AD1374" s="18">
        <v>1.2360000000000002</v>
      </c>
    </row>
    <row r="1375" spans="2:30" x14ac:dyDescent="0.25">
      <c r="B1375" t="s">
        <v>269</v>
      </c>
      <c r="C1375" t="s">
        <v>570</v>
      </c>
      <c r="D1375" t="s">
        <v>748</v>
      </c>
      <c r="E1375" s="35">
        <v>0.9</v>
      </c>
      <c r="F1375" s="35">
        <v>6.6</v>
      </c>
      <c r="G1375" s="36">
        <v>4.1200000000000004E-3</v>
      </c>
      <c r="H1375" s="18">
        <v>7.4152979999999999</v>
      </c>
      <c r="I1375" s="16" t="s">
        <v>746</v>
      </c>
      <c r="J1375" s="16"/>
      <c r="K1375" s="16"/>
      <c r="L1375" s="37"/>
      <c r="M1375" s="37"/>
      <c r="N1375" s="37"/>
      <c r="O1375" s="37"/>
      <c r="P1375" s="37"/>
      <c r="Q1375" s="18">
        <v>4.5320000000000006E-2</v>
      </c>
      <c r="R1375" s="18">
        <v>3.0900000000000003E-4</v>
      </c>
      <c r="S1375" s="18">
        <v>8.6520000000000014E-2</v>
      </c>
      <c r="T1375" s="18">
        <v>0.37080000000000002</v>
      </c>
      <c r="U1375" s="18">
        <v>0.18540000000000001</v>
      </c>
      <c r="V1375" s="18">
        <v>2.3731200000000001</v>
      </c>
      <c r="W1375" s="18">
        <v>2.2248000000000001</v>
      </c>
      <c r="X1375" s="18">
        <v>1.4832000000000001</v>
      </c>
      <c r="Y1375" s="18">
        <v>6.5920000000000006E-2</v>
      </c>
      <c r="Z1375" s="18">
        <v>0.29252</v>
      </c>
      <c r="AA1375" s="18">
        <v>0.42848000000000003</v>
      </c>
      <c r="AB1375" s="18">
        <v>0.7622000000000001</v>
      </c>
      <c r="AC1375" s="18">
        <v>0.23484000000000002</v>
      </c>
      <c r="AD1375" s="18">
        <v>1.2360000000000002</v>
      </c>
    </row>
    <row r="1376" spans="2:30" x14ac:dyDescent="0.25">
      <c r="B1376" t="s">
        <v>269</v>
      </c>
      <c r="C1376" t="s">
        <v>570</v>
      </c>
      <c r="D1376" t="s">
        <v>747</v>
      </c>
      <c r="E1376" s="35">
        <v>0.9</v>
      </c>
      <c r="F1376" s="35">
        <v>6.6</v>
      </c>
      <c r="G1376" s="36">
        <v>4.9449999999999997E-3</v>
      </c>
      <c r="H1376" s="18">
        <v>8.9002979999999994</v>
      </c>
      <c r="I1376" s="16" t="s">
        <v>746</v>
      </c>
      <c r="J1376" s="16"/>
      <c r="K1376" s="16"/>
      <c r="L1376" s="37"/>
      <c r="M1376" s="37"/>
      <c r="N1376" s="37"/>
      <c r="O1376" s="37"/>
      <c r="P1376" s="37"/>
      <c r="Q1376" s="18">
        <v>5.4394999999999999E-2</v>
      </c>
      <c r="R1376" s="18">
        <v>3.7087499999999995E-4</v>
      </c>
      <c r="S1376" s="18">
        <v>0.10384499999999999</v>
      </c>
      <c r="T1376" s="18">
        <v>0.44505</v>
      </c>
      <c r="U1376" s="18">
        <v>0.222525</v>
      </c>
      <c r="V1376" s="18">
        <v>2.8483199999999997</v>
      </c>
      <c r="W1376" s="18">
        <v>2.6702999999999997</v>
      </c>
      <c r="X1376" s="18">
        <v>1.7802</v>
      </c>
      <c r="Y1376" s="18">
        <v>7.9119999999999996E-2</v>
      </c>
      <c r="Z1376" s="18">
        <v>0.35109499999999999</v>
      </c>
      <c r="AA1376" s="18">
        <v>0.51427999999999996</v>
      </c>
      <c r="AB1376" s="18">
        <v>0.914825</v>
      </c>
      <c r="AC1376" s="18">
        <v>0.28186499999999998</v>
      </c>
      <c r="AD1376" s="18">
        <v>1.4834999999999998</v>
      </c>
    </row>
    <row r="1377" spans="2:30" x14ac:dyDescent="0.25">
      <c r="B1377" t="s">
        <v>269</v>
      </c>
      <c r="C1377" t="s">
        <v>570</v>
      </c>
      <c r="D1377" t="s">
        <v>748</v>
      </c>
      <c r="E1377" s="35">
        <v>0.9</v>
      </c>
      <c r="F1377" s="35">
        <v>6.6</v>
      </c>
      <c r="G1377" s="36">
        <v>4.1200000000000004E-3</v>
      </c>
      <c r="H1377" s="18">
        <v>7.4152979999999999</v>
      </c>
      <c r="I1377" s="16" t="s">
        <v>746</v>
      </c>
      <c r="J1377" s="16"/>
      <c r="K1377" s="16"/>
      <c r="L1377" s="37"/>
      <c r="M1377" s="37"/>
      <c r="N1377" s="37"/>
      <c r="O1377" s="37"/>
      <c r="P1377" s="37"/>
      <c r="Q1377" s="18">
        <v>4.5320000000000006E-2</v>
      </c>
      <c r="R1377" s="18">
        <v>3.0900000000000003E-4</v>
      </c>
      <c r="S1377" s="18">
        <v>8.6520000000000014E-2</v>
      </c>
      <c r="T1377" s="18">
        <v>0.37080000000000002</v>
      </c>
      <c r="U1377" s="18">
        <v>0.18540000000000001</v>
      </c>
      <c r="V1377" s="18">
        <v>2.3731200000000001</v>
      </c>
      <c r="W1377" s="18">
        <v>2.2248000000000001</v>
      </c>
      <c r="X1377" s="18">
        <v>1.4832000000000001</v>
      </c>
      <c r="Y1377" s="18">
        <v>6.5920000000000006E-2</v>
      </c>
      <c r="Z1377" s="18">
        <v>0.29252</v>
      </c>
      <c r="AA1377" s="18">
        <v>0.42848000000000003</v>
      </c>
      <c r="AB1377" s="18">
        <v>0.7622000000000001</v>
      </c>
      <c r="AC1377" s="18">
        <v>0.23484000000000002</v>
      </c>
      <c r="AD1377" s="18">
        <v>1.2360000000000002</v>
      </c>
    </row>
    <row r="1378" spans="2:30" x14ac:dyDescent="0.25">
      <c r="B1378" t="s">
        <v>269</v>
      </c>
      <c r="C1378" t="s">
        <v>570</v>
      </c>
      <c r="D1378" t="s">
        <v>748</v>
      </c>
      <c r="E1378" s="35">
        <v>0.9</v>
      </c>
      <c r="F1378" s="35">
        <v>6.6</v>
      </c>
      <c r="G1378" s="36">
        <v>4.1200000000000004E-3</v>
      </c>
      <c r="H1378" s="18">
        <v>7.4152979999999999</v>
      </c>
      <c r="I1378" s="16" t="s">
        <v>746</v>
      </c>
      <c r="J1378" s="16"/>
      <c r="K1378" s="16"/>
      <c r="L1378" s="37"/>
      <c r="M1378" s="37"/>
      <c r="N1378" s="37"/>
      <c r="O1378" s="37"/>
      <c r="P1378" s="37"/>
      <c r="Q1378" s="18">
        <v>4.5320000000000006E-2</v>
      </c>
      <c r="R1378" s="18">
        <v>3.0900000000000003E-4</v>
      </c>
      <c r="S1378" s="18">
        <v>8.6520000000000014E-2</v>
      </c>
      <c r="T1378" s="18">
        <v>0.37080000000000002</v>
      </c>
      <c r="U1378" s="18">
        <v>0.18540000000000001</v>
      </c>
      <c r="V1378" s="18">
        <v>2.3731200000000001</v>
      </c>
      <c r="W1378" s="18">
        <v>2.2248000000000001</v>
      </c>
      <c r="X1378" s="18">
        <v>1.4832000000000001</v>
      </c>
      <c r="Y1378" s="18">
        <v>6.5920000000000006E-2</v>
      </c>
      <c r="Z1378" s="18">
        <v>0.29252</v>
      </c>
      <c r="AA1378" s="18">
        <v>0.42848000000000003</v>
      </c>
      <c r="AB1378" s="18">
        <v>0.7622000000000001</v>
      </c>
      <c r="AC1378" s="18">
        <v>0.23484000000000002</v>
      </c>
      <c r="AD1378" s="18">
        <v>1.2360000000000002</v>
      </c>
    </row>
    <row r="1379" spans="2:30" x14ac:dyDescent="0.25">
      <c r="B1379" t="s">
        <v>269</v>
      </c>
      <c r="C1379" t="s">
        <v>570</v>
      </c>
      <c r="D1379" t="s">
        <v>747</v>
      </c>
      <c r="E1379" s="35">
        <v>0.9</v>
      </c>
      <c r="F1379" s="35">
        <v>6.6</v>
      </c>
      <c r="G1379" s="36">
        <v>4.9449999999999997E-3</v>
      </c>
      <c r="H1379" s="18">
        <v>8.9002979999999994</v>
      </c>
      <c r="I1379" s="16" t="s">
        <v>746</v>
      </c>
      <c r="J1379" s="16"/>
      <c r="K1379" s="16"/>
      <c r="L1379" s="37"/>
      <c r="M1379" s="37"/>
      <c r="N1379" s="37"/>
      <c r="O1379" s="37"/>
      <c r="P1379" s="37"/>
      <c r="Q1379" s="18">
        <v>5.4394999999999999E-2</v>
      </c>
      <c r="R1379" s="18">
        <v>3.7087499999999995E-4</v>
      </c>
      <c r="S1379" s="18">
        <v>0.10384499999999999</v>
      </c>
      <c r="T1379" s="18">
        <v>0.44505</v>
      </c>
      <c r="U1379" s="18">
        <v>0.222525</v>
      </c>
      <c r="V1379" s="18">
        <v>2.8483199999999997</v>
      </c>
      <c r="W1379" s="18">
        <v>2.6702999999999997</v>
      </c>
      <c r="X1379" s="18">
        <v>1.7802</v>
      </c>
      <c r="Y1379" s="18">
        <v>7.9119999999999996E-2</v>
      </c>
      <c r="Z1379" s="18">
        <v>0.35109499999999999</v>
      </c>
      <c r="AA1379" s="18">
        <v>0.51427999999999996</v>
      </c>
      <c r="AB1379" s="18">
        <v>0.914825</v>
      </c>
      <c r="AC1379" s="18">
        <v>0.28186499999999998</v>
      </c>
      <c r="AD1379" s="18">
        <v>1.4834999999999998</v>
      </c>
    </row>
    <row r="1380" spans="2:30" x14ac:dyDescent="0.25">
      <c r="B1380" t="s">
        <v>269</v>
      </c>
      <c r="C1380" t="s">
        <v>570</v>
      </c>
      <c r="D1380" t="s">
        <v>747</v>
      </c>
      <c r="E1380" s="35">
        <v>0.9</v>
      </c>
      <c r="F1380" s="35">
        <v>6.6</v>
      </c>
      <c r="G1380" s="36">
        <v>4.9449999999999997E-3</v>
      </c>
      <c r="H1380" s="18">
        <v>8.9002979999999994</v>
      </c>
      <c r="I1380" s="16" t="s">
        <v>746</v>
      </c>
      <c r="J1380" s="16"/>
      <c r="K1380" s="16"/>
      <c r="L1380" s="37"/>
      <c r="M1380" s="37"/>
      <c r="N1380" s="37"/>
      <c r="O1380" s="37"/>
      <c r="P1380" s="37"/>
      <c r="Q1380" s="18">
        <v>5.4394999999999999E-2</v>
      </c>
      <c r="R1380" s="18">
        <v>3.7087499999999995E-4</v>
      </c>
      <c r="S1380" s="18">
        <v>0.10384499999999999</v>
      </c>
      <c r="T1380" s="18">
        <v>0.44505</v>
      </c>
      <c r="U1380" s="18">
        <v>0.222525</v>
      </c>
      <c r="V1380" s="18">
        <v>2.8483199999999997</v>
      </c>
      <c r="W1380" s="18">
        <v>2.6702999999999997</v>
      </c>
      <c r="X1380" s="18">
        <v>1.7802</v>
      </c>
      <c r="Y1380" s="18">
        <v>7.9119999999999996E-2</v>
      </c>
      <c r="Z1380" s="18">
        <v>0.35109499999999999</v>
      </c>
      <c r="AA1380" s="18">
        <v>0.51427999999999996</v>
      </c>
      <c r="AB1380" s="18">
        <v>0.914825</v>
      </c>
      <c r="AC1380" s="18">
        <v>0.28186499999999998</v>
      </c>
      <c r="AD1380" s="18">
        <v>1.4834999999999998</v>
      </c>
    </row>
    <row r="1381" spans="2:30" x14ac:dyDescent="0.25">
      <c r="B1381" t="s">
        <v>269</v>
      </c>
      <c r="C1381" t="s">
        <v>570</v>
      </c>
      <c r="D1381" t="s">
        <v>748</v>
      </c>
      <c r="E1381" s="35">
        <v>0.9</v>
      </c>
      <c r="F1381" s="35">
        <v>6.6</v>
      </c>
      <c r="G1381" s="36">
        <v>4.1200000000000004E-3</v>
      </c>
      <c r="H1381" s="18">
        <v>7.4152979999999999</v>
      </c>
      <c r="I1381" s="16" t="s">
        <v>746</v>
      </c>
      <c r="J1381" s="16"/>
      <c r="K1381" s="16"/>
      <c r="L1381" s="37"/>
      <c r="M1381" s="37"/>
      <c r="N1381" s="37"/>
      <c r="O1381" s="37"/>
      <c r="P1381" s="37"/>
      <c r="Q1381" s="18">
        <v>4.5320000000000006E-2</v>
      </c>
      <c r="R1381" s="18">
        <v>3.0900000000000003E-4</v>
      </c>
      <c r="S1381" s="18">
        <v>8.6520000000000014E-2</v>
      </c>
      <c r="T1381" s="18">
        <v>0.37080000000000002</v>
      </c>
      <c r="U1381" s="18">
        <v>0.18540000000000001</v>
      </c>
      <c r="V1381" s="18">
        <v>2.3731200000000001</v>
      </c>
      <c r="W1381" s="18">
        <v>2.2248000000000001</v>
      </c>
      <c r="X1381" s="18">
        <v>1.4832000000000001</v>
      </c>
      <c r="Y1381" s="18">
        <v>6.5920000000000006E-2</v>
      </c>
      <c r="Z1381" s="18">
        <v>0.29252</v>
      </c>
      <c r="AA1381" s="18">
        <v>0.42848000000000003</v>
      </c>
      <c r="AB1381" s="18">
        <v>0.7622000000000001</v>
      </c>
      <c r="AC1381" s="18">
        <v>0.23484000000000002</v>
      </c>
      <c r="AD1381" s="18">
        <v>1.2360000000000002</v>
      </c>
    </row>
    <row r="1382" spans="2:30" x14ac:dyDescent="0.25">
      <c r="B1382" t="s">
        <v>269</v>
      </c>
      <c r="C1382" t="s">
        <v>570</v>
      </c>
      <c r="D1382" t="s">
        <v>747</v>
      </c>
      <c r="E1382" s="35">
        <v>0.9</v>
      </c>
      <c r="F1382" s="35">
        <v>6.6</v>
      </c>
      <c r="G1382" s="36">
        <v>4.9449999999999997E-3</v>
      </c>
      <c r="H1382" s="18">
        <v>8.9002979999999994</v>
      </c>
      <c r="I1382" s="16" t="s">
        <v>746</v>
      </c>
      <c r="J1382" s="16"/>
      <c r="K1382" s="16"/>
      <c r="L1382" s="37"/>
      <c r="M1382" s="37"/>
      <c r="N1382" s="37"/>
      <c r="O1382" s="37"/>
      <c r="P1382" s="37"/>
      <c r="Q1382" s="18">
        <v>5.4394999999999999E-2</v>
      </c>
      <c r="R1382" s="18">
        <v>3.7087499999999995E-4</v>
      </c>
      <c r="S1382" s="18">
        <v>0.10384499999999999</v>
      </c>
      <c r="T1382" s="18">
        <v>0.44505</v>
      </c>
      <c r="U1382" s="18">
        <v>0.222525</v>
      </c>
      <c r="V1382" s="18">
        <v>2.8483199999999997</v>
      </c>
      <c r="W1382" s="18">
        <v>2.6702999999999997</v>
      </c>
      <c r="X1382" s="18">
        <v>1.7802</v>
      </c>
      <c r="Y1382" s="18">
        <v>7.9119999999999996E-2</v>
      </c>
      <c r="Z1382" s="18">
        <v>0.35109499999999999</v>
      </c>
      <c r="AA1382" s="18">
        <v>0.51427999999999996</v>
      </c>
      <c r="AB1382" s="18">
        <v>0.914825</v>
      </c>
      <c r="AC1382" s="18">
        <v>0.28186499999999998</v>
      </c>
      <c r="AD1382" s="18">
        <v>1.4834999999999998</v>
      </c>
    </row>
    <row r="1383" spans="2:30" x14ac:dyDescent="0.25">
      <c r="B1383" t="s">
        <v>269</v>
      </c>
      <c r="C1383" t="s">
        <v>570</v>
      </c>
      <c r="D1383" t="s">
        <v>748</v>
      </c>
      <c r="E1383" s="35">
        <v>0.9</v>
      </c>
      <c r="F1383" s="35">
        <v>6.6</v>
      </c>
      <c r="G1383" s="36">
        <v>4.1200000000000004E-3</v>
      </c>
      <c r="H1383" s="18">
        <v>7.4152979999999999</v>
      </c>
      <c r="I1383" s="16" t="s">
        <v>746</v>
      </c>
      <c r="J1383" s="16"/>
      <c r="K1383" s="16"/>
      <c r="L1383" s="37"/>
      <c r="M1383" s="37"/>
      <c r="N1383" s="37"/>
      <c r="O1383" s="37"/>
      <c r="P1383" s="37"/>
      <c r="Q1383" s="18">
        <v>4.5320000000000006E-2</v>
      </c>
      <c r="R1383" s="18">
        <v>3.0900000000000003E-4</v>
      </c>
      <c r="S1383" s="18">
        <v>8.6520000000000014E-2</v>
      </c>
      <c r="T1383" s="18">
        <v>0.37080000000000002</v>
      </c>
      <c r="U1383" s="18">
        <v>0.18540000000000001</v>
      </c>
      <c r="V1383" s="18">
        <v>2.3731200000000001</v>
      </c>
      <c r="W1383" s="18">
        <v>2.2248000000000001</v>
      </c>
      <c r="X1383" s="18">
        <v>1.4832000000000001</v>
      </c>
      <c r="Y1383" s="18">
        <v>6.5920000000000006E-2</v>
      </c>
      <c r="Z1383" s="18">
        <v>0.29252</v>
      </c>
      <c r="AA1383" s="18">
        <v>0.42848000000000003</v>
      </c>
      <c r="AB1383" s="18">
        <v>0.7622000000000001</v>
      </c>
      <c r="AC1383" s="18">
        <v>0.23484000000000002</v>
      </c>
      <c r="AD1383" s="18">
        <v>1.2360000000000002</v>
      </c>
    </row>
    <row r="1384" spans="2:30" x14ac:dyDescent="0.25">
      <c r="B1384" t="s">
        <v>269</v>
      </c>
      <c r="C1384" t="s">
        <v>570</v>
      </c>
      <c r="D1384" t="s">
        <v>747</v>
      </c>
      <c r="E1384" s="35">
        <v>0.9</v>
      </c>
      <c r="F1384" s="35">
        <v>6.6</v>
      </c>
      <c r="G1384" s="36">
        <v>4.9449999999999997E-3</v>
      </c>
      <c r="H1384" s="18">
        <v>8.9002979999999994</v>
      </c>
      <c r="I1384" s="16" t="s">
        <v>746</v>
      </c>
      <c r="J1384" s="16"/>
      <c r="K1384" s="16"/>
      <c r="L1384" s="37"/>
      <c r="M1384" s="37"/>
      <c r="N1384" s="37"/>
      <c r="O1384" s="37"/>
      <c r="P1384" s="37"/>
      <c r="Q1384" s="18">
        <v>5.4394999999999999E-2</v>
      </c>
      <c r="R1384" s="18">
        <v>3.7087499999999995E-4</v>
      </c>
      <c r="S1384" s="18">
        <v>0.10384499999999999</v>
      </c>
      <c r="T1384" s="18">
        <v>0.44505</v>
      </c>
      <c r="U1384" s="18">
        <v>0.222525</v>
      </c>
      <c r="V1384" s="18">
        <v>2.8483199999999997</v>
      </c>
      <c r="W1384" s="18">
        <v>2.6702999999999997</v>
      </c>
      <c r="X1384" s="18">
        <v>1.7802</v>
      </c>
      <c r="Y1384" s="18">
        <v>7.9119999999999996E-2</v>
      </c>
      <c r="Z1384" s="18">
        <v>0.35109499999999999</v>
      </c>
      <c r="AA1384" s="18">
        <v>0.51427999999999996</v>
      </c>
      <c r="AB1384" s="18">
        <v>0.914825</v>
      </c>
      <c r="AC1384" s="18">
        <v>0.28186499999999998</v>
      </c>
      <c r="AD1384" s="18">
        <v>1.4834999999999998</v>
      </c>
    </row>
    <row r="1385" spans="2:30" x14ac:dyDescent="0.25">
      <c r="B1385" t="s">
        <v>269</v>
      </c>
      <c r="C1385" t="s">
        <v>570</v>
      </c>
      <c r="D1385" t="s">
        <v>748</v>
      </c>
      <c r="E1385" s="35">
        <v>0.9</v>
      </c>
      <c r="F1385" s="35">
        <v>6.6</v>
      </c>
      <c r="G1385" s="36">
        <v>4.1200000000000004E-3</v>
      </c>
      <c r="H1385" s="18">
        <v>7.4152979999999999</v>
      </c>
      <c r="I1385" s="16" t="s">
        <v>746</v>
      </c>
      <c r="J1385" s="16"/>
      <c r="K1385" s="16"/>
      <c r="L1385" s="37"/>
      <c r="M1385" s="37"/>
      <c r="N1385" s="37"/>
      <c r="O1385" s="37"/>
      <c r="P1385" s="37"/>
      <c r="Q1385" s="18">
        <v>4.5320000000000006E-2</v>
      </c>
      <c r="R1385" s="18">
        <v>3.0900000000000003E-4</v>
      </c>
      <c r="S1385" s="18">
        <v>8.6520000000000014E-2</v>
      </c>
      <c r="T1385" s="18">
        <v>0.37080000000000002</v>
      </c>
      <c r="U1385" s="18">
        <v>0.18540000000000001</v>
      </c>
      <c r="V1385" s="18">
        <v>2.3731200000000001</v>
      </c>
      <c r="W1385" s="18">
        <v>2.2248000000000001</v>
      </c>
      <c r="X1385" s="18">
        <v>1.4832000000000001</v>
      </c>
      <c r="Y1385" s="18">
        <v>6.5920000000000006E-2</v>
      </c>
      <c r="Z1385" s="18">
        <v>0.29252</v>
      </c>
      <c r="AA1385" s="18">
        <v>0.42848000000000003</v>
      </c>
      <c r="AB1385" s="18">
        <v>0.7622000000000001</v>
      </c>
      <c r="AC1385" s="18">
        <v>0.23484000000000002</v>
      </c>
      <c r="AD1385" s="18">
        <v>1.2360000000000002</v>
      </c>
    </row>
    <row r="1386" spans="2:30" x14ac:dyDescent="0.25">
      <c r="B1386" t="s">
        <v>269</v>
      </c>
      <c r="C1386" t="s">
        <v>570</v>
      </c>
      <c r="D1386" t="s">
        <v>750</v>
      </c>
      <c r="E1386" s="35">
        <v>0.9</v>
      </c>
      <c r="F1386" s="35">
        <v>6.6</v>
      </c>
      <c r="G1386" s="36">
        <v>3.0200000000000001E-3</v>
      </c>
      <c r="H1386" s="18">
        <v>5.4352980000000004</v>
      </c>
      <c r="I1386" s="16" t="s">
        <v>746</v>
      </c>
      <c r="J1386" s="16"/>
      <c r="K1386" s="16"/>
      <c r="L1386" s="37"/>
      <c r="M1386" s="37"/>
      <c r="N1386" s="37"/>
      <c r="O1386" s="37"/>
      <c r="P1386" s="37"/>
      <c r="Q1386" s="18">
        <v>3.322E-2</v>
      </c>
      <c r="R1386" s="18">
        <v>2.265E-4</v>
      </c>
      <c r="S1386" s="18">
        <v>6.3420000000000004E-2</v>
      </c>
      <c r="T1386" s="18">
        <v>0.27179999999999999</v>
      </c>
      <c r="U1386" s="18">
        <v>0.13589999999999999</v>
      </c>
      <c r="V1386" s="18">
        <v>1.7395200000000002</v>
      </c>
      <c r="W1386" s="18">
        <v>1.6308</v>
      </c>
      <c r="X1386" s="18">
        <v>1.0871999999999999</v>
      </c>
      <c r="Y1386" s="18">
        <v>4.8320000000000002E-2</v>
      </c>
      <c r="Z1386" s="18">
        <v>0.21442</v>
      </c>
      <c r="AA1386" s="18">
        <v>0.31408000000000003</v>
      </c>
      <c r="AB1386" s="18">
        <v>0.55869999999999997</v>
      </c>
      <c r="AC1386" s="18">
        <v>0.17214000000000002</v>
      </c>
      <c r="AD1386" s="18">
        <v>0.90600000000000003</v>
      </c>
    </row>
    <row r="1387" spans="2:30" x14ac:dyDescent="0.25">
      <c r="B1387" t="s">
        <v>269</v>
      </c>
      <c r="C1387" t="s">
        <v>463</v>
      </c>
      <c r="D1387" t="s">
        <v>757</v>
      </c>
      <c r="E1387" s="35">
        <v>0.9</v>
      </c>
      <c r="F1387" s="35">
        <v>6.6</v>
      </c>
      <c r="G1387" s="36">
        <v>6.3682000000000002E-2</v>
      </c>
      <c r="H1387" s="18">
        <v>114.627583</v>
      </c>
      <c r="I1387" s="16" t="s">
        <v>746</v>
      </c>
      <c r="J1387" s="16"/>
      <c r="K1387" s="16"/>
      <c r="L1387" s="37"/>
      <c r="M1387" s="37"/>
      <c r="N1387" s="37"/>
      <c r="O1387" s="37"/>
      <c r="P1387" s="37"/>
      <c r="Q1387" s="18">
        <v>0.70050200000000007</v>
      </c>
      <c r="R1387" s="18">
        <v>4.7761499999999998E-3</v>
      </c>
      <c r="S1387" s="18">
        <v>1.3373220000000001</v>
      </c>
      <c r="T1387" s="18">
        <v>5.7313800000000006</v>
      </c>
      <c r="U1387" s="18">
        <v>2.8656900000000003</v>
      </c>
      <c r="V1387" s="18">
        <v>36.680832000000002</v>
      </c>
      <c r="W1387" s="18">
        <v>34.388280000000002</v>
      </c>
      <c r="X1387" s="18">
        <v>22.925520000000002</v>
      </c>
      <c r="Y1387" s="18">
        <v>1.018912</v>
      </c>
      <c r="Z1387" s="18">
        <v>4.5214220000000003</v>
      </c>
      <c r="AA1387" s="18">
        <v>6.6229279999999999</v>
      </c>
      <c r="AB1387" s="18">
        <v>11.781170000000001</v>
      </c>
      <c r="AC1387" s="18">
        <v>3.629874</v>
      </c>
      <c r="AD1387" s="18">
        <v>19.104600000000001</v>
      </c>
    </row>
    <row r="1388" spans="2:30" x14ac:dyDescent="0.25">
      <c r="B1388" t="s">
        <v>269</v>
      </c>
      <c r="C1388" t="s">
        <v>463</v>
      </c>
      <c r="D1388" t="s">
        <v>753</v>
      </c>
      <c r="E1388" s="35">
        <v>0.9</v>
      </c>
      <c r="F1388" s="35">
        <v>6.6</v>
      </c>
      <c r="G1388" s="36">
        <v>5.77E-3</v>
      </c>
      <c r="H1388" s="18">
        <v>10.385298000000001</v>
      </c>
      <c r="I1388" s="16" t="s">
        <v>746</v>
      </c>
      <c r="J1388" s="16"/>
      <c r="K1388" s="16"/>
      <c r="L1388" s="37"/>
      <c r="M1388" s="37"/>
      <c r="N1388" s="37"/>
      <c r="O1388" s="37"/>
      <c r="P1388" s="37"/>
      <c r="Q1388" s="18">
        <v>6.3469999999999999E-2</v>
      </c>
      <c r="R1388" s="18">
        <v>4.3274999999999997E-4</v>
      </c>
      <c r="S1388" s="18">
        <v>0.12117</v>
      </c>
      <c r="T1388" s="18">
        <v>0.51929999999999998</v>
      </c>
      <c r="U1388" s="18">
        <v>0.25964999999999999</v>
      </c>
      <c r="V1388" s="18">
        <v>3.3235199999999998</v>
      </c>
      <c r="W1388" s="18">
        <v>3.1158000000000001</v>
      </c>
      <c r="X1388" s="18">
        <v>2.0771999999999999</v>
      </c>
      <c r="Y1388" s="18">
        <v>9.2319999999999999E-2</v>
      </c>
      <c r="Z1388" s="18">
        <v>0.40966999999999998</v>
      </c>
      <c r="AA1388" s="18">
        <v>0.60007999999999995</v>
      </c>
      <c r="AB1388" s="18">
        <v>1.06745</v>
      </c>
      <c r="AC1388" s="18">
        <v>0.32889000000000002</v>
      </c>
      <c r="AD1388" s="18">
        <v>1.7310000000000001</v>
      </c>
    </row>
    <row r="1389" spans="2:30" x14ac:dyDescent="0.25">
      <c r="B1389" t="s">
        <v>269</v>
      </c>
      <c r="C1389" t="s">
        <v>463</v>
      </c>
      <c r="D1389" t="s">
        <v>750</v>
      </c>
      <c r="E1389" s="35">
        <v>0.9</v>
      </c>
      <c r="F1389" s="35">
        <v>6.6</v>
      </c>
      <c r="G1389" s="36">
        <v>3.0200000000000001E-3</v>
      </c>
      <c r="H1389" s="18">
        <v>5.4352980000000004</v>
      </c>
      <c r="I1389" s="16" t="s">
        <v>746</v>
      </c>
      <c r="J1389" s="16"/>
      <c r="K1389" s="16"/>
      <c r="L1389" s="37"/>
      <c r="M1389" s="37"/>
      <c r="N1389" s="37"/>
      <c r="O1389" s="37"/>
      <c r="P1389" s="37"/>
      <c r="Q1389" s="18">
        <v>3.322E-2</v>
      </c>
      <c r="R1389" s="18">
        <v>2.265E-4</v>
      </c>
      <c r="S1389" s="18">
        <v>6.3420000000000004E-2</v>
      </c>
      <c r="T1389" s="18">
        <v>0.27179999999999999</v>
      </c>
      <c r="U1389" s="18">
        <v>0.13589999999999999</v>
      </c>
      <c r="V1389" s="18">
        <v>1.7395200000000002</v>
      </c>
      <c r="W1389" s="18">
        <v>1.6308</v>
      </c>
      <c r="X1389" s="18">
        <v>1.0871999999999999</v>
      </c>
      <c r="Y1389" s="18">
        <v>4.8320000000000002E-2</v>
      </c>
      <c r="Z1389" s="18">
        <v>0.21442</v>
      </c>
      <c r="AA1389" s="18">
        <v>0.31408000000000003</v>
      </c>
      <c r="AB1389" s="18">
        <v>0.55869999999999997</v>
      </c>
      <c r="AC1389" s="18">
        <v>0.17214000000000002</v>
      </c>
      <c r="AD1389" s="18">
        <v>0.90600000000000003</v>
      </c>
    </row>
    <row r="1390" spans="2:30" x14ac:dyDescent="0.25">
      <c r="B1390" t="s">
        <v>269</v>
      </c>
      <c r="C1390" t="s">
        <v>463</v>
      </c>
      <c r="D1390" t="s">
        <v>748</v>
      </c>
      <c r="E1390" s="35">
        <v>0.9</v>
      </c>
      <c r="F1390" s="35">
        <v>6.6</v>
      </c>
      <c r="G1390" s="36">
        <v>4.1200000000000004E-3</v>
      </c>
      <c r="H1390" s="18">
        <v>7.4152979999999999</v>
      </c>
      <c r="I1390" s="16" t="s">
        <v>746</v>
      </c>
      <c r="J1390" s="16"/>
      <c r="K1390" s="16"/>
      <c r="L1390" s="37"/>
      <c r="M1390" s="37"/>
      <c r="N1390" s="37"/>
      <c r="O1390" s="37"/>
      <c r="P1390" s="37"/>
      <c r="Q1390" s="18">
        <v>4.5320000000000006E-2</v>
      </c>
      <c r="R1390" s="18">
        <v>3.0900000000000003E-4</v>
      </c>
      <c r="S1390" s="18">
        <v>8.6520000000000014E-2</v>
      </c>
      <c r="T1390" s="18">
        <v>0.37080000000000002</v>
      </c>
      <c r="U1390" s="18">
        <v>0.18540000000000001</v>
      </c>
      <c r="V1390" s="18">
        <v>2.3731200000000001</v>
      </c>
      <c r="W1390" s="18">
        <v>2.2248000000000001</v>
      </c>
      <c r="X1390" s="18">
        <v>1.4832000000000001</v>
      </c>
      <c r="Y1390" s="18">
        <v>6.5920000000000006E-2</v>
      </c>
      <c r="Z1390" s="18">
        <v>0.29252</v>
      </c>
      <c r="AA1390" s="18">
        <v>0.42848000000000003</v>
      </c>
      <c r="AB1390" s="18">
        <v>0.7622000000000001</v>
      </c>
      <c r="AC1390" s="18">
        <v>0.23484000000000002</v>
      </c>
      <c r="AD1390" s="18">
        <v>1.2360000000000002</v>
      </c>
    </row>
    <row r="1391" spans="2:30" x14ac:dyDescent="0.25">
      <c r="B1391" t="s">
        <v>269</v>
      </c>
      <c r="C1391" t="s">
        <v>463</v>
      </c>
      <c r="D1391" t="s">
        <v>752</v>
      </c>
      <c r="E1391" s="35">
        <v>0.9</v>
      </c>
      <c r="F1391" s="35">
        <v>6.6</v>
      </c>
      <c r="G1391" s="36">
        <v>2.47E-3</v>
      </c>
      <c r="H1391" s="18">
        <v>4.4452980000000002</v>
      </c>
      <c r="I1391" s="16" t="s">
        <v>746</v>
      </c>
      <c r="J1391" s="16"/>
      <c r="K1391" s="16"/>
      <c r="L1391" s="37"/>
      <c r="M1391" s="37"/>
      <c r="N1391" s="37"/>
      <c r="O1391" s="37"/>
      <c r="P1391" s="37"/>
      <c r="Q1391" s="18">
        <v>2.717E-2</v>
      </c>
      <c r="R1391" s="18">
        <v>1.8525E-4</v>
      </c>
      <c r="S1391" s="18">
        <v>5.1869999999999999E-2</v>
      </c>
      <c r="T1391" s="18">
        <v>0.2223</v>
      </c>
      <c r="U1391" s="18">
        <v>0.11115</v>
      </c>
      <c r="V1391" s="18">
        <v>1.42272</v>
      </c>
      <c r="W1391" s="18">
        <v>1.3338000000000001</v>
      </c>
      <c r="X1391" s="18">
        <v>0.88919999999999999</v>
      </c>
      <c r="Y1391" s="18">
        <v>3.952E-2</v>
      </c>
      <c r="Z1391" s="18">
        <v>0.17537</v>
      </c>
      <c r="AA1391" s="18">
        <v>0.25688</v>
      </c>
      <c r="AB1391" s="18">
        <v>0.45694999999999997</v>
      </c>
      <c r="AC1391" s="18">
        <v>0.14079</v>
      </c>
      <c r="AD1391" s="18">
        <v>0.74099999999999999</v>
      </c>
    </row>
    <row r="1392" spans="2:30" x14ac:dyDescent="0.25">
      <c r="B1392" t="s">
        <v>269</v>
      </c>
      <c r="C1392" t="s">
        <v>463</v>
      </c>
      <c r="D1392" t="s">
        <v>748</v>
      </c>
      <c r="E1392" s="35">
        <v>0.9</v>
      </c>
      <c r="F1392" s="35">
        <v>6.6</v>
      </c>
      <c r="G1392" s="36">
        <v>4.1200000000000004E-3</v>
      </c>
      <c r="H1392" s="18">
        <v>7.4152979999999999</v>
      </c>
      <c r="I1392" s="16" t="s">
        <v>746</v>
      </c>
      <c r="J1392" s="16"/>
      <c r="K1392" s="16"/>
      <c r="L1392" s="37"/>
      <c r="M1392" s="37"/>
      <c r="N1392" s="37"/>
      <c r="O1392" s="37"/>
      <c r="P1392" s="37"/>
      <c r="Q1392" s="18">
        <v>4.5320000000000006E-2</v>
      </c>
      <c r="R1392" s="18">
        <v>3.0900000000000003E-4</v>
      </c>
      <c r="S1392" s="18">
        <v>8.6520000000000014E-2</v>
      </c>
      <c r="T1392" s="18">
        <v>0.37080000000000002</v>
      </c>
      <c r="U1392" s="18">
        <v>0.18540000000000001</v>
      </c>
      <c r="V1392" s="18">
        <v>2.3731200000000001</v>
      </c>
      <c r="W1392" s="18">
        <v>2.2248000000000001</v>
      </c>
      <c r="X1392" s="18">
        <v>1.4832000000000001</v>
      </c>
      <c r="Y1392" s="18">
        <v>6.5920000000000006E-2</v>
      </c>
      <c r="Z1392" s="18">
        <v>0.29252</v>
      </c>
      <c r="AA1392" s="18">
        <v>0.42848000000000003</v>
      </c>
      <c r="AB1392" s="18">
        <v>0.7622000000000001</v>
      </c>
      <c r="AC1392" s="18">
        <v>0.23484000000000002</v>
      </c>
      <c r="AD1392" s="18">
        <v>1.2360000000000002</v>
      </c>
    </row>
    <row r="1393" spans="2:30" x14ac:dyDescent="0.25">
      <c r="B1393" t="s">
        <v>269</v>
      </c>
      <c r="C1393" t="s">
        <v>463</v>
      </c>
      <c r="D1393" t="s">
        <v>748</v>
      </c>
      <c r="E1393" s="35">
        <v>0.9</v>
      </c>
      <c r="F1393" s="35">
        <v>6.6</v>
      </c>
      <c r="G1393" s="36">
        <v>4.1200000000000004E-3</v>
      </c>
      <c r="H1393" s="18">
        <v>7.4152979999999999</v>
      </c>
      <c r="I1393" s="16" t="s">
        <v>746</v>
      </c>
      <c r="J1393" s="16"/>
      <c r="K1393" s="16"/>
      <c r="L1393" s="37"/>
      <c r="M1393" s="37"/>
      <c r="N1393" s="37"/>
      <c r="O1393" s="37"/>
      <c r="P1393" s="37"/>
      <c r="Q1393" s="18">
        <v>4.5320000000000006E-2</v>
      </c>
      <c r="R1393" s="18">
        <v>3.0900000000000003E-4</v>
      </c>
      <c r="S1393" s="18">
        <v>8.6520000000000014E-2</v>
      </c>
      <c r="T1393" s="18">
        <v>0.37080000000000002</v>
      </c>
      <c r="U1393" s="18">
        <v>0.18540000000000001</v>
      </c>
      <c r="V1393" s="18">
        <v>2.3731200000000001</v>
      </c>
      <c r="W1393" s="18">
        <v>2.2248000000000001</v>
      </c>
      <c r="X1393" s="18">
        <v>1.4832000000000001</v>
      </c>
      <c r="Y1393" s="18">
        <v>6.5920000000000006E-2</v>
      </c>
      <c r="Z1393" s="18">
        <v>0.29252</v>
      </c>
      <c r="AA1393" s="18">
        <v>0.42848000000000003</v>
      </c>
      <c r="AB1393" s="18">
        <v>0.7622000000000001</v>
      </c>
      <c r="AC1393" s="18">
        <v>0.23484000000000002</v>
      </c>
      <c r="AD1393" s="18">
        <v>1.2360000000000002</v>
      </c>
    </row>
    <row r="1394" spans="2:30" x14ac:dyDescent="0.25">
      <c r="B1394" t="s">
        <v>269</v>
      </c>
      <c r="C1394" t="s">
        <v>463</v>
      </c>
      <c r="D1394" t="s">
        <v>748</v>
      </c>
      <c r="E1394" s="35">
        <v>0.9</v>
      </c>
      <c r="F1394" s="35">
        <v>6.6</v>
      </c>
      <c r="G1394" s="36">
        <v>4.1200000000000004E-3</v>
      </c>
      <c r="H1394" s="18">
        <v>7.4152979999999999</v>
      </c>
      <c r="I1394" s="16" t="s">
        <v>746</v>
      </c>
      <c r="J1394" s="16"/>
      <c r="K1394" s="16"/>
      <c r="L1394" s="37"/>
      <c r="M1394" s="37"/>
      <c r="N1394" s="37"/>
      <c r="O1394" s="37"/>
      <c r="P1394" s="37"/>
      <c r="Q1394" s="18">
        <v>4.5320000000000006E-2</v>
      </c>
      <c r="R1394" s="18">
        <v>3.0900000000000003E-4</v>
      </c>
      <c r="S1394" s="18">
        <v>8.6520000000000014E-2</v>
      </c>
      <c r="T1394" s="18">
        <v>0.37080000000000002</v>
      </c>
      <c r="U1394" s="18">
        <v>0.18540000000000001</v>
      </c>
      <c r="V1394" s="18">
        <v>2.3731200000000001</v>
      </c>
      <c r="W1394" s="18">
        <v>2.2248000000000001</v>
      </c>
      <c r="X1394" s="18">
        <v>1.4832000000000001</v>
      </c>
      <c r="Y1394" s="18">
        <v>6.5920000000000006E-2</v>
      </c>
      <c r="Z1394" s="18">
        <v>0.29252</v>
      </c>
      <c r="AA1394" s="18">
        <v>0.42848000000000003</v>
      </c>
      <c r="AB1394" s="18">
        <v>0.7622000000000001</v>
      </c>
      <c r="AC1394" s="18">
        <v>0.23484000000000002</v>
      </c>
      <c r="AD1394" s="18">
        <v>1.2360000000000002</v>
      </c>
    </row>
    <row r="1395" spans="2:30" x14ac:dyDescent="0.25">
      <c r="B1395" t="s">
        <v>269</v>
      </c>
      <c r="C1395" t="s">
        <v>463</v>
      </c>
      <c r="D1395" t="s">
        <v>748</v>
      </c>
      <c r="E1395" s="35">
        <v>0.9</v>
      </c>
      <c r="F1395" s="35">
        <v>6.6</v>
      </c>
      <c r="G1395" s="36">
        <v>4.1200000000000004E-3</v>
      </c>
      <c r="H1395" s="18">
        <v>7.4152979999999999</v>
      </c>
      <c r="I1395" s="16" t="s">
        <v>746</v>
      </c>
      <c r="J1395" s="16"/>
      <c r="K1395" s="16"/>
      <c r="L1395" s="37"/>
      <c r="M1395" s="37"/>
      <c r="N1395" s="37"/>
      <c r="O1395" s="37"/>
      <c r="P1395" s="37"/>
      <c r="Q1395" s="18">
        <v>4.5320000000000006E-2</v>
      </c>
      <c r="R1395" s="18">
        <v>3.0900000000000003E-4</v>
      </c>
      <c r="S1395" s="18">
        <v>8.6520000000000014E-2</v>
      </c>
      <c r="T1395" s="18">
        <v>0.37080000000000002</v>
      </c>
      <c r="U1395" s="18">
        <v>0.18540000000000001</v>
      </c>
      <c r="V1395" s="18">
        <v>2.3731200000000001</v>
      </c>
      <c r="W1395" s="18">
        <v>2.2248000000000001</v>
      </c>
      <c r="X1395" s="18">
        <v>1.4832000000000001</v>
      </c>
      <c r="Y1395" s="18">
        <v>6.5920000000000006E-2</v>
      </c>
      <c r="Z1395" s="18">
        <v>0.29252</v>
      </c>
      <c r="AA1395" s="18">
        <v>0.42848000000000003</v>
      </c>
      <c r="AB1395" s="18">
        <v>0.7622000000000001</v>
      </c>
      <c r="AC1395" s="18">
        <v>0.23484000000000002</v>
      </c>
      <c r="AD1395" s="18">
        <v>1.2360000000000002</v>
      </c>
    </row>
    <row r="1396" spans="2:30" x14ac:dyDescent="0.25">
      <c r="B1396" t="s">
        <v>269</v>
      </c>
      <c r="C1396" t="s">
        <v>463</v>
      </c>
      <c r="D1396" t="s">
        <v>748</v>
      </c>
      <c r="E1396" s="35">
        <v>0.9</v>
      </c>
      <c r="F1396" s="35">
        <v>6.6</v>
      </c>
      <c r="G1396" s="36">
        <v>4.1200000000000004E-3</v>
      </c>
      <c r="H1396" s="18">
        <v>7.4152979999999999</v>
      </c>
      <c r="I1396" s="16" t="s">
        <v>746</v>
      </c>
      <c r="J1396" s="16"/>
      <c r="K1396" s="16"/>
      <c r="L1396" s="37"/>
      <c r="M1396" s="37"/>
      <c r="N1396" s="37"/>
      <c r="O1396" s="37"/>
      <c r="P1396" s="37"/>
      <c r="Q1396" s="18">
        <v>4.5320000000000006E-2</v>
      </c>
      <c r="R1396" s="18">
        <v>3.0900000000000003E-4</v>
      </c>
      <c r="S1396" s="18">
        <v>8.6520000000000014E-2</v>
      </c>
      <c r="T1396" s="18">
        <v>0.37080000000000002</v>
      </c>
      <c r="U1396" s="18">
        <v>0.18540000000000001</v>
      </c>
      <c r="V1396" s="18">
        <v>2.3731200000000001</v>
      </c>
      <c r="W1396" s="18">
        <v>2.2248000000000001</v>
      </c>
      <c r="X1396" s="18">
        <v>1.4832000000000001</v>
      </c>
      <c r="Y1396" s="18">
        <v>6.5920000000000006E-2</v>
      </c>
      <c r="Z1396" s="18">
        <v>0.29252</v>
      </c>
      <c r="AA1396" s="18">
        <v>0.42848000000000003</v>
      </c>
      <c r="AB1396" s="18">
        <v>0.7622000000000001</v>
      </c>
      <c r="AC1396" s="18">
        <v>0.23484000000000002</v>
      </c>
      <c r="AD1396" s="18">
        <v>1.2360000000000002</v>
      </c>
    </row>
    <row r="1397" spans="2:30" x14ac:dyDescent="0.25">
      <c r="B1397" t="s">
        <v>269</v>
      </c>
      <c r="C1397" t="s">
        <v>463</v>
      </c>
      <c r="D1397" t="s">
        <v>748</v>
      </c>
      <c r="E1397" s="35">
        <v>0.9</v>
      </c>
      <c r="F1397" s="35">
        <v>6.6</v>
      </c>
      <c r="G1397" s="36">
        <v>4.1200000000000004E-3</v>
      </c>
      <c r="H1397" s="18">
        <v>7.4152979999999999</v>
      </c>
      <c r="I1397" s="16" t="s">
        <v>746</v>
      </c>
      <c r="J1397" s="16"/>
      <c r="K1397" s="16"/>
      <c r="L1397" s="37"/>
      <c r="M1397" s="37"/>
      <c r="N1397" s="37"/>
      <c r="O1397" s="37"/>
      <c r="P1397" s="37"/>
      <c r="Q1397" s="18">
        <v>4.5320000000000006E-2</v>
      </c>
      <c r="R1397" s="18">
        <v>3.0900000000000003E-4</v>
      </c>
      <c r="S1397" s="18">
        <v>8.6520000000000014E-2</v>
      </c>
      <c r="T1397" s="18">
        <v>0.37080000000000002</v>
      </c>
      <c r="U1397" s="18">
        <v>0.18540000000000001</v>
      </c>
      <c r="V1397" s="18">
        <v>2.3731200000000001</v>
      </c>
      <c r="W1397" s="18">
        <v>2.2248000000000001</v>
      </c>
      <c r="X1397" s="18">
        <v>1.4832000000000001</v>
      </c>
      <c r="Y1397" s="18">
        <v>6.5920000000000006E-2</v>
      </c>
      <c r="Z1397" s="18">
        <v>0.29252</v>
      </c>
      <c r="AA1397" s="18">
        <v>0.42848000000000003</v>
      </c>
      <c r="AB1397" s="18">
        <v>0.7622000000000001</v>
      </c>
      <c r="AC1397" s="18">
        <v>0.23484000000000002</v>
      </c>
      <c r="AD1397" s="18">
        <v>1.2360000000000002</v>
      </c>
    </row>
    <row r="1398" spans="2:30" x14ac:dyDescent="0.25">
      <c r="B1398" t="s">
        <v>269</v>
      </c>
      <c r="C1398" t="s">
        <v>463</v>
      </c>
      <c r="D1398" t="s">
        <v>748</v>
      </c>
      <c r="E1398" s="35">
        <v>0.9</v>
      </c>
      <c r="F1398" s="35">
        <v>6.6</v>
      </c>
      <c r="G1398" s="36">
        <v>4.1200000000000004E-3</v>
      </c>
      <c r="H1398" s="18">
        <v>7.4152979999999999</v>
      </c>
      <c r="I1398" s="16" t="s">
        <v>746</v>
      </c>
      <c r="J1398" s="16"/>
      <c r="K1398" s="16"/>
      <c r="L1398" s="37"/>
      <c r="M1398" s="37"/>
      <c r="N1398" s="37"/>
      <c r="O1398" s="37"/>
      <c r="P1398" s="37"/>
      <c r="Q1398" s="18">
        <v>4.5320000000000006E-2</v>
      </c>
      <c r="R1398" s="18">
        <v>3.0900000000000003E-4</v>
      </c>
      <c r="S1398" s="18">
        <v>8.6520000000000014E-2</v>
      </c>
      <c r="T1398" s="18">
        <v>0.37080000000000002</v>
      </c>
      <c r="U1398" s="18">
        <v>0.18540000000000001</v>
      </c>
      <c r="V1398" s="18">
        <v>2.3731200000000001</v>
      </c>
      <c r="W1398" s="18">
        <v>2.2248000000000001</v>
      </c>
      <c r="X1398" s="18">
        <v>1.4832000000000001</v>
      </c>
      <c r="Y1398" s="18">
        <v>6.5920000000000006E-2</v>
      </c>
      <c r="Z1398" s="18">
        <v>0.29252</v>
      </c>
      <c r="AA1398" s="18">
        <v>0.42848000000000003</v>
      </c>
      <c r="AB1398" s="18">
        <v>0.7622000000000001</v>
      </c>
      <c r="AC1398" s="18">
        <v>0.23484000000000002</v>
      </c>
      <c r="AD1398" s="18">
        <v>1.2360000000000002</v>
      </c>
    </row>
    <row r="1399" spans="2:30" x14ac:dyDescent="0.25">
      <c r="B1399" t="s">
        <v>269</v>
      </c>
      <c r="C1399" t="s">
        <v>463</v>
      </c>
      <c r="D1399" t="s">
        <v>748</v>
      </c>
      <c r="E1399" s="35">
        <v>0.9</v>
      </c>
      <c r="F1399" s="35">
        <v>6.6</v>
      </c>
      <c r="G1399" s="36">
        <v>4.1200000000000004E-3</v>
      </c>
      <c r="H1399" s="18">
        <v>7.4152979999999999</v>
      </c>
      <c r="I1399" s="16" t="s">
        <v>746</v>
      </c>
      <c r="J1399" s="16"/>
      <c r="K1399" s="16"/>
      <c r="L1399" s="37"/>
      <c r="M1399" s="37"/>
      <c r="N1399" s="37"/>
      <c r="O1399" s="37"/>
      <c r="P1399" s="37"/>
      <c r="Q1399" s="18">
        <v>4.5320000000000006E-2</v>
      </c>
      <c r="R1399" s="18">
        <v>3.0900000000000003E-4</v>
      </c>
      <c r="S1399" s="18">
        <v>8.6520000000000014E-2</v>
      </c>
      <c r="T1399" s="18">
        <v>0.37080000000000002</v>
      </c>
      <c r="U1399" s="18">
        <v>0.18540000000000001</v>
      </c>
      <c r="V1399" s="18">
        <v>2.3731200000000001</v>
      </c>
      <c r="W1399" s="18">
        <v>2.2248000000000001</v>
      </c>
      <c r="X1399" s="18">
        <v>1.4832000000000001</v>
      </c>
      <c r="Y1399" s="18">
        <v>6.5920000000000006E-2</v>
      </c>
      <c r="Z1399" s="18">
        <v>0.29252</v>
      </c>
      <c r="AA1399" s="18">
        <v>0.42848000000000003</v>
      </c>
      <c r="AB1399" s="18">
        <v>0.7622000000000001</v>
      </c>
      <c r="AC1399" s="18">
        <v>0.23484000000000002</v>
      </c>
      <c r="AD1399" s="18">
        <v>1.2360000000000002</v>
      </c>
    </row>
    <row r="1400" spans="2:30" x14ac:dyDescent="0.25">
      <c r="B1400" t="s">
        <v>269</v>
      </c>
      <c r="C1400" t="s">
        <v>463</v>
      </c>
      <c r="D1400" t="s">
        <v>748</v>
      </c>
      <c r="E1400" s="35">
        <v>0.9</v>
      </c>
      <c r="F1400" s="35">
        <v>6.6</v>
      </c>
      <c r="G1400" s="36">
        <v>4.1200000000000004E-3</v>
      </c>
      <c r="H1400" s="18">
        <v>7.4152979999999999</v>
      </c>
      <c r="I1400" s="16" t="s">
        <v>746</v>
      </c>
      <c r="J1400" s="16"/>
      <c r="K1400" s="16"/>
      <c r="L1400" s="37"/>
      <c r="M1400" s="37"/>
      <c r="N1400" s="37"/>
      <c r="O1400" s="37"/>
      <c r="P1400" s="37"/>
      <c r="Q1400" s="18">
        <v>4.5320000000000006E-2</v>
      </c>
      <c r="R1400" s="18">
        <v>3.0900000000000003E-4</v>
      </c>
      <c r="S1400" s="18">
        <v>8.6520000000000014E-2</v>
      </c>
      <c r="T1400" s="18">
        <v>0.37080000000000002</v>
      </c>
      <c r="U1400" s="18">
        <v>0.18540000000000001</v>
      </c>
      <c r="V1400" s="18">
        <v>2.3731200000000001</v>
      </c>
      <c r="W1400" s="18">
        <v>2.2248000000000001</v>
      </c>
      <c r="X1400" s="18">
        <v>1.4832000000000001</v>
      </c>
      <c r="Y1400" s="18">
        <v>6.5920000000000006E-2</v>
      </c>
      <c r="Z1400" s="18">
        <v>0.29252</v>
      </c>
      <c r="AA1400" s="18">
        <v>0.42848000000000003</v>
      </c>
      <c r="AB1400" s="18">
        <v>0.7622000000000001</v>
      </c>
      <c r="AC1400" s="18">
        <v>0.23484000000000002</v>
      </c>
      <c r="AD1400" s="18">
        <v>1.2360000000000002</v>
      </c>
    </row>
    <row r="1401" spans="2:30" x14ac:dyDescent="0.25">
      <c r="B1401" t="s">
        <v>269</v>
      </c>
      <c r="C1401" t="s">
        <v>463</v>
      </c>
      <c r="D1401" t="s">
        <v>748</v>
      </c>
      <c r="E1401" s="35">
        <v>0.9</v>
      </c>
      <c r="F1401" s="35">
        <v>6.6</v>
      </c>
      <c r="G1401" s="36">
        <v>4.1200000000000004E-3</v>
      </c>
      <c r="H1401" s="18">
        <v>7.4152979999999999</v>
      </c>
      <c r="I1401" s="16" t="s">
        <v>746</v>
      </c>
      <c r="J1401" s="16"/>
      <c r="K1401" s="16"/>
      <c r="L1401" s="37"/>
      <c r="M1401" s="37"/>
      <c r="N1401" s="37"/>
      <c r="O1401" s="37"/>
      <c r="P1401" s="37"/>
      <c r="Q1401" s="18">
        <v>4.5320000000000006E-2</v>
      </c>
      <c r="R1401" s="18">
        <v>3.0900000000000003E-4</v>
      </c>
      <c r="S1401" s="18">
        <v>8.6520000000000014E-2</v>
      </c>
      <c r="T1401" s="18">
        <v>0.37080000000000002</v>
      </c>
      <c r="U1401" s="18">
        <v>0.18540000000000001</v>
      </c>
      <c r="V1401" s="18">
        <v>2.3731200000000001</v>
      </c>
      <c r="W1401" s="18">
        <v>2.2248000000000001</v>
      </c>
      <c r="X1401" s="18">
        <v>1.4832000000000001</v>
      </c>
      <c r="Y1401" s="18">
        <v>6.5920000000000006E-2</v>
      </c>
      <c r="Z1401" s="18">
        <v>0.29252</v>
      </c>
      <c r="AA1401" s="18">
        <v>0.42848000000000003</v>
      </c>
      <c r="AB1401" s="18">
        <v>0.7622000000000001</v>
      </c>
      <c r="AC1401" s="18">
        <v>0.23484000000000002</v>
      </c>
      <c r="AD1401" s="18">
        <v>1.2360000000000002</v>
      </c>
    </row>
    <row r="1402" spans="2:30" x14ac:dyDescent="0.25">
      <c r="B1402" t="s">
        <v>269</v>
      </c>
      <c r="C1402" t="s">
        <v>463</v>
      </c>
      <c r="D1402" t="s">
        <v>748</v>
      </c>
      <c r="E1402" s="35">
        <v>0.9</v>
      </c>
      <c r="F1402" s="35">
        <v>6.6</v>
      </c>
      <c r="G1402" s="36">
        <v>4.1200000000000004E-3</v>
      </c>
      <c r="H1402" s="18">
        <v>7.4152979999999999</v>
      </c>
      <c r="I1402" s="16" t="s">
        <v>746</v>
      </c>
      <c r="J1402" s="16"/>
      <c r="K1402" s="16"/>
      <c r="L1402" s="37"/>
      <c r="M1402" s="37"/>
      <c r="N1402" s="37"/>
      <c r="O1402" s="37"/>
      <c r="P1402" s="37"/>
      <c r="Q1402" s="18">
        <v>4.5320000000000006E-2</v>
      </c>
      <c r="R1402" s="18">
        <v>3.0900000000000003E-4</v>
      </c>
      <c r="S1402" s="18">
        <v>8.6520000000000014E-2</v>
      </c>
      <c r="T1402" s="18">
        <v>0.37080000000000002</v>
      </c>
      <c r="U1402" s="18">
        <v>0.18540000000000001</v>
      </c>
      <c r="V1402" s="18">
        <v>2.3731200000000001</v>
      </c>
      <c r="W1402" s="18">
        <v>2.2248000000000001</v>
      </c>
      <c r="X1402" s="18">
        <v>1.4832000000000001</v>
      </c>
      <c r="Y1402" s="18">
        <v>6.5920000000000006E-2</v>
      </c>
      <c r="Z1402" s="18">
        <v>0.29252</v>
      </c>
      <c r="AA1402" s="18">
        <v>0.42848000000000003</v>
      </c>
      <c r="AB1402" s="18">
        <v>0.7622000000000001</v>
      </c>
      <c r="AC1402" s="18">
        <v>0.23484000000000002</v>
      </c>
      <c r="AD1402" s="18">
        <v>1.2360000000000002</v>
      </c>
    </row>
    <row r="1403" spans="2:30" x14ac:dyDescent="0.25">
      <c r="B1403" t="s">
        <v>269</v>
      </c>
      <c r="C1403" t="s">
        <v>463</v>
      </c>
      <c r="D1403" t="s">
        <v>748</v>
      </c>
      <c r="E1403" s="35">
        <v>0.9</v>
      </c>
      <c r="F1403" s="35">
        <v>6.6</v>
      </c>
      <c r="G1403" s="36">
        <v>4.1200000000000004E-3</v>
      </c>
      <c r="H1403" s="18">
        <v>7.4152979999999999</v>
      </c>
      <c r="I1403" s="16" t="s">
        <v>746</v>
      </c>
      <c r="J1403" s="16"/>
      <c r="K1403" s="16"/>
      <c r="L1403" s="37"/>
      <c r="M1403" s="37"/>
      <c r="N1403" s="37"/>
      <c r="O1403" s="37"/>
      <c r="P1403" s="37"/>
      <c r="Q1403" s="18">
        <v>4.5320000000000006E-2</v>
      </c>
      <c r="R1403" s="18">
        <v>3.0900000000000003E-4</v>
      </c>
      <c r="S1403" s="18">
        <v>8.6520000000000014E-2</v>
      </c>
      <c r="T1403" s="18">
        <v>0.37080000000000002</v>
      </c>
      <c r="U1403" s="18">
        <v>0.18540000000000001</v>
      </c>
      <c r="V1403" s="18">
        <v>2.3731200000000001</v>
      </c>
      <c r="W1403" s="18">
        <v>2.2248000000000001</v>
      </c>
      <c r="X1403" s="18">
        <v>1.4832000000000001</v>
      </c>
      <c r="Y1403" s="18">
        <v>6.5920000000000006E-2</v>
      </c>
      <c r="Z1403" s="18">
        <v>0.29252</v>
      </c>
      <c r="AA1403" s="18">
        <v>0.42848000000000003</v>
      </c>
      <c r="AB1403" s="18">
        <v>0.7622000000000001</v>
      </c>
      <c r="AC1403" s="18">
        <v>0.23484000000000002</v>
      </c>
      <c r="AD1403" s="18">
        <v>1.2360000000000002</v>
      </c>
    </row>
    <row r="1404" spans="2:30" x14ac:dyDescent="0.25">
      <c r="B1404" t="s">
        <v>269</v>
      </c>
      <c r="C1404" t="s">
        <v>463</v>
      </c>
      <c r="D1404" t="s">
        <v>750</v>
      </c>
      <c r="E1404" s="35">
        <v>0.9</v>
      </c>
      <c r="F1404" s="35">
        <v>6.6</v>
      </c>
      <c r="G1404" s="36">
        <v>3.0200000000000001E-3</v>
      </c>
      <c r="H1404" s="18">
        <v>5.4352980000000004</v>
      </c>
      <c r="I1404" s="16" t="s">
        <v>746</v>
      </c>
      <c r="J1404" s="16"/>
      <c r="K1404" s="16"/>
      <c r="L1404" s="37"/>
      <c r="M1404" s="37"/>
      <c r="N1404" s="37"/>
      <c r="O1404" s="37"/>
      <c r="P1404" s="37"/>
      <c r="Q1404" s="18">
        <v>3.322E-2</v>
      </c>
      <c r="R1404" s="18">
        <v>2.265E-4</v>
      </c>
      <c r="S1404" s="18">
        <v>6.3420000000000004E-2</v>
      </c>
      <c r="T1404" s="18">
        <v>0.27179999999999999</v>
      </c>
      <c r="U1404" s="18">
        <v>0.13589999999999999</v>
      </c>
      <c r="V1404" s="18">
        <v>1.7395200000000002</v>
      </c>
      <c r="W1404" s="18">
        <v>1.6308</v>
      </c>
      <c r="X1404" s="18">
        <v>1.0871999999999999</v>
      </c>
      <c r="Y1404" s="18">
        <v>4.8320000000000002E-2</v>
      </c>
      <c r="Z1404" s="18">
        <v>0.21442</v>
      </c>
      <c r="AA1404" s="18">
        <v>0.31408000000000003</v>
      </c>
      <c r="AB1404" s="18">
        <v>0.55869999999999997</v>
      </c>
      <c r="AC1404" s="18">
        <v>0.17214000000000002</v>
      </c>
      <c r="AD1404" s="18">
        <v>0.90600000000000003</v>
      </c>
    </row>
    <row r="1405" spans="2:30" x14ac:dyDescent="0.25">
      <c r="B1405" t="s">
        <v>269</v>
      </c>
      <c r="C1405" t="s">
        <v>463</v>
      </c>
      <c r="D1405" t="s">
        <v>748</v>
      </c>
      <c r="E1405" s="35">
        <v>0.9</v>
      </c>
      <c r="F1405" s="35">
        <v>6.6</v>
      </c>
      <c r="G1405" s="36">
        <v>4.1200000000000004E-3</v>
      </c>
      <c r="H1405" s="18">
        <v>7.4152979999999999</v>
      </c>
      <c r="I1405" s="16" t="s">
        <v>746</v>
      </c>
      <c r="J1405" s="16"/>
      <c r="K1405" s="16"/>
      <c r="L1405" s="37"/>
      <c r="M1405" s="37"/>
      <c r="N1405" s="37"/>
      <c r="O1405" s="37"/>
      <c r="P1405" s="37"/>
      <c r="Q1405" s="18">
        <v>4.5320000000000006E-2</v>
      </c>
      <c r="R1405" s="18">
        <v>3.0900000000000003E-4</v>
      </c>
      <c r="S1405" s="18">
        <v>8.6520000000000014E-2</v>
      </c>
      <c r="T1405" s="18">
        <v>0.37080000000000002</v>
      </c>
      <c r="U1405" s="18">
        <v>0.18540000000000001</v>
      </c>
      <c r="V1405" s="18">
        <v>2.3731200000000001</v>
      </c>
      <c r="W1405" s="18">
        <v>2.2248000000000001</v>
      </c>
      <c r="X1405" s="18">
        <v>1.4832000000000001</v>
      </c>
      <c r="Y1405" s="18">
        <v>6.5920000000000006E-2</v>
      </c>
      <c r="Z1405" s="18">
        <v>0.29252</v>
      </c>
      <c r="AA1405" s="18">
        <v>0.42848000000000003</v>
      </c>
      <c r="AB1405" s="18">
        <v>0.7622000000000001</v>
      </c>
      <c r="AC1405" s="18">
        <v>0.23484000000000002</v>
      </c>
      <c r="AD1405" s="18">
        <v>1.2360000000000002</v>
      </c>
    </row>
    <row r="1406" spans="2:30" x14ac:dyDescent="0.25">
      <c r="B1406" t="s">
        <v>269</v>
      </c>
      <c r="C1406" t="s">
        <v>463</v>
      </c>
      <c r="D1406" t="s">
        <v>750</v>
      </c>
      <c r="E1406" s="35">
        <v>0.9</v>
      </c>
      <c r="F1406" s="35">
        <v>6.6</v>
      </c>
      <c r="G1406" s="36">
        <v>3.0200000000000001E-3</v>
      </c>
      <c r="H1406" s="18">
        <v>5.4352980000000004</v>
      </c>
      <c r="I1406" s="16" t="s">
        <v>746</v>
      </c>
      <c r="J1406" s="16"/>
      <c r="K1406" s="16"/>
      <c r="L1406" s="37"/>
      <c r="M1406" s="37"/>
      <c r="N1406" s="37"/>
      <c r="O1406" s="37"/>
      <c r="P1406" s="37"/>
      <c r="Q1406" s="18">
        <v>3.322E-2</v>
      </c>
      <c r="R1406" s="18">
        <v>2.265E-4</v>
      </c>
      <c r="S1406" s="18">
        <v>6.3420000000000004E-2</v>
      </c>
      <c r="T1406" s="18">
        <v>0.27179999999999999</v>
      </c>
      <c r="U1406" s="18">
        <v>0.13589999999999999</v>
      </c>
      <c r="V1406" s="18">
        <v>1.7395200000000002</v>
      </c>
      <c r="W1406" s="18">
        <v>1.6308</v>
      </c>
      <c r="X1406" s="18">
        <v>1.0871999999999999</v>
      </c>
      <c r="Y1406" s="18">
        <v>4.8320000000000002E-2</v>
      </c>
      <c r="Z1406" s="18">
        <v>0.21442</v>
      </c>
      <c r="AA1406" s="18">
        <v>0.31408000000000003</v>
      </c>
      <c r="AB1406" s="18">
        <v>0.55869999999999997</v>
      </c>
      <c r="AC1406" s="18">
        <v>0.17214000000000002</v>
      </c>
      <c r="AD1406" s="18">
        <v>0.90600000000000003</v>
      </c>
    </row>
    <row r="1407" spans="2:30" x14ac:dyDescent="0.25">
      <c r="B1407" t="s">
        <v>269</v>
      </c>
      <c r="C1407" t="s">
        <v>463</v>
      </c>
      <c r="D1407" t="s">
        <v>750</v>
      </c>
      <c r="E1407" s="35">
        <v>0.9</v>
      </c>
      <c r="F1407" s="35">
        <v>6.6</v>
      </c>
      <c r="G1407" s="36">
        <v>3.0200000000000001E-3</v>
      </c>
      <c r="H1407" s="18">
        <v>5.4352980000000004</v>
      </c>
      <c r="I1407" s="16" t="s">
        <v>746</v>
      </c>
      <c r="J1407" s="16"/>
      <c r="K1407" s="16"/>
      <c r="L1407" s="37"/>
      <c r="M1407" s="37"/>
      <c r="N1407" s="37"/>
      <c r="O1407" s="37"/>
      <c r="P1407" s="37"/>
      <c r="Q1407" s="18">
        <v>3.322E-2</v>
      </c>
      <c r="R1407" s="18">
        <v>2.265E-4</v>
      </c>
      <c r="S1407" s="18">
        <v>6.3420000000000004E-2</v>
      </c>
      <c r="T1407" s="18">
        <v>0.27179999999999999</v>
      </c>
      <c r="U1407" s="18">
        <v>0.13589999999999999</v>
      </c>
      <c r="V1407" s="18">
        <v>1.7395200000000002</v>
      </c>
      <c r="W1407" s="18">
        <v>1.6308</v>
      </c>
      <c r="X1407" s="18">
        <v>1.0871999999999999</v>
      </c>
      <c r="Y1407" s="18">
        <v>4.8320000000000002E-2</v>
      </c>
      <c r="Z1407" s="18">
        <v>0.21442</v>
      </c>
      <c r="AA1407" s="18">
        <v>0.31408000000000003</v>
      </c>
      <c r="AB1407" s="18">
        <v>0.55869999999999997</v>
      </c>
      <c r="AC1407" s="18">
        <v>0.17214000000000002</v>
      </c>
      <c r="AD1407" s="18">
        <v>0.90600000000000003</v>
      </c>
    </row>
    <row r="1408" spans="2:30" x14ac:dyDescent="0.25">
      <c r="B1408" t="s">
        <v>269</v>
      </c>
      <c r="C1408" t="s">
        <v>463</v>
      </c>
      <c r="D1408" t="s">
        <v>749</v>
      </c>
      <c r="E1408" s="35">
        <v>0.9</v>
      </c>
      <c r="F1408" s="35">
        <v>6.6</v>
      </c>
      <c r="G1408" s="36">
        <v>3.5699999999999998E-3</v>
      </c>
      <c r="H1408" s="18">
        <v>6.4252979999999997</v>
      </c>
      <c r="I1408" s="16" t="s">
        <v>746</v>
      </c>
      <c r="J1408" s="16"/>
      <c r="K1408" s="16"/>
      <c r="L1408" s="37"/>
      <c r="M1408" s="37"/>
      <c r="N1408" s="37"/>
      <c r="O1408" s="37"/>
      <c r="P1408" s="37"/>
      <c r="Q1408" s="18">
        <v>3.9269999999999999E-2</v>
      </c>
      <c r="R1408" s="18">
        <v>2.6774999999999998E-4</v>
      </c>
      <c r="S1408" s="18">
        <v>7.4969999999999995E-2</v>
      </c>
      <c r="T1408" s="18">
        <v>0.32129999999999997</v>
      </c>
      <c r="U1408" s="18">
        <v>0.16064999999999999</v>
      </c>
      <c r="V1408" s="18">
        <v>2.0563199999999999</v>
      </c>
      <c r="W1408" s="18">
        <v>1.9278</v>
      </c>
      <c r="X1408" s="18">
        <v>1.2851999999999999</v>
      </c>
      <c r="Y1408" s="18">
        <v>5.7119999999999997E-2</v>
      </c>
      <c r="Z1408" s="18">
        <v>0.25346999999999997</v>
      </c>
      <c r="AA1408" s="18">
        <v>0.37128</v>
      </c>
      <c r="AB1408" s="18">
        <v>0.66044999999999998</v>
      </c>
      <c r="AC1408" s="18">
        <v>0.20348999999999998</v>
      </c>
      <c r="AD1408" s="18">
        <v>1.071</v>
      </c>
    </row>
    <row r="1409" spans="2:30" x14ac:dyDescent="0.25">
      <c r="B1409" t="s">
        <v>269</v>
      </c>
      <c r="C1409" t="s">
        <v>463</v>
      </c>
      <c r="D1409" t="s">
        <v>750</v>
      </c>
      <c r="E1409" s="35">
        <v>0.9</v>
      </c>
      <c r="F1409" s="35">
        <v>6.6</v>
      </c>
      <c r="G1409" s="36">
        <v>3.0200000000000001E-3</v>
      </c>
      <c r="H1409" s="18">
        <v>5.4352980000000004</v>
      </c>
      <c r="I1409" s="16" t="s">
        <v>746</v>
      </c>
      <c r="J1409" s="16"/>
      <c r="K1409" s="16"/>
      <c r="L1409" s="37"/>
      <c r="M1409" s="37"/>
      <c r="N1409" s="37"/>
      <c r="O1409" s="37"/>
      <c r="P1409" s="37"/>
      <c r="Q1409" s="18">
        <v>3.322E-2</v>
      </c>
      <c r="R1409" s="18">
        <v>2.265E-4</v>
      </c>
      <c r="S1409" s="18">
        <v>6.3420000000000004E-2</v>
      </c>
      <c r="T1409" s="18">
        <v>0.27179999999999999</v>
      </c>
      <c r="U1409" s="18">
        <v>0.13589999999999999</v>
      </c>
      <c r="V1409" s="18">
        <v>1.7395200000000002</v>
      </c>
      <c r="W1409" s="18">
        <v>1.6308</v>
      </c>
      <c r="X1409" s="18">
        <v>1.0871999999999999</v>
      </c>
      <c r="Y1409" s="18">
        <v>4.8320000000000002E-2</v>
      </c>
      <c r="Z1409" s="18">
        <v>0.21442</v>
      </c>
      <c r="AA1409" s="18">
        <v>0.31408000000000003</v>
      </c>
      <c r="AB1409" s="18">
        <v>0.55869999999999997</v>
      </c>
      <c r="AC1409" s="18">
        <v>0.17214000000000002</v>
      </c>
      <c r="AD1409" s="18">
        <v>0.90600000000000003</v>
      </c>
    </row>
    <row r="1410" spans="2:30" x14ac:dyDescent="0.25">
      <c r="B1410" t="s">
        <v>269</v>
      </c>
      <c r="C1410" t="s">
        <v>463</v>
      </c>
      <c r="D1410" t="s">
        <v>750</v>
      </c>
      <c r="E1410" s="35">
        <v>0.9</v>
      </c>
      <c r="F1410" s="35">
        <v>6.6</v>
      </c>
      <c r="G1410" s="36">
        <v>3.0200000000000001E-3</v>
      </c>
      <c r="H1410" s="18">
        <v>5.4352980000000004</v>
      </c>
      <c r="I1410" s="16" t="s">
        <v>746</v>
      </c>
      <c r="J1410" s="16"/>
      <c r="K1410" s="16"/>
      <c r="L1410" s="37"/>
      <c r="M1410" s="37"/>
      <c r="N1410" s="37"/>
      <c r="O1410" s="37"/>
      <c r="P1410" s="37"/>
      <c r="Q1410" s="18">
        <v>3.322E-2</v>
      </c>
      <c r="R1410" s="18">
        <v>2.265E-4</v>
      </c>
      <c r="S1410" s="18">
        <v>6.3420000000000004E-2</v>
      </c>
      <c r="T1410" s="18">
        <v>0.27179999999999999</v>
      </c>
      <c r="U1410" s="18">
        <v>0.13589999999999999</v>
      </c>
      <c r="V1410" s="18">
        <v>1.7395200000000002</v>
      </c>
      <c r="W1410" s="18">
        <v>1.6308</v>
      </c>
      <c r="X1410" s="18">
        <v>1.0871999999999999</v>
      </c>
      <c r="Y1410" s="18">
        <v>4.8320000000000002E-2</v>
      </c>
      <c r="Z1410" s="18">
        <v>0.21442</v>
      </c>
      <c r="AA1410" s="18">
        <v>0.31408000000000003</v>
      </c>
      <c r="AB1410" s="18">
        <v>0.55869999999999997</v>
      </c>
      <c r="AC1410" s="18">
        <v>0.17214000000000002</v>
      </c>
      <c r="AD1410" s="18">
        <v>0.90600000000000003</v>
      </c>
    </row>
    <row r="1411" spans="2:30" x14ac:dyDescent="0.25">
      <c r="B1411" t="s">
        <v>269</v>
      </c>
      <c r="C1411" t="s">
        <v>463</v>
      </c>
      <c r="D1411" t="s">
        <v>748</v>
      </c>
      <c r="E1411" s="35">
        <v>0.9</v>
      </c>
      <c r="F1411" s="35">
        <v>6.6</v>
      </c>
      <c r="G1411" s="36">
        <v>4.1200000000000004E-3</v>
      </c>
      <c r="H1411" s="18">
        <v>7.4152979999999999</v>
      </c>
      <c r="I1411" s="16" t="s">
        <v>746</v>
      </c>
      <c r="J1411" s="16"/>
      <c r="K1411" s="16"/>
      <c r="L1411" s="37"/>
      <c r="M1411" s="37"/>
      <c r="N1411" s="37"/>
      <c r="O1411" s="37"/>
      <c r="P1411" s="37"/>
      <c r="Q1411" s="18">
        <v>4.5320000000000006E-2</v>
      </c>
      <c r="R1411" s="18">
        <v>3.0900000000000003E-4</v>
      </c>
      <c r="S1411" s="18">
        <v>8.6520000000000014E-2</v>
      </c>
      <c r="T1411" s="18">
        <v>0.37080000000000002</v>
      </c>
      <c r="U1411" s="18">
        <v>0.18540000000000001</v>
      </c>
      <c r="V1411" s="18">
        <v>2.3731200000000001</v>
      </c>
      <c r="W1411" s="18">
        <v>2.2248000000000001</v>
      </c>
      <c r="X1411" s="18">
        <v>1.4832000000000001</v>
      </c>
      <c r="Y1411" s="18">
        <v>6.5920000000000006E-2</v>
      </c>
      <c r="Z1411" s="18">
        <v>0.29252</v>
      </c>
      <c r="AA1411" s="18">
        <v>0.42848000000000003</v>
      </c>
      <c r="AB1411" s="18">
        <v>0.7622000000000001</v>
      </c>
      <c r="AC1411" s="18">
        <v>0.23484000000000002</v>
      </c>
      <c r="AD1411" s="18">
        <v>1.2360000000000002</v>
      </c>
    </row>
    <row r="1412" spans="2:30" x14ac:dyDescent="0.25">
      <c r="B1412" t="s">
        <v>269</v>
      </c>
      <c r="C1412" t="s">
        <v>463</v>
      </c>
      <c r="D1412" t="s">
        <v>748</v>
      </c>
      <c r="E1412" s="35">
        <v>0.9</v>
      </c>
      <c r="F1412" s="35">
        <v>6.6</v>
      </c>
      <c r="G1412" s="36">
        <v>4.1200000000000004E-3</v>
      </c>
      <c r="H1412" s="18">
        <v>7.4152979999999999</v>
      </c>
      <c r="I1412" s="16" t="s">
        <v>746</v>
      </c>
      <c r="J1412" s="16"/>
      <c r="K1412" s="16"/>
      <c r="L1412" s="37"/>
      <c r="M1412" s="37"/>
      <c r="N1412" s="37"/>
      <c r="O1412" s="37"/>
      <c r="P1412" s="37"/>
      <c r="Q1412" s="18">
        <v>4.5320000000000006E-2</v>
      </c>
      <c r="R1412" s="18">
        <v>3.0900000000000003E-4</v>
      </c>
      <c r="S1412" s="18">
        <v>8.6520000000000014E-2</v>
      </c>
      <c r="T1412" s="18">
        <v>0.37080000000000002</v>
      </c>
      <c r="U1412" s="18">
        <v>0.18540000000000001</v>
      </c>
      <c r="V1412" s="18">
        <v>2.3731200000000001</v>
      </c>
      <c r="W1412" s="18">
        <v>2.2248000000000001</v>
      </c>
      <c r="X1412" s="18">
        <v>1.4832000000000001</v>
      </c>
      <c r="Y1412" s="18">
        <v>6.5920000000000006E-2</v>
      </c>
      <c r="Z1412" s="18">
        <v>0.29252</v>
      </c>
      <c r="AA1412" s="18">
        <v>0.42848000000000003</v>
      </c>
      <c r="AB1412" s="18">
        <v>0.7622000000000001</v>
      </c>
      <c r="AC1412" s="18">
        <v>0.23484000000000002</v>
      </c>
      <c r="AD1412" s="18">
        <v>1.2360000000000002</v>
      </c>
    </row>
    <row r="1413" spans="2:30" x14ac:dyDescent="0.25">
      <c r="B1413" t="s">
        <v>269</v>
      </c>
      <c r="C1413" t="s">
        <v>463</v>
      </c>
      <c r="D1413" t="s">
        <v>750</v>
      </c>
      <c r="E1413" s="35">
        <v>0.9</v>
      </c>
      <c r="F1413" s="35">
        <v>6.6</v>
      </c>
      <c r="G1413" s="36">
        <v>3.0200000000000001E-3</v>
      </c>
      <c r="H1413" s="18">
        <v>5.4352980000000004</v>
      </c>
      <c r="I1413" s="16" t="s">
        <v>746</v>
      </c>
      <c r="J1413" s="16"/>
      <c r="K1413" s="16"/>
      <c r="L1413" s="37"/>
      <c r="M1413" s="37"/>
      <c r="N1413" s="37"/>
      <c r="O1413" s="37"/>
      <c r="P1413" s="37"/>
      <c r="Q1413" s="18">
        <v>3.322E-2</v>
      </c>
      <c r="R1413" s="18">
        <v>2.265E-4</v>
      </c>
      <c r="S1413" s="18">
        <v>6.3420000000000004E-2</v>
      </c>
      <c r="T1413" s="18">
        <v>0.27179999999999999</v>
      </c>
      <c r="U1413" s="18">
        <v>0.13589999999999999</v>
      </c>
      <c r="V1413" s="18">
        <v>1.7395200000000002</v>
      </c>
      <c r="W1413" s="18">
        <v>1.6308</v>
      </c>
      <c r="X1413" s="18">
        <v>1.0871999999999999</v>
      </c>
      <c r="Y1413" s="18">
        <v>4.8320000000000002E-2</v>
      </c>
      <c r="Z1413" s="18">
        <v>0.21442</v>
      </c>
      <c r="AA1413" s="18">
        <v>0.31408000000000003</v>
      </c>
      <c r="AB1413" s="18">
        <v>0.55869999999999997</v>
      </c>
      <c r="AC1413" s="18">
        <v>0.17214000000000002</v>
      </c>
      <c r="AD1413" s="18">
        <v>0.90600000000000003</v>
      </c>
    </row>
    <row r="1414" spans="2:30" x14ac:dyDescent="0.25">
      <c r="B1414" t="s">
        <v>269</v>
      </c>
      <c r="C1414" t="s">
        <v>463</v>
      </c>
      <c r="D1414" t="s">
        <v>750</v>
      </c>
      <c r="E1414" s="35">
        <v>0.9</v>
      </c>
      <c r="F1414" s="35">
        <v>6.6</v>
      </c>
      <c r="G1414" s="36">
        <v>3.0200000000000001E-3</v>
      </c>
      <c r="H1414" s="18">
        <v>5.4352980000000004</v>
      </c>
      <c r="I1414" s="16" t="s">
        <v>746</v>
      </c>
      <c r="J1414" s="16"/>
      <c r="K1414" s="16"/>
      <c r="L1414" s="37"/>
      <c r="M1414" s="37"/>
      <c r="N1414" s="37"/>
      <c r="O1414" s="37"/>
      <c r="P1414" s="37"/>
      <c r="Q1414" s="18">
        <v>3.322E-2</v>
      </c>
      <c r="R1414" s="18">
        <v>2.265E-4</v>
      </c>
      <c r="S1414" s="18">
        <v>6.3420000000000004E-2</v>
      </c>
      <c r="T1414" s="18">
        <v>0.27179999999999999</v>
      </c>
      <c r="U1414" s="18">
        <v>0.13589999999999999</v>
      </c>
      <c r="V1414" s="18">
        <v>1.7395200000000002</v>
      </c>
      <c r="W1414" s="18">
        <v>1.6308</v>
      </c>
      <c r="X1414" s="18">
        <v>1.0871999999999999</v>
      </c>
      <c r="Y1414" s="18">
        <v>4.8320000000000002E-2</v>
      </c>
      <c r="Z1414" s="18">
        <v>0.21442</v>
      </c>
      <c r="AA1414" s="18">
        <v>0.31408000000000003</v>
      </c>
      <c r="AB1414" s="18">
        <v>0.55869999999999997</v>
      </c>
      <c r="AC1414" s="18">
        <v>0.17214000000000002</v>
      </c>
      <c r="AD1414" s="18">
        <v>0.90600000000000003</v>
      </c>
    </row>
    <row r="1415" spans="2:30" x14ac:dyDescent="0.25">
      <c r="B1415" t="s">
        <v>269</v>
      </c>
      <c r="C1415" t="s">
        <v>463</v>
      </c>
      <c r="D1415" t="s">
        <v>749</v>
      </c>
      <c r="E1415" s="35">
        <v>0.9</v>
      </c>
      <c r="F1415" s="35">
        <v>6.6</v>
      </c>
      <c r="G1415" s="36">
        <v>3.5699999999999998E-3</v>
      </c>
      <c r="H1415" s="18">
        <v>6.4252979999999997</v>
      </c>
      <c r="I1415" s="16" t="s">
        <v>746</v>
      </c>
      <c r="J1415" s="16"/>
      <c r="K1415" s="16"/>
      <c r="L1415" s="37"/>
      <c r="M1415" s="37"/>
      <c r="N1415" s="37"/>
      <c r="O1415" s="37"/>
      <c r="P1415" s="37"/>
      <c r="Q1415" s="18">
        <v>3.9269999999999999E-2</v>
      </c>
      <c r="R1415" s="18">
        <v>2.6774999999999998E-4</v>
      </c>
      <c r="S1415" s="18">
        <v>7.4969999999999995E-2</v>
      </c>
      <c r="T1415" s="18">
        <v>0.32129999999999997</v>
      </c>
      <c r="U1415" s="18">
        <v>0.16064999999999999</v>
      </c>
      <c r="V1415" s="18">
        <v>2.0563199999999999</v>
      </c>
      <c r="W1415" s="18">
        <v>1.9278</v>
      </c>
      <c r="X1415" s="18">
        <v>1.2851999999999999</v>
      </c>
      <c r="Y1415" s="18">
        <v>5.7119999999999997E-2</v>
      </c>
      <c r="Z1415" s="18">
        <v>0.25346999999999997</v>
      </c>
      <c r="AA1415" s="18">
        <v>0.37128</v>
      </c>
      <c r="AB1415" s="18">
        <v>0.66044999999999998</v>
      </c>
      <c r="AC1415" s="18">
        <v>0.20348999999999998</v>
      </c>
      <c r="AD1415" s="18">
        <v>1.071</v>
      </c>
    </row>
    <row r="1416" spans="2:30" x14ac:dyDescent="0.25">
      <c r="B1416" t="s">
        <v>269</v>
      </c>
      <c r="C1416" t="s">
        <v>463</v>
      </c>
      <c r="D1416" t="s">
        <v>749</v>
      </c>
      <c r="E1416" s="35">
        <v>0.9</v>
      </c>
      <c r="F1416" s="35">
        <v>6.6</v>
      </c>
      <c r="G1416" s="36">
        <v>3.5699999999999998E-3</v>
      </c>
      <c r="H1416" s="18">
        <v>6.4252979999999997</v>
      </c>
      <c r="I1416" s="16" t="s">
        <v>746</v>
      </c>
      <c r="J1416" s="16"/>
      <c r="K1416" s="16"/>
      <c r="L1416" s="37"/>
      <c r="M1416" s="37"/>
      <c r="N1416" s="37"/>
      <c r="O1416" s="37"/>
      <c r="P1416" s="37"/>
      <c r="Q1416" s="18">
        <v>3.9269999999999999E-2</v>
      </c>
      <c r="R1416" s="18">
        <v>2.6774999999999998E-4</v>
      </c>
      <c r="S1416" s="18">
        <v>7.4969999999999995E-2</v>
      </c>
      <c r="T1416" s="18">
        <v>0.32129999999999997</v>
      </c>
      <c r="U1416" s="18">
        <v>0.16064999999999999</v>
      </c>
      <c r="V1416" s="18">
        <v>2.0563199999999999</v>
      </c>
      <c r="W1416" s="18">
        <v>1.9278</v>
      </c>
      <c r="X1416" s="18">
        <v>1.2851999999999999</v>
      </c>
      <c r="Y1416" s="18">
        <v>5.7119999999999997E-2</v>
      </c>
      <c r="Z1416" s="18">
        <v>0.25346999999999997</v>
      </c>
      <c r="AA1416" s="18">
        <v>0.37128</v>
      </c>
      <c r="AB1416" s="18">
        <v>0.66044999999999998</v>
      </c>
      <c r="AC1416" s="18">
        <v>0.20348999999999998</v>
      </c>
      <c r="AD1416" s="18">
        <v>1.071</v>
      </c>
    </row>
    <row r="1417" spans="2:30" x14ac:dyDescent="0.25">
      <c r="B1417" t="s">
        <v>269</v>
      </c>
      <c r="C1417" t="s">
        <v>463</v>
      </c>
      <c r="D1417" t="s">
        <v>749</v>
      </c>
      <c r="E1417" s="35">
        <v>0.9</v>
      </c>
      <c r="F1417" s="35">
        <v>6.6</v>
      </c>
      <c r="G1417" s="36">
        <v>3.5699999999999998E-3</v>
      </c>
      <c r="H1417" s="18">
        <v>6.4252979999999997</v>
      </c>
      <c r="I1417" s="16" t="s">
        <v>746</v>
      </c>
      <c r="J1417" s="16"/>
      <c r="K1417" s="16"/>
      <c r="L1417" s="37"/>
      <c r="M1417" s="37"/>
      <c r="N1417" s="37"/>
      <c r="O1417" s="37"/>
      <c r="P1417" s="37"/>
      <c r="Q1417" s="18">
        <v>3.9269999999999999E-2</v>
      </c>
      <c r="R1417" s="18">
        <v>2.6774999999999998E-4</v>
      </c>
      <c r="S1417" s="18">
        <v>7.4969999999999995E-2</v>
      </c>
      <c r="T1417" s="18">
        <v>0.32129999999999997</v>
      </c>
      <c r="U1417" s="18">
        <v>0.16064999999999999</v>
      </c>
      <c r="V1417" s="18">
        <v>2.0563199999999999</v>
      </c>
      <c r="W1417" s="18">
        <v>1.9278</v>
      </c>
      <c r="X1417" s="18">
        <v>1.2851999999999999</v>
      </c>
      <c r="Y1417" s="18">
        <v>5.7119999999999997E-2</v>
      </c>
      <c r="Z1417" s="18">
        <v>0.25346999999999997</v>
      </c>
      <c r="AA1417" s="18">
        <v>0.37128</v>
      </c>
      <c r="AB1417" s="18">
        <v>0.66044999999999998</v>
      </c>
      <c r="AC1417" s="18">
        <v>0.20348999999999998</v>
      </c>
      <c r="AD1417" s="18">
        <v>1.071</v>
      </c>
    </row>
    <row r="1418" spans="2:30" x14ac:dyDescent="0.25">
      <c r="B1418" t="s">
        <v>269</v>
      </c>
      <c r="C1418" t="s">
        <v>463</v>
      </c>
      <c r="D1418" t="s">
        <v>748</v>
      </c>
      <c r="E1418" s="35">
        <v>0.9</v>
      </c>
      <c r="F1418" s="35">
        <v>6.6</v>
      </c>
      <c r="G1418" s="36">
        <v>4.1200000000000004E-3</v>
      </c>
      <c r="H1418" s="18">
        <v>7.4152979999999999</v>
      </c>
      <c r="I1418" s="16" t="s">
        <v>746</v>
      </c>
      <c r="J1418" s="16"/>
      <c r="K1418" s="16"/>
      <c r="L1418" s="37"/>
      <c r="M1418" s="37"/>
      <c r="N1418" s="37"/>
      <c r="O1418" s="37"/>
      <c r="P1418" s="37"/>
      <c r="Q1418" s="18">
        <v>4.5320000000000006E-2</v>
      </c>
      <c r="R1418" s="18">
        <v>3.0900000000000003E-4</v>
      </c>
      <c r="S1418" s="18">
        <v>8.6520000000000014E-2</v>
      </c>
      <c r="T1418" s="18">
        <v>0.37080000000000002</v>
      </c>
      <c r="U1418" s="18">
        <v>0.18540000000000001</v>
      </c>
      <c r="V1418" s="18">
        <v>2.3731200000000001</v>
      </c>
      <c r="W1418" s="18">
        <v>2.2248000000000001</v>
      </c>
      <c r="X1418" s="18">
        <v>1.4832000000000001</v>
      </c>
      <c r="Y1418" s="18">
        <v>6.5920000000000006E-2</v>
      </c>
      <c r="Z1418" s="18">
        <v>0.29252</v>
      </c>
      <c r="AA1418" s="18">
        <v>0.42848000000000003</v>
      </c>
      <c r="AB1418" s="18">
        <v>0.7622000000000001</v>
      </c>
      <c r="AC1418" s="18">
        <v>0.23484000000000002</v>
      </c>
      <c r="AD1418" s="18">
        <v>1.2360000000000002</v>
      </c>
    </row>
    <row r="1419" spans="2:30" x14ac:dyDescent="0.25">
      <c r="B1419" t="s">
        <v>269</v>
      </c>
      <c r="C1419" t="s">
        <v>463</v>
      </c>
      <c r="D1419" t="s">
        <v>749</v>
      </c>
      <c r="E1419" s="35">
        <v>0.9</v>
      </c>
      <c r="F1419" s="35">
        <v>6.6</v>
      </c>
      <c r="G1419" s="36">
        <v>3.5699999999999998E-3</v>
      </c>
      <c r="H1419" s="18">
        <v>6.4252979999999997</v>
      </c>
      <c r="I1419" s="16" t="s">
        <v>746</v>
      </c>
      <c r="J1419" s="16"/>
      <c r="K1419" s="16"/>
      <c r="L1419" s="37"/>
      <c r="M1419" s="37"/>
      <c r="N1419" s="37"/>
      <c r="O1419" s="37"/>
      <c r="P1419" s="37"/>
      <c r="Q1419" s="18">
        <v>3.9269999999999999E-2</v>
      </c>
      <c r="R1419" s="18">
        <v>2.6774999999999998E-4</v>
      </c>
      <c r="S1419" s="18">
        <v>7.4969999999999995E-2</v>
      </c>
      <c r="T1419" s="18">
        <v>0.32129999999999997</v>
      </c>
      <c r="U1419" s="18">
        <v>0.16064999999999999</v>
      </c>
      <c r="V1419" s="18">
        <v>2.0563199999999999</v>
      </c>
      <c r="W1419" s="18">
        <v>1.9278</v>
      </c>
      <c r="X1419" s="18">
        <v>1.2851999999999999</v>
      </c>
      <c r="Y1419" s="18">
        <v>5.7119999999999997E-2</v>
      </c>
      <c r="Z1419" s="18">
        <v>0.25346999999999997</v>
      </c>
      <c r="AA1419" s="18">
        <v>0.37128</v>
      </c>
      <c r="AB1419" s="18">
        <v>0.66044999999999998</v>
      </c>
      <c r="AC1419" s="18">
        <v>0.20348999999999998</v>
      </c>
      <c r="AD1419" s="18">
        <v>1.071</v>
      </c>
    </row>
    <row r="1420" spans="2:30" x14ac:dyDescent="0.25">
      <c r="B1420" t="s">
        <v>269</v>
      </c>
      <c r="C1420" t="s">
        <v>463</v>
      </c>
      <c r="D1420" t="s">
        <v>749</v>
      </c>
      <c r="E1420" s="35">
        <v>0.9</v>
      </c>
      <c r="F1420" s="35">
        <v>6.6</v>
      </c>
      <c r="G1420" s="36">
        <v>3.5699999999999998E-3</v>
      </c>
      <c r="H1420" s="18">
        <v>6.4252979999999997</v>
      </c>
      <c r="I1420" s="16" t="s">
        <v>746</v>
      </c>
      <c r="J1420" s="16"/>
      <c r="K1420" s="16"/>
      <c r="L1420" s="37"/>
      <c r="M1420" s="37"/>
      <c r="N1420" s="37"/>
      <c r="O1420" s="37"/>
      <c r="P1420" s="37"/>
      <c r="Q1420" s="18">
        <v>3.9269999999999999E-2</v>
      </c>
      <c r="R1420" s="18">
        <v>2.6774999999999998E-4</v>
      </c>
      <c r="S1420" s="18">
        <v>7.4969999999999995E-2</v>
      </c>
      <c r="T1420" s="18">
        <v>0.32129999999999997</v>
      </c>
      <c r="U1420" s="18">
        <v>0.16064999999999999</v>
      </c>
      <c r="V1420" s="18">
        <v>2.0563199999999999</v>
      </c>
      <c r="W1420" s="18">
        <v>1.9278</v>
      </c>
      <c r="X1420" s="18">
        <v>1.2851999999999999</v>
      </c>
      <c r="Y1420" s="18">
        <v>5.7119999999999997E-2</v>
      </c>
      <c r="Z1420" s="18">
        <v>0.25346999999999997</v>
      </c>
      <c r="AA1420" s="18">
        <v>0.37128</v>
      </c>
      <c r="AB1420" s="18">
        <v>0.66044999999999998</v>
      </c>
      <c r="AC1420" s="18">
        <v>0.20348999999999998</v>
      </c>
      <c r="AD1420" s="18">
        <v>1.071</v>
      </c>
    </row>
    <row r="1421" spans="2:30" x14ac:dyDescent="0.25">
      <c r="B1421" t="s">
        <v>269</v>
      </c>
      <c r="C1421" t="s">
        <v>463</v>
      </c>
      <c r="D1421" t="s">
        <v>748</v>
      </c>
      <c r="E1421" s="35">
        <v>0.9</v>
      </c>
      <c r="F1421" s="35">
        <v>6.6</v>
      </c>
      <c r="G1421" s="36">
        <v>4.1200000000000004E-3</v>
      </c>
      <c r="H1421" s="18">
        <v>7.4152979999999999</v>
      </c>
      <c r="I1421" s="16" t="s">
        <v>746</v>
      </c>
      <c r="J1421" s="16"/>
      <c r="K1421" s="16"/>
      <c r="L1421" s="37"/>
      <c r="M1421" s="37"/>
      <c r="N1421" s="37"/>
      <c r="O1421" s="37"/>
      <c r="P1421" s="37"/>
      <c r="Q1421" s="18">
        <v>4.5320000000000006E-2</v>
      </c>
      <c r="R1421" s="18">
        <v>3.0900000000000003E-4</v>
      </c>
      <c r="S1421" s="18">
        <v>8.6520000000000014E-2</v>
      </c>
      <c r="T1421" s="18">
        <v>0.37080000000000002</v>
      </c>
      <c r="U1421" s="18">
        <v>0.18540000000000001</v>
      </c>
      <c r="V1421" s="18">
        <v>2.3731200000000001</v>
      </c>
      <c r="W1421" s="18">
        <v>2.2248000000000001</v>
      </c>
      <c r="X1421" s="18">
        <v>1.4832000000000001</v>
      </c>
      <c r="Y1421" s="18">
        <v>6.5920000000000006E-2</v>
      </c>
      <c r="Z1421" s="18">
        <v>0.29252</v>
      </c>
      <c r="AA1421" s="18">
        <v>0.42848000000000003</v>
      </c>
      <c r="AB1421" s="18">
        <v>0.7622000000000001</v>
      </c>
      <c r="AC1421" s="18">
        <v>0.23484000000000002</v>
      </c>
      <c r="AD1421" s="18">
        <v>1.2360000000000002</v>
      </c>
    </row>
    <row r="1422" spans="2:30" x14ac:dyDescent="0.25">
      <c r="B1422" t="s">
        <v>269</v>
      </c>
      <c r="C1422" t="s">
        <v>463</v>
      </c>
      <c r="D1422" t="s">
        <v>748</v>
      </c>
      <c r="E1422" s="35">
        <v>0.9</v>
      </c>
      <c r="F1422" s="35">
        <v>6.6</v>
      </c>
      <c r="G1422" s="36">
        <v>4.1200000000000004E-3</v>
      </c>
      <c r="H1422" s="18">
        <v>7.4152979999999999</v>
      </c>
      <c r="I1422" s="16" t="s">
        <v>746</v>
      </c>
      <c r="J1422" s="16"/>
      <c r="K1422" s="16"/>
      <c r="L1422" s="37"/>
      <c r="M1422" s="37"/>
      <c r="N1422" s="37"/>
      <c r="O1422" s="37"/>
      <c r="P1422" s="37"/>
      <c r="Q1422" s="18">
        <v>4.5320000000000006E-2</v>
      </c>
      <c r="R1422" s="18">
        <v>3.0900000000000003E-4</v>
      </c>
      <c r="S1422" s="18">
        <v>8.6520000000000014E-2</v>
      </c>
      <c r="T1422" s="18">
        <v>0.37080000000000002</v>
      </c>
      <c r="U1422" s="18">
        <v>0.18540000000000001</v>
      </c>
      <c r="V1422" s="18">
        <v>2.3731200000000001</v>
      </c>
      <c r="W1422" s="18">
        <v>2.2248000000000001</v>
      </c>
      <c r="X1422" s="18">
        <v>1.4832000000000001</v>
      </c>
      <c r="Y1422" s="18">
        <v>6.5920000000000006E-2</v>
      </c>
      <c r="Z1422" s="18">
        <v>0.29252</v>
      </c>
      <c r="AA1422" s="18">
        <v>0.42848000000000003</v>
      </c>
      <c r="AB1422" s="18">
        <v>0.7622000000000001</v>
      </c>
      <c r="AC1422" s="18">
        <v>0.23484000000000002</v>
      </c>
      <c r="AD1422" s="18">
        <v>1.2360000000000002</v>
      </c>
    </row>
    <row r="1423" spans="2:30" x14ac:dyDescent="0.25">
      <c r="B1423" t="s">
        <v>269</v>
      </c>
      <c r="C1423" t="s">
        <v>463</v>
      </c>
      <c r="D1423" t="s">
        <v>749</v>
      </c>
      <c r="E1423" s="35">
        <v>0.9</v>
      </c>
      <c r="F1423" s="35">
        <v>6.6</v>
      </c>
      <c r="G1423" s="36">
        <v>3.5699999999999998E-3</v>
      </c>
      <c r="H1423" s="18">
        <v>6.4252979999999997</v>
      </c>
      <c r="I1423" s="16" t="s">
        <v>746</v>
      </c>
      <c r="J1423" s="16"/>
      <c r="K1423" s="16"/>
      <c r="L1423" s="37"/>
      <c r="M1423" s="37"/>
      <c r="N1423" s="37"/>
      <c r="O1423" s="37"/>
      <c r="P1423" s="37"/>
      <c r="Q1423" s="18">
        <v>3.9269999999999999E-2</v>
      </c>
      <c r="R1423" s="18">
        <v>2.6774999999999998E-4</v>
      </c>
      <c r="S1423" s="18">
        <v>7.4969999999999995E-2</v>
      </c>
      <c r="T1423" s="18">
        <v>0.32129999999999997</v>
      </c>
      <c r="U1423" s="18">
        <v>0.16064999999999999</v>
      </c>
      <c r="V1423" s="18">
        <v>2.0563199999999999</v>
      </c>
      <c r="W1423" s="18">
        <v>1.9278</v>
      </c>
      <c r="X1423" s="18">
        <v>1.2851999999999999</v>
      </c>
      <c r="Y1423" s="18">
        <v>5.7119999999999997E-2</v>
      </c>
      <c r="Z1423" s="18">
        <v>0.25346999999999997</v>
      </c>
      <c r="AA1423" s="18">
        <v>0.37128</v>
      </c>
      <c r="AB1423" s="18">
        <v>0.66044999999999998</v>
      </c>
      <c r="AC1423" s="18">
        <v>0.20348999999999998</v>
      </c>
      <c r="AD1423" s="18">
        <v>1.071</v>
      </c>
    </row>
    <row r="1424" spans="2:30" x14ac:dyDescent="0.25">
      <c r="B1424" t="s">
        <v>269</v>
      </c>
      <c r="C1424" t="s">
        <v>463</v>
      </c>
      <c r="D1424" t="s">
        <v>750</v>
      </c>
      <c r="E1424" s="35">
        <v>0.9</v>
      </c>
      <c r="F1424" s="35">
        <v>6.6</v>
      </c>
      <c r="G1424" s="36">
        <v>3.0200000000000001E-3</v>
      </c>
      <c r="H1424" s="18">
        <v>5.4352980000000004</v>
      </c>
      <c r="I1424" s="16" t="s">
        <v>746</v>
      </c>
      <c r="J1424" s="16"/>
      <c r="K1424" s="16"/>
      <c r="L1424" s="37"/>
      <c r="M1424" s="37"/>
      <c r="N1424" s="37"/>
      <c r="O1424" s="37"/>
      <c r="P1424" s="37"/>
      <c r="Q1424" s="18">
        <v>3.322E-2</v>
      </c>
      <c r="R1424" s="18">
        <v>2.265E-4</v>
      </c>
      <c r="S1424" s="18">
        <v>6.3420000000000004E-2</v>
      </c>
      <c r="T1424" s="18">
        <v>0.27179999999999999</v>
      </c>
      <c r="U1424" s="18">
        <v>0.13589999999999999</v>
      </c>
      <c r="V1424" s="18">
        <v>1.7395200000000002</v>
      </c>
      <c r="W1424" s="18">
        <v>1.6308</v>
      </c>
      <c r="X1424" s="18">
        <v>1.0871999999999999</v>
      </c>
      <c r="Y1424" s="18">
        <v>4.8320000000000002E-2</v>
      </c>
      <c r="Z1424" s="18">
        <v>0.21442</v>
      </c>
      <c r="AA1424" s="18">
        <v>0.31408000000000003</v>
      </c>
      <c r="AB1424" s="18">
        <v>0.55869999999999997</v>
      </c>
      <c r="AC1424" s="18">
        <v>0.17214000000000002</v>
      </c>
      <c r="AD1424" s="18">
        <v>0.90600000000000003</v>
      </c>
    </row>
    <row r="1425" spans="2:30" x14ac:dyDescent="0.25">
      <c r="B1425" t="s">
        <v>269</v>
      </c>
      <c r="C1425" t="s">
        <v>463</v>
      </c>
      <c r="D1425" t="s">
        <v>748</v>
      </c>
      <c r="E1425" s="35">
        <v>0.9</v>
      </c>
      <c r="F1425" s="35">
        <v>6.6</v>
      </c>
      <c r="G1425" s="36">
        <v>4.1200000000000004E-3</v>
      </c>
      <c r="H1425" s="18">
        <v>7.4152979999999999</v>
      </c>
      <c r="I1425" s="16" t="s">
        <v>746</v>
      </c>
      <c r="J1425" s="16"/>
      <c r="K1425" s="16"/>
      <c r="L1425" s="37"/>
      <c r="M1425" s="37"/>
      <c r="N1425" s="37"/>
      <c r="O1425" s="37"/>
      <c r="P1425" s="37"/>
      <c r="Q1425" s="18">
        <v>4.5320000000000006E-2</v>
      </c>
      <c r="R1425" s="18">
        <v>3.0900000000000003E-4</v>
      </c>
      <c r="S1425" s="18">
        <v>8.6520000000000014E-2</v>
      </c>
      <c r="T1425" s="18">
        <v>0.37080000000000002</v>
      </c>
      <c r="U1425" s="18">
        <v>0.18540000000000001</v>
      </c>
      <c r="V1425" s="18">
        <v>2.3731200000000001</v>
      </c>
      <c r="W1425" s="18">
        <v>2.2248000000000001</v>
      </c>
      <c r="X1425" s="18">
        <v>1.4832000000000001</v>
      </c>
      <c r="Y1425" s="18">
        <v>6.5920000000000006E-2</v>
      </c>
      <c r="Z1425" s="18">
        <v>0.29252</v>
      </c>
      <c r="AA1425" s="18">
        <v>0.42848000000000003</v>
      </c>
      <c r="AB1425" s="18">
        <v>0.7622000000000001</v>
      </c>
      <c r="AC1425" s="18">
        <v>0.23484000000000002</v>
      </c>
      <c r="AD1425" s="18">
        <v>1.2360000000000002</v>
      </c>
    </row>
    <row r="1426" spans="2:30" x14ac:dyDescent="0.25">
      <c r="B1426" t="s">
        <v>269</v>
      </c>
      <c r="C1426" t="s">
        <v>463</v>
      </c>
      <c r="D1426" t="s">
        <v>750</v>
      </c>
      <c r="E1426" s="35">
        <v>0.9</v>
      </c>
      <c r="F1426" s="35">
        <v>6.6</v>
      </c>
      <c r="G1426" s="36">
        <v>3.0200000000000001E-3</v>
      </c>
      <c r="H1426" s="18">
        <v>5.4352980000000004</v>
      </c>
      <c r="I1426" s="16" t="s">
        <v>746</v>
      </c>
      <c r="J1426" s="16"/>
      <c r="K1426" s="16"/>
      <c r="L1426" s="37"/>
      <c r="M1426" s="37"/>
      <c r="N1426" s="37"/>
      <c r="O1426" s="37"/>
      <c r="P1426" s="37"/>
      <c r="Q1426" s="18">
        <v>3.322E-2</v>
      </c>
      <c r="R1426" s="18">
        <v>2.265E-4</v>
      </c>
      <c r="S1426" s="18">
        <v>6.3420000000000004E-2</v>
      </c>
      <c r="T1426" s="18">
        <v>0.27179999999999999</v>
      </c>
      <c r="U1426" s="18">
        <v>0.13589999999999999</v>
      </c>
      <c r="V1426" s="18">
        <v>1.7395200000000002</v>
      </c>
      <c r="W1426" s="18">
        <v>1.6308</v>
      </c>
      <c r="X1426" s="18">
        <v>1.0871999999999999</v>
      </c>
      <c r="Y1426" s="18">
        <v>4.8320000000000002E-2</v>
      </c>
      <c r="Z1426" s="18">
        <v>0.21442</v>
      </c>
      <c r="AA1426" s="18">
        <v>0.31408000000000003</v>
      </c>
      <c r="AB1426" s="18">
        <v>0.55869999999999997</v>
      </c>
      <c r="AC1426" s="18">
        <v>0.17214000000000002</v>
      </c>
      <c r="AD1426" s="18">
        <v>0.90600000000000003</v>
      </c>
    </row>
    <row r="1427" spans="2:30" x14ac:dyDescent="0.25">
      <c r="B1427" t="s">
        <v>269</v>
      </c>
      <c r="C1427" t="s">
        <v>463</v>
      </c>
      <c r="D1427" t="s">
        <v>750</v>
      </c>
      <c r="E1427" s="35">
        <v>0.9</v>
      </c>
      <c r="F1427" s="35">
        <v>6.6</v>
      </c>
      <c r="G1427" s="36">
        <v>3.0200000000000001E-3</v>
      </c>
      <c r="H1427" s="18">
        <v>5.4352980000000004</v>
      </c>
      <c r="I1427" s="16" t="s">
        <v>746</v>
      </c>
      <c r="J1427" s="16"/>
      <c r="K1427" s="16"/>
      <c r="L1427" s="37"/>
      <c r="M1427" s="37"/>
      <c r="N1427" s="37"/>
      <c r="O1427" s="37"/>
      <c r="P1427" s="37"/>
      <c r="Q1427" s="18">
        <v>3.322E-2</v>
      </c>
      <c r="R1427" s="18">
        <v>2.265E-4</v>
      </c>
      <c r="S1427" s="18">
        <v>6.3420000000000004E-2</v>
      </c>
      <c r="T1427" s="18">
        <v>0.27179999999999999</v>
      </c>
      <c r="U1427" s="18">
        <v>0.13589999999999999</v>
      </c>
      <c r="V1427" s="18">
        <v>1.7395200000000002</v>
      </c>
      <c r="W1427" s="18">
        <v>1.6308</v>
      </c>
      <c r="X1427" s="18">
        <v>1.0871999999999999</v>
      </c>
      <c r="Y1427" s="18">
        <v>4.8320000000000002E-2</v>
      </c>
      <c r="Z1427" s="18">
        <v>0.21442</v>
      </c>
      <c r="AA1427" s="18">
        <v>0.31408000000000003</v>
      </c>
      <c r="AB1427" s="18">
        <v>0.55869999999999997</v>
      </c>
      <c r="AC1427" s="18">
        <v>0.17214000000000002</v>
      </c>
      <c r="AD1427" s="18">
        <v>0.90600000000000003</v>
      </c>
    </row>
    <row r="1428" spans="2:30" x14ac:dyDescent="0.25">
      <c r="B1428" t="s">
        <v>269</v>
      </c>
      <c r="C1428" t="s">
        <v>463</v>
      </c>
      <c r="D1428" t="s">
        <v>748</v>
      </c>
      <c r="E1428" s="35">
        <v>0.9</v>
      </c>
      <c r="F1428" s="35">
        <v>6.6</v>
      </c>
      <c r="G1428" s="36">
        <v>4.1200000000000004E-3</v>
      </c>
      <c r="H1428" s="18">
        <v>7.4152979999999999</v>
      </c>
      <c r="I1428" s="16" t="s">
        <v>746</v>
      </c>
      <c r="J1428" s="16"/>
      <c r="K1428" s="16"/>
      <c r="L1428" s="37"/>
      <c r="M1428" s="37"/>
      <c r="N1428" s="37"/>
      <c r="O1428" s="37"/>
      <c r="P1428" s="37"/>
      <c r="Q1428" s="18">
        <v>4.5320000000000006E-2</v>
      </c>
      <c r="R1428" s="18">
        <v>3.0900000000000003E-4</v>
      </c>
      <c r="S1428" s="18">
        <v>8.6520000000000014E-2</v>
      </c>
      <c r="T1428" s="18">
        <v>0.37080000000000002</v>
      </c>
      <c r="U1428" s="18">
        <v>0.18540000000000001</v>
      </c>
      <c r="V1428" s="18">
        <v>2.3731200000000001</v>
      </c>
      <c r="W1428" s="18">
        <v>2.2248000000000001</v>
      </c>
      <c r="X1428" s="18">
        <v>1.4832000000000001</v>
      </c>
      <c r="Y1428" s="18">
        <v>6.5920000000000006E-2</v>
      </c>
      <c r="Z1428" s="18">
        <v>0.29252</v>
      </c>
      <c r="AA1428" s="18">
        <v>0.42848000000000003</v>
      </c>
      <c r="AB1428" s="18">
        <v>0.7622000000000001</v>
      </c>
      <c r="AC1428" s="18">
        <v>0.23484000000000002</v>
      </c>
      <c r="AD1428" s="18">
        <v>1.2360000000000002</v>
      </c>
    </row>
    <row r="1429" spans="2:30" x14ac:dyDescent="0.25">
      <c r="B1429" t="s">
        <v>269</v>
      </c>
      <c r="C1429" t="s">
        <v>463</v>
      </c>
      <c r="D1429" t="s">
        <v>748</v>
      </c>
      <c r="E1429" s="35">
        <v>0.9</v>
      </c>
      <c r="F1429" s="35">
        <v>6.6</v>
      </c>
      <c r="G1429" s="36">
        <v>4.1200000000000004E-3</v>
      </c>
      <c r="H1429" s="18">
        <v>7.4152979999999999</v>
      </c>
      <c r="I1429" s="16" t="s">
        <v>746</v>
      </c>
      <c r="J1429" s="16"/>
      <c r="K1429" s="16"/>
      <c r="L1429" s="37"/>
      <c r="M1429" s="37"/>
      <c r="N1429" s="37"/>
      <c r="O1429" s="37"/>
      <c r="P1429" s="37"/>
      <c r="Q1429" s="18">
        <v>4.5320000000000006E-2</v>
      </c>
      <c r="R1429" s="18">
        <v>3.0900000000000003E-4</v>
      </c>
      <c r="S1429" s="18">
        <v>8.6520000000000014E-2</v>
      </c>
      <c r="T1429" s="18">
        <v>0.37080000000000002</v>
      </c>
      <c r="U1429" s="18">
        <v>0.18540000000000001</v>
      </c>
      <c r="V1429" s="18">
        <v>2.3731200000000001</v>
      </c>
      <c r="W1429" s="18">
        <v>2.2248000000000001</v>
      </c>
      <c r="X1429" s="18">
        <v>1.4832000000000001</v>
      </c>
      <c r="Y1429" s="18">
        <v>6.5920000000000006E-2</v>
      </c>
      <c r="Z1429" s="18">
        <v>0.29252</v>
      </c>
      <c r="AA1429" s="18">
        <v>0.42848000000000003</v>
      </c>
      <c r="AB1429" s="18">
        <v>0.7622000000000001</v>
      </c>
      <c r="AC1429" s="18">
        <v>0.23484000000000002</v>
      </c>
      <c r="AD1429" s="18">
        <v>1.2360000000000002</v>
      </c>
    </row>
    <row r="1430" spans="2:30" x14ac:dyDescent="0.25">
      <c r="B1430" t="s">
        <v>269</v>
      </c>
      <c r="C1430" t="s">
        <v>463</v>
      </c>
      <c r="D1430" t="s">
        <v>750</v>
      </c>
      <c r="E1430" s="35">
        <v>0.9</v>
      </c>
      <c r="F1430" s="35">
        <v>6.6</v>
      </c>
      <c r="G1430" s="36">
        <v>3.0200000000000001E-3</v>
      </c>
      <c r="H1430" s="18">
        <v>5.4352980000000004</v>
      </c>
      <c r="I1430" s="16" t="s">
        <v>746</v>
      </c>
      <c r="J1430" s="16"/>
      <c r="K1430" s="16"/>
      <c r="L1430" s="37"/>
      <c r="M1430" s="37"/>
      <c r="N1430" s="37"/>
      <c r="O1430" s="37"/>
      <c r="P1430" s="37"/>
      <c r="Q1430" s="18">
        <v>3.322E-2</v>
      </c>
      <c r="R1430" s="18">
        <v>2.265E-4</v>
      </c>
      <c r="S1430" s="18">
        <v>6.3420000000000004E-2</v>
      </c>
      <c r="T1430" s="18">
        <v>0.27179999999999999</v>
      </c>
      <c r="U1430" s="18">
        <v>0.13589999999999999</v>
      </c>
      <c r="V1430" s="18">
        <v>1.7395200000000002</v>
      </c>
      <c r="W1430" s="18">
        <v>1.6308</v>
      </c>
      <c r="X1430" s="18">
        <v>1.0871999999999999</v>
      </c>
      <c r="Y1430" s="18">
        <v>4.8320000000000002E-2</v>
      </c>
      <c r="Z1430" s="18">
        <v>0.21442</v>
      </c>
      <c r="AA1430" s="18">
        <v>0.31408000000000003</v>
      </c>
      <c r="AB1430" s="18">
        <v>0.55869999999999997</v>
      </c>
      <c r="AC1430" s="18">
        <v>0.17214000000000002</v>
      </c>
      <c r="AD1430" s="18">
        <v>0.90600000000000003</v>
      </c>
    </row>
    <row r="1431" spans="2:30" x14ac:dyDescent="0.25">
      <c r="B1431" t="s">
        <v>269</v>
      </c>
      <c r="C1431" t="s">
        <v>463</v>
      </c>
      <c r="D1431" t="s">
        <v>749</v>
      </c>
      <c r="E1431" s="35">
        <v>0.9</v>
      </c>
      <c r="F1431" s="35">
        <v>6.6</v>
      </c>
      <c r="G1431" s="36">
        <v>3.5699999999999998E-3</v>
      </c>
      <c r="H1431" s="18">
        <v>6.4252979999999997</v>
      </c>
      <c r="I1431" s="16" t="s">
        <v>746</v>
      </c>
      <c r="J1431" s="16"/>
      <c r="K1431" s="16"/>
      <c r="L1431" s="37"/>
      <c r="M1431" s="37"/>
      <c r="N1431" s="37"/>
      <c r="O1431" s="37"/>
      <c r="P1431" s="37"/>
      <c r="Q1431" s="18">
        <v>3.9269999999999999E-2</v>
      </c>
      <c r="R1431" s="18">
        <v>2.6774999999999998E-4</v>
      </c>
      <c r="S1431" s="18">
        <v>7.4969999999999995E-2</v>
      </c>
      <c r="T1431" s="18">
        <v>0.32129999999999997</v>
      </c>
      <c r="U1431" s="18">
        <v>0.16064999999999999</v>
      </c>
      <c r="V1431" s="18">
        <v>2.0563199999999999</v>
      </c>
      <c r="W1431" s="18">
        <v>1.9278</v>
      </c>
      <c r="X1431" s="18">
        <v>1.2851999999999999</v>
      </c>
      <c r="Y1431" s="18">
        <v>5.7119999999999997E-2</v>
      </c>
      <c r="Z1431" s="18">
        <v>0.25346999999999997</v>
      </c>
      <c r="AA1431" s="18">
        <v>0.37128</v>
      </c>
      <c r="AB1431" s="18">
        <v>0.66044999999999998</v>
      </c>
      <c r="AC1431" s="18">
        <v>0.20348999999999998</v>
      </c>
      <c r="AD1431" s="18">
        <v>1.071</v>
      </c>
    </row>
    <row r="1432" spans="2:30" x14ac:dyDescent="0.25">
      <c r="B1432" t="s">
        <v>269</v>
      </c>
      <c r="C1432" t="s">
        <v>463</v>
      </c>
      <c r="D1432" t="s">
        <v>748</v>
      </c>
      <c r="E1432" s="35">
        <v>0.9</v>
      </c>
      <c r="F1432" s="35">
        <v>6.6</v>
      </c>
      <c r="G1432" s="36">
        <v>4.1200000000000004E-3</v>
      </c>
      <c r="H1432" s="18">
        <v>7.4152979999999999</v>
      </c>
      <c r="I1432" s="16" t="s">
        <v>746</v>
      </c>
      <c r="J1432" s="16"/>
      <c r="K1432" s="16"/>
      <c r="L1432" s="37"/>
      <c r="M1432" s="37"/>
      <c r="N1432" s="37"/>
      <c r="O1432" s="37"/>
      <c r="P1432" s="37"/>
      <c r="Q1432" s="18">
        <v>4.5320000000000006E-2</v>
      </c>
      <c r="R1432" s="18">
        <v>3.0900000000000003E-4</v>
      </c>
      <c r="S1432" s="18">
        <v>8.6520000000000014E-2</v>
      </c>
      <c r="T1432" s="18">
        <v>0.37080000000000002</v>
      </c>
      <c r="U1432" s="18">
        <v>0.18540000000000001</v>
      </c>
      <c r="V1432" s="18">
        <v>2.3731200000000001</v>
      </c>
      <c r="W1432" s="18">
        <v>2.2248000000000001</v>
      </c>
      <c r="X1432" s="18">
        <v>1.4832000000000001</v>
      </c>
      <c r="Y1432" s="18">
        <v>6.5920000000000006E-2</v>
      </c>
      <c r="Z1432" s="18">
        <v>0.29252</v>
      </c>
      <c r="AA1432" s="18">
        <v>0.42848000000000003</v>
      </c>
      <c r="AB1432" s="18">
        <v>0.7622000000000001</v>
      </c>
      <c r="AC1432" s="18">
        <v>0.23484000000000002</v>
      </c>
      <c r="AD1432" s="18">
        <v>1.2360000000000002</v>
      </c>
    </row>
    <row r="1433" spans="2:30" x14ac:dyDescent="0.25">
      <c r="B1433" t="s">
        <v>269</v>
      </c>
      <c r="C1433" t="s">
        <v>463</v>
      </c>
      <c r="D1433" t="s">
        <v>748</v>
      </c>
      <c r="E1433" s="35">
        <v>0.9</v>
      </c>
      <c r="F1433" s="35">
        <v>6.6</v>
      </c>
      <c r="G1433" s="36">
        <v>4.1200000000000004E-3</v>
      </c>
      <c r="H1433" s="18">
        <v>7.4152979999999999</v>
      </c>
      <c r="I1433" s="16" t="s">
        <v>746</v>
      </c>
      <c r="J1433" s="16"/>
      <c r="K1433" s="16"/>
      <c r="L1433" s="37"/>
      <c r="M1433" s="37"/>
      <c r="N1433" s="37"/>
      <c r="O1433" s="37"/>
      <c r="P1433" s="37"/>
      <c r="Q1433" s="18">
        <v>4.5320000000000006E-2</v>
      </c>
      <c r="R1433" s="18">
        <v>3.0900000000000003E-4</v>
      </c>
      <c r="S1433" s="18">
        <v>8.6520000000000014E-2</v>
      </c>
      <c r="T1433" s="18">
        <v>0.37080000000000002</v>
      </c>
      <c r="U1433" s="18">
        <v>0.18540000000000001</v>
      </c>
      <c r="V1433" s="18">
        <v>2.3731200000000001</v>
      </c>
      <c r="W1433" s="18">
        <v>2.2248000000000001</v>
      </c>
      <c r="X1433" s="18">
        <v>1.4832000000000001</v>
      </c>
      <c r="Y1433" s="18">
        <v>6.5920000000000006E-2</v>
      </c>
      <c r="Z1433" s="18">
        <v>0.29252</v>
      </c>
      <c r="AA1433" s="18">
        <v>0.42848000000000003</v>
      </c>
      <c r="AB1433" s="18">
        <v>0.7622000000000001</v>
      </c>
      <c r="AC1433" s="18">
        <v>0.23484000000000002</v>
      </c>
      <c r="AD1433" s="18">
        <v>1.2360000000000002</v>
      </c>
    </row>
    <row r="1434" spans="2:30" x14ac:dyDescent="0.25">
      <c r="B1434" t="s">
        <v>269</v>
      </c>
      <c r="C1434" t="s">
        <v>463</v>
      </c>
      <c r="D1434" t="s">
        <v>750</v>
      </c>
      <c r="E1434" s="35">
        <v>0.9</v>
      </c>
      <c r="F1434" s="35">
        <v>6.6</v>
      </c>
      <c r="G1434" s="36">
        <v>3.0200000000000001E-3</v>
      </c>
      <c r="H1434" s="18">
        <v>5.4352980000000004</v>
      </c>
      <c r="I1434" s="16" t="s">
        <v>746</v>
      </c>
      <c r="J1434" s="16"/>
      <c r="K1434" s="16"/>
      <c r="L1434" s="37"/>
      <c r="M1434" s="37"/>
      <c r="N1434" s="37"/>
      <c r="O1434" s="37"/>
      <c r="P1434" s="37"/>
      <c r="Q1434" s="18">
        <v>3.322E-2</v>
      </c>
      <c r="R1434" s="18">
        <v>2.265E-4</v>
      </c>
      <c r="S1434" s="18">
        <v>6.3420000000000004E-2</v>
      </c>
      <c r="T1434" s="18">
        <v>0.27179999999999999</v>
      </c>
      <c r="U1434" s="18">
        <v>0.13589999999999999</v>
      </c>
      <c r="V1434" s="18">
        <v>1.7395200000000002</v>
      </c>
      <c r="W1434" s="18">
        <v>1.6308</v>
      </c>
      <c r="X1434" s="18">
        <v>1.0871999999999999</v>
      </c>
      <c r="Y1434" s="18">
        <v>4.8320000000000002E-2</v>
      </c>
      <c r="Z1434" s="18">
        <v>0.21442</v>
      </c>
      <c r="AA1434" s="18">
        <v>0.31408000000000003</v>
      </c>
      <c r="AB1434" s="18">
        <v>0.55869999999999997</v>
      </c>
      <c r="AC1434" s="18">
        <v>0.17214000000000002</v>
      </c>
      <c r="AD1434" s="18">
        <v>0.90600000000000003</v>
      </c>
    </row>
    <row r="1435" spans="2:30" x14ac:dyDescent="0.25">
      <c r="B1435" t="s">
        <v>269</v>
      </c>
      <c r="C1435" t="s">
        <v>463</v>
      </c>
      <c r="D1435" t="s">
        <v>750</v>
      </c>
      <c r="E1435" s="35">
        <v>0.9</v>
      </c>
      <c r="F1435" s="35">
        <v>6.6</v>
      </c>
      <c r="G1435" s="36">
        <v>3.0200000000000001E-3</v>
      </c>
      <c r="H1435" s="18">
        <v>5.4352980000000004</v>
      </c>
      <c r="I1435" s="16" t="s">
        <v>746</v>
      </c>
      <c r="J1435" s="16"/>
      <c r="K1435" s="16"/>
      <c r="L1435" s="37"/>
      <c r="M1435" s="37"/>
      <c r="N1435" s="37"/>
      <c r="O1435" s="37"/>
      <c r="P1435" s="37"/>
      <c r="Q1435" s="18">
        <v>3.322E-2</v>
      </c>
      <c r="R1435" s="18">
        <v>2.265E-4</v>
      </c>
      <c r="S1435" s="18">
        <v>6.3420000000000004E-2</v>
      </c>
      <c r="T1435" s="18">
        <v>0.27179999999999999</v>
      </c>
      <c r="U1435" s="18">
        <v>0.13589999999999999</v>
      </c>
      <c r="V1435" s="18">
        <v>1.7395200000000002</v>
      </c>
      <c r="W1435" s="18">
        <v>1.6308</v>
      </c>
      <c r="X1435" s="18">
        <v>1.0871999999999999</v>
      </c>
      <c r="Y1435" s="18">
        <v>4.8320000000000002E-2</v>
      </c>
      <c r="Z1435" s="18">
        <v>0.21442</v>
      </c>
      <c r="AA1435" s="18">
        <v>0.31408000000000003</v>
      </c>
      <c r="AB1435" s="18">
        <v>0.55869999999999997</v>
      </c>
      <c r="AC1435" s="18">
        <v>0.17214000000000002</v>
      </c>
      <c r="AD1435" s="18">
        <v>0.90600000000000003</v>
      </c>
    </row>
    <row r="1436" spans="2:30" x14ac:dyDescent="0.25">
      <c r="B1436" t="s">
        <v>269</v>
      </c>
      <c r="C1436" t="s">
        <v>463</v>
      </c>
      <c r="D1436" t="s">
        <v>749</v>
      </c>
      <c r="E1436" s="35">
        <v>0.9</v>
      </c>
      <c r="F1436" s="35">
        <v>6.6</v>
      </c>
      <c r="G1436" s="36">
        <v>3.5699999999999998E-3</v>
      </c>
      <c r="H1436" s="18">
        <v>6.4252979999999997</v>
      </c>
      <c r="I1436" s="16" t="s">
        <v>746</v>
      </c>
      <c r="J1436" s="16"/>
      <c r="K1436" s="16"/>
      <c r="L1436" s="37"/>
      <c r="M1436" s="37"/>
      <c r="N1436" s="37"/>
      <c r="O1436" s="37"/>
      <c r="P1436" s="37"/>
      <c r="Q1436" s="18">
        <v>3.9269999999999999E-2</v>
      </c>
      <c r="R1436" s="18">
        <v>2.6774999999999998E-4</v>
      </c>
      <c r="S1436" s="18">
        <v>7.4969999999999995E-2</v>
      </c>
      <c r="T1436" s="18">
        <v>0.32129999999999997</v>
      </c>
      <c r="U1436" s="18">
        <v>0.16064999999999999</v>
      </c>
      <c r="V1436" s="18">
        <v>2.0563199999999999</v>
      </c>
      <c r="W1436" s="18">
        <v>1.9278</v>
      </c>
      <c r="X1436" s="18">
        <v>1.2851999999999999</v>
      </c>
      <c r="Y1436" s="18">
        <v>5.7119999999999997E-2</v>
      </c>
      <c r="Z1436" s="18">
        <v>0.25346999999999997</v>
      </c>
      <c r="AA1436" s="18">
        <v>0.37128</v>
      </c>
      <c r="AB1436" s="18">
        <v>0.66044999999999998</v>
      </c>
      <c r="AC1436" s="18">
        <v>0.20348999999999998</v>
      </c>
      <c r="AD1436" s="18">
        <v>1.071</v>
      </c>
    </row>
    <row r="1437" spans="2:30" x14ac:dyDescent="0.25">
      <c r="B1437" t="s">
        <v>269</v>
      </c>
      <c r="C1437" t="s">
        <v>463</v>
      </c>
      <c r="D1437" t="s">
        <v>748</v>
      </c>
      <c r="E1437" s="35">
        <v>0.9</v>
      </c>
      <c r="F1437" s="35">
        <v>6.6</v>
      </c>
      <c r="G1437" s="36">
        <v>4.1200000000000004E-3</v>
      </c>
      <c r="H1437" s="18">
        <v>7.4152979999999999</v>
      </c>
      <c r="I1437" s="16" t="s">
        <v>746</v>
      </c>
      <c r="J1437" s="16"/>
      <c r="K1437" s="16"/>
      <c r="L1437" s="37"/>
      <c r="M1437" s="37"/>
      <c r="N1437" s="37"/>
      <c r="O1437" s="37"/>
      <c r="P1437" s="37"/>
      <c r="Q1437" s="18">
        <v>4.5320000000000006E-2</v>
      </c>
      <c r="R1437" s="18">
        <v>3.0900000000000003E-4</v>
      </c>
      <c r="S1437" s="18">
        <v>8.6520000000000014E-2</v>
      </c>
      <c r="T1437" s="18">
        <v>0.37080000000000002</v>
      </c>
      <c r="U1437" s="18">
        <v>0.18540000000000001</v>
      </c>
      <c r="V1437" s="18">
        <v>2.3731200000000001</v>
      </c>
      <c r="W1437" s="18">
        <v>2.2248000000000001</v>
      </c>
      <c r="X1437" s="18">
        <v>1.4832000000000001</v>
      </c>
      <c r="Y1437" s="18">
        <v>6.5920000000000006E-2</v>
      </c>
      <c r="Z1437" s="18">
        <v>0.29252</v>
      </c>
      <c r="AA1437" s="18">
        <v>0.42848000000000003</v>
      </c>
      <c r="AB1437" s="18">
        <v>0.7622000000000001</v>
      </c>
      <c r="AC1437" s="18">
        <v>0.23484000000000002</v>
      </c>
      <c r="AD1437" s="18">
        <v>1.2360000000000002</v>
      </c>
    </row>
    <row r="1438" spans="2:30" x14ac:dyDescent="0.25">
      <c r="B1438" t="s">
        <v>269</v>
      </c>
      <c r="C1438" t="s">
        <v>463</v>
      </c>
      <c r="D1438" t="s">
        <v>750</v>
      </c>
      <c r="E1438" s="35">
        <v>0.9</v>
      </c>
      <c r="F1438" s="35">
        <v>6.6</v>
      </c>
      <c r="G1438" s="36">
        <v>3.0200000000000001E-3</v>
      </c>
      <c r="H1438" s="18">
        <v>5.4352980000000004</v>
      </c>
      <c r="I1438" s="16" t="s">
        <v>746</v>
      </c>
      <c r="J1438" s="16"/>
      <c r="K1438" s="16"/>
      <c r="L1438" s="37"/>
      <c r="M1438" s="37"/>
      <c r="N1438" s="37"/>
      <c r="O1438" s="37"/>
      <c r="P1438" s="37"/>
      <c r="Q1438" s="18">
        <v>3.322E-2</v>
      </c>
      <c r="R1438" s="18">
        <v>2.265E-4</v>
      </c>
      <c r="S1438" s="18">
        <v>6.3420000000000004E-2</v>
      </c>
      <c r="T1438" s="18">
        <v>0.27179999999999999</v>
      </c>
      <c r="U1438" s="18">
        <v>0.13589999999999999</v>
      </c>
      <c r="V1438" s="18">
        <v>1.7395200000000002</v>
      </c>
      <c r="W1438" s="18">
        <v>1.6308</v>
      </c>
      <c r="X1438" s="18">
        <v>1.0871999999999999</v>
      </c>
      <c r="Y1438" s="18">
        <v>4.8320000000000002E-2</v>
      </c>
      <c r="Z1438" s="18">
        <v>0.21442</v>
      </c>
      <c r="AA1438" s="18">
        <v>0.31408000000000003</v>
      </c>
      <c r="AB1438" s="18">
        <v>0.55869999999999997</v>
      </c>
      <c r="AC1438" s="18">
        <v>0.17214000000000002</v>
      </c>
      <c r="AD1438" s="18">
        <v>0.90600000000000003</v>
      </c>
    </row>
    <row r="1439" spans="2:30" x14ac:dyDescent="0.25">
      <c r="B1439" t="s">
        <v>269</v>
      </c>
      <c r="C1439" t="s">
        <v>463</v>
      </c>
      <c r="D1439" t="s">
        <v>750</v>
      </c>
      <c r="E1439" s="35">
        <v>0.9</v>
      </c>
      <c r="F1439" s="35">
        <v>6.6</v>
      </c>
      <c r="G1439" s="36">
        <v>3.0200000000000001E-3</v>
      </c>
      <c r="H1439" s="18">
        <v>5.4352980000000004</v>
      </c>
      <c r="I1439" s="16" t="s">
        <v>746</v>
      </c>
      <c r="J1439" s="16"/>
      <c r="K1439" s="16"/>
      <c r="L1439" s="37"/>
      <c r="M1439" s="37"/>
      <c r="N1439" s="37"/>
      <c r="O1439" s="37"/>
      <c r="P1439" s="37"/>
      <c r="Q1439" s="18">
        <v>3.322E-2</v>
      </c>
      <c r="R1439" s="18">
        <v>2.265E-4</v>
      </c>
      <c r="S1439" s="18">
        <v>6.3420000000000004E-2</v>
      </c>
      <c r="T1439" s="18">
        <v>0.27179999999999999</v>
      </c>
      <c r="U1439" s="18">
        <v>0.13589999999999999</v>
      </c>
      <c r="V1439" s="18">
        <v>1.7395200000000002</v>
      </c>
      <c r="W1439" s="18">
        <v>1.6308</v>
      </c>
      <c r="X1439" s="18">
        <v>1.0871999999999999</v>
      </c>
      <c r="Y1439" s="18">
        <v>4.8320000000000002E-2</v>
      </c>
      <c r="Z1439" s="18">
        <v>0.21442</v>
      </c>
      <c r="AA1439" s="18">
        <v>0.31408000000000003</v>
      </c>
      <c r="AB1439" s="18">
        <v>0.55869999999999997</v>
      </c>
      <c r="AC1439" s="18">
        <v>0.17214000000000002</v>
      </c>
      <c r="AD1439" s="18">
        <v>0.90600000000000003</v>
      </c>
    </row>
    <row r="1440" spans="2:30" x14ac:dyDescent="0.25">
      <c r="B1440" t="s">
        <v>269</v>
      </c>
      <c r="C1440" t="s">
        <v>463</v>
      </c>
      <c r="D1440" t="s">
        <v>749</v>
      </c>
      <c r="E1440" s="35">
        <v>0.9</v>
      </c>
      <c r="F1440" s="35">
        <v>6.6</v>
      </c>
      <c r="G1440" s="36">
        <v>3.5699999999999998E-3</v>
      </c>
      <c r="H1440" s="18">
        <v>6.4252979999999997</v>
      </c>
      <c r="I1440" s="16" t="s">
        <v>746</v>
      </c>
      <c r="J1440" s="16"/>
      <c r="K1440" s="16"/>
      <c r="L1440" s="37"/>
      <c r="M1440" s="37"/>
      <c r="N1440" s="37"/>
      <c r="O1440" s="37"/>
      <c r="P1440" s="37"/>
      <c r="Q1440" s="18">
        <v>3.9269999999999999E-2</v>
      </c>
      <c r="R1440" s="18">
        <v>2.6774999999999998E-4</v>
      </c>
      <c r="S1440" s="18">
        <v>7.4969999999999995E-2</v>
      </c>
      <c r="T1440" s="18">
        <v>0.32129999999999997</v>
      </c>
      <c r="U1440" s="18">
        <v>0.16064999999999999</v>
      </c>
      <c r="V1440" s="18">
        <v>2.0563199999999999</v>
      </c>
      <c r="W1440" s="18">
        <v>1.9278</v>
      </c>
      <c r="X1440" s="18">
        <v>1.2851999999999999</v>
      </c>
      <c r="Y1440" s="18">
        <v>5.7119999999999997E-2</v>
      </c>
      <c r="Z1440" s="18">
        <v>0.25346999999999997</v>
      </c>
      <c r="AA1440" s="18">
        <v>0.37128</v>
      </c>
      <c r="AB1440" s="18">
        <v>0.66044999999999998</v>
      </c>
      <c r="AC1440" s="18">
        <v>0.20348999999999998</v>
      </c>
      <c r="AD1440" s="18">
        <v>1.071</v>
      </c>
    </row>
    <row r="1441" spans="2:30" x14ac:dyDescent="0.25">
      <c r="B1441" t="s">
        <v>269</v>
      </c>
      <c r="C1441" t="s">
        <v>463</v>
      </c>
      <c r="D1441" t="s">
        <v>748</v>
      </c>
      <c r="E1441" s="35">
        <v>0.9</v>
      </c>
      <c r="F1441" s="35">
        <v>6.6</v>
      </c>
      <c r="G1441" s="36">
        <v>4.1200000000000004E-3</v>
      </c>
      <c r="H1441" s="18">
        <v>7.4152979999999999</v>
      </c>
      <c r="I1441" s="16" t="s">
        <v>746</v>
      </c>
      <c r="J1441" s="16"/>
      <c r="K1441" s="16"/>
      <c r="L1441" s="37"/>
      <c r="M1441" s="37"/>
      <c r="N1441" s="37"/>
      <c r="O1441" s="37"/>
      <c r="P1441" s="37"/>
      <c r="Q1441" s="18">
        <v>4.5320000000000006E-2</v>
      </c>
      <c r="R1441" s="18">
        <v>3.0900000000000003E-4</v>
      </c>
      <c r="S1441" s="18">
        <v>8.6520000000000014E-2</v>
      </c>
      <c r="T1441" s="18">
        <v>0.37080000000000002</v>
      </c>
      <c r="U1441" s="18">
        <v>0.18540000000000001</v>
      </c>
      <c r="V1441" s="18">
        <v>2.3731200000000001</v>
      </c>
      <c r="W1441" s="18">
        <v>2.2248000000000001</v>
      </c>
      <c r="X1441" s="18">
        <v>1.4832000000000001</v>
      </c>
      <c r="Y1441" s="18">
        <v>6.5920000000000006E-2</v>
      </c>
      <c r="Z1441" s="18">
        <v>0.29252</v>
      </c>
      <c r="AA1441" s="18">
        <v>0.42848000000000003</v>
      </c>
      <c r="AB1441" s="18">
        <v>0.7622000000000001</v>
      </c>
      <c r="AC1441" s="18">
        <v>0.23484000000000002</v>
      </c>
      <c r="AD1441" s="18">
        <v>1.2360000000000002</v>
      </c>
    </row>
    <row r="1442" spans="2:30" x14ac:dyDescent="0.25">
      <c r="B1442" t="s">
        <v>269</v>
      </c>
      <c r="C1442" t="s">
        <v>463</v>
      </c>
      <c r="D1442" t="s">
        <v>750</v>
      </c>
      <c r="E1442" s="35">
        <v>0.9</v>
      </c>
      <c r="F1442" s="35">
        <v>6.6</v>
      </c>
      <c r="G1442" s="36">
        <v>3.0200000000000001E-3</v>
      </c>
      <c r="H1442" s="18">
        <v>5.4352980000000004</v>
      </c>
      <c r="I1442" s="16" t="s">
        <v>746</v>
      </c>
      <c r="J1442" s="16"/>
      <c r="K1442" s="16"/>
      <c r="L1442" s="37"/>
      <c r="M1442" s="37"/>
      <c r="N1442" s="37"/>
      <c r="O1442" s="37"/>
      <c r="P1442" s="37"/>
      <c r="Q1442" s="18">
        <v>3.322E-2</v>
      </c>
      <c r="R1442" s="18">
        <v>2.265E-4</v>
      </c>
      <c r="S1442" s="18">
        <v>6.3420000000000004E-2</v>
      </c>
      <c r="T1442" s="18">
        <v>0.27179999999999999</v>
      </c>
      <c r="U1442" s="18">
        <v>0.13589999999999999</v>
      </c>
      <c r="V1442" s="18">
        <v>1.7395200000000002</v>
      </c>
      <c r="W1442" s="18">
        <v>1.6308</v>
      </c>
      <c r="X1442" s="18">
        <v>1.0871999999999999</v>
      </c>
      <c r="Y1442" s="18">
        <v>4.8320000000000002E-2</v>
      </c>
      <c r="Z1442" s="18">
        <v>0.21442</v>
      </c>
      <c r="AA1442" s="18">
        <v>0.31408000000000003</v>
      </c>
      <c r="AB1442" s="18">
        <v>0.55869999999999997</v>
      </c>
      <c r="AC1442" s="18">
        <v>0.17214000000000002</v>
      </c>
      <c r="AD1442" s="18">
        <v>0.90600000000000003</v>
      </c>
    </row>
    <row r="1443" spans="2:30" x14ac:dyDescent="0.25">
      <c r="B1443" t="s">
        <v>269</v>
      </c>
      <c r="C1443" t="s">
        <v>463</v>
      </c>
      <c r="D1443" t="s">
        <v>748</v>
      </c>
      <c r="E1443" s="35">
        <v>0.9</v>
      </c>
      <c r="F1443" s="35">
        <v>6.6</v>
      </c>
      <c r="G1443" s="36">
        <v>4.1200000000000004E-3</v>
      </c>
      <c r="H1443" s="18">
        <v>7.4152979999999999</v>
      </c>
      <c r="I1443" s="16" t="s">
        <v>746</v>
      </c>
      <c r="J1443" s="16"/>
      <c r="K1443" s="16"/>
      <c r="L1443" s="37"/>
      <c r="M1443" s="37"/>
      <c r="N1443" s="37"/>
      <c r="O1443" s="37"/>
      <c r="P1443" s="37"/>
      <c r="Q1443" s="18">
        <v>4.5320000000000006E-2</v>
      </c>
      <c r="R1443" s="18">
        <v>3.0900000000000003E-4</v>
      </c>
      <c r="S1443" s="18">
        <v>8.6520000000000014E-2</v>
      </c>
      <c r="T1443" s="18">
        <v>0.37080000000000002</v>
      </c>
      <c r="U1443" s="18">
        <v>0.18540000000000001</v>
      </c>
      <c r="V1443" s="18">
        <v>2.3731200000000001</v>
      </c>
      <c r="W1443" s="18">
        <v>2.2248000000000001</v>
      </c>
      <c r="X1443" s="18">
        <v>1.4832000000000001</v>
      </c>
      <c r="Y1443" s="18">
        <v>6.5920000000000006E-2</v>
      </c>
      <c r="Z1443" s="18">
        <v>0.29252</v>
      </c>
      <c r="AA1443" s="18">
        <v>0.42848000000000003</v>
      </c>
      <c r="AB1443" s="18">
        <v>0.7622000000000001</v>
      </c>
      <c r="AC1443" s="18">
        <v>0.23484000000000002</v>
      </c>
      <c r="AD1443" s="18">
        <v>1.2360000000000002</v>
      </c>
    </row>
    <row r="1444" spans="2:30" x14ac:dyDescent="0.25">
      <c r="B1444" t="s">
        <v>269</v>
      </c>
      <c r="C1444" t="s">
        <v>463</v>
      </c>
      <c r="D1444" t="s">
        <v>750</v>
      </c>
      <c r="E1444" s="35">
        <v>0.9</v>
      </c>
      <c r="F1444" s="35">
        <v>6.6</v>
      </c>
      <c r="G1444" s="36">
        <v>3.0200000000000001E-3</v>
      </c>
      <c r="H1444" s="18">
        <v>5.4352980000000004</v>
      </c>
      <c r="I1444" s="16" t="s">
        <v>746</v>
      </c>
      <c r="J1444" s="16"/>
      <c r="K1444" s="16"/>
      <c r="L1444" s="37"/>
      <c r="M1444" s="37"/>
      <c r="N1444" s="37"/>
      <c r="O1444" s="37"/>
      <c r="P1444" s="37"/>
      <c r="Q1444" s="18">
        <v>3.322E-2</v>
      </c>
      <c r="R1444" s="18">
        <v>2.265E-4</v>
      </c>
      <c r="S1444" s="18">
        <v>6.3420000000000004E-2</v>
      </c>
      <c r="T1444" s="18">
        <v>0.27179999999999999</v>
      </c>
      <c r="U1444" s="18">
        <v>0.13589999999999999</v>
      </c>
      <c r="V1444" s="18">
        <v>1.7395200000000002</v>
      </c>
      <c r="W1444" s="18">
        <v>1.6308</v>
      </c>
      <c r="X1444" s="18">
        <v>1.0871999999999999</v>
      </c>
      <c r="Y1444" s="18">
        <v>4.8320000000000002E-2</v>
      </c>
      <c r="Z1444" s="18">
        <v>0.21442</v>
      </c>
      <c r="AA1444" s="18">
        <v>0.31408000000000003</v>
      </c>
      <c r="AB1444" s="18">
        <v>0.55869999999999997</v>
      </c>
      <c r="AC1444" s="18">
        <v>0.17214000000000002</v>
      </c>
      <c r="AD1444" s="18">
        <v>0.90600000000000003</v>
      </c>
    </row>
    <row r="1445" spans="2:30" x14ac:dyDescent="0.25">
      <c r="B1445" t="s">
        <v>269</v>
      </c>
      <c r="C1445" t="s">
        <v>463</v>
      </c>
      <c r="D1445" t="s">
        <v>748</v>
      </c>
      <c r="E1445" s="35">
        <v>0.9</v>
      </c>
      <c r="F1445" s="35">
        <v>6.6</v>
      </c>
      <c r="G1445" s="36">
        <v>4.1200000000000004E-3</v>
      </c>
      <c r="H1445" s="18">
        <v>7.4152979999999999</v>
      </c>
      <c r="I1445" s="16" t="s">
        <v>746</v>
      </c>
      <c r="J1445" s="16"/>
      <c r="K1445" s="16"/>
      <c r="L1445" s="37"/>
      <c r="M1445" s="37"/>
      <c r="N1445" s="37"/>
      <c r="O1445" s="37"/>
      <c r="P1445" s="37"/>
      <c r="Q1445" s="18">
        <v>4.5320000000000006E-2</v>
      </c>
      <c r="R1445" s="18">
        <v>3.0900000000000003E-4</v>
      </c>
      <c r="S1445" s="18">
        <v>8.6520000000000014E-2</v>
      </c>
      <c r="T1445" s="18">
        <v>0.37080000000000002</v>
      </c>
      <c r="U1445" s="18">
        <v>0.18540000000000001</v>
      </c>
      <c r="V1445" s="18">
        <v>2.3731200000000001</v>
      </c>
      <c r="W1445" s="18">
        <v>2.2248000000000001</v>
      </c>
      <c r="X1445" s="18">
        <v>1.4832000000000001</v>
      </c>
      <c r="Y1445" s="18">
        <v>6.5920000000000006E-2</v>
      </c>
      <c r="Z1445" s="18">
        <v>0.29252</v>
      </c>
      <c r="AA1445" s="18">
        <v>0.42848000000000003</v>
      </c>
      <c r="AB1445" s="18">
        <v>0.7622000000000001</v>
      </c>
      <c r="AC1445" s="18">
        <v>0.23484000000000002</v>
      </c>
      <c r="AD1445" s="18">
        <v>1.2360000000000002</v>
      </c>
    </row>
    <row r="1446" spans="2:30" x14ac:dyDescent="0.25">
      <c r="B1446" t="s">
        <v>269</v>
      </c>
      <c r="C1446" t="s">
        <v>463</v>
      </c>
      <c r="D1446" t="s">
        <v>750</v>
      </c>
      <c r="E1446" s="35">
        <v>0.9</v>
      </c>
      <c r="F1446" s="35">
        <v>6.6</v>
      </c>
      <c r="G1446" s="36">
        <v>3.0200000000000001E-3</v>
      </c>
      <c r="H1446" s="18">
        <v>5.4352980000000004</v>
      </c>
      <c r="I1446" s="16" t="s">
        <v>746</v>
      </c>
      <c r="J1446" s="16"/>
      <c r="K1446" s="16"/>
      <c r="L1446" s="37"/>
      <c r="M1446" s="37"/>
      <c r="N1446" s="37"/>
      <c r="O1446" s="37"/>
      <c r="P1446" s="37"/>
      <c r="Q1446" s="18">
        <v>3.322E-2</v>
      </c>
      <c r="R1446" s="18">
        <v>2.265E-4</v>
      </c>
      <c r="S1446" s="18">
        <v>6.3420000000000004E-2</v>
      </c>
      <c r="T1446" s="18">
        <v>0.27179999999999999</v>
      </c>
      <c r="U1446" s="18">
        <v>0.13589999999999999</v>
      </c>
      <c r="V1446" s="18">
        <v>1.7395200000000002</v>
      </c>
      <c r="W1446" s="18">
        <v>1.6308</v>
      </c>
      <c r="X1446" s="18">
        <v>1.0871999999999999</v>
      </c>
      <c r="Y1446" s="18">
        <v>4.8320000000000002E-2</v>
      </c>
      <c r="Z1446" s="18">
        <v>0.21442</v>
      </c>
      <c r="AA1446" s="18">
        <v>0.31408000000000003</v>
      </c>
      <c r="AB1446" s="18">
        <v>0.55869999999999997</v>
      </c>
      <c r="AC1446" s="18">
        <v>0.17214000000000002</v>
      </c>
      <c r="AD1446" s="18">
        <v>0.90600000000000003</v>
      </c>
    </row>
    <row r="1447" spans="2:30" x14ac:dyDescent="0.25">
      <c r="B1447" t="s">
        <v>269</v>
      </c>
      <c r="C1447" t="s">
        <v>463</v>
      </c>
      <c r="D1447" t="s">
        <v>748</v>
      </c>
      <c r="E1447" s="35">
        <v>0.9</v>
      </c>
      <c r="F1447" s="35">
        <v>6.6</v>
      </c>
      <c r="G1447" s="36">
        <v>4.1200000000000004E-3</v>
      </c>
      <c r="H1447" s="18">
        <v>7.4152979999999999</v>
      </c>
      <c r="I1447" s="16" t="s">
        <v>746</v>
      </c>
      <c r="J1447" s="16"/>
      <c r="K1447" s="16"/>
      <c r="L1447" s="37"/>
      <c r="M1447" s="37"/>
      <c r="N1447" s="37"/>
      <c r="O1447" s="37"/>
      <c r="P1447" s="37"/>
      <c r="Q1447" s="18">
        <v>4.5320000000000006E-2</v>
      </c>
      <c r="R1447" s="18">
        <v>3.0900000000000003E-4</v>
      </c>
      <c r="S1447" s="18">
        <v>8.6520000000000014E-2</v>
      </c>
      <c r="T1447" s="18">
        <v>0.37080000000000002</v>
      </c>
      <c r="U1447" s="18">
        <v>0.18540000000000001</v>
      </c>
      <c r="V1447" s="18">
        <v>2.3731200000000001</v>
      </c>
      <c r="W1447" s="18">
        <v>2.2248000000000001</v>
      </c>
      <c r="X1447" s="18">
        <v>1.4832000000000001</v>
      </c>
      <c r="Y1447" s="18">
        <v>6.5920000000000006E-2</v>
      </c>
      <c r="Z1447" s="18">
        <v>0.29252</v>
      </c>
      <c r="AA1447" s="18">
        <v>0.42848000000000003</v>
      </c>
      <c r="AB1447" s="18">
        <v>0.7622000000000001</v>
      </c>
      <c r="AC1447" s="18">
        <v>0.23484000000000002</v>
      </c>
      <c r="AD1447" s="18">
        <v>1.2360000000000002</v>
      </c>
    </row>
    <row r="1448" spans="2:30" x14ac:dyDescent="0.25">
      <c r="B1448" t="s">
        <v>269</v>
      </c>
      <c r="C1448" t="s">
        <v>463</v>
      </c>
      <c r="D1448" t="s">
        <v>748</v>
      </c>
      <c r="E1448" s="35">
        <v>0.9</v>
      </c>
      <c r="F1448" s="35">
        <v>6.6</v>
      </c>
      <c r="G1448" s="36">
        <v>4.1200000000000004E-3</v>
      </c>
      <c r="H1448" s="18">
        <v>7.4152979999999999</v>
      </c>
      <c r="I1448" s="16" t="s">
        <v>746</v>
      </c>
      <c r="J1448" s="16"/>
      <c r="K1448" s="16"/>
      <c r="L1448" s="37"/>
      <c r="M1448" s="37"/>
      <c r="N1448" s="37"/>
      <c r="O1448" s="37"/>
      <c r="P1448" s="37"/>
      <c r="Q1448" s="18">
        <v>4.5320000000000006E-2</v>
      </c>
      <c r="R1448" s="18">
        <v>3.0900000000000003E-4</v>
      </c>
      <c r="S1448" s="18">
        <v>8.6520000000000014E-2</v>
      </c>
      <c r="T1448" s="18">
        <v>0.37080000000000002</v>
      </c>
      <c r="U1448" s="18">
        <v>0.18540000000000001</v>
      </c>
      <c r="V1448" s="18">
        <v>2.3731200000000001</v>
      </c>
      <c r="W1448" s="18">
        <v>2.2248000000000001</v>
      </c>
      <c r="X1448" s="18">
        <v>1.4832000000000001</v>
      </c>
      <c r="Y1448" s="18">
        <v>6.5920000000000006E-2</v>
      </c>
      <c r="Z1448" s="18">
        <v>0.29252</v>
      </c>
      <c r="AA1448" s="18">
        <v>0.42848000000000003</v>
      </c>
      <c r="AB1448" s="18">
        <v>0.7622000000000001</v>
      </c>
      <c r="AC1448" s="18">
        <v>0.23484000000000002</v>
      </c>
      <c r="AD1448" s="18">
        <v>1.2360000000000002</v>
      </c>
    </row>
    <row r="1449" spans="2:30" x14ac:dyDescent="0.25">
      <c r="B1449" t="s">
        <v>269</v>
      </c>
      <c r="C1449" t="s">
        <v>463</v>
      </c>
      <c r="D1449" t="s">
        <v>750</v>
      </c>
      <c r="E1449" s="35">
        <v>0.9</v>
      </c>
      <c r="F1449" s="35">
        <v>6.6</v>
      </c>
      <c r="G1449" s="36">
        <v>3.0200000000000001E-3</v>
      </c>
      <c r="H1449" s="18">
        <v>5.4352980000000004</v>
      </c>
      <c r="I1449" s="16" t="s">
        <v>746</v>
      </c>
      <c r="J1449" s="16"/>
      <c r="K1449" s="16"/>
      <c r="L1449" s="37"/>
      <c r="M1449" s="37"/>
      <c r="N1449" s="37"/>
      <c r="O1449" s="37"/>
      <c r="P1449" s="37"/>
      <c r="Q1449" s="18">
        <v>3.322E-2</v>
      </c>
      <c r="R1449" s="18">
        <v>2.265E-4</v>
      </c>
      <c r="S1449" s="18">
        <v>6.3420000000000004E-2</v>
      </c>
      <c r="T1449" s="18">
        <v>0.27179999999999999</v>
      </c>
      <c r="U1449" s="18">
        <v>0.13589999999999999</v>
      </c>
      <c r="V1449" s="18">
        <v>1.7395200000000002</v>
      </c>
      <c r="W1449" s="18">
        <v>1.6308</v>
      </c>
      <c r="X1449" s="18">
        <v>1.0871999999999999</v>
      </c>
      <c r="Y1449" s="18">
        <v>4.8320000000000002E-2</v>
      </c>
      <c r="Z1449" s="18">
        <v>0.21442</v>
      </c>
      <c r="AA1449" s="18">
        <v>0.31408000000000003</v>
      </c>
      <c r="AB1449" s="18">
        <v>0.55869999999999997</v>
      </c>
      <c r="AC1449" s="18">
        <v>0.17214000000000002</v>
      </c>
      <c r="AD1449" s="18">
        <v>0.90600000000000003</v>
      </c>
    </row>
    <row r="1450" spans="2:30" x14ac:dyDescent="0.25">
      <c r="B1450" t="s">
        <v>269</v>
      </c>
      <c r="C1450" t="s">
        <v>463</v>
      </c>
      <c r="D1450" t="s">
        <v>748</v>
      </c>
      <c r="E1450" s="35">
        <v>0.9</v>
      </c>
      <c r="F1450" s="35">
        <v>6.6</v>
      </c>
      <c r="G1450" s="36">
        <v>4.1200000000000004E-3</v>
      </c>
      <c r="H1450" s="18">
        <v>7.4152979999999999</v>
      </c>
      <c r="I1450" s="16" t="s">
        <v>746</v>
      </c>
      <c r="J1450" s="16"/>
      <c r="K1450" s="16"/>
      <c r="L1450" s="37"/>
      <c r="M1450" s="37"/>
      <c r="N1450" s="37"/>
      <c r="O1450" s="37"/>
      <c r="P1450" s="37"/>
      <c r="Q1450" s="18">
        <v>4.5320000000000006E-2</v>
      </c>
      <c r="R1450" s="18">
        <v>3.0900000000000003E-4</v>
      </c>
      <c r="S1450" s="18">
        <v>8.6520000000000014E-2</v>
      </c>
      <c r="T1450" s="18">
        <v>0.37080000000000002</v>
      </c>
      <c r="U1450" s="18">
        <v>0.18540000000000001</v>
      </c>
      <c r="V1450" s="18">
        <v>2.3731200000000001</v>
      </c>
      <c r="W1450" s="18">
        <v>2.2248000000000001</v>
      </c>
      <c r="X1450" s="18">
        <v>1.4832000000000001</v>
      </c>
      <c r="Y1450" s="18">
        <v>6.5920000000000006E-2</v>
      </c>
      <c r="Z1450" s="18">
        <v>0.29252</v>
      </c>
      <c r="AA1450" s="18">
        <v>0.42848000000000003</v>
      </c>
      <c r="AB1450" s="18">
        <v>0.7622000000000001</v>
      </c>
      <c r="AC1450" s="18">
        <v>0.23484000000000002</v>
      </c>
      <c r="AD1450" s="18">
        <v>1.2360000000000002</v>
      </c>
    </row>
    <row r="1451" spans="2:30" x14ac:dyDescent="0.25">
      <c r="B1451" t="s">
        <v>269</v>
      </c>
      <c r="C1451" t="s">
        <v>463</v>
      </c>
      <c r="D1451" t="s">
        <v>753</v>
      </c>
      <c r="E1451" s="35">
        <v>0.9</v>
      </c>
      <c r="F1451" s="35">
        <v>6.6</v>
      </c>
      <c r="G1451" s="36">
        <v>5.77E-3</v>
      </c>
      <c r="H1451" s="18">
        <v>10.385298000000001</v>
      </c>
      <c r="I1451" s="16" t="s">
        <v>746</v>
      </c>
      <c r="J1451" s="16"/>
      <c r="K1451" s="16"/>
      <c r="L1451" s="37"/>
      <c r="M1451" s="37"/>
      <c r="N1451" s="37"/>
      <c r="O1451" s="37"/>
      <c r="P1451" s="37"/>
      <c r="Q1451" s="18">
        <v>6.3469999999999999E-2</v>
      </c>
      <c r="R1451" s="18">
        <v>4.3274999999999997E-4</v>
      </c>
      <c r="S1451" s="18">
        <v>0.12117</v>
      </c>
      <c r="T1451" s="18">
        <v>0.51929999999999998</v>
      </c>
      <c r="U1451" s="18">
        <v>0.25964999999999999</v>
      </c>
      <c r="V1451" s="18">
        <v>3.3235199999999998</v>
      </c>
      <c r="W1451" s="18">
        <v>3.1158000000000001</v>
      </c>
      <c r="X1451" s="18">
        <v>2.0771999999999999</v>
      </c>
      <c r="Y1451" s="18">
        <v>9.2319999999999999E-2</v>
      </c>
      <c r="Z1451" s="18">
        <v>0.40966999999999998</v>
      </c>
      <c r="AA1451" s="18">
        <v>0.60007999999999995</v>
      </c>
      <c r="AB1451" s="18">
        <v>1.06745</v>
      </c>
      <c r="AC1451" s="18">
        <v>0.32889000000000002</v>
      </c>
      <c r="AD1451" s="18">
        <v>1.7310000000000001</v>
      </c>
    </row>
    <row r="1452" spans="2:30" x14ac:dyDescent="0.25">
      <c r="B1452" t="s">
        <v>269</v>
      </c>
      <c r="C1452" t="s">
        <v>463</v>
      </c>
      <c r="D1452" t="s">
        <v>749</v>
      </c>
      <c r="E1452" s="35">
        <v>0.9</v>
      </c>
      <c r="F1452" s="35">
        <v>6.6</v>
      </c>
      <c r="G1452" s="36">
        <v>3.5699999999999998E-3</v>
      </c>
      <c r="H1452" s="18">
        <v>6.4252979999999997</v>
      </c>
      <c r="I1452" s="16" t="s">
        <v>746</v>
      </c>
      <c r="J1452" s="16"/>
      <c r="K1452" s="16"/>
      <c r="L1452" s="37"/>
      <c r="M1452" s="37"/>
      <c r="N1452" s="37"/>
      <c r="O1452" s="37"/>
      <c r="P1452" s="37"/>
      <c r="Q1452" s="18">
        <v>3.9269999999999999E-2</v>
      </c>
      <c r="R1452" s="18">
        <v>2.6774999999999998E-4</v>
      </c>
      <c r="S1452" s="18">
        <v>7.4969999999999995E-2</v>
      </c>
      <c r="T1452" s="18">
        <v>0.32129999999999997</v>
      </c>
      <c r="U1452" s="18">
        <v>0.16064999999999999</v>
      </c>
      <c r="V1452" s="18">
        <v>2.0563199999999999</v>
      </c>
      <c r="W1452" s="18">
        <v>1.9278</v>
      </c>
      <c r="X1452" s="18">
        <v>1.2851999999999999</v>
      </c>
      <c r="Y1452" s="18">
        <v>5.7119999999999997E-2</v>
      </c>
      <c r="Z1452" s="18">
        <v>0.25346999999999997</v>
      </c>
      <c r="AA1452" s="18">
        <v>0.37128</v>
      </c>
      <c r="AB1452" s="18">
        <v>0.66044999999999998</v>
      </c>
      <c r="AC1452" s="18">
        <v>0.20348999999999998</v>
      </c>
      <c r="AD1452" s="18">
        <v>1.071</v>
      </c>
    </row>
    <row r="1453" spans="2:30" x14ac:dyDescent="0.25">
      <c r="B1453" t="s">
        <v>269</v>
      </c>
      <c r="C1453" t="s">
        <v>463</v>
      </c>
      <c r="D1453" t="s">
        <v>748</v>
      </c>
      <c r="E1453" s="35">
        <v>0.9</v>
      </c>
      <c r="F1453" s="35">
        <v>6.6</v>
      </c>
      <c r="G1453" s="36">
        <v>4.1200000000000004E-3</v>
      </c>
      <c r="H1453" s="18">
        <v>7.4152979999999999</v>
      </c>
      <c r="I1453" s="16" t="s">
        <v>746</v>
      </c>
      <c r="J1453" s="16"/>
      <c r="K1453" s="16"/>
      <c r="L1453" s="37"/>
      <c r="M1453" s="37"/>
      <c r="N1453" s="37"/>
      <c r="O1453" s="37"/>
      <c r="P1453" s="37"/>
      <c r="Q1453" s="18">
        <v>4.5320000000000006E-2</v>
      </c>
      <c r="R1453" s="18">
        <v>3.0900000000000003E-4</v>
      </c>
      <c r="S1453" s="18">
        <v>8.6520000000000014E-2</v>
      </c>
      <c r="T1453" s="18">
        <v>0.37080000000000002</v>
      </c>
      <c r="U1453" s="18">
        <v>0.18540000000000001</v>
      </c>
      <c r="V1453" s="18">
        <v>2.3731200000000001</v>
      </c>
      <c r="W1453" s="18">
        <v>2.2248000000000001</v>
      </c>
      <c r="X1453" s="18">
        <v>1.4832000000000001</v>
      </c>
      <c r="Y1453" s="18">
        <v>6.5920000000000006E-2</v>
      </c>
      <c r="Z1453" s="18">
        <v>0.29252</v>
      </c>
      <c r="AA1453" s="18">
        <v>0.42848000000000003</v>
      </c>
      <c r="AB1453" s="18">
        <v>0.7622000000000001</v>
      </c>
      <c r="AC1453" s="18">
        <v>0.23484000000000002</v>
      </c>
      <c r="AD1453" s="18">
        <v>1.2360000000000002</v>
      </c>
    </row>
    <row r="1454" spans="2:30" x14ac:dyDescent="0.25">
      <c r="B1454" t="s">
        <v>269</v>
      </c>
      <c r="C1454" t="s">
        <v>570</v>
      </c>
      <c r="D1454" t="s">
        <v>749</v>
      </c>
      <c r="E1454" s="35">
        <v>0.9</v>
      </c>
      <c r="F1454" s="35">
        <v>6.6</v>
      </c>
      <c r="G1454" s="36">
        <v>3.5699999999999998E-3</v>
      </c>
      <c r="H1454" s="18">
        <v>6.4252979999999997</v>
      </c>
      <c r="I1454" s="16" t="s">
        <v>746</v>
      </c>
      <c r="J1454" s="16"/>
      <c r="K1454" s="16"/>
      <c r="L1454" s="37"/>
      <c r="M1454" s="37"/>
      <c r="N1454" s="37"/>
      <c r="O1454" s="37"/>
      <c r="P1454" s="37"/>
      <c r="Q1454" s="18">
        <v>3.9269999999999999E-2</v>
      </c>
      <c r="R1454" s="18">
        <v>2.6774999999999998E-4</v>
      </c>
      <c r="S1454" s="18">
        <v>7.4969999999999995E-2</v>
      </c>
      <c r="T1454" s="18">
        <v>0.32129999999999997</v>
      </c>
      <c r="U1454" s="18">
        <v>0.16064999999999999</v>
      </c>
      <c r="V1454" s="18">
        <v>2.0563199999999999</v>
      </c>
      <c r="W1454" s="18">
        <v>1.9278</v>
      </c>
      <c r="X1454" s="18">
        <v>1.2851999999999999</v>
      </c>
      <c r="Y1454" s="18">
        <v>5.7119999999999997E-2</v>
      </c>
      <c r="Z1454" s="18">
        <v>0.25346999999999997</v>
      </c>
      <c r="AA1454" s="18">
        <v>0.37128</v>
      </c>
      <c r="AB1454" s="18">
        <v>0.66044999999999998</v>
      </c>
      <c r="AC1454" s="18">
        <v>0.20348999999999998</v>
      </c>
      <c r="AD1454" s="18">
        <v>1.071</v>
      </c>
    </row>
    <row r="1455" spans="2:30" x14ac:dyDescent="0.25">
      <c r="B1455" t="s">
        <v>269</v>
      </c>
      <c r="C1455" t="s">
        <v>570</v>
      </c>
      <c r="D1455" t="s">
        <v>749</v>
      </c>
      <c r="E1455" s="35">
        <v>0.9</v>
      </c>
      <c r="F1455" s="35">
        <v>6.6</v>
      </c>
      <c r="G1455" s="36">
        <v>3.5699999999999998E-3</v>
      </c>
      <c r="H1455" s="18">
        <v>6.4252979999999997</v>
      </c>
      <c r="I1455" s="16" t="s">
        <v>746</v>
      </c>
      <c r="J1455" s="16"/>
      <c r="K1455" s="16"/>
      <c r="L1455" s="37"/>
      <c r="M1455" s="37"/>
      <c r="N1455" s="37"/>
      <c r="O1455" s="37"/>
      <c r="P1455" s="37"/>
      <c r="Q1455" s="18">
        <v>3.9269999999999999E-2</v>
      </c>
      <c r="R1455" s="18">
        <v>2.6774999999999998E-4</v>
      </c>
      <c r="S1455" s="18">
        <v>7.4969999999999995E-2</v>
      </c>
      <c r="T1455" s="18">
        <v>0.32129999999999997</v>
      </c>
      <c r="U1455" s="18">
        <v>0.16064999999999999</v>
      </c>
      <c r="V1455" s="18">
        <v>2.0563199999999999</v>
      </c>
      <c r="W1455" s="18">
        <v>1.9278</v>
      </c>
      <c r="X1455" s="18">
        <v>1.2851999999999999</v>
      </c>
      <c r="Y1455" s="18">
        <v>5.7119999999999997E-2</v>
      </c>
      <c r="Z1455" s="18">
        <v>0.25346999999999997</v>
      </c>
      <c r="AA1455" s="18">
        <v>0.37128</v>
      </c>
      <c r="AB1455" s="18">
        <v>0.66044999999999998</v>
      </c>
      <c r="AC1455" s="18">
        <v>0.20348999999999998</v>
      </c>
      <c r="AD1455" s="18">
        <v>1.071</v>
      </c>
    </row>
    <row r="1456" spans="2:30" x14ac:dyDescent="0.25">
      <c r="B1456" t="s">
        <v>269</v>
      </c>
      <c r="C1456" t="s">
        <v>570</v>
      </c>
      <c r="D1456" t="s">
        <v>749</v>
      </c>
      <c r="E1456" s="35">
        <v>0.9</v>
      </c>
      <c r="F1456" s="35">
        <v>6.6</v>
      </c>
      <c r="G1456" s="36">
        <v>3.5699999999999998E-3</v>
      </c>
      <c r="H1456" s="18">
        <v>6.4252979999999997</v>
      </c>
      <c r="I1456" s="16" t="s">
        <v>746</v>
      </c>
      <c r="J1456" s="16"/>
      <c r="K1456" s="16"/>
      <c r="L1456" s="37"/>
      <c r="M1456" s="37"/>
      <c r="N1456" s="37"/>
      <c r="O1456" s="37"/>
      <c r="P1456" s="37"/>
      <c r="Q1456" s="18">
        <v>3.9269999999999999E-2</v>
      </c>
      <c r="R1456" s="18">
        <v>2.6774999999999998E-4</v>
      </c>
      <c r="S1456" s="18">
        <v>7.4969999999999995E-2</v>
      </c>
      <c r="T1456" s="18">
        <v>0.32129999999999997</v>
      </c>
      <c r="U1456" s="18">
        <v>0.16064999999999999</v>
      </c>
      <c r="V1456" s="18">
        <v>2.0563199999999999</v>
      </c>
      <c r="W1456" s="18">
        <v>1.9278</v>
      </c>
      <c r="X1456" s="18">
        <v>1.2851999999999999</v>
      </c>
      <c r="Y1456" s="18">
        <v>5.7119999999999997E-2</v>
      </c>
      <c r="Z1456" s="18">
        <v>0.25346999999999997</v>
      </c>
      <c r="AA1456" s="18">
        <v>0.37128</v>
      </c>
      <c r="AB1456" s="18">
        <v>0.66044999999999998</v>
      </c>
      <c r="AC1456" s="18">
        <v>0.20348999999999998</v>
      </c>
      <c r="AD1456" s="18">
        <v>1.071</v>
      </c>
    </row>
    <row r="1457" spans="2:30" x14ac:dyDescent="0.25">
      <c r="B1457" t="s">
        <v>269</v>
      </c>
      <c r="C1457" t="s">
        <v>570</v>
      </c>
      <c r="D1457" t="s">
        <v>749</v>
      </c>
      <c r="E1457" s="35">
        <v>0.9</v>
      </c>
      <c r="F1457" s="35">
        <v>6.6</v>
      </c>
      <c r="G1457" s="36">
        <v>3.5699999999999998E-3</v>
      </c>
      <c r="H1457" s="18">
        <v>6.4252979999999997</v>
      </c>
      <c r="I1457" s="16" t="s">
        <v>746</v>
      </c>
      <c r="J1457" s="16"/>
      <c r="K1457" s="16"/>
      <c r="L1457" s="37"/>
      <c r="M1457" s="37"/>
      <c r="N1457" s="37"/>
      <c r="O1457" s="37"/>
      <c r="P1457" s="37"/>
      <c r="Q1457" s="18">
        <v>3.9269999999999999E-2</v>
      </c>
      <c r="R1457" s="18">
        <v>2.6774999999999998E-4</v>
      </c>
      <c r="S1457" s="18">
        <v>7.4969999999999995E-2</v>
      </c>
      <c r="T1457" s="18">
        <v>0.32129999999999997</v>
      </c>
      <c r="U1457" s="18">
        <v>0.16064999999999999</v>
      </c>
      <c r="V1457" s="18">
        <v>2.0563199999999999</v>
      </c>
      <c r="W1457" s="18">
        <v>1.9278</v>
      </c>
      <c r="X1457" s="18">
        <v>1.2851999999999999</v>
      </c>
      <c r="Y1457" s="18">
        <v>5.7119999999999997E-2</v>
      </c>
      <c r="Z1457" s="18">
        <v>0.25346999999999997</v>
      </c>
      <c r="AA1457" s="18">
        <v>0.37128</v>
      </c>
      <c r="AB1457" s="18">
        <v>0.66044999999999998</v>
      </c>
      <c r="AC1457" s="18">
        <v>0.20348999999999998</v>
      </c>
      <c r="AD1457" s="18">
        <v>1.071</v>
      </c>
    </row>
    <row r="1458" spans="2:30" x14ac:dyDescent="0.25">
      <c r="B1458" t="s">
        <v>269</v>
      </c>
      <c r="C1458" t="s">
        <v>570</v>
      </c>
      <c r="D1458" t="s">
        <v>750</v>
      </c>
      <c r="E1458" s="35">
        <v>0.9</v>
      </c>
      <c r="F1458" s="35">
        <v>6.6</v>
      </c>
      <c r="G1458" s="36">
        <v>3.0200000000000001E-3</v>
      </c>
      <c r="H1458" s="18">
        <v>5.4352980000000004</v>
      </c>
      <c r="I1458" s="16" t="s">
        <v>746</v>
      </c>
      <c r="J1458" s="16"/>
      <c r="K1458" s="16"/>
      <c r="L1458" s="37"/>
      <c r="M1458" s="37"/>
      <c r="N1458" s="37"/>
      <c r="O1458" s="37"/>
      <c r="P1458" s="37"/>
      <c r="Q1458" s="18">
        <v>3.322E-2</v>
      </c>
      <c r="R1458" s="18">
        <v>2.265E-4</v>
      </c>
      <c r="S1458" s="18">
        <v>6.3420000000000004E-2</v>
      </c>
      <c r="T1458" s="18">
        <v>0.27179999999999999</v>
      </c>
      <c r="U1458" s="18">
        <v>0.13589999999999999</v>
      </c>
      <c r="V1458" s="18">
        <v>1.7395200000000002</v>
      </c>
      <c r="W1458" s="18">
        <v>1.6308</v>
      </c>
      <c r="X1458" s="18">
        <v>1.0871999999999999</v>
      </c>
      <c r="Y1458" s="18">
        <v>4.8320000000000002E-2</v>
      </c>
      <c r="Z1458" s="18">
        <v>0.21442</v>
      </c>
      <c r="AA1458" s="18">
        <v>0.31408000000000003</v>
      </c>
      <c r="AB1458" s="18">
        <v>0.55869999999999997</v>
      </c>
      <c r="AC1458" s="18">
        <v>0.17214000000000002</v>
      </c>
      <c r="AD1458" s="18">
        <v>0.90600000000000003</v>
      </c>
    </row>
    <row r="1459" spans="2:30" x14ac:dyDescent="0.25">
      <c r="B1459" t="s">
        <v>269</v>
      </c>
      <c r="C1459" t="s">
        <v>570</v>
      </c>
      <c r="D1459" t="s">
        <v>752</v>
      </c>
      <c r="E1459" s="35">
        <v>0.9</v>
      </c>
      <c r="F1459" s="35">
        <v>6.6</v>
      </c>
      <c r="G1459" s="36">
        <v>2.47E-3</v>
      </c>
      <c r="H1459" s="18">
        <v>4.4452980000000002</v>
      </c>
      <c r="I1459" s="16" t="s">
        <v>746</v>
      </c>
      <c r="J1459" s="16"/>
      <c r="K1459" s="16"/>
      <c r="L1459" s="37"/>
      <c r="M1459" s="37"/>
      <c r="N1459" s="37"/>
      <c r="O1459" s="37"/>
      <c r="P1459" s="37"/>
      <c r="Q1459" s="18">
        <v>2.717E-2</v>
      </c>
      <c r="R1459" s="18">
        <v>1.8525E-4</v>
      </c>
      <c r="S1459" s="18">
        <v>5.1869999999999999E-2</v>
      </c>
      <c r="T1459" s="18">
        <v>0.2223</v>
      </c>
      <c r="U1459" s="18">
        <v>0.11115</v>
      </c>
      <c r="V1459" s="18">
        <v>1.42272</v>
      </c>
      <c r="W1459" s="18">
        <v>1.3338000000000001</v>
      </c>
      <c r="X1459" s="18">
        <v>0.88919999999999999</v>
      </c>
      <c r="Y1459" s="18">
        <v>3.952E-2</v>
      </c>
      <c r="Z1459" s="18">
        <v>0.17537</v>
      </c>
      <c r="AA1459" s="18">
        <v>0.25688</v>
      </c>
      <c r="AB1459" s="18">
        <v>0.45694999999999997</v>
      </c>
      <c r="AC1459" s="18">
        <v>0.14079</v>
      </c>
      <c r="AD1459" s="18">
        <v>0.74099999999999999</v>
      </c>
    </row>
    <row r="1460" spans="2:30" x14ac:dyDescent="0.25">
      <c r="B1460" t="s">
        <v>269</v>
      </c>
      <c r="C1460" t="s">
        <v>570</v>
      </c>
      <c r="D1460" t="s">
        <v>758</v>
      </c>
      <c r="E1460" s="35">
        <v>0.9</v>
      </c>
      <c r="F1460" s="35">
        <v>6.6</v>
      </c>
      <c r="G1460" s="36">
        <v>4.372E-3</v>
      </c>
      <c r="H1460" s="18">
        <v>7.8699250000000003</v>
      </c>
      <c r="I1460" s="16" t="s">
        <v>746</v>
      </c>
      <c r="J1460" s="16"/>
      <c r="K1460" s="16"/>
      <c r="L1460" s="37"/>
      <c r="M1460" s="37"/>
      <c r="N1460" s="37"/>
      <c r="O1460" s="37"/>
      <c r="P1460" s="37"/>
      <c r="Q1460" s="18">
        <v>4.8092000000000003E-2</v>
      </c>
      <c r="R1460" s="18">
        <v>3.279E-4</v>
      </c>
      <c r="S1460" s="18">
        <v>9.1812000000000005E-2</v>
      </c>
      <c r="T1460" s="18">
        <v>0.39348</v>
      </c>
      <c r="U1460" s="18">
        <v>0.19674</v>
      </c>
      <c r="V1460" s="18">
        <v>2.5182720000000001</v>
      </c>
      <c r="W1460" s="18">
        <v>2.3608799999999999</v>
      </c>
      <c r="X1460" s="18">
        <v>1.57392</v>
      </c>
      <c r="Y1460" s="18">
        <v>6.9952E-2</v>
      </c>
      <c r="Z1460" s="18">
        <v>0.31041200000000002</v>
      </c>
      <c r="AA1460" s="18">
        <v>0.45468799999999998</v>
      </c>
      <c r="AB1460" s="18">
        <v>0.80881999999999998</v>
      </c>
      <c r="AC1460" s="18">
        <v>0.24920400000000001</v>
      </c>
      <c r="AD1460" s="18">
        <v>1.3116000000000001</v>
      </c>
    </row>
    <row r="1461" spans="2:30" x14ac:dyDescent="0.25">
      <c r="B1461" t="s">
        <v>269</v>
      </c>
      <c r="C1461" t="s">
        <v>570</v>
      </c>
      <c r="D1461" t="s">
        <v>749</v>
      </c>
      <c r="E1461" s="35">
        <v>0.9</v>
      </c>
      <c r="F1461" s="35">
        <v>6.6</v>
      </c>
      <c r="G1461" s="36">
        <v>3.5699999999999998E-3</v>
      </c>
      <c r="H1461" s="18">
        <v>6.4252979999999997</v>
      </c>
      <c r="I1461" s="16" t="s">
        <v>746</v>
      </c>
      <c r="J1461" s="16"/>
      <c r="K1461" s="16"/>
      <c r="L1461" s="37"/>
      <c r="M1461" s="37"/>
      <c r="N1461" s="37"/>
      <c r="O1461" s="37"/>
      <c r="P1461" s="37"/>
      <c r="Q1461" s="18">
        <v>3.9269999999999999E-2</v>
      </c>
      <c r="R1461" s="18">
        <v>2.6774999999999998E-4</v>
      </c>
      <c r="S1461" s="18">
        <v>7.4969999999999995E-2</v>
      </c>
      <c r="T1461" s="18">
        <v>0.32129999999999997</v>
      </c>
      <c r="U1461" s="18">
        <v>0.16064999999999999</v>
      </c>
      <c r="V1461" s="18">
        <v>2.0563199999999999</v>
      </c>
      <c r="W1461" s="18">
        <v>1.9278</v>
      </c>
      <c r="X1461" s="18">
        <v>1.2851999999999999</v>
      </c>
      <c r="Y1461" s="18">
        <v>5.7119999999999997E-2</v>
      </c>
      <c r="Z1461" s="18">
        <v>0.25346999999999997</v>
      </c>
      <c r="AA1461" s="18">
        <v>0.37128</v>
      </c>
      <c r="AB1461" s="18">
        <v>0.66044999999999998</v>
      </c>
      <c r="AC1461" s="18">
        <v>0.20348999999999998</v>
      </c>
      <c r="AD1461" s="18">
        <v>1.071</v>
      </c>
    </row>
    <row r="1462" spans="2:30" x14ac:dyDescent="0.25">
      <c r="B1462" t="s">
        <v>269</v>
      </c>
      <c r="C1462" t="s">
        <v>570</v>
      </c>
      <c r="D1462" t="s">
        <v>747</v>
      </c>
      <c r="E1462" s="35">
        <v>0.9</v>
      </c>
      <c r="F1462" s="35">
        <v>6.6</v>
      </c>
      <c r="G1462" s="36">
        <v>4.9449999999999997E-3</v>
      </c>
      <c r="H1462" s="18">
        <v>8.9002979999999994</v>
      </c>
      <c r="I1462" s="16" t="s">
        <v>746</v>
      </c>
      <c r="J1462" s="16"/>
      <c r="K1462" s="16"/>
      <c r="L1462" s="37"/>
      <c r="M1462" s="37"/>
      <c r="N1462" s="37"/>
      <c r="O1462" s="37"/>
      <c r="P1462" s="37"/>
      <c r="Q1462" s="18">
        <v>5.4394999999999999E-2</v>
      </c>
      <c r="R1462" s="18">
        <v>3.7087499999999995E-4</v>
      </c>
      <c r="S1462" s="18">
        <v>0.10384499999999999</v>
      </c>
      <c r="T1462" s="18">
        <v>0.44505</v>
      </c>
      <c r="U1462" s="18">
        <v>0.222525</v>
      </c>
      <c r="V1462" s="18">
        <v>2.8483199999999997</v>
      </c>
      <c r="W1462" s="18">
        <v>2.6702999999999997</v>
      </c>
      <c r="X1462" s="18">
        <v>1.7802</v>
      </c>
      <c r="Y1462" s="18">
        <v>7.9119999999999996E-2</v>
      </c>
      <c r="Z1462" s="18">
        <v>0.35109499999999999</v>
      </c>
      <c r="AA1462" s="18">
        <v>0.51427999999999996</v>
      </c>
      <c r="AB1462" s="18">
        <v>0.914825</v>
      </c>
      <c r="AC1462" s="18">
        <v>0.28186499999999998</v>
      </c>
      <c r="AD1462" s="18">
        <v>1.4834999999999998</v>
      </c>
    </row>
    <row r="1463" spans="2:30" x14ac:dyDescent="0.25">
      <c r="B1463" t="s">
        <v>269</v>
      </c>
      <c r="C1463" t="s">
        <v>570</v>
      </c>
      <c r="D1463" t="s">
        <v>748</v>
      </c>
      <c r="E1463" s="35">
        <v>0.9</v>
      </c>
      <c r="F1463" s="35">
        <v>6.6</v>
      </c>
      <c r="G1463" s="36">
        <v>4.1200000000000004E-3</v>
      </c>
      <c r="H1463" s="18">
        <v>7.4152979999999999</v>
      </c>
      <c r="I1463" s="16" t="s">
        <v>746</v>
      </c>
      <c r="J1463" s="16"/>
      <c r="K1463" s="16"/>
      <c r="L1463" s="37"/>
      <c r="M1463" s="37"/>
      <c r="N1463" s="37"/>
      <c r="O1463" s="37"/>
      <c r="P1463" s="37"/>
      <c r="Q1463" s="18">
        <v>4.5320000000000006E-2</v>
      </c>
      <c r="R1463" s="18">
        <v>3.0900000000000003E-4</v>
      </c>
      <c r="S1463" s="18">
        <v>8.6520000000000014E-2</v>
      </c>
      <c r="T1463" s="18">
        <v>0.37080000000000002</v>
      </c>
      <c r="U1463" s="18">
        <v>0.18540000000000001</v>
      </c>
      <c r="V1463" s="18">
        <v>2.3731200000000001</v>
      </c>
      <c r="W1463" s="18">
        <v>2.2248000000000001</v>
      </c>
      <c r="X1463" s="18">
        <v>1.4832000000000001</v>
      </c>
      <c r="Y1463" s="18">
        <v>6.5920000000000006E-2</v>
      </c>
      <c r="Z1463" s="18">
        <v>0.29252</v>
      </c>
      <c r="AA1463" s="18">
        <v>0.42848000000000003</v>
      </c>
      <c r="AB1463" s="18">
        <v>0.7622000000000001</v>
      </c>
      <c r="AC1463" s="18">
        <v>0.23484000000000002</v>
      </c>
      <c r="AD1463" s="18">
        <v>1.2360000000000002</v>
      </c>
    </row>
    <row r="1464" spans="2:30" x14ac:dyDescent="0.25">
      <c r="B1464" t="s">
        <v>269</v>
      </c>
      <c r="C1464" t="s">
        <v>570</v>
      </c>
      <c r="D1464" t="s">
        <v>749</v>
      </c>
      <c r="E1464" s="35">
        <v>0.9</v>
      </c>
      <c r="F1464" s="35">
        <v>6.6</v>
      </c>
      <c r="G1464" s="36">
        <v>3.5699999999999998E-3</v>
      </c>
      <c r="H1464" s="18">
        <v>6.4252979999999997</v>
      </c>
      <c r="I1464" s="16" t="s">
        <v>746</v>
      </c>
      <c r="J1464" s="16"/>
      <c r="K1464" s="16"/>
      <c r="L1464" s="37"/>
      <c r="M1464" s="37"/>
      <c r="N1464" s="37"/>
      <c r="O1464" s="37"/>
      <c r="P1464" s="37"/>
      <c r="Q1464" s="18">
        <v>3.9269999999999999E-2</v>
      </c>
      <c r="R1464" s="18">
        <v>2.6774999999999998E-4</v>
      </c>
      <c r="S1464" s="18">
        <v>7.4969999999999995E-2</v>
      </c>
      <c r="T1464" s="18">
        <v>0.32129999999999997</v>
      </c>
      <c r="U1464" s="18">
        <v>0.16064999999999999</v>
      </c>
      <c r="V1464" s="18">
        <v>2.0563199999999999</v>
      </c>
      <c r="W1464" s="18">
        <v>1.9278</v>
      </c>
      <c r="X1464" s="18">
        <v>1.2851999999999999</v>
      </c>
      <c r="Y1464" s="18">
        <v>5.7119999999999997E-2</v>
      </c>
      <c r="Z1464" s="18">
        <v>0.25346999999999997</v>
      </c>
      <c r="AA1464" s="18">
        <v>0.37128</v>
      </c>
      <c r="AB1464" s="18">
        <v>0.66044999999999998</v>
      </c>
      <c r="AC1464" s="18">
        <v>0.20348999999999998</v>
      </c>
      <c r="AD1464" s="18">
        <v>1.071</v>
      </c>
    </row>
    <row r="1465" spans="2:30" x14ac:dyDescent="0.25">
      <c r="B1465" t="s">
        <v>269</v>
      </c>
      <c r="C1465" t="s">
        <v>570</v>
      </c>
      <c r="D1465" t="s">
        <v>752</v>
      </c>
      <c r="E1465" s="35">
        <v>0.9</v>
      </c>
      <c r="F1465" s="35">
        <v>6.6</v>
      </c>
      <c r="G1465" s="36">
        <v>2.47E-3</v>
      </c>
      <c r="H1465" s="18">
        <v>4.4452980000000002</v>
      </c>
      <c r="I1465" s="16" t="s">
        <v>746</v>
      </c>
      <c r="J1465" s="16"/>
      <c r="K1465" s="16"/>
      <c r="L1465" s="37"/>
      <c r="M1465" s="37"/>
      <c r="N1465" s="37"/>
      <c r="O1465" s="37"/>
      <c r="P1465" s="37"/>
      <c r="Q1465" s="18">
        <v>2.717E-2</v>
      </c>
      <c r="R1465" s="18">
        <v>1.8525E-4</v>
      </c>
      <c r="S1465" s="18">
        <v>5.1869999999999999E-2</v>
      </c>
      <c r="T1465" s="18">
        <v>0.2223</v>
      </c>
      <c r="U1465" s="18">
        <v>0.11115</v>
      </c>
      <c r="V1465" s="18">
        <v>1.42272</v>
      </c>
      <c r="W1465" s="18">
        <v>1.3338000000000001</v>
      </c>
      <c r="X1465" s="18">
        <v>0.88919999999999999</v>
      </c>
      <c r="Y1465" s="18">
        <v>3.952E-2</v>
      </c>
      <c r="Z1465" s="18">
        <v>0.17537</v>
      </c>
      <c r="AA1465" s="18">
        <v>0.25688</v>
      </c>
      <c r="AB1465" s="18">
        <v>0.45694999999999997</v>
      </c>
      <c r="AC1465" s="18">
        <v>0.14079</v>
      </c>
      <c r="AD1465" s="18">
        <v>0.74099999999999999</v>
      </c>
    </row>
    <row r="1466" spans="2:30" x14ac:dyDescent="0.25">
      <c r="B1466" t="s">
        <v>269</v>
      </c>
      <c r="C1466" t="s">
        <v>570</v>
      </c>
      <c r="D1466" t="s">
        <v>748</v>
      </c>
      <c r="E1466" s="35">
        <v>0.9</v>
      </c>
      <c r="F1466" s="35">
        <v>6.6</v>
      </c>
      <c r="G1466" s="36">
        <v>4.1200000000000004E-3</v>
      </c>
      <c r="H1466" s="18">
        <v>7.4152979999999999</v>
      </c>
      <c r="I1466" s="16" t="s">
        <v>746</v>
      </c>
      <c r="J1466" s="16"/>
      <c r="K1466" s="16"/>
      <c r="L1466" s="37"/>
      <c r="M1466" s="37"/>
      <c r="N1466" s="37"/>
      <c r="O1466" s="37"/>
      <c r="P1466" s="37"/>
      <c r="Q1466" s="18">
        <v>4.5320000000000006E-2</v>
      </c>
      <c r="R1466" s="18">
        <v>3.0900000000000003E-4</v>
      </c>
      <c r="S1466" s="18">
        <v>8.6520000000000014E-2</v>
      </c>
      <c r="T1466" s="18">
        <v>0.37080000000000002</v>
      </c>
      <c r="U1466" s="18">
        <v>0.18540000000000001</v>
      </c>
      <c r="V1466" s="18">
        <v>2.3731200000000001</v>
      </c>
      <c r="W1466" s="18">
        <v>2.2248000000000001</v>
      </c>
      <c r="X1466" s="18">
        <v>1.4832000000000001</v>
      </c>
      <c r="Y1466" s="18">
        <v>6.5920000000000006E-2</v>
      </c>
      <c r="Z1466" s="18">
        <v>0.29252</v>
      </c>
      <c r="AA1466" s="18">
        <v>0.42848000000000003</v>
      </c>
      <c r="AB1466" s="18">
        <v>0.7622000000000001</v>
      </c>
      <c r="AC1466" s="18">
        <v>0.23484000000000002</v>
      </c>
      <c r="AD1466" s="18">
        <v>1.2360000000000002</v>
      </c>
    </row>
    <row r="1467" spans="2:30" x14ac:dyDescent="0.25">
      <c r="B1467" t="s">
        <v>269</v>
      </c>
      <c r="C1467" t="s">
        <v>570</v>
      </c>
      <c r="D1467" t="s">
        <v>749</v>
      </c>
      <c r="E1467" s="35">
        <v>0.9</v>
      </c>
      <c r="F1467" s="35">
        <v>6.6</v>
      </c>
      <c r="G1467" s="36">
        <v>3.5699999999999998E-3</v>
      </c>
      <c r="H1467" s="18">
        <v>6.4252979999999997</v>
      </c>
      <c r="I1467" s="16" t="s">
        <v>746</v>
      </c>
      <c r="J1467" s="16"/>
      <c r="K1467" s="16"/>
      <c r="L1467" s="37"/>
      <c r="M1467" s="37"/>
      <c r="N1467" s="37"/>
      <c r="O1467" s="37"/>
      <c r="P1467" s="37"/>
      <c r="Q1467" s="18">
        <v>3.9269999999999999E-2</v>
      </c>
      <c r="R1467" s="18">
        <v>2.6774999999999998E-4</v>
      </c>
      <c r="S1467" s="18">
        <v>7.4969999999999995E-2</v>
      </c>
      <c r="T1467" s="18">
        <v>0.32129999999999997</v>
      </c>
      <c r="U1467" s="18">
        <v>0.16064999999999999</v>
      </c>
      <c r="V1467" s="18">
        <v>2.0563199999999999</v>
      </c>
      <c r="W1467" s="18">
        <v>1.9278</v>
      </c>
      <c r="X1467" s="18">
        <v>1.2851999999999999</v>
      </c>
      <c r="Y1467" s="18">
        <v>5.7119999999999997E-2</v>
      </c>
      <c r="Z1467" s="18">
        <v>0.25346999999999997</v>
      </c>
      <c r="AA1467" s="18">
        <v>0.37128</v>
      </c>
      <c r="AB1467" s="18">
        <v>0.66044999999999998</v>
      </c>
      <c r="AC1467" s="18">
        <v>0.20348999999999998</v>
      </c>
      <c r="AD1467" s="18">
        <v>1.071</v>
      </c>
    </row>
    <row r="1468" spans="2:30" x14ac:dyDescent="0.25">
      <c r="B1468" t="s">
        <v>269</v>
      </c>
      <c r="C1468" t="s">
        <v>570</v>
      </c>
      <c r="D1468" t="s">
        <v>749</v>
      </c>
      <c r="E1468" s="35">
        <v>0.9</v>
      </c>
      <c r="F1468" s="35">
        <v>6.6</v>
      </c>
      <c r="G1468" s="36">
        <v>3.5699999999999998E-3</v>
      </c>
      <c r="H1468" s="18">
        <v>6.4252979999999997</v>
      </c>
      <c r="I1468" s="16" t="s">
        <v>746</v>
      </c>
      <c r="J1468" s="16"/>
      <c r="K1468" s="16"/>
      <c r="L1468" s="37"/>
      <c r="M1468" s="37"/>
      <c r="N1468" s="37"/>
      <c r="O1468" s="37"/>
      <c r="P1468" s="37"/>
      <c r="Q1468" s="18">
        <v>3.9269999999999999E-2</v>
      </c>
      <c r="R1468" s="18">
        <v>2.6774999999999998E-4</v>
      </c>
      <c r="S1468" s="18">
        <v>7.4969999999999995E-2</v>
      </c>
      <c r="T1468" s="18">
        <v>0.32129999999999997</v>
      </c>
      <c r="U1468" s="18">
        <v>0.16064999999999999</v>
      </c>
      <c r="V1468" s="18">
        <v>2.0563199999999999</v>
      </c>
      <c r="W1468" s="18">
        <v>1.9278</v>
      </c>
      <c r="X1468" s="18">
        <v>1.2851999999999999</v>
      </c>
      <c r="Y1468" s="18">
        <v>5.7119999999999997E-2</v>
      </c>
      <c r="Z1468" s="18">
        <v>0.25346999999999997</v>
      </c>
      <c r="AA1468" s="18">
        <v>0.37128</v>
      </c>
      <c r="AB1468" s="18">
        <v>0.66044999999999998</v>
      </c>
      <c r="AC1468" s="18">
        <v>0.20348999999999998</v>
      </c>
      <c r="AD1468" s="18">
        <v>1.071</v>
      </c>
    </row>
    <row r="1469" spans="2:30" x14ac:dyDescent="0.25">
      <c r="B1469" t="s">
        <v>269</v>
      </c>
      <c r="C1469" t="s">
        <v>570</v>
      </c>
      <c r="D1469" t="s">
        <v>752</v>
      </c>
      <c r="E1469" s="35">
        <v>0.9</v>
      </c>
      <c r="F1469" s="35">
        <v>6.6</v>
      </c>
      <c r="G1469" s="36">
        <v>2.47E-3</v>
      </c>
      <c r="H1469" s="18">
        <v>4.4452980000000002</v>
      </c>
      <c r="I1469" s="16" t="s">
        <v>746</v>
      </c>
      <c r="J1469" s="16"/>
      <c r="K1469" s="16"/>
      <c r="L1469" s="37"/>
      <c r="M1469" s="37"/>
      <c r="N1469" s="37"/>
      <c r="O1469" s="37"/>
      <c r="P1469" s="37"/>
      <c r="Q1469" s="18">
        <v>2.717E-2</v>
      </c>
      <c r="R1469" s="18">
        <v>1.8525E-4</v>
      </c>
      <c r="S1469" s="18">
        <v>5.1869999999999999E-2</v>
      </c>
      <c r="T1469" s="18">
        <v>0.2223</v>
      </c>
      <c r="U1469" s="18">
        <v>0.11115</v>
      </c>
      <c r="V1469" s="18">
        <v>1.42272</v>
      </c>
      <c r="W1469" s="18">
        <v>1.3338000000000001</v>
      </c>
      <c r="X1469" s="18">
        <v>0.88919999999999999</v>
      </c>
      <c r="Y1469" s="18">
        <v>3.952E-2</v>
      </c>
      <c r="Z1469" s="18">
        <v>0.17537</v>
      </c>
      <c r="AA1469" s="18">
        <v>0.25688</v>
      </c>
      <c r="AB1469" s="18">
        <v>0.45694999999999997</v>
      </c>
      <c r="AC1469" s="18">
        <v>0.14079</v>
      </c>
      <c r="AD1469" s="18">
        <v>0.74099999999999999</v>
      </c>
    </row>
    <row r="1470" spans="2:30" x14ac:dyDescent="0.25">
      <c r="B1470" t="s">
        <v>269</v>
      </c>
      <c r="C1470" t="s">
        <v>570</v>
      </c>
      <c r="D1470" t="s">
        <v>748</v>
      </c>
      <c r="E1470" s="35">
        <v>0.9</v>
      </c>
      <c r="F1470" s="35">
        <v>6.6</v>
      </c>
      <c r="G1470" s="36">
        <v>4.1200000000000004E-3</v>
      </c>
      <c r="H1470" s="18">
        <v>7.4152979999999999</v>
      </c>
      <c r="I1470" s="16" t="s">
        <v>746</v>
      </c>
      <c r="J1470" s="16"/>
      <c r="K1470" s="16"/>
      <c r="L1470" s="37"/>
      <c r="M1470" s="37"/>
      <c r="N1470" s="37"/>
      <c r="O1470" s="37"/>
      <c r="P1470" s="37"/>
      <c r="Q1470" s="18">
        <v>4.5320000000000006E-2</v>
      </c>
      <c r="R1470" s="18">
        <v>3.0900000000000003E-4</v>
      </c>
      <c r="S1470" s="18">
        <v>8.6520000000000014E-2</v>
      </c>
      <c r="T1470" s="18">
        <v>0.37080000000000002</v>
      </c>
      <c r="U1470" s="18">
        <v>0.18540000000000001</v>
      </c>
      <c r="V1470" s="18">
        <v>2.3731200000000001</v>
      </c>
      <c r="W1470" s="18">
        <v>2.2248000000000001</v>
      </c>
      <c r="X1470" s="18">
        <v>1.4832000000000001</v>
      </c>
      <c r="Y1470" s="18">
        <v>6.5920000000000006E-2</v>
      </c>
      <c r="Z1470" s="18">
        <v>0.29252</v>
      </c>
      <c r="AA1470" s="18">
        <v>0.42848000000000003</v>
      </c>
      <c r="AB1470" s="18">
        <v>0.7622000000000001</v>
      </c>
      <c r="AC1470" s="18">
        <v>0.23484000000000002</v>
      </c>
      <c r="AD1470" s="18">
        <v>1.2360000000000002</v>
      </c>
    </row>
    <row r="1471" spans="2:30" x14ac:dyDescent="0.25">
      <c r="B1471" t="s">
        <v>269</v>
      </c>
      <c r="C1471" t="s">
        <v>570</v>
      </c>
      <c r="D1471" t="s">
        <v>749</v>
      </c>
      <c r="E1471" s="35">
        <v>0.9</v>
      </c>
      <c r="F1471" s="35">
        <v>6.6</v>
      </c>
      <c r="G1471" s="36">
        <v>3.5699999999999998E-3</v>
      </c>
      <c r="H1471" s="18">
        <v>6.4252979999999997</v>
      </c>
      <c r="I1471" s="16" t="s">
        <v>746</v>
      </c>
      <c r="J1471" s="16"/>
      <c r="K1471" s="16"/>
      <c r="L1471" s="37"/>
      <c r="M1471" s="37"/>
      <c r="N1471" s="37"/>
      <c r="O1471" s="37"/>
      <c r="P1471" s="37"/>
      <c r="Q1471" s="18">
        <v>3.9269999999999999E-2</v>
      </c>
      <c r="R1471" s="18">
        <v>2.6774999999999998E-4</v>
      </c>
      <c r="S1471" s="18">
        <v>7.4969999999999995E-2</v>
      </c>
      <c r="T1471" s="18">
        <v>0.32129999999999997</v>
      </c>
      <c r="U1471" s="18">
        <v>0.16064999999999999</v>
      </c>
      <c r="V1471" s="18">
        <v>2.0563199999999999</v>
      </c>
      <c r="W1471" s="18">
        <v>1.9278</v>
      </c>
      <c r="X1471" s="18">
        <v>1.2851999999999999</v>
      </c>
      <c r="Y1471" s="18">
        <v>5.7119999999999997E-2</v>
      </c>
      <c r="Z1471" s="18">
        <v>0.25346999999999997</v>
      </c>
      <c r="AA1471" s="18">
        <v>0.37128</v>
      </c>
      <c r="AB1471" s="18">
        <v>0.66044999999999998</v>
      </c>
      <c r="AC1471" s="18">
        <v>0.20348999999999998</v>
      </c>
      <c r="AD1471" s="18">
        <v>1.071</v>
      </c>
    </row>
    <row r="1472" spans="2:30" x14ac:dyDescent="0.25">
      <c r="B1472" t="s">
        <v>269</v>
      </c>
      <c r="C1472" t="s">
        <v>570</v>
      </c>
      <c r="D1472" t="s">
        <v>750</v>
      </c>
      <c r="E1472" s="35">
        <v>0.9</v>
      </c>
      <c r="F1472" s="35">
        <v>6.6</v>
      </c>
      <c r="G1472" s="36">
        <v>3.0200000000000001E-3</v>
      </c>
      <c r="H1472" s="18">
        <v>5.4352980000000004</v>
      </c>
      <c r="I1472" s="16" t="s">
        <v>746</v>
      </c>
      <c r="J1472" s="16"/>
      <c r="K1472" s="16"/>
      <c r="L1472" s="37"/>
      <c r="M1472" s="37"/>
      <c r="N1472" s="37"/>
      <c r="O1472" s="37"/>
      <c r="P1472" s="37"/>
      <c r="Q1472" s="18">
        <v>3.322E-2</v>
      </c>
      <c r="R1472" s="18">
        <v>2.265E-4</v>
      </c>
      <c r="S1472" s="18">
        <v>6.3420000000000004E-2</v>
      </c>
      <c r="T1472" s="18">
        <v>0.27179999999999999</v>
      </c>
      <c r="U1472" s="18">
        <v>0.13589999999999999</v>
      </c>
      <c r="V1472" s="18">
        <v>1.7395200000000002</v>
      </c>
      <c r="W1472" s="18">
        <v>1.6308</v>
      </c>
      <c r="X1472" s="18">
        <v>1.0871999999999999</v>
      </c>
      <c r="Y1472" s="18">
        <v>4.8320000000000002E-2</v>
      </c>
      <c r="Z1472" s="18">
        <v>0.21442</v>
      </c>
      <c r="AA1472" s="18">
        <v>0.31408000000000003</v>
      </c>
      <c r="AB1472" s="18">
        <v>0.55869999999999997</v>
      </c>
      <c r="AC1472" s="18">
        <v>0.17214000000000002</v>
      </c>
      <c r="AD1472" s="18">
        <v>0.90600000000000003</v>
      </c>
    </row>
    <row r="1473" spans="2:30" x14ac:dyDescent="0.25">
      <c r="B1473" t="s">
        <v>269</v>
      </c>
      <c r="C1473" t="s">
        <v>570</v>
      </c>
      <c r="D1473" t="s">
        <v>749</v>
      </c>
      <c r="E1473" s="35">
        <v>0.9</v>
      </c>
      <c r="F1473" s="35">
        <v>6.6</v>
      </c>
      <c r="G1473" s="36">
        <v>3.5699999999999998E-3</v>
      </c>
      <c r="H1473" s="18">
        <v>6.4252979999999997</v>
      </c>
      <c r="I1473" s="16" t="s">
        <v>746</v>
      </c>
      <c r="J1473" s="16"/>
      <c r="K1473" s="16"/>
      <c r="L1473" s="37"/>
      <c r="M1473" s="37"/>
      <c r="N1473" s="37"/>
      <c r="O1473" s="37"/>
      <c r="P1473" s="37"/>
      <c r="Q1473" s="18">
        <v>3.9269999999999999E-2</v>
      </c>
      <c r="R1473" s="18">
        <v>2.6774999999999998E-4</v>
      </c>
      <c r="S1473" s="18">
        <v>7.4969999999999995E-2</v>
      </c>
      <c r="T1473" s="18">
        <v>0.32129999999999997</v>
      </c>
      <c r="U1473" s="18">
        <v>0.16064999999999999</v>
      </c>
      <c r="V1473" s="18">
        <v>2.0563199999999999</v>
      </c>
      <c r="W1473" s="18">
        <v>1.9278</v>
      </c>
      <c r="X1473" s="18">
        <v>1.2851999999999999</v>
      </c>
      <c r="Y1473" s="18">
        <v>5.7119999999999997E-2</v>
      </c>
      <c r="Z1473" s="18">
        <v>0.25346999999999997</v>
      </c>
      <c r="AA1473" s="18">
        <v>0.37128</v>
      </c>
      <c r="AB1473" s="18">
        <v>0.66044999999999998</v>
      </c>
      <c r="AC1473" s="18">
        <v>0.20348999999999998</v>
      </c>
      <c r="AD1473" s="18">
        <v>1.071</v>
      </c>
    </row>
    <row r="1474" spans="2:30" x14ac:dyDescent="0.25">
      <c r="B1474" t="s">
        <v>269</v>
      </c>
      <c r="C1474" t="s">
        <v>570</v>
      </c>
      <c r="D1474" t="s">
        <v>749</v>
      </c>
      <c r="E1474" s="35">
        <v>0.9</v>
      </c>
      <c r="F1474" s="35">
        <v>6.6</v>
      </c>
      <c r="G1474" s="36">
        <v>3.5699999999999998E-3</v>
      </c>
      <c r="H1474" s="18">
        <v>6.4252979999999997</v>
      </c>
      <c r="I1474" s="16" t="s">
        <v>746</v>
      </c>
      <c r="J1474" s="16"/>
      <c r="K1474" s="16"/>
      <c r="L1474" s="37"/>
      <c r="M1474" s="37"/>
      <c r="N1474" s="37"/>
      <c r="O1474" s="37"/>
      <c r="P1474" s="37"/>
      <c r="Q1474" s="18">
        <v>3.9269999999999999E-2</v>
      </c>
      <c r="R1474" s="18">
        <v>2.6774999999999998E-4</v>
      </c>
      <c r="S1474" s="18">
        <v>7.4969999999999995E-2</v>
      </c>
      <c r="T1474" s="18">
        <v>0.32129999999999997</v>
      </c>
      <c r="U1474" s="18">
        <v>0.16064999999999999</v>
      </c>
      <c r="V1474" s="18">
        <v>2.0563199999999999</v>
      </c>
      <c r="W1474" s="18">
        <v>1.9278</v>
      </c>
      <c r="X1474" s="18">
        <v>1.2851999999999999</v>
      </c>
      <c r="Y1474" s="18">
        <v>5.7119999999999997E-2</v>
      </c>
      <c r="Z1474" s="18">
        <v>0.25346999999999997</v>
      </c>
      <c r="AA1474" s="18">
        <v>0.37128</v>
      </c>
      <c r="AB1474" s="18">
        <v>0.66044999999999998</v>
      </c>
      <c r="AC1474" s="18">
        <v>0.20348999999999998</v>
      </c>
      <c r="AD1474" s="18">
        <v>1.071</v>
      </c>
    </row>
    <row r="1475" spans="2:30" x14ac:dyDescent="0.25">
      <c r="B1475" t="s">
        <v>269</v>
      </c>
      <c r="C1475" t="s">
        <v>570</v>
      </c>
      <c r="D1475" t="s">
        <v>747</v>
      </c>
      <c r="E1475" s="35">
        <v>0.9</v>
      </c>
      <c r="F1475" s="35">
        <v>6.6</v>
      </c>
      <c r="G1475" s="36">
        <v>4.9449999999999997E-3</v>
      </c>
      <c r="H1475" s="18">
        <v>8.9002979999999994</v>
      </c>
      <c r="I1475" s="16" t="s">
        <v>746</v>
      </c>
      <c r="J1475" s="16"/>
      <c r="K1475" s="16"/>
      <c r="L1475" s="37"/>
      <c r="M1475" s="37"/>
      <c r="N1475" s="37"/>
      <c r="O1475" s="37"/>
      <c r="P1475" s="37"/>
      <c r="Q1475" s="18">
        <v>5.4394999999999999E-2</v>
      </c>
      <c r="R1475" s="18">
        <v>3.7087499999999995E-4</v>
      </c>
      <c r="S1475" s="18">
        <v>0.10384499999999999</v>
      </c>
      <c r="T1475" s="18">
        <v>0.44505</v>
      </c>
      <c r="U1475" s="18">
        <v>0.222525</v>
      </c>
      <c r="V1475" s="18">
        <v>2.8483199999999997</v>
      </c>
      <c r="W1475" s="18">
        <v>2.6702999999999997</v>
      </c>
      <c r="X1475" s="18">
        <v>1.7802</v>
      </c>
      <c r="Y1475" s="18">
        <v>7.9119999999999996E-2</v>
      </c>
      <c r="Z1475" s="18">
        <v>0.35109499999999999</v>
      </c>
      <c r="AA1475" s="18">
        <v>0.51427999999999996</v>
      </c>
      <c r="AB1475" s="18">
        <v>0.914825</v>
      </c>
      <c r="AC1475" s="18">
        <v>0.28186499999999998</v>
      </c>
      <c r="AD1475" s="18">
        <v>1.4834999999999998</v>
      </c>
    </row>
    <row r="1476" spans="2:30" x14ac:dyDescent="0.25">
      <c r="B1476" t="s">
        <v>269</v>
      </c>
      <c r="C1476" t="s">
        <v>570</v>
      </c>
      <c r="D1476" t="s">
        <v>749</v>
      </c>
      <c r="E1476" s="35">
        <v>0.9</v>
      </c>
      <c r="F1476" s="35">
        <v>6.6</v>
      </c>
      <c r="G1476" s="36">
        <v>3.5699999999999998E-3</v>
      </c>
      <c r="H1476" s="18">
        <v>6.4252979999999997</v>
      </c>
      <c r="I1476" s="16" t="s">
        <v>746</v>
      </c>
      <c r="J1476" s="16"/>
      <c r="K1476" s="16"/>
      <c r="L1476" s="37"/>
      <c r="M1476" s="37"/>
      <c r="N1476" s="37"/>
      <c r="O1476" s="37"/>
      <c r="P1476" s="37"/>
      <c r="Q1476" s="18">
        <v>3.9269999999999999E-2</v>
      </c>
      <c r="R1476" s="18">
        <v>2.6774999999999998E-4</v>
      </c>
      <c r="S1476" s="18">
        <v>7.4969999999999995E-2</v>
      </c>
      <c r="T1476" s="18">
        <v>0.32129999999999997</v>
      </c>
      <c r="U1476" s="18">
        <v>0.16064999999999999</v>
      </c>
      <c r="V1476" s="18">
        <v>2.0563199999999999</v>
      </c>
      <c r="W1476" s="18">
        <v>1.9278</v>
      </c>
      <c r="X1476" s="18">
        <v>1.2851999999999999</v>
      </c>
      <c r="Y1476" s="18">
        <v>5.7119999999999997E-2</v>
      </c>
      <c r="Z1476" s="18">
        <v>0.25346999999999997</v>
      </c>
      <c r="AA1476" s="18">
        <v>0.37128</v>
      </c>
      <c r="AB1476" s="18">
        <v>0.66044999999999998</v>
      </c>
      <c r="AC1476" s="18">
        <v>0.20348999999999998</v>
      </c>
      <c r="AD1476" s="18">
        <v>1.071</v>
      </c>
    </row>
    <row r="1477" spans="2:30" x14ac:dyDescent="0.25">
      <c r="B1477" t="s">
        <v>269</v>
      </c>
      <c r="C1477" t="s">
        <v>570</v>
      </c>
      <c r="D1477" t="s">
        <v>752</v>
      </c>
      <c r="E1477" s="35">
        <v>0.9</v>
      </c>
      <c r="F1477" s="35">
        <v>6.6</v>
      </c>
      <c r="G1477" s="36">
        <v>2.47E-3</v>
      </c>
      <c r="H1477" s="18">
        <v>4.4452980000000002</v>
      </c>
      <c r="I1477" s="16" t="s">
        <v>746</v>
      </c>
      <c r="J1477" s="16"/>
      <c r="K1477" s="16"/>
      <c r="L1477" s="37"/>
      <c r="M1477" s="37"/>
      <c r="N1477" s="37"/>
      <c r="O1477" s="37"/>
      <c r="P1477" s="37"/>
      <c r="Q1477" s="18">
        <v>2.717E-2</v>
      </c>
      <c r="R1477" s="18">
        <v>1.8525E-4</v>
      </c>
      <c r="S1477" s="18">
        <v>5.1869999999999999E-2</v>
      </c>
      <c r="T1477" s="18">
        <v>0.2223</v>
      </c>
      <c r="U1477" s="18">
        <v>0.11115</v>
      </c>
      <c r="V1477" s="18">
        <v>1.42272</v>
      </c>
      <c r="W1477" s="18">
        <v>1.3338000000000001</v>
      </c>
      <c r="X1477" s="18">
        <v>0.88919999999999999</v>
      </c>
      <c r="Y1477" s="18">
        <v>3.952E-2</v>
      </c>
      <c r="Z1477" s="18">
        <v>0.17537</v>
      </c>
      <c r="AA1477" s="18">
        <v>0.25688</v>
      </c>
      <c r="AB1477" s="18">
        <v>0.45694999999999997</v>
      </c>
      <c r="AC1477" s="18">
        <v>0.14079</v>
      </c>
      <c r="AD1477" s="18">
        <v>0.74099999999999999</v>
      </c>
    </row>
    <row r="1478" spans="2:30" x14ac:dyDescent="0.25">
      <c r="B1478" t="s">
        <v>269</v>
      </c>
      <c r="C1478" t="s">
        <v>570</v>
      </c>
      <c r="D1478" t="s">
        <v>749</v>
      </c>
      <c r="E1478" s="35">
        <v>0.9</v>
      </c>
      <c r="F1478" s="35">
        <v>6.6</v>
      </c>
      <c r="G1478" s="36">
        <v>3.5699999999999998E-3</v>
      </c>
      <c r="H1478" s="18">
        <v>6.4252979999999997</v>
      </c>
      <c r="I1478" s="16" t="s">
        <v>746</v>
      </c>
      <c r="J1478" s="16"/>
      <c r="K1478" s="16"/>
      <c r="L1478" s="37"/>
      <c r="M1478" s="37"/>
      <c r="N1478" s="37"/>
      <c r="O1478" s="37"/>
      <c r="P1478" s="37"/>
      <c r="Q1478" s="18">
        <v>3.9269999999999999E-2</v>
      </c>
      <c r="R1478" s="18">
        <v>2.6774999999999998E-4</v>
      </c>
      <c r="S1478" s="18">
        <v>7.4969999999999995E-2</v>
      </c>
      <c r="T1478" s="18">
        <v>0.32129999999999997</v>
      </c>
      <c r="U1478" s="18">
        <v>0.16064999999999999</v>
      </c>
      <c r="V1478" s="18">
        <v>2.0563199999999999</v>
      </c>
      <c r="W1478" s="18">
        <v>1.9278</v>
      </c>
      <c r="X1478" s="18">
        <v>1.2851999999999999</v>
      </c>
      <c r="Y1478" s="18">
        <v>5.7119999999999997E-2</v>
      </c>
      <c r="Z1478" s="18">
        <v>0.25346999999999997</v>
      </c>
      <c r="AA1478" s="18">
        <v>0.37128</v>
      </c>
      <c r="AB1478" s="18">
        <v>0.66044999999999998</v>
      </c>
      <c r="AC1478" s="18">
        <v>0.20348999999999998</v>
      </c>
      <c r="AD1478" s="18">
        <v>1.071</v>
      </c>
    </row>
    <row r="1479" spans="2:30" x14ac:dyDescent="0.25">
      <c r="B1479" t="s">
        <v>269</v>
      </c>
      <c r="C1479" t="s">
        <v>570</v>
      </c>
      <c r="D1479" t="s">
        <v>752</v>
      </c>
      <c r="E1479" s="35">
        <v>0.9</v>
      </c>
      <c r="F1479" s="35">
        <v>6.6</v>
      </c>
      <c r="G1479" s="36">
        <v>2.47E-3</v>
      </c>
      <c r="H1479" s="18">
        <v>4.4452980000000002</v>
      </c>
      <c r="I1479" s="16" t="s">
        <v>746</v>
      </c>
      <c r="J1479" s="16"/>
      <c r="K1479" s="16"/>
      <c r="L1479" s="37"/>
      <c r="M1479" s="37"/>
      <c r="N1479" s="37"/>
      <c r="O1479" s="37"/>
      <c r="P1479" s="37"/>
      <c r="Q1479" s="18">
        <v>2.717E-2</v>
      </c>
      <c r="R1479" s="18">
        <v>1.8525E-4</v>
      </c>
      <c r="S1479" s="18">
        <v>5.1869999999999999E-2</v>
      </c>
      <c r="T1479" s="18">
        <v>0.2223</v>
      </c>
      <c r="U1479" s="18">
        <v>0.11115</v>
      </c>
      <c r="V1479" s="18">
        <v>1.42272</v>
      </c>
      <c r="W1479" s="18">
        <v>1.3338000000000001</v>
      </c>
      <c r="X1479" s="18">
        <v>0.88919999999999999</v>
      </c>
      <c r="Y1479" s="18">
        <v>3.952E-2</v>
      </c>
      <c r="Z1479" s="18">
        <v>0.17537</v>
      </c>
      <c r="AA1479" s="18">
        <v>0.25688</v>
      </c>
      <c r="AB1479" s="18">
        <v>0.45694999999999997</v>
      </c>
      <c r="AC1479" s="18">
        <v>0.14079</v>
      </c>
      <c r="AD1479" s="18">
        <v>0.74099999999999999</v>
      </c>
    </row>
    <row r="1480" spans="2:30" x14ac:dyDescent="0.25">
      <c r="B1480" t="s">
        <v>269</v>
      </c>
      <c r="C1480" t="s">
        <v>570</v>
      </c>
      <c r="D1480" t="s">
        <v>748</v>
      </c>
      <c r="E1480" s="35">
        <v>0.9</v>
      </c>
      <c r="F1480" s="35">
        <v>6.6</v>
      </c>
      <c r="G1480" s="36">
        <v>4.1200000000000004E-3</v>
      </c>
      <c r="H1480" s="18">
        <v>7.4152979999999999</v>
      </c>
      <c r="I1480" s="16" t="s">
        <v>746</v>
      </c>
      <c r="J1480" s="16"/>
      <c r="K1480" s="16"/>
      <c r="L1480" s="37"/>
      <c r="M1480" s="37"/>
      <c r="N1480" s="37"/>
      <c r="O1480" s="37"/>
      <c r="P1480" s="37"/>
      <c r="Q1480" s="18">
        <v>4.5320000000000006E-2</v>
      </c>
      <c r="R1480" s="18">
        <v>3.0900000000000003E-4</v>
      </c>
      <c r="S1480" s="18">
        <v>8.6520000000000014E-2</v>
      </c>
      <c r="T1480" s="18">
        <v>0.37080000000000002</v>
      </c>
      <c r="U1480" s="18">
        <v>0.18540000000000001</v>
      </c>
      <c r="V1480" s="18">
        <v>2.3731200000000001</v>
      </c>
      <c r="W1480" s="18">
        <v>2.2248000000000001</v>
      </c>
      <c r="X1480" s="18">
        <v>1.4832000000000001</v>
      </c>
      <c r="Y1480" s="18">
        <v>6.5920000000000006E-2</v>
      </c>
      <c r="Z1480" s="18">
        <v>0.29252</v>
      </c>
      <c r="AA1480" s="18">
        <v>0.42848000000000003</v>
      </c>
      <c r="AB1480" s="18">
        <v>0.7622000000000001</v>
      </c>
      <c r="AC1480" s="18">
        <v>0.23484000000000002</v>
      </c>
      <c r="AD1480" s="18">
        <v>1.2360000000000002</v>
      </c>
    </row>
    <row r="1481" spans="2:30" x14ac:dyDescent="0.25">
      <c r="B1481" t="s">
        <v>269</v>
      </c>
      <c r="C1481" t="s">
        <v>570</v>
      </c>
      <c r="D1481" t="s">
        <v>749</v>
      </c>
      <c r="E1481" s="35">
        <v>0.9</v>
      </c>
      <c r="F1481" s="35">
        <v>6.6</v>
      </c>
      <c r="G1481" s="36">
        <v>3.5699999999999998E-3</v>
      </c>
      <c r="H1481" s="18">
        <v>6.4252979999999997</v>
      </c>
      <c r="I1481" s="16" t="s">
        <v>746</v>
      </c>
      <c r="J1481" s="16"/>
      <c r="K1481" s="16"/>
      <c r="L1481" s="37"/>
      <c r="M1481" s="37"/>
      <c r="N1481" s="37"/>
      <c r="O1481" s="37"/>
      <c r="P1481" s="37"/>
      <c r="Q1481" s="18">
        <v>3.9269999999999999E-2</v>
      </c>
      <c r="R1481" s="18">
        <v>2.6774999999999998E-4</v>
      </c>
      <c r="S1481" s="18">
        <v>7.4969999999999995E-2</v>
      </c>
      <c r="T1481" s="18">
        <v>0.32129999999999997</v>
      </c>
      <c r="U1481" s="18">
        <v>0.16064999999999999</v>
      </c>
      <c r="V1481" s="18">
        <v>2.0563199999999999</v>
      </c>
      <c r="W1481" s="18">
        <v>1.9278</v>
      </c>
      <c r="X1481" s="18">
        <v>1.2851999999999999</v>
      </c>
      <c r="Y1481" s="18">
        <v>5.7119999999999997E-2</v>
      </c>
      <c r="Z1481" s="18">
        <v>0.25346999999999997</v>
      </c>
      <c r="AA1481" s="18">
        <v>0.37128</v>
      </c>
      <c r="AB1481" s="18">
        <v>0.66044999999999998</v>
      </c>
      <c r="AC1481" s="18">
        <v>0.20348999999999998</v>
      </c>
      <c r="AD1481" s="18">
        <v>1.071</v>
      </c>
    </row>
    <row r="1482" spans="2:30" x14ac:dyDescent="0.25">
      <c r="B1482" t="s">
        <v>269</v>
      </c>
      <c r="C1482" t="s">
        <v>570</v>
      </c>
      <c r="D1482" t="s">
        <v>749</v>
      </c>
      <c r="E1482" s="35">
        <v>0.9</v>
      </c>
      <c r="F1482" s="35">
        <v>6.6</v>
      </c>
      <c r="G1482" s="36">
        <v>3.5699999999999998E-3</v>
      </c>
      <c r="H1482" s="18">
        <v>6.4252979999999997</v>
      </c>
      <c r="I1482" s="16" t="s">
        <v>746</v>
      </c>
      <c r="J1482" s="16"/>
      <c r="K1482" s="16"/>
      <c r="L1482" s="37"/>
      <c r="M1482" s="37"/>
      <c r="N1482" s="37"/>
      <c r="O1482" s="37"/>
      <c r="P1482" s="37"/>
      <c r="Q1482" s="18">
        <v>3.9269999999999999E-2</v>
      </c>
      <c r="R1482" s="18">
        <v>2.6774999999999998E-4</v>
      </c>
      <c r="S1482" s="18">
        <v>7.4969999999999995E-2</v>
      </c>
      <c r="T1482" s="18">
        <v>0.32129999999999997</v>
      </c>
      <c r="U1482" s="18">
        <v>0.16064999999999999</v>
      </c>
      <c r="V1482" s="18">
        <v>2.0563199999999999</v>
      </c>
      <c r="W1482" s="18">
        <v>1.9278</v>
      </c>
      <c r="X1482" s="18">
        <v>1.2851999999999999</v>
      </c>
      <c r="Y1482" s="18">
        <v>5.7119999999999997E-2</v>
      </c>
      <c r="Z1482" s="18">
        <v>0.25346999999999997</v>
      </c>
      <c r="AA1482" s="18">
        <v>0.37128</v>
      </c>
      <c r="AB1482" s="18">
        <v>0.66044999999999998</v>
      </c>
      <c r="AC1482" s="18">
        <v>0.20348999999999998</v>
      </c>
      <c r="AD1482" s="18">
        <v>1.071</v>
      </c>
    </row>
    <row r="1483" spans="2:30" x14ac:dyDescent="0.25">
      <c r="B1483" t="s">
        <v>269</v>
      </c>
      <c r="C1483" t="s">
        <v>570</v>
      </c>
      <c r="D1483" t="s">
        <v>748</v>
      </c>
      <c r="E1483" s="35">
        <v>0.9</v>
      </c>
      <c r="F1483" s="35">
        <v>6.6</v>
      </c>
      <c r="G1483" s="36">
        <v>4.1200000000000004E-3</v>
      </c>
      <c r="H1483" s="18">
        <v>7.4152979999999999</v>
      </c>
      <c r="I1483" s="16" t="s">
        <v>746</v>
      </c>
      <c r="J1483" s="16"/>
      <c r="K1483" s="16"/>
      <c r="L1483" s="37"/>
      <c r="M1483" s="37"/>
      <c r="N1483" s="37"/>
      <c r="O1483" s="37"/>
      <c r="P1483" s="37"/>
      <c r="Q1483" s="18">
        <v>4.5320000000000006E-2</v>
      </c>
      <c r="R1483" s="18">
        <v>3.0900000000000003E-4</v>
      </c>
      <c r="S1483" s="18">
        <v>8.6520000000000014E-2</v>
      </c>
      <c r="T1483" s="18">
        <v>0.37080000000000002</v>
      </c>
      <c r="U1483" s="18">
        <v>0.18540000000000001</v>
      </c>
      <c r="V1483" s="18">
        <v>2.3731200000000001</v>
      </c>
      <c r="W1483" s="18">
        <v>2.2248000000000001</v>
      </c>
      <c r="X1483" s="18">
        <v>1.4832000000000001</v>
      </c>
      <c r="Y1483" s="18">
        <v>6.5920000000000006E-2</v>
      </c>
      <c r="Z1483" s="18">
        <v>0.29252</v>
      </c>
      <c r="AA1483" s="18">
        <v>0.42848000000000003</v>
      </c>
      <c r="AB1483" s="18">
        <v>0.7622000000000001</v>
      </c>
      <c r="AC1483" s="18">
        <v>0.23484000000000002</v>
      </c>
      <c r="AD1483" s="18">
        <v>1.2360000000000002</v>
      </c>
    </row>
    <row r="1484" spans="2:30" x14ac:dyDescent="0.25">
      <c r="B1484" t="s">
        <v>269</v>
      </c>
      <c r="C1484" t="s">
        <v>570</v>
      </c>
      <c r="D1484" t="s">
        <v>752</v>
      </c>
      <c r="E1484" s="35">
        <v>0.9</v>
      </c>
      <c r="F1484" s="35">
        <v>6.6</v>
      </c>
      <c r="G1484" s="36">
        <v>2.47E-3</v>
      </c>
      <c r="H1484" s="18">
        <v>4.4452980000000002</v>
      </c>
      <c r="I1484" s="16" t="s">
        <v>746</v>
      </c>
      <c r="J1484" s="16"/>
      <c r="K1484" s="16"/>
      <c r="L1484" s="37"/>
      <c r="M1484" s="37"/>
      <c r="N1484" s="37"/>
      <c r="O1484" s="37"/>
      <c r="P1484" s="37"/>
      <c r="Q1484" s="18">
        <v>2.717E-2</v>
      </c>
      <c r="R1484" s="18">
        <v>1.8525E-4</v>
      </c>
      <c r="S1484" s="18">
        <v>5.1869999999999999E-2</v>
      </c>
      <c r="T1484" s="18">
        <v>0.2223</v>
      </c>
      <c r="U1484" s="18">
        <v>0.11115</v>
      </c>
      <c r="V1484" s="18">
        <v>1.42272</v>
      </c>
      <c r="W1484" s="18">
        <v>1.3338000000000001</v>
      </c>
      <c r="X1484" s="18">
        <v>0.88919999999999999</v>
      </c>
      <c r="Y1484" s="18">
        <v>3.952E-2</v>
      </c>
      <c r="Z1484" s="18">
        <v>0.17537</v>
      </c>
      <c r="AA1484" s="18">
        <v>0.25688</v>
      </c>
      <c r="AB1484" s="18">
        <v>0.45694999999999997</v>
      </c>
      <c r="AC1484" s="18">
        <v>0.14079</v>
      </c>
      <c r="AD1484" s="18">
        <v>0.74099999999999999</v>
      </c>
    </row>
    <row r="1485" spans="2:30" x14ac:dyDescent="0.25">
      <c r="B1485" t="s">
        <v>269</v>
      </c>
      <c r="C1485" t="s">
        <v>570</v>
      </c>
      <c r="D1485" t="s">
        <v>749</v>
      </c>
      <c r="E1485" s="35">
        <v>0.9</v>
      </c>
      <c r="F1485" s="35">
        <v>6.6</v>
      </c>
      <c r="G1485" s="36">
        <v>3.5699999999999998E-3</v>
      </c>
      <c r="H1485" s="18">
        <v>6.4252979999999997</v>
      </c>
      <c r="I1485" s="16" t="s">
        <v>746</v>
      </c>
      <c r="J1485" s="16"/>
      <c r="K1485" s="16"/>
      <c r="L1485" s="37"/>
      <c r="M1485" s="37"/>
      <c r="N1485" s="37"/>
      <c r="O1485" s="37"/>
      <c r="P1485" s="37"/>
      <c r="Q1485" s="18">
        <v>3.9269999999999999E-2</v>
      </c>
      <c r="R1485" s="18">
        <v>2.6774999999999998E-4</v>
      </c>
      <c r="S1485" s="18">
        <v>7.4969999999999995E-2</v>
      </c>
      <c r="T1485" s="18">
        <v>0.32129999999999997</v>
      </c>
      <c r="U1485" s="18">
        <v>0.16064999999999999</v>
      </c>
      <c r="V1485" s="18">
        <v>2.0563199999999999</v>
      </c>
      <c r="W1485" s="18">
        <v>1.9278</v>
      </c>
      <c r="X1485" s="18">
        <v>1.2851999999999999</v>
      </c>
      <c r="Y1485" s="18">
        <v>5.7119999999999997E-2</v>
      </c>
      <c r="Z1485" s="18">
        <v>0.25346999999999997</v>
      </c>
      <c r="AA1485" s="18">
        <v>0.37128</v>
      </c>
      <c r="AB1485" s="18">
        <v>0.66044999999999998</v>
      </c>
      <c r="AC1485" s="18">
        <v>0.20348999999999998</v>
      </c>
      <c r="AD1485" s="18">
        <v>1.071</v>
      </c>
    </row>
    <row r="1486" spans="2:30" x14ac:dyDescent="0.25">
      <c r="B1486" t="s">
        <v>269</v>
      </c>
      <c r="C1486" t="s">
        <v>570</v>
      </c>
      <c r="D1486" t="s">
        <v>749</v>
      </c>
      <c r="E1486" s="35">
        <v>0.9</v>
      </c>
      <c r="F1486" s="35">
        <v>6.6</v>
      </c>
      <c r="G1486" s="36">
        <v>3.5699999999999998E-3</v>
      </c>
      <c r="H1486" s="18">
        <v>6.4252979999999997</v>
      </c>
      <c r="I1486" s="16" t="s">
        <v>746</v>
      </c>
      <c r="J1486" s="16"/>
      <c r="K1486" s="16"/>
      <c r="L1486" s="37"/>
      <c r="M1486" s="37"/>
      <c r="N1486" s="37"/>
      <c r="O1486" s="37"/>
      <c r="P1486" s="37"/>
      <c r="Q1486" s="18">
        <v>3.9269999999999999E-2</v>
      </c>
      <c r="R1486" s="18">
        <v>2.6774999999999998E-4</v>
      </c>
      <c r="S1486" s="18">
        <v>7.4969999999999995E-2</v>
      </c>
      <c r="T1486" s="18">
        <v>0.32129999999999997</v>
      </c>
      <c r="U1486" s="18">
        <v>0.16064999999999999</v>
      </c>
      <c r="V1486" s="18">
        <v>2.0563199999999999</v>
      </c>
      <c r="W1486" s="18">
        <v>1.9278</v>
      </c>
      <c r="X1486" s="18">
        <v>1.2851999999999999</v>
      </c>
      <c r="Y1486" s="18">
        <v>5.7119999999999997E-2</v>
      </c>
      <c r="Z1486" s="18">
        <v>0.25346999999999997</v>
      </c>
      <c r="AA1486" s="18">
        <v>0.37128</v>
      </c>
      <c r="AB1486" s="18">
        <v>0.66044999999999998</v>
      </c>
      <c r="AC1486" s="18">
        <v>0.20348999999999998</v>
      </c>
      <c r="AD1486" s="18">
        <v>1.071</v>
      </c>
    </row>
    <row r="1487" spans="2:30" x14ac:dyDescent="0.25">
      <c r="B1487" t="s">
        <v>269</v>
      </c>
      <c r="C1487" t="s">
        <v>570</v>
      </c>
      <c r="D1487" t="s">
        <v>748</v>
      </c>
      <c r="E1487" s="35">
        <v>0.9</v>
      </c>
      <c r="F1487" s="35">
        <v>6.6</v>
      </c>
      <c r="G1487" s="36">
        <v>4.1200000000000004E-3</v>
      </c>
      <c r="H1487" s="18">
        <v>7.4152979999999999</v>
      </c>
      <c r="I1487" s="16" t="s">
        <v>746</v>
      </c>
      <c r="J1487" s="16"/>
      <c r="K1487" s="16"/>
      <c r="L1487" s="37"/>
      <c r="M1487" s="37"/>
      <c r="N1487" s="37"/>
      <c r="O1487" s="37"/>
      <c r="P1487" s="37"/>
      <c r="Q1487" s="18">
        <v>4.5320000000000006E-2</v>
      </c>
      <c r="R1487" s="18">
        <v>3.0900000000000003E-4</v>
      </c>
      <c r="S1487" s="18">
        <v>8.6520000000000014E-2</v>
      </c>
      <c r="T1487" s="18">
        <v>0.37080000000000002</v>
      </c>
      <c r="U1487" s="18">
        <v>0.18540000000000001</v>
      </c>
      <c r="V1487" s="18">
        <v>2.3731200000000001</v>
      </c>
      <c r="W1487" s="18">
        <v>2.2248000000000001</v>
      </c>
      <c r="X1487" s="18">
        <v>1.4832000000000001</v>
      </c>
      <c r="Y1487" s="18">
        <v>6.5920000000000006E-2</v>
      </c>
      <c r="Z1487" s="18">
        <v>0.29252</v>
      </c>
      <c r="AA1487" s="18">
        <v>0.42848000000000003</v>
      </c>
      <c r="AB1487" s="18">
        <v>0.7622000000000001</v>
      </c>
      <c r="AC1487" s="18">
        <v>0.23484000000000002</v>
      </c>
      <c r="AD1487" s="18">
        <v>1.2360000000000002</v>
      </c>
    </row>
    <row r="1488" spans="2:30" x14ac:dyDescent="0.25">
      <c r="B1488" t="s">
        <v>269</v>
      </c>
      <c r="C1488" t="s">
        <v>570</v>
      </c>
      <c r="D1488" t="s">
        <v>750</v>
      </c>
      <c r="E1488" s="35">
        <v>0.9</v>
      </c>
      <c r="F1488" s="35">
        <v>6.6</v>
      </c>
      <c r="G1488" s="36">
        <v>3.0200000000000001E-3</v>
      </c>
      <c r="H1488" s="18">
        <v>5.4352980000000004</v>
      </c>
      <c r="I1488" s="16" t="s">
        <v>746</v>
      </c>
      <c r="J1488" s="16"/>
      <c r="K1488" s="16"/>
      <c r="L1488" s="37"/>
      <c r="M1488" s="37"/>
      <c r="N1488" s="37"/>
      <c r="O1488" s="37"/>
      <c r="P1488" s="37"/>
      <c r="Q1488" s="18">
        <v>3.322E-2</v>
      </c>
      <c r="R1488" s="18">
        <v>2.265E-4</v>
      </c>
      <c r="S1488" s="18">
        <v>6.3420000000000004E-2</v>
      </c>
      <c r="T1488" s="18">
        <v>0.27179999999999999</v>
      </c>
      <c r="U1488" s="18">
        <v>0.13589999999999999</v>
      </c>
      <c r="V1488" s="18">
        <v>1.7395200000000002</v>
      </c>
      <c r="W1488" s="18">
        <v>1.6308</v>
      </c>
      <c r="X1488" s="18">
        <v>1.0871999999999999</v>
      </c>
      <c r="Y1488" s="18">
        <v>4.8320000000000002E-2</v>
      </c>
      <c r="Z1488" s="18">
        <v>0.21442</v>
      </c>
      <c r="AA1488" s="18">
        <v>0.31408000000000003</v>
      </c>
      <c r="AB1488" s="18">
        <v>0.55869999999999997</v>
      </c>
      <c r="AC1488" s="18">
        <v>0.17214000000000002</v>
      </c>
      <c r="AD1488" s="18">
        <v>0.90600000000000003</v>
      </c>
    </row>
    <row r="1489" spans="2:30" x14ac:dyDescent="0.25">
      <c r="B1489" t="s">
        <v>269</v>
      </c>
      <c r="C1489" t="s">
        <v>570</v>
      </c>
      <c r="D1489" t="s">
        <v>750</v>
      </c>
      <c r="E1489" s="35">
        <v>0.9</v>
      </c>
      <c r="F1489" s="35">
        <v>6.6</v>
      </c>
      <c r="G1489" s="36">
        <v>3.0200000000000001E-3</v>
      </c>
      <c r="H1489" s="18">
        <v>5.4352980000000004</v>
      </c>
      <c r="I1489" s="16" t="s">
        <v>746</v>
      </c>
      <c r="J1489" s="16"/>
      <c r="K1489" s="16"/>
      <c r="L1489" s="37"/>
      <c r="M1489" s="37"/>
      <c r="N1489" s="37"/>
      <c r="O1489" s="37"/>
      <c r="P1489" s="37"/>
      <c r="Q1489" s="18">
        <v>3.322E-2</v>
      </c>
      <c r="R1489" s="18">
        <v>2.265E-4</v>
      </c>
      <c r="S1489" s="18">
        <v>6.3420000000000004E-2</v>
      </c>
      <c r="T1489" s="18">
        <v>0.27179999999999999</v>
      </c>
      <c r="U1489" s="18">
        <v>0.13589999999999999</v>
      </c>
      <c r="V1489" s="18">
        <v>1.7395200000000002</v>
      </c>
      <c r="W1489" s="18">
        <v>1.6308</v>
      </c>
      <c r="X1489" s="18">
        <v>1.0871999999999999</v>
      </c>
      <c r="Y1489" s="18">
        <v>4.8320000000000002E-2</v>
      </c>
      <c r="Z1489" s="18">
        <v>0.21442</v>
      </c>
      <c r="AA1489" s="18">
        <v>0.31408000000000003</v>
      </c>
      <c r="AB1489" s="18">
        <v>0.55869999999999997</v>
      </c>
      <c r="AC1489" s="18">
        <v>0.17214000000000002</v>
      </c>
      <c r="AD1489" s="18">
        <v>0.90600000000000003</v>
      </c>
    </row>
    <row r="1490" spans="2:30" x14ac:dyDescent="0.25">
      <c r="B1490" t="s">
        <v>269</v>
      </c>
      <c r="C1490" t="s">
        <v>570</v>
      </c>
      <c r="D1490" t="s">
        <v>747</v>
      </c>
      <c r="E1490" s="35">
        <v>0.9</v>
      </c>
      <c r="F1490" s="35">
        <v>6.6</v>
      </c>
      <c r="G1490" s="36">
        <v>4.9449999999999997E-3</v>
      </c>
      <c r="H1490" s="18">
        <v>8.9002979999999994</v>
      </c>
      <c r="I1490" s="16" t="s">
        <v>746</v>
      </c>
      <c r="J1490" s="16"/>
      <c r="K1490" s="16"/>
      <c r="L1490" s="37"/>
      <c r="M1490" s="37"/>
      <c r="N1490" s="37"/>
      <c r="O1490" s="37"/>
      <c r="P1490" s="37"/>
      <c r="Q1490" s="18">
        <v>5.4394999999999999E-2</v>
      </c>
      <c r="R1490" s="18">
        <v>3.7087499999999995E-4</v>
      </c>
      <c r="S1490" s="18">
        <v>0.10384499999999999</v>
      </c>
      <c r="T1490" s="18">
        <v>0.44505</v>
      </c>
      <c r="U1490" s="18">
        <v>0.222525</v>
      </c>
      <c r="V1490" s="18">
        <v>2.8483199999999997</v>
      </c>
      <c r="W1490" s="18">
        <v>2.6702999999999997</v>
      </c>
      <c r="X1490" s="18">
        <v>1.7802</v>
      </c>
      <c r="Y1490" s="18">
        <v>7.9119999999999996E-2</v>
      </c>
      <c r="Z1490" s="18">
        <v>0.35109499999999999</v>
      </c>
      <c r="AA1490" s="18">
        <v>0.51427999999999996</v>
      </c>
      <c r="AB1490" s="18">
        <v>0.914825</v>
      </c>
      <c r="AC1490" s="18">
        <v>0.28186499999999998</v>
      </c>
      <c r="AD1490" s="18">
        <v>1.4834999999999998</v>
      </c>
    </row>
    <row r="1491" spans="2:30" x14ac:dyDescent="0.25">
      <c r="B1491" t="s">
        <v>269</v>
      </c>
      <c r="C1491" t="s">
        <v>570</v>
      </c>
      <c r="D1491" t="s">
        <v>752</v>
      </c>
      <c r="E1491" s="35">
        <v>0.9</v>
      </c>
      <c r="F1491" s="35">
        <v>6.6</v>
      </c>
      <c r="G1491" s="36">
        <v>2.47E-3</v>
      </c>
      <c r="H1491" s="18">
        <v>4.4452980000000002</v>
      </c>
      <c r="I1491" s="16" t="s">
        <v>746</v>
      </c>
      <c r="J1491" s="16"/>
      <c r="K1491" s="16"/>
      <c r="L1491" s="37"/>
      <c r="M1491" s="37"/>
      <c r="N1491" s="37"/>
      <c r="O1491" s="37"/>
      <c r="P1491" s="37"/>
      <c r="Q1491" s="18">
        <v>2.717E-2</v>
      </c>
      <c r="R1491" s="18">
        <v>1.8525E-4</v>
      </c>
      <c r="S1491" s="18">
        <v>5.1869999999999999E-2</v>
      </c>
      <c r="T1491" s="18">
        <v>0.2223</v>
      </c>
      <c r="U1491" s="18">
        <v>0.11115</v>
      </c>
      <c r="V1491" s="18">
        <v>1.42272</v>
      </c>
      <c r="W1491" s="18">
        <v>1.3338000000000001</v>
      </c>
      <c r="X1491" s="18">
        <v>0.88919999999999999</v>
      </c>
      <c r="Y1491" s="18">
        <v>3.952E-2</v>
      </c>
      <c r="Z1491" s="18">
        <v>0.17537</v>
      </c>
      <c r="AA1491" s="18">
        <v>0.25688</v>
      </c>
      <c r="AB1491" s="18">
        <v>0.45694999999999997</v>
      </c>
      <c r="AC1491" s="18">
        <v>0.14079</v>
      </c>
      <c r="AD1491" s="18">
        <v>0.74099999999999999</v>
      </c>
    </row>
    <row r="1492" spans="2:30" x14ac:dyDescent="0.25">
      <c r="B1492" t="s">
        <v>269</v>
      </c>
      <c r="C1492" t="s">
        <v>570</v>
      </c>
      <c r="D1492" t="s">
        <v>750</v>
      </c>
      <c r="E1492" s="35">
        <v>0.9</v>
      </c>
      <c r="F1492" s="35">
        <v>6.6</v>
      </c>
      <c r="G1492" s="36">
        <v>3.0200000000000001E-3</v>
      </c>
      <c r="H1492" s="18">
        <v>5.4352980000000004</v>
      </c>
      <c r="I1492" s="16" t="s">
        <v>746</v>
      </c>
      <c r="J1492" s="16"/>
      <c r="K1492" s="16"/>
      <c r="L1492" s="37"/>
      <c r="M1492" s="37"/>
      <c r="N1492" s="37"/>
      <c r="O1492" s="37"/>
      <c r="P1492" s="37"/>
      <c r="Q1492" s="18">
        <v>3.322E-2</v>
      </c>
      <c r="R1492" s="18">
        <v>2.265E-4</v>
      </c>
      <c r="S1492" s="18">
        <v>6.3420000000000004E-2</v>
      </c>
      <c r="T1492" s="18">
        <v>0.27179999999999999</v>
      </c>
      <c r="U1492" s="18">
        <v>0.13589999999999999</v>
      </c>
      <c r="V1492" s="18">
        <v>1.7395200000000002</v>
      </c>
      <c r="W1492" s="18">
        <v>1.6308</v>
      </c>
      <c r="X1492" s="18">
        <v>1.0871999999999999</v>
      </c>
      <c r="Y1492" s="18">
        <v>4.8320000000000002E-2</v>
      </c>
      <c r="Z1492" s="18">
        <v>0.21442</v>
      </c>
      <c r="AA1492" s="18">
        <v>0.31408000000000003</v>
      </c>
      <c r="AB1492" s="18">
        <v>0.55869999999999997</v>
      </c>
      <c r="AC1492" s="18">
        <v>0.17214000000000002</v>
      </c>
      <c r="AD1492" s="18">
        <v>0.90600000000000003</v>
      </c>
    </row>
    <row r="1493" spans="2:30" x14ac:dyDescent="0.25">
      <c r="B1493" t="s">
        <v>269</v>
      </c>
      <c r="C1493" t="s">
        <v>570</v>
      </c>
      <c r="D1493" t="s">
        <v>747</v>
      </c>
      <c r="E1493" s="35">
        <v>0.9</v>
      </c>
      <c r="F1493" s="35">
        <v>6.6</v>
      </c>
      <c r="G1493" s="36">
        <v>4.9449999999999997E-3</v>
      </c>
      <c r="H1493" s="18">
        <v>8.9002979999999994</v>
      </c>
      <c r="I1493" s="16" t="s">
        <v>746</v>
      </c>
      <c r="J1493" s="16"/>
      <c r="K1493" s="16"/>
      <c r="L1493" s="37"/>
      <c r="M1493" s="37"/>
      <c r="N1493" s="37"/>
      <c r="O1493" s="37"/>
      <c r="P1493" s="37"/>
      <c r="Q1493" s="18">
        <v>5.4394999999999999E-2</v>
      </c>
      <c r="R1493" s="18">
        <v>3.7087499999999995E-4</v>
      </c>
      <c r="S1493" s="18">
        <v>0.10384499999999999</v>
      </c>
      <c r="T1493" s="18">
        <v>0.44505</v>
      </c>
      <c r="U1493" s="18">
        <v>0.222525</v>
      </c>
      <c r="V1493" s="18">
        <v>2.8483199999999997</v>
      </c>
      <c r="W1493" s="18">
        <v>2.6702999999999997</v>
      </c>
      <c r="X1493" s="18">
        <v>1.7802</v>
      </c>
      <c r="Y1493" s="18">
        <v>7.9119999999999996E-2</v>
      </c>
      <c r="Z1493" s="18">
        <v>0.35109499999999999</v>
      </c>
      <c r="AA1493" s="18">
        <v>0.51427999999999996</v>
      </c>
      <c r="AB1493" s="18">
        <v>0.914825</v>
      </c>
      <c r="AC1493" s="18">
        <v>0.28186499999999998</v>
      </c>
      <c r="AD1493" s="18">
        <v>1.4834999999999998</v>
      </c>
    </row>
    <row r="1494" spans="2:30" x14ac:dyDescent="0.25">
      <c r="B1494" t="s">
        <v>269</v>
      </c>
      <c r="C1494" t="s">
        <v>570</v>
      </c>
      <c r="D1494" t="s">
        <v>752</v>
      </c>
      <c r="E1494" s="35">
        <v>0.9</v>
      </c>
      <c r="F1494" s="35">
        <v>6.6</v>
      </c>
      <c r="G1494" s="36">
        <v>2.47E-3</v>
      </c>
      <c r="H1494" s="18">
        <v>4.4452980000000002</v>
      </c>
      <c r="I1494" s="16" t="s">
        <v>746</v>
      </c>
      <c r="J1494" s="16"/>
      <c r="K1494" s="16"/>
      <c r="L1494" s="37"/>
      <c r="M1494" s="37"/>
      <c r="N1494" s="37"/>
      <c r="O1494" s="37"/>
      <c r="P1494" s="37"/>
      <c r="Q1494" s="18">
        <v>2.717E-2</v>
      </c>
      <c r="R1494" s="18">
        <v>1.8525E-4</v>
      </c>
      <c r="S1494" s="18">
        <v>5.1869999999999999E-2</v>
      </c>
      <c r="T1494" s="18">
        <v>0.2223</v>
      </c>
      <c r="U1494" s="18">
        <v>0.11115</v>
      </c>
      <c r="V1494" s="18">
        <v>1.42272</v>
      </c>
      <c r="W1494" s="18">
        <v>1.3338000000000001</v>
      </c>
      <c r="X1494" s="18">
        <v>0.88919999999999999</v>
      </c>
      <c r="Y1494" s="18">
        <v>3.952E-2</v>
      </c>
      <c r="Z1494" s="18">
        <v>0.17537</v>
      </c>
      <c r="AA1494" s="18">
        <v>0.25688</v>
      </c>
      <c r="AB1494" s="18">
        <v>0.45694999999999997</v>
      </c>
      <c r="AC1494" s="18">
        <v>0.14079</v>
      </c>
      <c r="AD1494" s="18">
        <v>0.74099999999999999</v>
      </c>
    </row>
    <row r="1495" spans="2:30" x14ac:dyDescent="0.25">
      <c r="B1495" t="s">
        <v>269</v>
      </c>
      <c r="C1495" t="s">
        <v>570</v>
      </c>
      <c r="D1495" t="s">
        <v>749</v>
      </c>
      <c r="E1495" s="35">
        <v>0.9</v>
      </c>
      <c r="F1495" s="35">
        <v>6.6</v>
      </c>
      <c r="G1495" s="36">
        <v>3.5699999999999998E-3</v>
      </c>
      <c r="H1495" s="18">
        <v>6.4252979999999997</v>
      </c>
      <c r="I1495" s="16" t="s">
        <v>746</v>
      </c>
      <c r="J1495" s="16"/>
      <c r="K1495" s="16"/>
      <c r="L1495" s="37"/>
      <c r="M1495" s="37"/>
      <c r="N1495" s="37"/>
      <c r="O1495" s="37"/>
      <c r="P1495" s="37"/>
      <c r="Q1495" s="18">
        <v>3.9269999999999999E-2</v>
      </c>
      <c r="R1495" s="18">
        <v>2.6774999999999998E-4</v>
      </c>
      <c r="S1495" s="18">
        <v>7.4969999999999995E-2</v>
      </c>
      <c r="T1495" s="18">
        <v>0.32129999999999997</v>
      </c>
      <c r="U1495" s="18">
        <v>0.16064999999999999</v>
      </c>
      <c r="V1495" s="18">
        <v>2.0563199999999999</v>
      </c>
      <c r="W1495" s="18">
        <v>1.9278</v>
      </c>
      <c r="X1495" s="18">
        <v>1.2851999999999999</v>
      </c>
      <c r="Y1495" s="18">
        <v>5.7119999999999997E-2</v>
      </c>
      <c r="Z1495" s="18">
        <v>0.25346999999999997</v>
      </c>
      <c r="AA1495" s="18">
        <v>0.37128</v>
      </c>
      <c r="AB1495" s="18">
        <v>0.66044999999999998</v>
      </c>
      <c r="AC1495" s="18">
        <v>0.20348999999999998</v>
      </c>
      <c r="AD1495" s="18">
        <v>1.071</v>
      </c>
    </row>
    <row r="1496" spans="2:30" x14ac:dyDescent="0.25">
      <c r="B1496" t="s">
        <v>269</v>
      </c>
      <c r="C1496" t="s">
        <v>570</v>
      </c>
      <c r="D1496" t="s">
        <v>752</v>
      </c>
      <c r="E1496" s="35">
        <v>0.9</v>
      </c>
      <c r="F1496" s="35">
        <v>6.6</v>
      </c>
      <c r="G1496" s="36">
        <v>2.47E-3</v>
      </c>
      <c r="H1496" s="18">
        <v>4.4452980000000002</v>
      </c>
      <c r="I1496" s="16" t="s">
        <v>746</v>
      </c>
      <c r="J1496" s="16"/>
      <c r="K1496" s="16"/>
      <c r="L1496" s="37"/>
      <c r="M1496" s="37"/>
      <c r="N1496" s="37"/>
      <c r="O1496" s="37"/>
      <c r="P1496" s="37"/>
      <c r="Q1496" s="18">
        <v>2.717E-2</v>
      </c>
      <c r="R1496" s="18">
        <v>1.8525E-4</v>
      </c>
      <c r="S1496" s="18">
        <v>5.1869999999999999E-2</v>
      </c>
      <c r="T1496" s="18">
        <v>0.2223</v>
      </c>
      <c r="U1496" s="18">
        <v>0.11115</v>
      </c>
      <c r="V1496" s="18">
        <v>1.42272</v>
      </c>
      <c r="W1496" s="18">
        <v>1.3338000000000001</v>
      </c>
      <c r="X1496" s="18">
        <v>0.88919999999999999</v>
      </c>
      <c r="Y1496" s="18">
        <v>3.952E-2</v>
      </c>
      <c r="Z1496" s="18">
        <v>0.17537</v>
      </c>
      <c r="AA1496" s="18">
        <v>0.25688</v>
      </c>
      <c r="AB1496" s="18">
        <v>0.45694999999999997</v>
      </c>
      <c r="AC1496" s="18">
        <v>0.14079</v>
      </c>
      <c r="AD1496" s="18">
        <v>0.74099999999999999</v>
      </c>
    </row>
    <row r="1497" spans="2:30" x14ac:dyDescent="0.25">
      <c r="B1497" t="s">
        <v>269</v>
      </c>
      <c r="C1497" t="s">
        <v>570</v>
      </c>
      <c r="D1497" t="s">
        <v>750</v>
      </c>
      <c r="E1497" s="35">
        <v>0.9</v>
      </c>
      <c r="F1497" s="35">
        <v>6.6</v>
      </c>
      <c r="G1497" s="36">
        <v>3.0200000000000001E-3</v>
      </c>
      <c r="H1497" s="18">
        <v>5.4352980000000004</v>
      </c>
      <c r="I1497" s="16" t="s">
        <v>746</v>
      </c>
      <c r="J1497" s="16"/>
      <c r="K1497" s="16"/>
      <c r="L1497" s="37"/>
      <c r="M1497" s="37"/>
      <c r="N1497" s="37"/>
      <c r="O1497" s="37"/>
      <c r="P1497" s="37"/>
      <c r="Q1497" s="18">
        <v>3.322E-2</v>
      </c>
      <c r="R1497" s="18">
        <v>2.265E-4</v>
      </c>
      <c r="S1497" s="18">
        <v>6.3420000000000004E-2</v>
      </c>
      <c r="T1497" s="18">
        <v>0.27179999999999999</v>
      </c>
      <c r="U1497" s="18">
        <v>0.13589999999999999</v>
      </c>
      <c r="V1497" s="18">
        <v>1.7395200000000002</v>
      </c>
      <c r="W1497" s="18">
        <v>1.6308</v>
      </c>
      <c r="X1497" s="18">
        <v>1.0871999999999999</v>
      </c>
      <c r="Y1497" s="18">
        <v>4.8320000000000002E-2</v>
      </c>
      <c r="Z1497" s="18">
        <v>0.21442</v>
      </c>
      <c r="AA1497" s="18">
        <v>0.31408000000000003</v>
      </c>
      <c r="AB1497" s="18">
        <v>0.55869999999999997</v>
      </c>
      <c r="AC1497" s="18">
        <v>0.17214000000000002</v>
      </c>
      <c r="AD1497" s="18">
        <v>0.90600000000000003</v>
      </c>
    </row>
    <row r="1498" spans="2:30" x14ac:dyDescent="0.25">
      <c r="B1498" t="s">
        <v>269</v>
      </c>
      <c r="C1498" t="s">
        <v>570</v>
      </c>
      <c r="D1498" t="s">
        <v>749</v>
      </c>
      <c r="E1498" s="35">
        <v>0.9</v>
      </c>
      <c r="F1498" s="35">
        <v>6.6</v>
      </c>
      <c r="G1498" s="36">
        <v>3.5699999999999998E-3</v>
      </c>
      <c r="H1498" s="18">
        <v>6.4252979999999997</v>
      </c>
      <c r="I1498" s="16" t="s">
        <v>746</v>
      </c>
      <c r="J1498" s="16"/>
      <c r="K1498" s="16"/>
      <c r="L1498" s="37"/>
      <c r="M1498" s="37"/>
      <c r="N1498" s="37"/>
      <c r="O1498" s="37"/>
      <c r="P1498" s="37"/>
      <c r="Q1498" s="18">
        <v>3.9269999999999999E-2</v>
      </c>
      <c r="R1498" s="18">
        <v>2.6774999999999998E-4</v>
      </c>
      <c r="S1498" s="18">
        <v>7.4969999999999995E-2</v>
      </c>
      <c r="T1498" s="18">
        <v>0.32129999999999997</v>
      </c>
      <c r="U1498" s="18">
        <v>0.16064999999999999</v>
      </c>
      <c r="V1498" s="18">
        <v>2.0563199999999999</v>
      </c>
      <c r="W1498" s="18">
        <v>1.9278</v>
      </c>
      <c r="X1498" s="18">
        <v>1.2851999999999999</v>
      </c>
      <c r="Y1498" s="18">
        <v>5.7119999999999997E-2</v>
      </c>
      <c r="Z1498" s="18">
        <v>0.25346999999999997</v>
      </c>
      <c r="AA1498" s="18">
        <v>0.37128</v>
      </c>
      <c r="AB1498" s="18">
        <v>0.66044999999999998</v>
      </c>
      <c r="AC1498" s="18">
        <v>0.20348999999999998</v>
      </c>
      <c r="AD1498" s="18">
        <v>1.071</v>
      </c>
    </row>
    <row r="1499" spans="2:30" x14ac:dyDescent="0.25">
      <c r="B1499" t="s">
        <v>269</v>
      </c>
      <c r="C1499" t="s">
        <v>570</v>
      </c>
      <c r="D1499" t="s">
        <v>749</v>
      </c>
      <c r="E1499" s="35">
        <v>0.9</v>
      </c>
      <c r="F1499" s="35">
        <v>6.6</v>
      </c>
      <c r="G1499" s="36">
        <v>3.5699999999999998E-3</v>
      </c>
      <c r="H1499" s="18">
        <v>6.4252979999999997</v>
      </c>
      <c r="I1499" s="16" t="s">
        <v>746</v>
      </c>
      <c r="J1499" s="16"/>
      <c r="K1499" s="16"/>
      <c r="L1499" s="37"/>
      <c r="M1499" s="37"/>
      <c r="N1499" s="37"/>
      <c r="O1499" s="37"/>
      <c r="P1499" s="37"/>
      <c r="Q1499" s="18">
        <v>3.9269999999999999E-2</v>
      </c>
      <c r="R1499" s="18">
        <v>2.6774999999999998E-4</v>
      </c>
      <c r="S1499" s="18">
        <v>7.4969999999999995E-2</v>
      </c>
      <c r="T1499" s="18">
        <v>0.32129999999999997</v>
      </c>
      <c r="U1499" s="18">
        <v>0.16064999999999999</v>
      </c>
      <c r="V1499" s="18">
        <v>2.0563199999999999</v>
      </c>
      <c r="W1499" s="18">
        <v>1.9278</v>
      </c>
      <c r="X1499" s="18">
        <v>1.2851999999999999</v>
      </c>
      <c r="Y1499" s="18">
        <v>5.7119999999999997E-2</v>
      </c>
      <c r="Z1499" s="18">
        <v>0.25346999999999997</v>
      </c>
      <c r="AA1499" s="18">
        <v>0.37128</v>
      </c>
      <c r="AB1499" s="18">
        <v>0.66044999999999998</v>
      </c>
      <c r="AC1499" s="18">
        <v>0.20348999999999998</v>
      </c>
      <c r="AD1499" s="18">
        <v>1.071</v>
      </c>
    </row>
    <row r="1500" spans="2:30" x14ac:dyDescent="0.25">
      <c r="B1500" t="s">
        <v>269</v>
      </c>
      <c r="C1500" t="s">
        <v>570</v>
      </c>
      <c r="D1500" t="s">
        <v>749</v>
      </c>
      <c r="E1500" s="35">
        <v>0.9</v>
      </c>
      <c r="F1500" s="35">
        <v>6.6</v>
      </c>
      <c r="G1500" s="36">
        <v>3.5699999999999998E-3</v>
      </c>
      <c r="H1500" s="18">
        <v>6.4252979999999997</v>
      </c>
      <c r="I1500" s="16" t="s">
        <v>746</v>
      </c>
      <c r="J1500" s="16"/>
      <c r="K1500" s="16"/>
      <c r="L1500" s="37"/>
      <c r="M1500" s="37"/>
      <c r="N1500" s="37"/>
      <c r="O1500" s="37"/>
      <c r="P1500" s="37"/>
      <c r="Q1500" s="18">
        <v>3.9269999999999999E-2</v>
      </c>
      <c r="R1500" s="18">
        <v>2.6774999999999998E-4</v>
      </c>
      <c r="S1500" s="18">
        <v>7.4969999999999995E-2</v>
      </c>
      <c r="T1500" s="18">
        <v>0.32129999999999997</v>
      </c>
      <c r="U1500" s="18">
        <v>0.16064999999999999</v>
      </c>
      <c r="V1500" s="18">
        <v>2.0563199999999999</v>
      </c>
      <c r="W1500" s="18">
        <v>1.9278</v>
      </c>
      <c r="X1500" s="18">
        <v>1.2851999999999999</v>
      </c>
      <c r="Y1500" s="18">
        <v>5.7119999999999997E-2</v>
      </c>
      <c r="Z1500" s="18">
        <v>0.25346999999999997</v>
      </c>
      <c r="AA1500" s="18">
        <v>0.37128</v>
      </c>
      <c r="AB1500" s="18">
        <v>0.66044999999999998</v>
      </c>
      <c r="AC1500" s="18">
        <v>0.20348999999999998</v>
      </c>
      <c r="AD1500" s="18">
        <v>1.071</v>
      </c>
    </row>
    <row r="1501" spans="2:30" x14ac:dyDescent="0.25">
      <c r="B1501" t="s">
        <v>269</v>
      </c>
      <c r="C1501" t="s">
        <v>570</v>
      </c>
      <c r="D1501" t="s">
        <v>748</v>
      </c>
      <c r="E1501" s="35">
        <v>0.9</v>
      </c>
      <c r="F1501" s="35">
        <v>6.6</v>
      </c>
      <c r="G1501" s="36">
        <v>4.1200000000000004E-3</v>
      </c>
      <c r="H1501" s="18">
        <v>7.4152979999999999</v>
      </c>
      <c r="I1501" s="16" t="s">
        <v>746</v>
      </c>
      <c r="J1501" s="16"/>
      <c r="K1501" s="16"/>
      <c r="L1501" s="37"/>
      <c r="M1501" s="37"/>
      <c r="N1501" s="37"/>
      <c r="O1501" s="37"/>
      <c r="P1501" s="37"/>
      <c r="Q1501" s="18">
        <v>4.5320000000000006E-2</v>
      </c>
      <c r="R1501" s="18">
        <v>3.0900000000000003E-4</v>
      </c>
      <c r="S1501" s="18">
        <v>8.6520000000000014E-2</v>
      </c>
      <c r="T1501" s="18">
        <v>0.37080000000000002</v>
      </c>
      <c r="U1501" s="18">
        <v>0.18540000000000001</v>
      </c>
      <c r="V1501" s="18">
        <v>2.3731200000000001</v>
      </c>
      <c r="W1501" s="18">
        <v>2.2248000000000001</v>
      </c>
      <c r="X1501" s="18">
        <v>1.4832000000000001</v>
      </c>
      <c r="Y1501" s="18">
        <v>6.5920000000000006E-2</v>
      </c>
      <c r="Z1501" s="18">
        <v>0.29252</v>
      </c>
      <c r="AA1501" s="18">
        <v>0.42848000000000003</v>
      </c>
      <c r="AB1501" s="18">
        <v>0.7622000000000001</v>
      </c>
      <c r="AC1501" s="18">
        <v>0.23484000000000002</v>
      </c>
      <c r="AD1501" s="18">
        <v>1.2360000000000002</v>
      </c>
    </row>
    <row r="1502" spans="2:30" x14ac:dyDescent="0.25">
      <c r="B1502" t="s">
        <v>269</v>
      </c>
      <c r="C1502" t="s">
        <v>570</v>
      </c>
      <c r="D1502" t="s">
        <v>750</v>
      </c>
      <c r="E1502" s="35">
        <v>0.9</v>
      </c>
      <c r="F1502" s="35">
        <v>6.6</v>
      </c>
      <c r="G1502" s="36">
        <v>3.0200000000000001E-3</v>
      </c>
      <c r="H1502" s="18">
        <v>5.4352980000000004</v>
      </c>
      <c r="I1502" s="16" t="s">
        <v>746</v>
      </c>
      <c r="J1502" s="16"/>
      <c r="K1502" s="16"/>
      <c r="L1502" s="37"/>
      <c r="M1502" s="37"/>
      <c r="N1502" s="37"/>
      <c r="O1502" s="37"/>
      <c r="P1502" s="37"/>
      <c r="Q1502" s="18">
        <v>3.322E-2</v>
      </c>
      <c r="R1502" s="18">
        <v>2.265E-4</v>
      </c>
      <c r="S1502" s="18">
        <v>6.3420000000000004E-2</v>
      </c>
      <c r="T1502" s="18">
        <v>0.27179999999999999</v>
      </c>
      <c r="U1502" s="18">
        <v>0.13589999999999999</v>
      </c>
      <c r="V1502" s="18">
        <v>1.7395200000000002</v>
      </c>
      <c r="W1502" s="18">
        <v>1.6308</v>
      </c>
      <c r="X1502" s="18">
        <v>1.0871999999999999</v>
      </c>
      <c r="Y1502" s="18">
        <v>4.8320000000000002E-2</v>
      </c>
      <c r="Z1502" s="18">
        <v>0.21442</v>
      </c>
      <c r="AA1502" s="18">
        <v>0.31408000000000003</v>
      </c>
      <c r="AB1502" s="18">
        <v>0.55869999999999997</v>
      </c>
      <c r="AC1502" s="18">
        <v>0.17214000000000002</v>
      </c>
      <c r="AD1502" s="18">
        <v>0.90600000000000003</v>
      </c>
    </row>
    <row r="1503" spans="2:30" x14ac:dyDescent="0.25">
      <c r="B1503" t="s">
        <v>269</v>
      </c>
      <c r="C1503" t="s">
        <v>570</v>
      </c>
      <c r="D1503" t="s">
        <v>752</v>
      </c>
      <c r="E1503" s="35">
        <v>0.9</v>
      </c>
      <c r="F1503" s="35">
        <v>6.6</v>
      </c>
      <c r="G1503" s="36">
        <v>2.47E-3</v>
      </c>
      <c r="H1503" s="18">
        <v>4.4452980000000002</v>
      </c>
      <c r="I1503" s="16" t="s">
        <v>746</v>
      </c>
      <c r="J1503" s="16"/>
      <c r="K1503" s="16"/>
      <c r="L1503" s="37"/>
      <c r="M1503" s="37"/>
      <c r="N1503" s="37"/>
      <c r="O1503" s="37"/>
      <c r="P1503" s="37"/>
      <c r="Q1503" s="18">
        <v>2.717E-2</v>
      </c>
      <c r="R1503" s="18">
        <v>1.8525E-4</v>
      </c>
      <c r="S1503" s="18">
        <v>5.1869999999999999E-2</v>
      </c>
      <c r="T1503" s="18">
        <v>0.2223</v>
      </c>
      <c r="U1503" s="18">
        <v>0.11115</v>
      </c>
      <c r="V1503" s="18">
        <v>1.42272</v>
      </c>
      <c r="W1503" s="18">
        <v>1.3338000000000001</v>
      </c>
      <c r="X1503" s="18">
        <v>0.88919999999999999</v>
      </c>
      <c r="Y1503" s="18">
        <v>3.952E-2</v>
      </c>
      <c r="Z1503" s="18">
        <v>0.17537</v>
      </c>
      <c r="AA1503" s="18">
        <v>0.25688</v>
      </c>
      <c r="AB1503" s="18">
        <v>0.45694999999999997</v>
      </c>
      <c r="AC1503" s="18">
        <v>0.14079</v>
      </c>
      <c r="AD1503" s="18">
        <v>0.74099999999999999</v>
      </c>
    </row>
    <row r="1504" spans="2:30" x14ac:dyDescent="0.25">
      <c r="B1504" t="s">
        <v>269</v>
      </c>
      <c r="C1504" t="s">
        <v>570</v>
      </c>
      <c r="D1504" t="s">
        <v>749</v>
      </c>
      <c r="E1504" s="35">
        <v>0.9</v>
      </c>
      <c r="F1504" s="35">
        <v>6.6</v>
      </c>
      <c r="G1504" s="36">
        <v>3.5699999999999998E-3</v>
      </c>
      <c r="H1504" s="18">
        <v>6.4252979999999997</v>
      </c>
      <c r="I1504" s="16" t="s">
        <v>746</v>
      </c>
      <c r="J1504" s="16"/>
      <c r="K1504" s="16"/>
      <c r="L1504" s="37"/>
      <c r="M1504" s="37"/>
      <c r="N1504" s="37"/>
      <c r="O1504" s="37"/>
      <c r="P1504" s="37"/>
      <c r="Q1504" s="18">
        <v>3.9269999999999999E-2</v>
      </c>
      <c r="R1504" s="18">
        <v>2.6774999999999998E-4</v>
      </c>
      <c r="S1504" s="18">
        <v>7.4969999999999995E-2</v>
      </c>
      <c r="T1504" s="18">
        <v>0.32129999999999997</v>
      </c>
      <c r="U1504" s="18">
        <v>0.16064999999999999</v>
      </c>
      <c r="V1504" s="18">
        <v>2.0563199999999999</v>
      </c>
      <c r="W1504" s="18">
        <v>1.9278</v>
      </c>
      <c r="X1504" s="18">
        <v>1.2851999999999999</v>
      </c>
      <c r="Y1504" s="18">
        <v>5.7119999999999997E-2</v>
      </c>
      <c r="Z1504" s="18">
        <v>0.25346999999999997</v>
      </c>
      <c r="AA1504" s="18">
        <v>0.37128</v>
      </c>
      <c r="AB1504" s="18">
        <v>0.66044999999999998</v>
      </c>
      <c r="AC1504" s="18">
        <v>0.20348999999999998</v>
      </c>
      <c r="AD1504" s="18">
        <v>1.071</v>
      </c>
    </row>
    <row r="1505" spans="2:30" x14ac:dyDescent="0.25">
      <c r="B1505" t="s">
        <v>269</v>
      </c>
      <c r="C1505" t="s">
        <v>570</v>
      </c>
      <c r="D1505" t="s">
        <v>750</v>
      </c>
      <c r="E1505" s="35">
        <v>0.9</v>
      </c>
      <c r="F1505" s="35">
        <v>6.6</v>
      </c>
      <c r="G1505" s="36">
        <v>3.0200000000000001E-3</v>
      </c>
      <c r="H1505" s="18">
        <v>5.4352980000000004</v>
      </c>
      <c r="I1505" s="16" t="s">
        <v>746</v>
      </c>
      <c r="J1505" s="16"/>
      <c r="K1505" s="16"/>
      <c r="L1505" s="37"/>
      <c r="M1505" s="37"/>
      <c r="N1505" s="37"/>
      <c r="O1505" s="37"/>
      <c r="P1505" s="37"/>
      <c r="Q1505" s="18">
        <v>3.322E-2</v>
      </c>
      <c r="R1505" s="18">
        <v>2.265E-4</v>
      </c>
      <c r="S1505" s="18">
        <v>6.3420000000000004E-2</v>
      </c>
      <c r="T1505" s="18">
        <v>0.27179999999999999</v>
      </c>
      <c r="U1505" s="18">
        <v>0.13589999999999999</v>
      </c>
      <c r="V1505" s="18">
        <v>1.7395200000000002</v>
      </c>
      <c r="W1505" s="18">
        <v>1.6308</v>
      </c>
      <c r="X1505" s="18">
        <v>1.0871999999999999</v>
      </c>
      <c r="Y1505" s="18">
        <v>4.8320000000000002E-2</v>
      </c>
      <c r="Z1505" s="18">
        <v>0.21442</v>
      </c>
      <c r="AA1505" s="18">
        <v>0.31408000000000003</v>
      </c>
      <c r="AB1505" s="18">
        <v>0.55869999999999997</v>
      </c>
      <c r="AC1505" s="18">
        <v>0.17214000000000002</v>
      </c>
      <c r="AD1505" s="18">
        <v>0.90600000000000003</v>
      </c>
    </row>
    <row r="1506" spans="2:30" x14ac:dyDescent="0.25">
      <c r="B1506" t="s">
        <v>269</v>
      </c>
      <c r="C1506" t="s">
        <v>570</v>
      </c>
      <c r="D1506" t="s">
        <v>750</v>
      </c>
      <c r="E1506" s="35">
        <v>0.9</v>
      </c>
      <c r="F1506" s="35">
        <v>6.6</v>
      </c>
      <c r="G1506" s="36">
        <v>3.0200000000000001E-3</v>
      </c>
      <c r="H1506" s="18">
        <v>5.4352980000000004</v>
      </c>
      <c r="I1506" s="16" t="s">
        <v>746</v>
      </c>
      <c r="J1506" s="16"/>
      <c r="K1506" s="16"/>
      <c r="L1506" s="37"/>
      <c r="M1506" s="37"/>
      <c r="N1506" s="37"/>
      <c r="O1506" s="37"/>
      <c r="P1506" s="37"/>
      <c r="Q1506" s="18">
        <v>3.322E-2</v>
      </c>
      <c r="R1506" s="18">
        <v>2.265E-4</v>
      </c>
      <c r="S1506" s="18">
        <v>6.3420000000000004E-2</v>
      </c>
      <c r="T1506" s="18">
        <v>0.27179999999999999</v>
      </c>
      <c r="U1506" s="18">
        <v>0.13589999999999999</v>
      </c>
      <c r="V1506" s="18">
        <v>1.7395200000000002</v>
      </c>
      <c r="W1506" s="18">
        <v>1.6308</v>
      </c>
      <c r="X1506" s="18">
        <v>1.0871999999999999</v>
      </c>
      <c r="Y1506" s="18">
        <v>4.8320000000000002E-2</v>
      </c>
      <c r="Z1506" s="18">
        <v>0.21442</v>
      </c>
      <c r="AA1506" s="18">
        <v>0.31408000000000003</v>
      </c>
      <c r="AB1506" s="18">
        <v>0.55869999999999997</v>
      </c>
      <c r="AC1506" s="18">
        <v>0.17214000000000002</v>
      </c>
      <c r="AD1506" s="18">
        <v>0.90600000000000003</v>
      </c>
    </row>
    <row r="1507" spans="2:30" x14ac:dyDescent="0.25">
      <c r="B1507" t="s">
        <v>269</v>
      </c>
      <c r="C1507" t="s">
        <v>570</v>
      </c>
      <c r="D1507" t="s">
        <v>749</v>
      </c>
      <c r="E1507" s="35">
        <v>0.9</v>
      </c>
      <c r="F1507" s="35">
        <v>6.6</v>
      </c>
      <c r="G1507" s="36">
        <v>3.5699999999999998E-3</v>
      </c>
      <c r="H1507" s="18">
        <v>6.4252979999999997</v>
      </c>
      <c r="I1507" s="16" t="s">
        <v>746</v>
      </c>
      <c r="J1507" s="16"/>
      <c r="K1507" s="16"/>
      <c r="L1507" s="37"/>
      <c r="M1507" s="37"/>
      <c r="N1507" s="37"/>
      <c r="O1507" s="37"/>
      <c r="P1507" s="37"/>
      <c r="Q1507" s="18">
        <v>3.9269999999999999E-2</v>
      </c>
      <c r="R1507" s="18">
        <v>2.6774999999999998E-4</v>
      </c>
      <c r="S1507" s="18">
        <v>7.4969999999999995E-2</v>
      </c>
      <c r="T1507" s="18">
        <v>0.32129999999999997</v>
      </c>
      <c r="U1507" s="18">
        <v>0.16064999999999999</v>
      </c>
      <c r="V1507" s="18">
        <v>2.0563199999999999</v>
      </c>
      <c r="W1507" s="18">
        <v>1.9278</v>
      </c>
      <c r="X1507" s="18">
        <v>1.2851999999999999</v>
      </c>
      <c r="Y1507" s="18">
        <v>5.7119999999999997E-2</v>
      </c>
      <c r="Z1507" s="18">
        <v>0.25346999999999997</v>
      </c>
      <c r="AA1507" s="18">
        <v>0.37128</v>
      </c>
      <c r="AB1507" s="18">
        <v>0.66044999999999998</v>
      </c>
      <c r="AC1507" s="18">
        <v>0.20348999999999998</v>
      </c>
      <c r="AD1507" s="18">
        <v>1.071</v>
      </c>
    </row>
    <row r="1508" spans="2:30" x14ac:dyDescent="0.25">
      <c r="B1508" t="s">
        <v>269</v>
      </c>
      <c r="C1508" t="s">
        <v>570</v>
      </c>
      <c r="D1508" t="s">
        <v>750</v>
      </c>
      <c r="E1508" s="35">
        <v>0.9</v>
      </c>
      <c r="F1508" s="35">
        <v>6.6</v>
      </c>
      <c r="G1508" s="36">
        <v>3.0200000000000001E-3</v>
      </c>
      <c r="H1508" s="18">
        <v>5.4352980000000004</v>
      </c>
      <c r="I1508" s="16" t="s">
        <v>746</v>
      </c>
      <c r="J1508" s="16"/>
      <c r="K1508" s="16"/>
      <c r="L1508" s="37"/>
      <c r="M1508" s="37"/>
      <c r="N1508" s="37"/>
      <c r="O1508" s="37"/>
      <c r="P1508" s="37"/>
      <c r="Q1508" s="18">
        <v>3.322E-2</v>
      </c>
      <c r="R1508" s="18">
        <v>2.265E-4</v>
      </c>
      <c r="S1508" s="18">
        <v>6.3420000000000004E-2</v>
      </c>
      <c r="T1508" s="18">
        <v>0.27179999999999999</v>
      </c>
      <c r="U1508" s="18">
        <v>0.13589999999999999</v>
      </c>
      <c r="V1508" s="18">
        <v>1.7395200000000002</v>
      </c>
      <c r="W1508" s="18">
        <v>1.6308</v>
      </c>
      <c r="X1508" s="18">
        <v>1.0871999999999999</v>
      </c>
      <c r="Y1508" s="18">
        <v>4.8320000000000002E-2</v>
      </c>
      <c r="Z1508" s="18">
        <v>0.21442</v>
      </c>
      <c r="AA1508" s="18">
        <v>0.31408000000000003</v>
      </c>
      <c r="AB1508" s="18">
        <v>0.55869999999999997</v>
      </c>
      <c r="AC1508" s="18">
        <v>0.17214000000000002</v>
      </c>
      <c r="AD1508" s="18">
        <v>0.90600000000000003</v>
      </c>
    </row>
    <row r="1509" spans="2:30" x14ac:dyDescent="0.25">
      <c r="B1509" t="s">
        <v>269</v>
      </c>
      <c r="C1509" t="s">
        <v>570</v>
      </c>
      <c r="D1509" t="s">
        <v>750</v>
      </c>
      <c r="E1509" s="35">
        <v>0.9</v>
      </c>
      <c r="F1509" s="35">
        <v>6.6</v>
      </c>
      <c r="G1509" s="36">
        <v>3.0200000000000001E-3</v>
      </c>
      <c r="H1509" s="18">
        <v>5.4352980000000004</v>
      </c>
      <c r="I1509" s="16" t="s">
        <v>746</v>
      </c>
      <c r="J1509" s="16"/>
      <c r="K1509" s="16"/>
      <c r="L1509" s="37"/>
      <c r="M1509" s="37"/>
      <c r="N1509" s="37"/>
      <c r="O1509" s="37"/>
      <c r="P1509" s="37"/>
      <c r="Q1509" s="18">
        <v>3.322E-2</v>
      </c>
      <c r="R1509" s="18">
        <v>2.265E-4</v>
      </c>
      <c r="S1509" s="18">
        <v>6.3420000000000004E-2</v>
      </c>
      <c r="T1509" s="18">
        <v>0.27179999999999999</v>
      </c>
      <c r="U1509" s="18">
        <v>0.13589999999999999</v>
      </c>
      <c r="V1509" s="18">
        <v>1.7395200000000002</v>
      </c>
      <c r="W1509" s="18">
        <v>1.6308</v>
      </c>
      <c r="X1509" s="18">
        <v>1.0871999999999999</v>
      </c>
      <c r="Y1509" s="18">
        <v>4.8320000000000002E-2</v>
      </c>
      <c r="Z1509" s="18">
        <v>0.21442</v>
      </c>
      <c r="AA1509" s="18">
        <v>0.31408000000000003</v>
      </c>
      <c r="AB1509" s="18">
        <v>0.55869999999999997</v>
      </c>
      <c r="AC1509" s="18">
        <v>0.17214000000000002</v>
      </c>
      <c r="AD1509" s="18">
        <v>0.90600000000000003</v>
      </c>
    </row>
    <row r="1510" spans="2:30" x14ac:dyDescent="0.25">
      <c r="B1510" t="s">
        <v>269</v>
      </c>
      <c r="C1510" t="s">
        <v>570</v>
      </c>
      <c r="D1510" t="s">
        <v>749</v>
      </c>
      <c r="E1510" s="35">
        <v>0.9</v>
      </c>
      <c r="F1510" s="35">
        <v>6.6</v>
      </c>
      <c r="G1510" s="36">
        <v>3.5699999999999998E-3</v>
      </c>
      <c r="H1510" s="18">
        <v>6.4252979999999997</v>
      </c>
      <c r="I1510" s="16" t="s">
        <v>746</v>
      </c>
      <c r="J1510" s="16"/>
      <c r="K1510" s="16"/>
      <c r="L1510" s="37"/>
      <c r="M1510" s="37"/>
      <c r="N1510" s="37"/>
      <c r="O1510" s="37"/>
      <c r="P1510" s="37"/>
      <c r="Q1510" s="18">
        <v>3.9269999999999999E-2</v>
      </c>
      <c r="R1510" s="18">
        <v>2.6774999999999998E-4</v>
      </c>
      <c r="S1510" s="18">
        <v>7.4969999999999995E-2</v>
      </c>
      <c r="T1510" s="18">
        <v>0.32129999999999997</v>
      </c>
      <c r="U1510" s="18">
        <v>0.16064999999999999</v>
      </c>
      <c r="V1510" s="18">
        <v>2.0563199999999999</v>
      </c>
      <c r="W1510" s="18">
        <v>1.9278</v>
      </c>
      <c r="X1510" s="18">
        <v>1.2851999999999999</v>
      </c>
      <c r="Y1510" s="18">
        <v>5.7119999999999997E-2</v>
      </c>
      <c r="Z1510" s="18">
        <v>0.25346999999999997</v>
      </c>
      <c r="AA1510" s="18">
        <v>0.37128</v>
      </c>
      <c r="AB1510" s="18">
        <v>0.66044999999999998</v>
      </c>
      <c r="AC1510" s="18">
        <v>0.20348999999999998</v>
      </c>
      <c r="AD1510" s="18">
        <v>1.071</v>
      </c>
    </row>
    <row r="1511" spans="2:30" x14ac:dyDescent="0.25">
      <c r="B1511" t="s">
        <v>269</v>
      </c>
      <c r="C1511" t="s">
        <v>570</v>
      </c>
      <c r="D1511" t="s">
        <v>748</v>
      </c>
      <c r="E1511" s="35">
        <v>0.9</v>
      </c>
      <c r="F1511" s="35">
        <v>6.6</v>
      </c>
      <c r="G1511" s="36">
        <v>4.1200000000000004E-3</v>
      </c>
      <c r="H1511" s="18">
        <v>7.4152979999999999</v>
      </c>
      <c r="I1511" s="16" t="s">
        <v>746</v>
      </c>
      <c r="J1511" s="16"/>
      <c r="K1511" s="16"/>
      <c r="L1511" s="37"/>
      <c r="M1511" s="37"/>
      <c r="N1511" s="37"/>
      <c r="O1511" s="37"/>
      <c r="P1511" s="37"/>
      <c r="Q1511" s="18">
        <v>4.5320000000000006E-2</v>
      </c>
      <c r="R1511" s="18">
        <v>3.0900000000000003E-4</v>
      </c>
      <c r="S1511" s="18">
        <v>8.6520000000000014E-2</v>
      </c>
      <c r="T1511" s="18">
        <v>0.37080000000000002</v>
      </c>
      <c r="U1511" s="18">
        <v>0.18540000000000001</v>
      </c>
      <c r="V1511" s="18">
        <v>2.3731200000000001</v>
      </c>
      <c r="W1511" s="18">
        <v>2.2248000000000001</v>
      </c>
      <c r="X1511" s="18">
        <v>1.4832000000000001</v>
      </c>
      <c r="Y1511" s="18">
        <v>6.5920000000000006E-2</v>
      </c>
      <c r="Z1511" s="18">
        <v>0.29252</v>
      </c>
      <c r="AA1511" s="18">
        <v>0.42848000000000003</v>
      </c>
      <c r="AB1511" s="18">
        <v>0.7622000000000001</v>
      </c>
      <c r="AC1511" s="18">
        <v>0.23484000000000002</v>
      </c>
      <c r="AD1511" s="18">
        <v>1.2360000000000002</v>
      </c>
    </row>
    <row r="1512" spans="2:30" x14ac:dyDescent="0.25">
      <c r="B1512" t="s">
        <v>269</v>
      </c>
      <c r="C1512" t="s">
        <v>570</v>
      </c>
      <c r="D1512" t="s">
        <v>750</v>
      </c>
      <c r="E1512" s="35">
        <v>0.9</v>
      </c>
      <c r="F1512" s="35">
        <v>6.6</v>
      </c>
      <c r="G1512" s="36">
        <v>3.0200000000000001E-3</v>
      </c>
      <c r="H1512" s="18">
        <v>5.4352980000000004</v>
      </c>
      <c r="I1512" s="16" t="s">
        <v>746</v>
      </c>
      <c r="J1512" s="16"/>
      <c r="K1512" s="16"/>
      <c r="L1512" s="37"/>
      <c r="M1512" s="37"/>
      <c r="N1512" s="37"/>
      <c r="O1512" s="37"/>
      <c r="P1512" s="37"/>
      <c r="Q1512" s="18">
        <v>3.322E-2</v>
      </c>
      <c r="R1512" s="18">
        <v>2.265E-4</v>
      </c>
      <c r="S1512" s="18">
        <v>6.3420000000000004E-2</v>
      </c>
      <c r="T1512" s="18">
        <v>0.27179999999999999</v>
      </c>
      <c r="U1512" s="18">
        <v>0.13589999999999999</v>
      </c>
      <c r="V1512" s="18">
        <v>1.7395200000000002</v>
      </c>
      <c r="W1512" s="18">
        <v>1.6308</v>
      </c>
      <c r="X1512" s="18">
        <v>1.0871999999999999</v>
      </c>
      <c r="Y1512" s="18">
        <v>4.8320000000000002E-2</v>
      </c>
      <c r="Z1512" s="18">
        <v>0.21442</v>
      </c>
      <c r="AA1512" s="18">
        <v>0.31408000000000003</v>
      </c>
      <c r="AB1512" s="18">
        <v>0.55869999999999997</v>
      </c>
      <c r="AC1512" s="18">
        <v>0.17214000000000002</v>
      </c>
      <c r="AD1512" s="18">
        <v>0.90600000000000003</v>
      </c>
    </row>
    <row r="1513" spans="2:30" x14ac:dyDescent="0.25">
      <c r="B1513" t="s">
        <v>269</v>
      </c>
      <c r="C1513" t="s">
        <v>570</v>
      </c>
      <c r="D1513" t="s">
        <v>748</v>
      </c>
      <c r="E1513" s="35">
        <v>0.9</v>
      </c>
      <c r="F1513" s="35">
        <v>6.6</v>
      </c>
      <c r="G1513" s="36">
        <v>4.1200000000000004E-3</v>
      </c>
      <c r="H1513" s="18">
        <v>7.4152979999999999</v>
      </c>
      <c r="I1513" s="16" t="s">
        <v>746</v>
      </c>
      <c r="J1513" s="16"/>
      <c r="K1513" s="16"/>
      <c r="L1513" s="37"/>
      <c r="M1513" s="37"/>
      <c r="N1513" s="37"/>
      <c r="O1513" s="37"/>
      <c r="P1513" s="37"/>
      <c r="Q1513" s="18">
        <v>4.5320000000000006E-2</v>
      </c>
      <c r="R1513" s="18">
        <v>3.0900000000000003E-4</v>
      </c>
      <c r="S1513" s="18">
        <v>8.6520000000000014E-2</v>
      </c>
      <c r="T1513" s="18">
        <v>0.37080000000000002</v>
      </c>
      <c r="U1513" s="18">
        <v>0.18540000000000001</v>
      </c>
      <c r="V1513" s="18">
        <v>2.3731200000000001</v>
      </c>
      <c r="W1513" s="18">
        <v>2.2248000000000001</v>
      </c>
      <c r="X1513" s="18">
        <v>1.4832000000000001</v>
      </c>
      <c r="Y1513" s="18">
        <v>6.5920000000000006E-2</v>
      </c>
      <c r="Z1513" s="18">
        <v>0.29252</v>
      </c>
      <c r="AA1513" s="18">
        <v>0.42848000000000003</v>
      </c>
      <c r="AB1513" s="18">
        <v>0.7622000000000001</v>
      </c>
      <c r="AC1513" s="18">
        <v>0.23484000000000002</v>
      </c>
      <c r="AD1513" s="18">
        <v>1.2360000000000002</v>
      </c>
    </row>
    <row r="1514" spans="2:30" x14ac:dyDescent="0.25">
      <c r="B1514" t="s">
        <v>269</v>
      </c>
      <c r="C1514" t="s">
        <v>570</v>
      </c>
      <c r="D1514" t="s">
        <v>752</v>
      </c>
      <c r="E1514" s="35">
        <v>0.9</v>
      </c>
      <c r="F1514" s="35">
        <v>6.6</v>
      </c>
      <c r="G1514" s="36">
        <v>2.47E-3</v>
      </c>
      <c r="H1514" s="18">
        <v>4.4452980000000002</v>
      </c>
      <c r="I1514" s="16" t="s">
        <v>746</v>
      </c>
      <c r="J1514" s="16"/>
      <c r="K1514" s="16"/>
      <c r="L1514" s="37"/>
      <c r="M1514" s="37"/>
      <c r="N1514" s="37"/>
      <c r="O1514" s="37"/>
      <c r="P1514" s="37"/>
      <c r="Q1514" s="18">
        <v>2.717E-2</v>
      </c>
      <c r="R1514" s="18">
        <v>1.8525E-4</v>
      </c>
      <c r="S1514" s="18">
        <v>5.1869999999999999E-2</v>
      </c>
      <c r="T1514" s="18">
        <v>0.2223</v>
      </c>
      <c r="U1514" s="18">
        <v>0.11115</v>
      </c>
      <c r="V1514" s="18">
        <v>1.42272</v>
      </c>
      <c r="W1514" s="18">
        <v>1.3338000000000001</v>
      </c>
      <c r="X1514" s="18">
        <v>0.88919999999999999</v>
      </c>
      <c r="Y1514" s="18">
        <v>3.952E-2</v>
      </c>
      <c r="Z1514" s="18">
        <v>0.17537</v>
      </c>
      <c r="AA1514" s="18">
        <v>0.25688</v>
      </c>
      <c r="AB1514" s="18">
        <v>0.45694999999999997</v>
      </c>
      <c r="AC1514" s="18">
        <v>0.14079</v>
      </c>
      <c r="AD1514" s="18">
        <v>0.74099999999999999</v>
      </c>
    </row>
    <row r="1515" spans="2:30" x14ac:dyDescent="0.25">
      <c r="B1515" t="s">
        <v>269</v>
      </c>
      <c r="C1515" t="s">
        <v>570</v>
      </c>
      <c r="D1515" t="s">
        <v>748</v>
      </c>
      <c r="E1515" s="35">
        <v>0.9</v>
      </c>
      <c r="F1515" s="35">
        <v>6.6</v>
      </c>
      <c r="G1515" s="36">
        <v>4.1200000000000004E-3</v>
      </c>
      <c r="H1515" s="18">
        <v>7.4152979999999999</v>
      </c>
      <c r="I1515" s="16" t="s">
        <v>746</v>
      </c>
      <c r="J1515" s="16"/>
      <c r="K1515" s="16"/>
      <c r="L1515" s="37"/>
      <c r="M1515" s="37"/>
      <c r="N1515" s="37"/>
      <c r="O1515" s="37"/>
      <c r="P1515" s="37"/>
      <c r="Q1515" s="18">
        <v>4.5320000000000006E-2</v>
      </c>
      <c r="R1515" s="18">
        <v>3.0900000000000003E-4</v>
      </c>
      <c r="S1515" s="18">
        <v>8.6520000000000014E-2</v>
      </c>
      <c r="T1515" s="18">
        <v>0.37080000000000002</v>
      </c>
      <c r="U1515" s="18">
        <v>0.18540000000000001</v>
      </c>
      <c r="V1515" s="18">
        <v>2.3731200000000001</v>
      </c>
      <c r="W1515" s="18">
        <v>2.2248000000000001</v>
      </c>
      <c r="X1515" s="18">
        <v>1.4832000000000001</v>
      </c>
      <c r="Y1515" s="18">
        <v>6.5920000000000006E-2</v>
      </c>
      <c r="Z1515" s="18">
        <v>0.29252</v>
      </c>
      <c r="AA1515" s="18">
        <v>0.42848000000000003</v>
      </c>
      <c r="AB1515" s="18">
        <v>0.7622000000000001</v>
      </c>
      <c r="AC1515" s="18">
        <v>0.23484000000000002</v>
      </c>
      <c r="AD1515" s="18">
        <v>1.2360000000000002</v>
      </c>
    </row>
    <row r="1516" spans="2:30" x14ac:dyDescent="0.25">
      <c r="B1516" t="s">
        <v>269</v>
      </c>
      <c r="C1516" t="s">
        <v>570</v>
      </c>
      <c r="D1516" t="s">
        <v>750</v>
      </c>
      <c r="E1516" s="35">
        <v>0.9</v>
      </c>
      <c r="F1516" s="35">
        <v>6.6</v>
      </c>
      <c r="G1516" s="36">
        <v>3.0200000000000001E-3</v>
      </c>
      <c r="H1516" s="18">
        <v>5.4352980000000004</v>
      </c>
      <c r="I1516" s="16" t="s">
        <v>746</v>
      </c>
      <c r="J1516" s="16"/>
      <c r="K1516" s="16"/>
      <c r="L1516" s="37"/>
      <c r="M1516" s="37"/>
      <c r="N1516" s="37"/>
      <c r="O1516" s="37"/>
      <c r="P1516" s="37"/>
      <c r="Q1516" s="18">
        <v>3.322E-2</v>
      </c>
      <c r="R1516" s="18">
        <v>2.265E-4</v>
      </c>
      <c r="S1516" s="18">
        <v>6.3420000000000004E-2</v>
      </c>
      <c r="T1516" s="18">
        <v>0.27179999999999999</v>
      </c>
      <c r="U1516" s="18">
        <v>0.13589999999999999</v>
      </c>
      <c r="V1516" s="18">
        <v>1.7395200000000002</v>
      </c>
      <c r="W1516" s="18">
        <v>1.6308</v>
      </c>
      <c r="X1516" s="18">
        <v>1.0871999999999999</v>
      </c>
      <c r="Y1516" s="18">
        <v>4.8320000000000002E-2</v>
      </c>
      <c r="Z1516" s="18">
        <v>0.21442</v>
      </c>
      <c r="AA1516" s="18">
        <v>0.31408000000000003</v>
      </c>
      <c r="AB1516" s="18">
        <v>0.55869999999999997</v>
      </c>
      <c r="AC1516" s="18">
        <v>0.17214000000000002</v>
      </c>
      <c r="AD1516" s="18">
        <v>0.90600000000000003</v>
      </c>
    </row>
    <row r="1517" spans="2:30" x14ac:dyDescent="0.25">
      <c r="B1517" t="s">
        <v>269</v>
      </c>
      <c r="C1517" t="s">
        <v>570</v>
      </c>
      <c r="D1517" t="s">
        <v>750</v>
      </c>
      <c r="E1517" s="35">
        <v>0.9</v>
      </c>
      <c r="F1517" s="35">
        <v>6.6</v>
      </c>
      <c r="G1517" s="36">
        <v>3.0200000000000001E-3</v>
      </c>
      <c r="H1517" s="18">
        <v>5.4352980000000004</v>
      </c>
      <c r="I1517" s="16" t="s">
        <v>746</v>
      </c>
      <c r="J1517" s="16"/>
      <c r="K1517" s="16"/>
      <c r="L1517" s="37"/>
      <c r="M1517" s="37"/>
      <c r="N1517" s="37"/>
      <c r="O1517" s="37"/>
      <c r="P1517" s="37"/>
      <c r="Q1517" s="18">
        <v>3.322E-2</v>
      </c>
      <c r="R1517" s="18">
        <v>2.265E-4</v>
      </c>
      <c r="S1517" s="18">
        <v>6.3420000000000004E-2</v>
      </c>
      <c r="T1517" s="18">
        <v>0.27179999999999999</v>
      </c>
      <c r="U1517" s="18">
        <v>0.13589999999999999</v>
      </c>
      <c r="V1517" s="18">
        <v>1.7395200000000002</v>
      </c>
      <c r="W1517" s="18">
        <v>1.6308</v>
      </c>
      <c r="X1517" s="18">
        <v>1.0871999999999999</v>
      </c>
      <c r="Y1517" s="18">
        <v>4.8320000000000002E-2</v>
      </c>
      <c r="Z1517" s="18">
        <v>0.21442</v>
      </c>
      <c r="AA1517" s="18">
        <v>0.31408000000000003</v>
      </c>
      <c r="AB1517" s="18">
        <v>0.55869999999999997</v>
      </c>
      <c r="AC1517" s="18">
        <v>0.17214000000000002</v>
      </c>
      <c r="AD1517" s="18">
        <v>0.90600000000000003</v>
      </c>
    </row>
    <row r="1518" spans="2:30" x14ac:dyDescent="0.25">
      <c r="B1518" t="s">
        <v>269</v>
      </c>
      <c r="C1518" t="s">
        <v>570</v>
      </c>
      <c r="D1518" t="s">
        <v>750</v>
      </c>
      <c r="E1518" s="35">
        <v>0.9</v>
      </c>
      <c r="F1518" s="35">
        <v>6.6</v>
      </c>
      <c r="G1518" s="36">
        <v>3.0200000000000001E-3</v>
      </c>
      <c r="H1518" s="18">
        <v>5.4352980000000004</v>
      </c>
      <c r="I1518" s="16" t="s">
        <v>746</v>
      </c>
      <c r="J1518" s="16"/>
      <c r="K1518" s="16"/>
      <c r="L1518" s="37"/>
      <c r="M1518" s="37"/>
      <c r="N1518" s="37"/>
      <c r="O1518" s="37"/>
      <c r="P1518" s="37"/>
      <c r="Q1518" s="18">
        <v>3.322E-2</v>
      </c>
      <c r="R1518" s="18">
        <v>2.265E-4</v>
      </c>
      <c r="S1518" s="18">
        <v>6.3420000000000004E-2</v>
      </c>
      <c r="T1518" s="18">
        <v>0.27179999999999999</v>
      </c>
      <c r="U1518" s="18">
        <v>0.13589999999999999</v>
      </c>
      <c r="V1518" s="18">
        <v>1.7395200000000002</v>
      </c>
      <c r="W1518" s="18">
        <v>1.6308</v>
      </c>
      <c r="X1518" s="18">
        <v>1.0871999999999999</v>
      </c>
      <c r="Y1518" s="18">
        <v>4.8320000000000002E-2</v>
      </c>
      <c r="Z1518" s="18">
        <v>0.21442</v>
      </c>
      <c r="AA1518" s="18">
        <v>0.31408000000000003</v>
      </c>
      <c r="AB1518" s="18">
        <v>0.55869999999999997</v>
      </c>
      <c r="AC1518" s="18">
        <v>0.17214000000000002</v>
      </c>
      <c r="AD1518" s="18">
        <v>0.90600000000000003</v>
      </c>
    </row>
    <row r="1519" spans="2:30" x14ac:dyDescent="0.25">
      <c r="B1519" t="s">
        <v>269</v>
      </c>
      <c r="C1519" t="s">
        <v>570</v>
      </c>
      <c r="D1519" t="s">
        <v>747</v>
      </c>
      <c r="E1519" s="35">
        <v>0.9</v>
      </c>
      <c r="F1519" s="35">
        <v>6.6</v>
      </c>
      <c r="G1519" s="36">
        <v>4.9449999999999997E-3</v>
      </c>
      <c r="H1519" s="18">
        <v>8.9002979999999994</v>
      </c>
      <c r="I1519" s="16" t="s">
        <v>746</v>
      </c>
      <c r="J1519" s="16"/>
      <c r="K1519" s="16"/>
      <c r="L1519" s="37"/>
      <c r="M1519" s="37"/>
      <c r="N1519" s="37"/>
      <c r="O1519" s="37"/>
      <c r="P1519" s="37"/>
      <c r="Q1519" s="18">
        <v>5.4394999999999999E-2</v>
      </c>
      <c r="R1519" s="18">
        <v>3.7087499999999995E-4</v>
      </c>
      <c r="S1519" s="18">
        <v>0.10384499999999999</v>
      </c>
      <c r="T1519" s="18">
        <v>0.44505</v>
      </c>
      <c r="U1519" s="18">
        <v>0.222525</v>
      </c>
      <c r="V1519" s="18">
        <v>2.8483199999999997</v>
      </c>
      <c r="W1519" s="18">
        <v>2.6702999999999997</v>
      </c>
      <c r="X1519" s="18">
        <v>1.7802</v>
      </c>
      <c r="Y1519" s="18">
        <v>7.9119999999999996E-2</v>
      </c>
      <c r="Z1519" s="18">
        <v>0.35109499999999999</v>
      </c>
      <c r="AA1519" s="18">
        <v>0.51427999999999996</v>
      </c>
      <c r="AB1519" s="18">
        <v>0.914825</v>
      </c>
      <c r="AC1519" s="18">
        <v>0.28186499999999998</v>
      </c>
      <c r="AD1519" s="18">
        <v>1.4834999999999998</v>
      </c>
    </row>
    <row r="1520" spans="2:30" x14ac:dyDescent="0.25">
      <c r="B1520" t="s">
        <v>269</v>
      </c>
      <c r="C1520" t="s">
        <v>570</v>
      </c>
      <c r="D1520" t="s">
        <v>748</v>
      </c>
      <c r="E1520" s="35">
        <v>0.9</v>
      </c>
      <c r="F1520" s="35">
        <v>6.6</v>
      </c>
      <c r="G1520" s="36">
        <v>4.1200000000000004E-3</v>
      </c>
      <c r="H1520" s="18">
        <v>7.4152979999999999</v>
      </c>
      <c r="I1520" s="16" t="s">
        <v>746</v>
      </c>
      <c r="J1520" s="16"/>
      <c r="K1520" s="16"/>
      <c r="L1520" s="37"/>
      <c r="M1520" s="37"/>
      <c r="N1520" s="37"/>
      <c r="O1520" s="37"/>
      <c r="P1520" s="37"/>
      <c r="Q1520" s="18">
        <v>4.5320000000000006E-2</v>
      </c>
      <c r="R1520" s="18">
        <v>3.0900000000000003E-4</v>
      </c>
      <c r="S1520" s="18">
        <v>8.6520000000000014E-2</v>
      </c>
      <c r="T1520" s="18">
        <v>0.37080000000000002</v>
      </c>
      <c r="U1520" s="18">
        <v>0.18540000000000001</v>
      </c>
      <c r="V1520" s="18">
        <v>2.3731200000000001</v>
      </c>
      <c r="W1520" s="18">
        <v>2.2248000000000001</v>
      </c>
      <c r="X1520" s="18">
        <v>1.4832000000000001</v>
      </c>
      <c r="Y1520" s="18">
        <v>6.5920000000000006E-2</v>
      </c>
      <c r="Z1520" s="18">
        <v>0.29252</v>
      </c>
      <c r="AA1520" s="18">
        <v>0.42848000000000003</v>
      </c>
      <c r="AB1520" s="18">
        <v>0.7622000000000001</v>
      </c>
      <c r="AC1520" s="18">
        <v>0.23484000000000002</v>
      </c>
      <c r="AD1520" s="18">
        <v>1.2360000000000002</v>
      </c>
    </row>
    <row r="1521" spans="2:30" x14ac:dyDescent="0.25">
      <c r="B1521" t="s">
        <v>269</v>
      </c>
      <c r="C1521" t="s">
        <v>570</v>
      </c>
      <c r="D1521" t="s">
        <v>748</v>
      </c>
      <c r="E1521" s="35">
        <v>0.9</v>
      </c>
      <c r="F1521" s="35">
        <v>6.6</v>
      </c>
      <c r="G1521" s="36">
        <v>4.1200000000000004E-3</v>
      </c>
      <c r="H1521" s="18">
        <v>7.4152979999999999</v>
      </c>
      <c r="I1521" s="16" t="s">
        <v>746</v>
      </c>
      <c r="J1521" s="16"/>
      <c r="K1521" s="16"/>
      <c r="L1521" s="37"/>
      <c r="M1521" s="37"/>
      <c r="N1521" s="37"/>
      <c r="O1521" s="37"/>
      <c r="P1521" s="37"/>
      <c r="Q1521" s="18">
        <v>4.5320000000000006E-2</v>
      </c>
      <c r="R1521" s="18">
        <v>3.0900000000000003E-4</v>
      </c>
      <c r="S1521" s="18">
        <v>8.6520000000000014E-2</v>
      </c>
      <c r="T1521" s="18">
        <v>0.37080000000000002</v>
      </c>
      <c r="U1521" s="18">
        <v>0.18540000000000001</v>
      </c>
      <c r="V1521" s="18">
        <v>2.3731200000000001</v>
      </c>
      <c r="W1521" s="18">
        <v>2.2248000000000001</v>
      </c>
      <c r="X1521" s="18">
        <v>1.4832000000000001</v>
      </c>
      <c r="Y1521" s="18">
        <v>6.5920000000000006E-2</v>
      </c>
      <c r="Z1521" s="18">
        <v>0.29252</v>
      </c>
      <c r="AA1521" s="18">
        <v>0.42848000000000003</v>
      </c>
      <c r="AB1521" s="18">
        <v>0.7622000000000001</v>
      </c>
      <c r="AC1521" s="18">
        <v>0.23484000000000002</v>
      </c>
      <c r="AD1521" s="18">
        <v>1.2360000000000002</v>
      </c>
    </row>
    <row r="1522" spans="2:30" x14ac:dyDescent="0.25">
      <c r="B1522" t="s">
        <v>269</v>
      </c>
      <c r="C1522" t="s">
        <v>570</v>
      </c>
      <c r="D1522" t="s">
        <v>748</v>
      </c>
      <c r="E1522" s="35">
        <v>0.9</v>
      </c>
      <c r="F1522" s="35">
        <v>6.6</v>
      </c>
      <c r="G1522" s="36">
        <v>4.1200000000000004E-3</v>
      </c>
      <c r="H1522" s="18">
        <v>7.4152979999999999</v>
      </c>
      <c r="I1522" s="16" t="s">
        <v>746</v>
      </c>
      <c r="J1522" s="16"/>
      <c r="K1522" s="16"/>
      <c r="L1522" s="37"/>
      <c r="M1522" s="37"/>
      <c r="N1522" s="37"/>
      <c r="O1522" s="37"/>
      <c r="P1522" s="37"/>
      <c r="Q1522" s="18">
        <v>4.5320000000000006E-2</v>
      </c>
      <c r="R1522" s="18">
        <v>3.0900000000000003E-4</v>
      </c>
      <c r="S1522" s="18">
        <v>8.6520000000000014E-2</v>
      </c>
      <c r="T1522" s="18">
        <v>0.37080000000000002</v>
      </c>
      <c r="U1522" s="18">
        <v>0.18540000000000001</v>
      </c>
      <c r="V1522" s="18">
        <v>2.3731200000000001</v>
      </c>
      <c r="W1522" s="18">
        <v>2.2248000000000001</v>
      </c>
      <c r="X1522" s="18">
        <v>1.4832000000000001</v>
      </c>
      <c r="Y1522" s="18">
        <v>6.5920000000000006E-2</v>
      </c>
      <c r="Z1522" s="18">
        <v>0.29252</v>
      </c>
      <c r="AA1522" s="18">
        <v>0.42848000000000003</v>
      </c>
      <c r="AB1522" s="18">
        <v>0.7622000000000001</v>
      </c>
      <c r="AC1522" s="18">
        <v>0.23484000000000002</v>
      </c>
      <c r="AD1522" s="18">
        <v>1.2360000000000002</v>
      </c>
    </row>
    <row r="1523" spans="2:30" x14ac:dyDescent="0.25">
      <c r="B1523" t="s">
        <v>269</v>
      </c>
      <c r="C1523" t="s">
        <v>570</v>
      </c>
      <c r="D1523" t="s">
        <v>748</v>
      </c>
      <c r="E1523" s="35">
        <v>0.9</v>
      </c>
      <c r="F1523" s="35">
        <v>6.6</v>
      </c>
      <c r="G1523" s="36">
        <v>4.1200000000000004E-3</v>
      </c>
      <c r="H1523" s="18">
        <v>7.4152979999999999</v>
      </c>
      <c r="I1523" s="16" t="s">
        <v>746</v>
      </c>
      <c r="J1523" s="16"/>
      <c r="K1523" s="16"/>
      <c r="L1523" s="37"/>
      <c r="M1523" s="37"/>
      <c r="N1523" s="37"/>
      <c r="O1523" s="37"/>
      <c r="P1523" s="37"/>
      <c r="Q1523" s="18">
        <v>4.5320000000000006E-2</v>
      </c>
      <c r="R1523" s="18">
        <v>3.0900000000000003E-4</v>
      </c>
      <c r="S1523" s="18">
        <v>8.6520000000000014E-2</v>
      </c>
      <c r="T1523" s="18">
        <v>0.37080000000000002</v>
      </c>
      <c r="U1523" s="18">
        <v>0.18540000000000001</v>
      </c>
      <c r="V1523" s="18">
        <v>2.3731200000000001</v>
      </c>
      <c r="W1523" s="18">
        <v>2.2248000000000001</v>
      </c>
      <c r="X1523" s="18">
        <v>1.4832000000000001</v>
      </c>
      <c r="Y1523" s="18">
        <v>6.5920000000000006E-2</v>
      </c>
      <c r="Z1523" s="18">
        <v>0.29252</v>
      </c>
      <c r="AA1523" s="18">
        <v>0.42848000000000003</v>
      </c>
      <c r="AB1523" s="18">
        <v>0.7622000000000001</v>
      </c>
      <c r="AC1523" s="18">
        <v>0.23484000000000002</v>
      </c>
      <c r="AD1523" s="18">
        <v>1.2360000000000002</v>
      </c>
    </row>
    <row r="1524" spans="2:30" x14ac:dyDescent="0.25">
      <c r="B1524" t="s">
        <v>269</v>
      </c>
      <c r="C1524" t="s">
        <v>570</v>
      </c>
      <c r="D1524" t="s">
        <v>748</v>
      </c>
      <c r="E1524" s="35">
        <v>0.9</v>
      </c>
      <c r="F1524" s="35">
        <v>6.6</v>
      </c>
      <c r="G1524" s="36">
        <v>4.1200000000000004E-3</v>
      </c>
      <c r="H1524" s="18">
        <v>7.4152979999999999</v>
      </c>
      <c r="I1524" s="16" t="s">
        <v>746</v>
      </c>
      <c r="J1524" s="16"/>
      <c r="K1524" s="16"/>
      <c r="L1524" s="37"/>
      <c r="M1524" s="37"/>
      <c r="N1524" s="37"/>
      <c r="O1524" s="37"/>
      <c r="P1524" s="37"/>
      <c r="Q1524" s="18">
        <v>4.5320000000000006E-2</v>
      </c>
      <c r="R1524" s="18">
        <v>3.0900000000000003E-4</v>
      </c>
      <c r="S1524" s="18">
        <v>8.6520000000000014E-2</v>
      </c>
      <c r="T1524" s="18">
        <v>0.37080000000000002</v>
      </c>
      <c r="U1524" s="18">
        <v>0.18540000000000001</v>
      </c>
      <c r="V1524" s="18">
        <v>2.3731200000000001</v>
      </c>
      <c r="W1524" s="18">
        <v>2.2248000000000001</v>
      </c>
      <c r="X1524" s="18">
        <v>1.4832000000000001</v>
      </c>
      <c r="Y1524" s="18">
        <v>6.5920000000000006E-2</v>
      </c>
      <c r="Z1524" s="18">
        <v>0.29252</v>
      </c>
      <c r="AA1524" s="18">
        <v>0.42848000000000003</v>
      </c>
      <c r="AB1524" s="18">
        <v>0.7622000000000001</v>
      </c>
      <c r="AC1524" s="18">
        <v>0.23484000000000002</v>
      </c>
      <c r="AD1524" s="18">
        <v>1.2360000000000002</v>
      </c>
    </row>
    <row r="1525" spans="2:30" x14ac:dyDescent="0.25">
      <c r="B1525" t="s">
        <v>269</v>
      </c>
      <c r="C1525" t="s">
        <v>570</v>
      </c>
      <c r="D1525" t="s">
        <v>748</v>
      </c>
      <c r="E1525" s="35">
        <v>0.9</v>
      </c>
      <c r="F1525" s="35">
        <v>6.6</v>
      </c>
      <c r="G1525" s="36">
        <v>4.1200000000000004E-3</v>
      </c>
      <c r="H1525" s="18">
        <v>7.4152979999999999</v>
      </c>
      <c r="I1525" s="16" t="s">
        <v>746</v>
      </c>
      <c r="J1525" s="16"/>
      <c r="K1525" s="16"/>
      <c r="L1525" s="37"/>
      <c r="M1525" s="37"/>
      <c r="N1525" s="37"/>
      <c r="O1525" s="37"/>
      <c r="P1525" s="37"/>
      <c r="Q1525" s="18">
        <v>4.5320000000000006E-2</v>
      </c>
      <c r="R1525" s="18">
        <v>3.0900000000000003E-4</v>
      </c>
      <c r="S1525" s="18">
        <v>8.6520000000000014E-2</v>
      </c>
      <c r="T1525" s="18">
        <v>0.37080000000000002</v>
      </c>
      <c r="U1525" s="18">
        <v>0.18540000000000001</v>
      </c>
      <c r="V1525" s="18">
        <v>2.3731200000000001</v>
      </c>
      <c r="W1525" s="18">
        <v>2.2248000000000001</v>
      </c>
      <c r="X1525" s="18">
        <v>1.4832000000000001</v>
      </c>
      <c r="Y1525" s="18">
        <v>6.5920000000000006E-2</v>
      </c>
      <c r="Z1525" s="18">
        <v>0.29252</v>
      </c>
      <c r="AA1525" s="18">
        <v>0.42848000000000003</v>
      </c>
      <c r="AB1525" s="18">
        <v>0.7622000000000001</v>
      </c>
      <c r="AC1525" s="18">
        <v>0.23484000000000002</v>
      </c>
      <c r="AD1525" s="18">
        <v>1.2360000000000002</v>
      </c>
    </row>
    <row r="1526" spans="2:30" x14ac:dyDescent="0.25">
      <c r="B1526" t="s">
        <v>269</v>
      </c>
      <c r="C1526" t="s">
        <v>570</v>
      </c>
      <c r="D1526" t="s">
        <v>748</v>
      </c>
      <c r="E1526" s="35">
        <v>0.9</v>
      </c>
      <c r="F1526" s="35">
        <v>6.6</v>
      </c>
      <c r="G1526" s="36">
        <v>4.1200000000000004E-3</v>
      </c>
      <c r="H1526" s="18">
        <v>7.4152979999999999</v>
      </c>
      <c r="I1526" s="16" t="s">
        <v>746</v>
      </c>
      <c r="J1526" s="16"/>
      <c r="K1526" s="16"/>
      <c r="L1526" s="37"/>
      <c r="M1526" s="37"/>
      <c r="N1526" s="37"/>
      <c r="O1526" s="37"/>
      <c r="P1526" s="37"/>
      <c r="Q1526" s="18">
        <v>4.5320000000000006E-2</v>
      </c>
      <c r="R1526" s="18">
        <v>3.0900000000000003E-4</v>
      </c>
      <c r="S1526" s="18">
        <v>8.6520000000000014E-2</v>
      </c>
      <c r="T1526" s="18">
        <v>0.37080000000000002</v>
      </c>
      <c r="U1526" s="18">
        <v>0.18540000000000001</v>
      </c>
      <c r="V1526" s="18">
        <v>2.3731200000000001</v>
      </c>
      <c r="W1526" s="18">
        <v>2.2248000000000001</v>
      </c>
      <c r="X1526" s="18">
        <v>1.4832000000000001</v>
      </c>
      <c r="Y1526" s="18">
        <v>6.5920000000000006E-2</v>
      </c>
      <c r="Z1526" s="18">
        <v>0.29252</v>
      </c>
      <c r="AA1526" s="18">
        <v>0.42848000000000003</v>
      </c>
      <c r="AB1526" s="18">
        <v>0.7622000000000001</v>
      </c>
      <c r="AC1526" s="18">
        <v>0.23484000000000002</v>
      </c>
      <c r="AD1526" s="18">
        <v>1.2360000000000002</v>
      </c>
    </row>
    <row r="1527" spans="2:30" x14ac:dyDescent="0.25">
      <c r="B1527" t="s">
        <v>269</v>
      </c>
      <c r="C1527" t="s">
        <v>570</v>
      </c>
      <c r="D1527" t="s">
        <v>748</v>
      </c>
      <c r="E1527" s="35">
        <v>0.9</v>
      </c>
      <c r="F1527" s="35">
        <v>6.6</v>
      </c>
      <c r="G1527" s="36">
        <v>4.1200000000000004E-3</v>
      </c>
      <c r="H1527" s="18">
        <v>7.4152979999999999</v>
      </c>
      <c r="I1527" s="16" t="s">
        <v>746</v>
      </c>
      <c r="J1527" s="16"/>
      <c r="K1527" s="16"/>
      <c r="L1527" s="37"/>
      <c r="M1527" s="37"/>
      <c r="N1527" s="37"/>
      <c r="O1527" s="37"/>
      <c r="P1527" s="37"/>
      <c r="Q1527" s="18">
        <v>4.5320000000000006E-2</v>
      </c>
      <c r="R1527" s="18">
        <v>3.0900000000000003E-4</v>
      </c>
      <c r="S1527" s="18">
        <v>8.6520000000000014E-2</v>
      </c>
      <c r="T1527" s="18">
        <v>0.37080000000000002</v>
      </c>
      <c r="U1527" s="18">
        <v>0.18540000000000001</v>
      </c>
      <c r="V1527" s="18">
        <v>2.3731200000000001</v>
      </c>
      <c r="W1527" s="18">
        <v>2.2248000000000001</v>
      </c>
      <c r="X1527" s="18">
        <v>1.4832000000000001</v>
      </c>
      <c r="Y1527" s="18">
        <v>6.5920000000000006E-2</v>
      </c>
      <c r="Z1527" s="18">
        <v>0.29252</v>
      </c>
      <c r="AA1527" s="18">
        <v>0.42848000000000003</v>
      </c>
      <c r="AB1527" s="18">
        <v>0.7622000000000001</v>
      </c>
      <c r="AC1527" s="18">
        <v>0.23484000000000002</v>
      </c>
      <c r="AD1527" s="18">
        <v>1.2360000000000002</v>
      </c>
    </row>
    <row r="1528" spans="2:30" x14ac:dyDescent="0.25">
      <c r="B1528" t="s">
        <v>269</v>
      </c>
      <c r="C1528" t="s">
        <v>570</v>
      </c>
      <c r="D1528" t="s">
        <v>748</v>
      </c>
      <c r="E1528" s="35">
        <v>0.9</v>
      </c>
      <c r="F1528" s="35">
        <v>6.6</v>
      </c>
      <c r="G1528" s="36">
        <v>4.1200000000000004E-3</v>
      </c>
      <c r="H1528" s="18">
        <v>7.4152979999999999</v>
      </c>
      <c r="I1528" s="16" t="s">
        <v>746</v>
      </c>
      <c r="J1528" s="16"/>
      <c r="K1528" s="16"/>
      <c r="L1528" s="37"/>
      <c r="M1528" s="37"/>
      <c r="N1528" s="37"/>
      <c r="O1528" s="37"/>
      <c r="P1528" s="37"/>
      <c r="Q1528" s="18">
        <v>4.5320000000000006E-2</v>
      </c>
      <c r="R1528" s="18">
        <v>3.0900000000000003E-4</v>
      </c>
      <c r="S1528" s="18">
        <v>8.6520000000000014E-2</v>
      </c>
      <c r="T1528" s="18">
        <v>0.37080000000000002</v>
      </c>
      <c r="U1528" s="18">
        <v>0.18540000000000001</v>
      </c>
      <c r="V1528" s="18">
        <v>2.3731200000000001</v>
      </c>
      <c r="W1528" s="18">
        <v>2.2248000000000001</v>
      </c>
      <c r="X1528" s="18">
        <v>1.4832000000000001</v>
      </c>
      <c r="Y1528" s="18">
        <v>6.5920000000000006E-2</v>
      </c>
      <c r="Z1528" s="18">
        <v>0.29252</v>
      </c>
      <c r="AA1528" s="18">
        <v>0.42848000000000003</v>
      </c>
      <c r="AB1528" s="18">
        <v>0.7622000000000001</v>
      </c>
      <c r="AC1528" s="18">
        <v>0.23484000000000002</v>
      </c>
      <c r="AD1528" s="18">
        <v>1.2360000000000002</v>
      </c>
    </row>
    <row r="1529" spans="2:30" x14ac:dyDescent="0.25">
      <c r="B1529" t="s">
        <v>269</v>
      </c>
      <c r="C1529" t="s">
        <v>570</v>
      </c>
      <c r="D1529" t="s">
        <v>753</v>
      </c>
      <c r="E1529" s="35">
        <v>0.9</v>
      </c>
      <c r="F1529" s="35">
        <v>6.6</v>
      </c>
      <c r="G1529" s="36">
        <v>5.77E-3</v>
      </c>
      <c r="H1529" s="18">
        <v>10.385298000000001</v>
      </c>
      <c r="I1529" s="16" t="s">
        <v>746</v>
      </c>
      <c r="J1529" s="16"/>
      <c r="K1529" s="16"/>
      <c r="L1529" s="37"/>
      <c r="M1529" s="37"/>
      <c r="N1529" s="37"/>
      <c r="O1529" s="37"/>
      <c r="P1529" s="37"/>
      <c r="Q1529" s="18">
        <v>6.3469999999999999E-2</v>
      </c>
      <c r="R1529" s="18">
        <v>4.3274999999999997E-4</v>
      </c>
      <c r="S1529" s="18">
        <v>0.12117</v>
      </c>
      <c r="T1529" s="18">
        <v>0.51929999999999998</v>
      </c>
      <c r="U1529" s="18">
        <v>0.25964999999999999</v>
      </c>
      <c r="V1529" s="18">
        <v>3.3235199999999998</v>
      </c>
      <c r="W1529" s="18">
        <v>3.1158000000000001</v>
      </c>
      <c r="X1529" s="18">
        <v>2.0771999999999999</v>
      </c>
      <c r="Y1529" s="18">
        <v>9.2319999999999999E-2</v>
      </c>
      <c r="Z1529" s="18">
        <v>0.40966999999999998</v>
      </c>
      <c r="AA1529" s="18">
        <v>0.60007999999999995</v>
      </c>
      <c r="AB1529" s="18">
        <v>1.06745</v>
      </c>
      <c r="AC1529" s="18">
        <v>0.32889000000000002</v>
      </c>
      <c r="AD1529" s="18">
        <v>1.7310000000000001</v>
      </c>
    </row>
    <row r="1530" spans="2:30" x14ac:dyDescent="0.25">
      <c r="B1530" t="s">
        <v>269</v>
      </c>
      <c r="C1530" t="s">
        <v>570</v>
      </c>
      <c r="D1530" t="s">
        <v>753</v>
      </c>
      <c r="E1530" s="35">
        <v>0.9</v>
      </c>
      <c r="F1530" s="35">
        <v>6.6</v>
      </c>
      <c r="G1530" s="36">
        <v>5.77E-3</v>
      </c>
      <c r="H1530" s="18">
        <v>10.385298000000001</v>
      </c>
      <c r="I1530" s="16" t="s">
        <v>746</v>
      </c>
      <c r="J1530" s="16"/>
      <c r="K1530" s="16"/>
      <c r="L1530" s="37"/>
      <c r="M1530" s="37"/>
      <c r="N1530" s="37"/>
      <c r="O1530" s="37"/>
      <c r="P1530" s="37"/>
      <c r="Q1530" s="18">
        <v>6.3469999999999999E-2</v>
      </c>
      <c r="R1530" s="18">
        <v>4.3274999999999997E-4</v>
      </c>
      <c r="S1530" s="18">
        <v>0.12117</v>
      </c>
      <c r="T1530" s="18">
        <v>0.51929999999999998</v>
      </c>
      <c r="U1530" s="18">
        <v>0.25964999999999999</v>
      </c>
      <c r="V1530" s="18">
        <v>3.3235199999999998</v>
      </c>
      <c r="W1530" s="18">
        <v>3.1158000000000001</v>
      </c>
      <c r="X1530" s="18">
        <v>2.0771999999999999</v>
      </c>
      <c r="Y1530" s="18">
        <v>9.2319999999999999E-2</v>
      </c>
      <c r="Z1530" s="18">
        <v>0.40966999999999998</v>
      </c>
      <c r="AA1530" s="18">
        <v>0.60007999999999995</v>
      </c>
      <c r="AB1530" s="18">
        <v>1.06745</v>
      </c>
      <c r="AC1530" s="18">
        <v>0.32889000000000002</v>
      </c>
      <c r="AD1530" s="18">
        <v>1.7310000000000001</v>
      </c>
    </row>
    <row r="1531" spans="2:30" x14ac:dyDescent="0.25">
      <c r="B1531" t="s">
        <v>269</v>
      </c>
      <c r="C1531" t="s">
        <v>570</v>
      </c>
      <c r="D1531" t="s">
        <v>748</v>
      </c>
      <c r="E1531" s="35">
        <v>0.9</v>
      </c>
      <c r="F1531" s="35">
        <v>6.6</v>
      </c>
      <c r="G1531" s="36">
        <v>4.1200000000000004E-3</v>
      </c>
      <c r="H1531" s="18">
        <v>7.4152979999999999</v>
      </c>
      <c r="I1531" s="16" t="s">
        <v>746</v>
      </c>
      <c r="J1531" s="16"/>
      <c r="K1531" s="16"/>
      <c r="L1531" s="37"/>
      <c r="M1531" s="37"/>
      <c r="N1531" s="37"/>
      <c r="O1531" s="37"/>
      <c r="P1531" s="37"/>
      <c r="Q1531" s="18">
        <v>4.5320000000000006E-2</v>
      </c>
      <c r="R1531" s="18">
        <v>3.0900000000000003E-4</v>
      </c>
      <c r="S1531" s="18">
        <v>8.6520000000000014E-2</v>
      </c>
      <c r="T1531" s="18">
        <v>0.37080000000000002</v>
      </c>
      <c r="U1531" s="18">
        <v>0.18540000000000001</v>
      </c>
      <c r="V1531" s="18">
        <v>2.3731200000000001</v>
      </c>
      <c r="W1531" s="18">
        <v>2.2248000000000001</v>
      </c>
      <c r="X1531" s="18">
        <v>1.4832000000000001</v>
      </c>
      <c r="Y1531" s="18">
        <v>6.5920000000000006E-2</v>
      </c>
      <c r="Z1531" s="18">
        <v>0.29252</v>
      </c>
      <c r="AA1531" s="18">
        <v>0.42848000000000003</v>
      </c>
      <c r="AB1531" s="18">
        <v>0.7622000000000001</v>
      </c>
      <c r="AC1531" s="18">
        <v>0.23484000000000002</v>
      </c>
      <c r="AD1531" s="18">
        <v>1.2360000000000002</v>
      </c>
    </row>
    <row r="1532" spans="2:30" x14ac:dyDescent="0.25">
      <c r="B1532" t="s">
        <v>269</v>
      </c>
      <c r="C1532" t="s">
        <v>570</v>
      </c>
      <c r="D1532" t="s">
        <v>748</v>
      </c>
      <c r="E1532" s="35">
        <v>0.9</v>
      </c>
      <c r="F1532" s="35">
        <v>6.6</v>
      </c>
      <c r="G1532" s="36">
        <v>4.1200000000000004E-3</v>
      </c>
      <c r="H1532" s="18">
        <v>7.4152979999999999</v>
      </c>
      <c r="I1532" s="16" t="s">
        <v>746</v>
      </c>
      <c r="J1532" s="16"/>
      <c r="K1532" s="16"/>
      <c r="L1532" s="37"/>
      <c r="M1532" s="37"/>
      <c r="N1532" s="37"/>
      <c r="O1532" s="37"/>
      <c r="P1532" s="37"/>
      <c r="Q1532" s="18">
        <v>4.5320000000000006E-2</v>
      </c>
      <c r="R1532" s="18">
        <v>3.0900000000000003E-4</v>
      </c>
      <c r="S1532" s="18">
        <v>8.6520000000000014E-2</v>
      </c>
      <c r="T1532" s="18">
        <v>0.37080000000000002</v>
      </c>
      <c r="U1532" s="18">
        <v>0.18540000000000001</v>
      </c>
      <c r="V1532" s="18">
        <v>2.3731200000000001</v>
      </c>
      <c r="W1532" s="18">
        <v>2.2248000000000001</v>
      </c>
      <c r="X1532" s="18">
        <v>1.4832000000000001</v>
      </c>
      <c r="Y1532" s="18">
        <v>6.5920000000000006E-2</v>
      </c>
      <c r="Z1532" s="18">
        <v>0.29252</v>
      </c>
      <c r="AA1532" s="18">
        <v>0.42848000000000003</v>
      </c>
      <c r="AB1532" s="18">
        <v>0.7622000000000001</v>
      </c>
      <c r="AC1532" s="18">
        <v>0.23484000000000002</v>
      </c>
      <c r="AD1532" s="18">
        <v>1.2360000000000002</v>
      </c>
    </row>
    <row r="1533" spans="2:30" x14ac:dyDescent="0.25">
      <c r="B1533" t="s">
        <v>269</v>
      </c>
      <c r="C1533" t="s">
        <v>570</v>
      </c>
      <c r="D1533" t="s">
        <v>752</v>
      </c>
      <c r="E1533" s="35">
        <v>0.9</v>
      </c>
      <c r="F1533" s="35">
        <v>6.6</v>
      </c>
      <c r="G1533" s="36">
        <v>2.47E-3</v>
      </c>
      <c r="H1533" s="18">
        <v>4.4452980000000002</v>
      </c>
      <c r="I1533" s="16" t="s">
        <v>746</v>
      </c>
      <c r="J1533" s="16"/>
      <c r="K1533" s="16"/>
      <c r="L1533" s="37"/>
      <c r="M1533" s="37"/>
      <c r="N1533" s="37"/>
      <c r="O1533" s="37"/>
      <c r="P1533" s="37"/>
      <c r="Q1533" s="18">
        <v>2.717E-2</v>
      </c>
      <c r="R1533" s="18">
        <v>1.8525E-4</v>
      </c>
      <c r="S1533" s="18">
        <v>5.1869999999999999E-2</v>
      </c>
      <c r="T1533" s="18">
        <v>0.2223</v>
      </c>
      <c r="U1533" s="18">
        <v>0.11115</v>
      </c>
      <c r="V1533" s="18">
        <v>1.42272</v>
      </c>
      <c r="W1533" s="18">
        <v>1.3338000000000001</v>
      </c>
      <c r="X1533" s="18">
        <v>0.88919999999999999</v>
      </c>
      <c r="Y1533" s="18">
        <v>3.952E-2</v>
      </c>
      <c r="Z1533" s="18">
        <v>0.17537</v>
      </c>
      <c r="AA1533" s="18">
        <v>0.25688</v>
      </c>
      <c r="AB1533" s="18">
        <v>0.45694999999999997</v>
      </c>
      <c r="AC1533" s="18">
        <v>0.14079</v>
      </c>
      <c r="AD1533" s="18">
        <v>0.74099999999999999</v>
      </c>
    </row>
    <row r="1534" spans="2:30" x14ac:dyDescent="0.25">
      <c r="B1534" t="s">
        <v>269</v>
      </c>
      <c r="C1534" t="s">
        <v>570</v>
      </c>
      <c r="D1534" t="s">
        <v>752</v>
      </c>
      <c r="E1534" s="35">
        <v>0.9</v>
      </c>
      <c r="F1534" s="35">
        <v>6.6</v>
      </c>
      <c r="G1534" s="36">
        <v>2.47E-3</v>
      </c>
      <c r="H1534" s="18">
        <v>4.4452980000000002</v>
      </c>
      <c r="I1534" s="16" t="s">
        <v>746</v>
      </c>
      <c r="J1534" s="16"/>
      <c r="K1534" s="16"/>
      <c r="L1534" s="37"/>
      <c r="M1534" s="37"/>
      <c r="N1534" s="37"/>
      <c r="O1534" s="37"/>
      <c r="P1534" s="37"/>
      <c r="Q1534" s="18">
        <v>2.717E-2</v>
      </c>
      <c r="R1534" s="18">
        <v>1.8525E-4</v>
      </c>
      <c r="S1534" s="18">
        <v>5.1869999999999999E-2</v>
      </c>
      <c r="T1534" s="18">
        <v>0.2223</v>
      </c>
      <c r="U1534" s="18">
        <v>0.11115</v>
      </c>
      <c r="V1534" s="18">
        <v>1.42272</v>
      </c>
      <c r="W1534" s="18">
        <v>1.3338000000000001</v>
      </c>
      <c r="X1534" s="18">
        <v>0.88919999999999999</v>
      </c>
      <c r="Y1534" s="18">
        <v>3.952E-2</v>
      </c>
      <c r="Z1534" s="18">
        <v>0.17537</v>
      </c>
      <c r="AA1534" s="18">
        <v>0.25688</v>
      </c>
      <c r="AB1534" s="18">
        <v>0.45694999999999997</v>
      </c>
      <c r="AC1534" s="18">
        <v>0.14079</v>
      </c>
      <c r="AD1534" s="18">
        <v>0.74099999999999999</v>
      </c>
    </row>
    <row r="1535" spans="2:30" x14ac:dyDescent="0.25">
      <c r="B1535" t="s">
        <v>269</v>
      </c>
      <c r="C1535" t="s">
        <v>570</v>
      </c>
      <c r="D1535" t="s">
        <v>748</v>
      </c>
      <c r="E1535" s="35">
        <v>0.9</v>
      </c>
      <c r="F1535" s="35">
        <v>6.6</v>
      </c>
      <c r="G1535" s="36">
        <v>4.1200000000000004E-3</v>
      </c>
      <c r="H1535" s="18">
        <v>7.4152979999999999</v>
      </c>
      <c r="I1535" s="16" t="s">
        <v>746</v>
      </c>
      <c r="J1535" s="16"/>
      <c r="K1535" s="16"/>
      <c r="L1535" s="37"/>
      <c r="M1535" s="37"/>
      <c r="N1535" s="37"/>
      <c r="O1535" s="37"/>
      <c r="P1535" s="37"/>
      <c r="Q1535" s="18">
        <v>4.5320000000000006E-2</v>
      </c>
      <c r="R1535" s="18">
        <v>3.0900000000000003E-4</v>
      </c>
      <c r="S1535" s="18">
        <v>8.6520000000000014E-2</v>
      </c>
      <c r="T1535" s="18">
        <v>0.37080000000000002</v>
      </c>
      <c r="U1535" s="18">
        <v>0.18540000000000001</v>
      </c>
      <c r="V1535" s="18">
        <v>2.3731200000000001</v>
      </c>
      <c r="W1535" s="18">
        <v>2.2248000000000001</v>
      </c>
      <c r="X1535" s="18">
        <v>1.4832000000000001</v>
      </c>
      <c r="Y1535" s="18">
        <v>6.5920000000000006E-2</v>
      </c>
      <c r="Z1535" s="18">
        <v>0.29252</v>
      </c>
      <c r="AA1535" s="18">
        <v>0.42848000000000003</v>
      </c>
      <c r="AB1535" s="18">
        <v>0.7622000000000001</v>
      </c>
      <c r="AC1535" s="18">
        <v>0.23484000000000002</v>
      </c>
      <c r="AD1535" s="18">
        <v>1.2360000000000002</v>
      </c>
    </row>
    <row r="1536" spans="2:30" x14ac:dyDescent="0.25">
      <c r="B1536" t="s">
        <v>269</v>
      </c>
      <c r="C1536" t="s">
        <v>570</v>
      </c>
      <c r="D1536" t="s">
        <v>750</v>
      </c>
      <c r="E1536" s="35">
        <v>0.9</v>
      </c>
      <c r="F1536" s="35">
        <v>6.6</v>
      </c>
      <c r="G1536" s="36">
        <v>3.0200000000000001E-3</v>
      </c>
      <c r="H1536" s="18">
        <v>5.4352980000000004</v>
      </c>
      <c r="I1536" s="16" t="s">
        <v>746</v>
      </c>
      <c r="J1536" s="16"/>
      <c r="K1536" s="16"/>
      <c r="L1536" s="37"/>
      <c r="M1536" s="37"/>
      <c r="N1536" s="37"/>
      <c r="O1536" s="37"/>
      <c r="P1536" s="37"/>
      <c r="Q1536" s="18">
        <v>3.322E-2</v>
      </c>
      <c r="R1536" s="18">
        <v>2.265E-4</v>
      </c>
      <c r="S1536" s="18">
        <v>6.3420000000000004E-2</v>
      </c>
      <c r="T1536" s="18">
        <v>0.27179999999999999</v>
      </c>
      <c r="U1536" s="18">
        <v>0.13589999999999999</v>
      </c>
      <c r="V1536" s="18">
        <v>1.7395200000000002</v>
      </c>
      <c r="W1536" s="18">
        <v>1.6308</v>
      </c>
      <c r="X1536" s="18">
        <v>1.0871999999999999</v>
      </c>
      <c r="Y1536" s="18">
        <v>4.8320000000000002E-2</v>
      </c>
      <c r="Z1536" s="18">
        <v>0.21442</v>
      </c>
      <c r="AA1536" s="18">
        <v>0.31408000000000003</v>
      </c>
      <c r="AB1536" s="18">
        <v>0.55869999999999997</v>
      </c>
      <c r="AC1536" s="18">
        <v>0.17214000000000002</v>
      </c>
      <c r="AD1536" s="18">
        <v>0.90600000000000003</v>
      </c>
    </row>
    <row r="1537" spans="2:30" x14ac:dyDescent="0.25">
      <c r="B1537" t="s">
        <v>269</v>
      </c>
      <c r="C1537" t="s">
        <v>570</v>
      </c>
      <c r="D1537" t="s">
        <v>748</v>
      </c>
      <c r="E1537" s="35">
        <v>0.9</v>
      </c>
      <c r="F1537" s="35">
        <v>6.6</v>
      </c>
      <c r="G1537" s="36">
        <v>4.1200000000000004E-3</v>
      </c>
      <c r="H1537" s="18">
        <v>7.4152979999999999</v>
      </c>
      <c r="I1537" s="16" t="s">
        <v>746</v>
      </c>
      <c r="J1537" s="16"/>
      <c r="K1537" s="16"/>
      <c r="L1537" s="37"/>
      <c r="M1537" s="37"/>
      <c r="N1537" s="37"/>
      <c r="O1537" s="37"/>
      <c r="P1537" s="37"/>
      <c r="Q1537" s="18">
        <v>4.5320000000000006E-2</v>
      </c>
      <c r="R1537" s="18">
        <v>3.0900000000000003E-4</v>
      </c>
      <c r="S1537" s="18">
        <v>8.6520000000000014E-2</v>
      </c>
      <c r="T1537" s="18">
        <v>0.37080000000000002</v>
      </c>
      <c r="U1537" s="18">
        <v>0.18540000000000001</v>
      </c>
      <c r="V1537" s="18">
        <v>2.3731200000000001</v>
      </c>
      <c r="W1537" s="18">
        <v>2.2248000000000001</v>
      </c>
      <c r="X1537" s="18">
        <v>1.4832000000000001</v>
      </c>
      <c r="Y1537" s="18">
        <v>6.5920000000000006E-2</v>
      </c>
      <c r="Z1537" s="18">
        <v>0.29252</v>
      </c>
      <c r="AA1537" s="18">
        <v>0.42848000000000003</v>
      </c>
      <c r="AB1537" s="18">
        <v>0.7622000000000001</v>
      </c>
      <c r="AC1537" s="18">
        <v>0.23484000000000002</v>
      </c>
      <c r="AD1537" s="18">
        <v>1.2360000000000002</v>
      </c>
    </row>
    <row r="1538" spans="2:30" x14ac:dyDescent="0.25">
      <c r="B1538" t="s">
        <v>269</v>
      </c>
      <c r="C1538" t="s">
        <v>570</v>
      </c>
      <c r="D1538" t="s">
        <v>750</v>
      </c>
      <c r="E1538" s="35">
        <v>0.9</v>
      </c>
      <c r="F1538" s="35">
        <v>6.6</v>
      </c>
      <c r="G1538" s="36">
        <v>3.0200000000000001E-3</v>
      </c>
      <c r="H1538" s="18">
        <v>5.4352980000000004</v>
      </c>
      <c r="I1538" s="16" t="s">
        <v>746</v>
      </c>
      <c r="J1538" s="16"/>
      <c r="K1538" s="16"/>
      <c r="L1538" s="37"/>
      <c r="M1538" s="37"/>
      <c r="N1538" s="37"/>
      <c r="O1538" s="37"/>
      <c r="P1538" s="37"/>
      <c r="Q1538" s="18">
        <v>3.322E-2</v>
      </c>
      <c r="R1538" s="18">
        <v>2.265E-4</v>
      </c>
      <c r="S1538" s="18">
        <v>6.3420000000000004E-2</v>
      </c>
      <c r="T1538" s="18">
        <v>0.27179999999999999</v>
      </c>
      <c r="U1538" s="18">
        <v>0.13589999999999999</v>
      </c>
      <c r="V1538" s="18">
        <v>1.7395200000000002</v>
      </c>
      <c r="W1538" s="18">
        <v>1.6308</v>
      </c>
      <c r="X1538" s="18">
        <v>1.0871999999999999</v>
      </c>
      <c r="Y1538" s="18">
        <v>4.8320000000000002E-2</v>
      </c>
      <c r="Z1538" s="18">
        <v>0.21442</v>
      </c>
      <c r="AA1538" s="18">
        <v>0.31408000000000003</v>
      </c>
      <c r="AB1538" s="18">
        <v>0.55869999999999997</v>
      </c>
      <c r="AC1538" s="18">
        <v>0.17214000000000002</v>
      </c>
      <c r="AD1538" s="18">
        <v>0.90600000000000003</v>
      </c>
    </row>
    <row r="1539" spans="2:30" x14ac:dyDescent="0.25">
      <c r="B1539" t="s">
        <v>269</v>
      </c>
      <c r="C1539" t="s">
        <v>570</v>
      </c>
      <c r="D1539" t="s">
        <v>753</v>
      </c>
      <c r="E1539" s="35">
        <v>0.9</v>
      </c>
      <c r="F1539" s="35">
        <v>6.6</v>
      </c>
      <c r="G1539" s="36">
        <v>5.77E-3</v>
      </c>
      <c r="H1539" s="18">
        <v>10.385298000000001</v>
      </c>
      <c r="I1539" s="16" t="s">
        <v>746</v>
      </c>
      <c r="J1539" s="16"/>
      <c r="K1539" s="16"/>
      <c r="L1539" s="37"/>
      <c r="M1539" s="37"/>
      <c r="N1539" s="37"/>
      <c r="O1539" s="37"/>
      <c r="P1539" s="37"/>
      <c r="Q1539" s="18">
        <v>6.3469999999999999E-2</v>
      </c>
      <c r="R1539" s="18">
        <v>4.3274999999999997E-4</v>
      </c>
      <c r="S1539" s="18">
        <v>0.12117</v>
      </c>
      <c r="T1539" s="18">
        <v>0.51929999999999998</v>
      </c>
      <c r="U1539" s="18">
        <v>0.25964999999999999</v>
      </c>
      <c r="V1539" s="18">
        <v>3.3235199999999998</v>
      </c>
      <c r="W1539" s="18">
        <v>3.1158000000000001</v>
      </c>
      <c r="X1539" s="18">
        <v>2.0771999999999999</v>
      </c>
      <c r="Y1539" s="18">
        <v>9.2319999999999999E-2</v>
      </c>
      <c r="Z1539" s="18">
        <v>0.40966999999999998</v>
      </c>
      <c r="AA1539" s="18">
        <v>0.60007999999999995</v>
      </c>
      <c r="AB1539" s="18">
        <v>1.06745</v>
      </c>
      <c r="AC1539" s="18">
        <v>0.32889000000000002</v>
      </c>
      <c r="AD1539" s="18">
        <v>1.7310000000000001</v>
      </c>
    </row>
    <row r="1540" spans="2:30" x14ac:dyDescent="0.25">
      <c r="B1540" t="s">
        <v>269</v>
      </c>
      <c r="C1540" t="s">
        <v>570</v>
      </c>
      <c r="D1540" t="s">
        <v>748</v>
      </c>
      <c r="E1540" s="35">
        <v>0.9</v>
      </c>
      <c r="F1540" s="35">
        <v>6.6</v>
      </c>
      <c r="G1540" s="36">
        <v>4.1200000000000004E-3</v>
      </c>
      <c r="H1540" s="18">
        <v>7.4152979999999999</v>
      </c>
      <c r="I1540" s="16" t="s">
        <v>746</v>
      </c>
      <c r="J1540" s="16"/>
      <c r="K1540" s="16"/>
      <c r="L1540" s="37"/>
      <c r="M1540" s="37"/>
      <c r="N1540" s="37"/>
      <c r="O1540" s="37"/>
      <c r="P1540" s="37"/>
      <c r="Q1540" s="18">
        <v>4.5320000000000006E-2</v>
      </c>
      <c r="R1540" s="18">
        <v>3.0900000000000003E-4</v>
      </c>
      <c r="S1540" s="18">
        <v>8.6520000000000014E-2</v>
      </c>
      <c r="T1540" s="18">
        <v>0.37080000000000002</v>
      </c>
      <c r="U1540" s="18">
        <v>0.18540000000000001</v>
      </c>
      <c r="V1540" s="18">
        <v>2.3731200000000001</v>
      </c>
      <c r="W1540" s="18">
        <v>2.2248000000000001</v>
      </c>
      <c r="X1540" s="18">
        <v>1.4832000000000001</v>
      </c>
      <c r="Y1540" s="18">
        <v>6.5920000000000006E-2</v>
      </c>
      <c r="Z1540" s="18">
        <v>0.29252</v>
      </c>
      <c r="AA1540" s="18">
        <v>0.42848000000000003</v>
      </c>
      <c r="AB1540" s="18">
        <v>0.7622000000000001</v>
      </c>
      <c r="AC1540" s="18">
        <v>0.23484000000000002</v>
      </c>
      <c r="AD1540" s="18">
        <v>1.2360000000000002</v>
      </c>
    </row>
    <row r="1541" spans="2:30" x14ac:dyDescent="0.25">
      <c r="B1541" t="s">
        <v>269</v>
      </c>
      <c r="C1541" t="s">
        <v>463</v>
      </c>
      <c r="D1541" t="s">
        <v>749</v>
      </c>
      <c r="E1541" s="35">
        <v>0.9</v>
      </c>
      <c r="F1541" s="35">
        <v>6.6</v>
      </c>
      <c r="G1541" s="36">
        <v>3.5699999999999998E-3</v>
      </c>
      <c r="H1541" s="18">
        <v>6.4252979999999997</v>
      </c>
      <c r="I1541" s="16" t="s">
        <v>746</v>
      </c>
      <c r="J1541" s="16"/>
      <c r="K1541" s="16"/>
      <c r="L1541" s="37"/>
      <c r="M1541" s="37"/>
      <c r="N1541" s="37"/>
      <c r="O1541" s="37"/>
      <c r="P1541" s="37"/>
      <c r="Q1541" s="18">
        <v>3.9269999999999999E-2</v>
      </c>
      <c r="R1541" s="18">
        <v>2.6774999999999998E-4</v>
      </c>
      <c r="S1541" s="18">
        <v>7.4969999999999995E-2</v>
      </c>
      <c r="T1541" s="18">
        <v>0.32129999999999997</v>
      </c>
      <c r="U1541" s="18">
        <v>0.16064999999999999</v>
      </c>
      <c r="V1541" s="18">
        <v>2.0563199999999999</v>
      </c>
      <c r="W1541" s="18">
        <v>1.9278</v>
      </c>
      <c r="X1541" s="18">
        <v>1.2851999999999999</v>
      </c>
      <c r="Y1541" s="18">
        <v>5.7119999999999997E-2</v>
      </c>
      <c r="Z1541" s="18">
        <v>0.25346999999999997</v>
      </c>
      <c r="AA1541" s="18">
        <v>0.37128</v>
      </c>
      <c r="AB1541" s="18">
        <v>0.66044999999999998</v>
      </c>
      <c r="AC1541" s="18">
        <v>0.20348999999999998</v>
      </c>
      <c r="AD1541" s="18">
        <v>1.071</v>
      </c>
    </row>
    <row r="1542" spans="2:30" x14ac:dyDescent="0.25">
      <c r="B1542" t="s">
        <v>269</v>
      </c>
      <c r="C1542" t="s">
        <v>463</v>
      </c>
      <c r="D1542" t="s">
        <v>752</v>
      </c>
      <c r="E1542" s="35">
        <v>0.9</v>
      </c>
      <c r="F1542" s="35">
        <v>6.6</v>
      </c>
      <c r="G1542" s="36">
        <v>2.47E-3</v>
      </c>
      <c r="H1542" s="18">
        <v>4.4452980000000002</v>
      </c>
      <c r="I1542" s="16" t="s">
        <v>746</v>
      </c>
      <c r="J1542" s="16"/>
      <c r="K1542" s="16"/>
      <c r="L1542" s="37"/>
      <c r="M1542" s="37"/>
      <c r="N1542" s="37"/>
      <c r="O1542" s="37"/>
      <c r="P1542" s="37"/>
      <c r="Q1542" s="18">
        <v>2.717E-2</v>
      </c>
      <c r="R1542" s="18">
        <v>1.8525E-4</v>
      </c>
      <c r="S1542" s="18">
        <v>5.1869999999999999E-2</v>
      </c>
      <c r="T1542" s="18">
        <v>0.2223</v>
      </c>
      <c r="U1542" s="18">
        <v>0.11115</v>
      </c>
      <c r="V1542" s="18">
        <v>1.42272</v>
      </c>
      <c r="W1542" s="18">
        <v>1.3338000000000001</v>
      </c>
      <c r="X1542" s="18">
        <v>0.88919999999999999</v>
      </c>
      <c r="Y1542" s="18">
        <v>3.952E-2</v>
      </c>
      <c r="Z1542" s="18">
        <v>0.17537</v>
      </c>
      <c r="AA1542" s="18">
        <v>0.25688</v>
      </c>
      <c r="AB1542" s="18">
        <v>0.45694999999999997</v>
      </c>
      <c r="AC1542" s="18">
        <v>0.14079</v>
      </c>
      <c r="AD1542" s="18">
        <v>0.74099999999999999</v>
      </c>
    </row>
    <row r="1543" spans="2:30" x14ac:dyDescent="0.25">
      <c r="B1543" t="s">
        <v>269</v>
      </c>
      <c r="C1543" t="s">
        <v>463</v>
      </c>
      <c r="D1543" t="s">
        <v>748</v>
      </c>
      <c r="E1543" s="35">
        <v>0.9</v>
      </c>
      <c r="F1543" s="35">
        <v>6.6</v>
      </c>
      <c r="G1543" s="36">
        <v>4.1200000000000004E-3</v>
      </c>
      <c r="H1543" s="18">
        <v>7.4152979999999999</v>
      </c>
      <c r="I1543" s="16" t="s">
        <v>746</v>
      </c>
      <c r="J1543" s="16"/>
      <c r="K1543" s="16"/>
      <c r="L1543" s="37"/>
      <c r="M1543" s="37"/>
      <c r="N1543" s="37"/>
      <c r="O1543" s="37"/>
      <c r="P1543" s="37"/>
      <c r="Q1543" s="18">
        <v>4.5320000000000006E-2</v>
      </c>
      <c r="R1543" s="18">
        <v>3.0900000000000003E-4</v>
      </c>
      <c r="S1543" s="18">
        <v>8.6520000000000014E-2</v>
      </c>
      <c r="T1543" s="18">
        <v>0.37080000000000002</v>
      </c>
      <c r="U1543" s="18">
        <v>0.18540000000000001</v>
      </c>
      <c r="V1543" s="18">
        <v>2.3731200000000001</v>
      </c>
      <c r="W1543" s="18">
        <v>2.2248000000000001</v>
      </c>
      <c r="X1543" s="18">
        <v>1.4832000000000001</v>
      </c>
      <c r="Y1543" s="18">
        <v>6.5920000000000006E-2</v>
      </c>
      <c r="Z1543" s="18">
        <v>0.29252</v>
      </c>
      <c r="AA1543" s="18">
        <v>0.42848000000000003</v>
      </c>
      <c r="AB1543" s="18">
        <v>0.7622000000000001</v>
      </c>
      <c r="AC1543" s="18">
        <v>0.23484000000000002</v>
      </c>
      <c r="AD1543" s="18">
        <v>1.2360000000000002</v>
      </c>
    </row>
    <row r="1544" spans="2:30" x14ac:dyDescent="0.25">
      <c r="B1544" t="s">
        <v>269</v>
      </c>
      <c r="C1544" t="s">
        <v>463</v>
      </c>
      <c r="D1544" t="s">
        <v>748</v>
      </c>
      <c r="E1544" s="35">
        <v>0.9</v>
      </c>
      <c r="F1544" s="35">
        <v>6.6</v>
      </c>
      <c r="G1544" s="36">
        <v>4.1200000000000004E-3</v>
      </c>
      <c r="H1544" s="18">
        <v>7.4152979999999999</v>
      </c>
      <c r="I1544" s="16" t="s">
        <v>746</v>
      </c>
      <c r="J1544" s="16"/>
      <c r="K1544" s="16"/>
      <c r="L1544" s="37"/>
      <c r="M1544" s="37"/>
      <c r="N1544" s="37"/>
      <c r="O1544" s="37"/>
      <c r="P1544" s="37"/>
      <c r="Q1544" s="18">
        <v>4.5320000000000006E-2</v>
      </c>
      <c r="R1544" s="18">
        <v>3.0900000000000003E-4</v>
      </c>
      <c r="S1544" s="18">
        <v>8.6520000000000014E-2</v>
      </c>
      <c r="T1544" s="18">
        <v>0.37080000000000002</v>
      </c>
      <c r="U1544" s="18">
        <v>0.18540000000000001</v>
      </c>
      <c r="V1544" s="18">
        <v>2.3731200000000001</v>
      </c>
      <c r="W1544" s="18">
        <v>2.2248000000000001</v>
      </c>
      <c r="X1544" s="18">
        <v>1.4832000000000001</v>
      </c>
      <c r="Y1544" s="18">
        <v>6.5920000000000006E-2</v>
      </c>
      <c r="Z1544" s="18">
        <v>0.29252</v>
      </c>
      <c r="AA1544" s="18">
        <v>0.42848000000000003</v>
      </c>
      <c r="AB1544" s="18">
        <v>0.7622000000000001</v>
      </c>
      <c r="AC1544" s="18">
        <v>0.23484000000000002</v>
      </c>
      <c r="AD1544" s="18">
        <v>1.2360000000000002</v>
      </c>
    </row>
    <row r="1545" spans="2:30" x14ac:dyDescent="0.25">
      <c r="B1545" t="s">
        <v>269</v>
      </c>
      <c r="C1545" t="s">
        <v>463</v>
      </c>
      <c r="D1545" t="s">
        <v>748</v>
      </c>
      <c r="E1545" s="35">
        <v>0.9</v>
      </c>
      <c r="F1545" s="35">
        <v>6.6</v>
      </c>
      <c r="G1545" s="36">
        <v>4.1200000000000004E-3</v>
      </c>
      <c r="H1545" s="18">
        <v>7.4152979999999999</v>
      </c>
      <c r="I1545" s="16" t="s">
        <v>746</v>
      </c>
      <c r="J1545" s="16"/>
      <c r="K1545" s="16"/>
      <c r="L1545" s="37"/>
      <c r="M1545" s="37"/>
      <c r="N1545" s="37"/>
      <c r="O1545" s="37"/>
      <c r="P1545" s="37"/>
      <c r="Q1545" s="18">
        <v>4.5320000000000006E-2</v>
      </c>
      <c r="R1545" s="18">
        <v>3.0900000000000003E-4</v>
      </c>
      <c r="S1545" s="18">
        <v>8.6520000000000014E-2</v>
      </c>
      <c r="T1545" s="18">
        <v>0.37080000000000002</v>
      </c>
      <c r="U1545" s="18">
        <v>0.18540000000000001</v>
      </c>
      <c r="V1545" s="18">
        <v>2.3731200000000001</v>
      </c>
      <c r="W1545" s="18">
        <v>2.2248000000000001</v>
      </c>
      <c r="X1545" s="18">
        <v>1.4832000000000001</v>
      </c>
      <c r="Y1545" s="18">
        <v>6.5920000000000006E-2</v>
      </c>
      <c r="Z1545" s="18">
        <v>0.29252</v>
      </c>
      <c r="AA1545" s="18">
        <v>0.42848000000000003</v>
      </c>
      <c r="AB1545" s="18">
        <v>0.7622000000000001</v>
      </c>
      <c r="AC1545" s="18">
        <v>0.23484000000000002</v>
      </c>
      <c r="AD1545" s="18">
        <v>1.2360000000000002</v>
      </c>
    </row>
    <row r="1546" spans="2:30" x14ac:dyDescent="0.25">
      <c r="B1546" t="s">
        <v>269</v>
      </c>
      <c r="C1546" t="s">
        <v>463</v>
      </c>
      <c r="D1546" t="s">
        <v>749</v>
      </c>
      <c r="E1546" s="35">
        <v>0.9</v>
      </c>
      <c r="F1546" s="35">
        <v>6.6</v>
      </c>
      <c r="G1546" s="36">
        <v>3.5699999999999998E-3</v>
      </c>
      <c r="H1546" s="18">
        <v>6.4252979999999997</v>
      </c>
      <c r="I1546" s="16" t="s">
        <v>746</v>
      </c>
      <c r="J1546" s="16"/>
      <c r="K1546" s="16"/>
      <c r="L1546" s="37"/>
      <c r="M1546" s="37"/>
      <c r="N1546" s="37"/>
      <c r="O1546" s="37"/>
      <c r="P1546" s="37"/>
      <c r="Q1546" s="18">
        <v>3.9269999999999999E-2</v>
      </c>
      <c r="R1546" s="18">
        <v>2.6774999999999998E-4</v>
      </c>
      <c r="S1546" s="18">
        <v>7.4969999999999995E-2</v>
      </c>
      <c r="T1546" s="18">
        <v>0.32129999999999997</v>
      </c>
      <c r="U1546" s="18">
        <v>0.16064999999999999</v>
      </c>
      <c r="V1546" s="18">
        <v>2.0563199999999999</v>
      </c>
      <c r="W1546" s="18">
        <v>1.9278</v>
      </c>
      <c r="X1546" s="18">
        <v>1.2851999999999999</v>
      </c>
      <c r="Y1546" s="18">
        <v>5.7119999999999997E-2</v>
      </c>
      <c r="Z1546" s="18">
        <v>0.25346999999999997</v>
      </c>
      <c r="AA1546" s="18">
        <v>0.37128</v>
      </c>
      <c r="AB1546" s="18">
        <v>0.66044999999999998</v>
      </c>
      <c r="AC1546" s="18">
        <v>0.20348999999999998</v>
      </c>
      <c r="AD1546" s="18">
        <v>1.071</v>
      </c>
    </row>
    <row r="1547" spans="2:30" x14ac:dyDescent="0.25">
      <c r="B1547" t="s">
        <v>269</v>
      </c>
      <c r="C1547" t="s">
        <v>463</v>
      </c>
      <c r="D1547" t="s">
        <v>748</v>
      </c>
      <c r="E1547" s="35">
        <v>0.9</v>
      </c>
      <c r="F1547" s="35">
        <v>6.6</v>
      </c>
      <c r="G1547" s="36">
        <v>4.1200000000000004E-3</v>
      </c>
      <c r="H1547" s="18">
        <v>7.4152979999999999</v>
      </c>
      <c r="I1547" s="16" t="s">
        <v>746</v>
      </c>
      <c r="J1547" s="16"/>
      <c r="K1547" s="16"/>
      <c r="L1547" s="37"/>
      <c r="M1547" s="37"/>
      <c r="N1547" s="37"/>
      <c r="O1547" s="37"/>
      <c r="P1547" s="37"/>
      <c r="Q1547" s="18">
        <v>4.5320000000000006E-2</v>
      </c>
      <c r="R1547" s="18">
        <v>3.0900000000000003E-4</v>
      </c>
      <c r="S1547" s="18">
        <v>8.6520000000000014E-2</v>
      </c>
      <c r="T1547" s="18">
        <v>0.37080000000000002</v>
      </c>
      <c r="U1547" s="18">
        <v>0.18540000000000001</v>
      </c>
      <c r="V1547" s="18">
        <v>2.3731200000000001</v>
      </c>
      <c r="W1547" s="18">
        <v>2.2248000000000001</v>
      </c>
      <c r="X1547" s="18">
        <v>1.4832000000000001</v>
      </c>
      <c r="Y1547" s="18">
        <v>6.5920000000000006E-2</v>
      </c>
      <c r="Z1547" s="18">
        <v>0.29252</v>
      </c>
      <c r="AA1547" s="18">
        <v>0.42848000000000003</v>
      </c>
      <c r="AB1547" s="18">
        <v>0.7622000000000001</v>
      </c>
      <c r="AC1547" s="18">
        <v>0.23484000000000002</v>
      </c>
      <c r="AD1547" s="18">
        <v>1.2360000000000002</v>
      </c>
    </row>
    <row r="1548" spans="2:30" x14ac:dyDescent="0.25">
      <c r="B1548" t="s">
        <v>269</v>
      </c>
      <c r="C1548" t="s">
        <v>463</v>
      </c>
      <c r="D1548" t="s">
        <v>748</v>
      </c>
      <c r="E1548" s="35">
        <v>0.9</v>
      </c>
      <c r="F1548" s="35">
        <v>6.6</v>
      </c>
      <c r="G1548" s="36">
        <v>4.1200000000000004E-3</v>
      </c>
      <c r="H1548" s="18">
        <v>7.4152979999999999</v>
      </c>
      <c r="I1548" s="16" t="s">
        <v>746</v>
      </c>
      <c r="J1548" s="16"/>
      <c r="K1548" s="16"/>
      <c r="L1548" s="37"/>
      <c r="M1548" s="37"/>
      <c r="N1548" s="37"/>
      <c r="O1548" s="37"/>
      <c r="P1548" s="37"/>
      <c r="Q1548" s="18">
        <v>4.5320000000000006E-2</v>
      </c>
      <c r="R1548" s="18">
        <v>3.0900000000000003E-4</v>
      </c>
      <c r="S1548" s="18">
        <v>8.6520000000000014E-2</v>
      </c>
      <c r="T1548" s="18">
        <v>0.37080000000000002</v>
      </c>
      <c r="U1548" s="18">
        <v>0.18540000000000001</v>
      </c>
      <c r="V1548" s="18">
        <v>2.3731200000000001</v>
      </c>
      <c r="W1548" s="18">
        <v>2.2248000000000001</v>
      </c>
      <c r="X1548" s="18">
        <v>1.4832000000000001</v>
      </c>
      <c r="Y1548" s="18">
        <v>6.5920000000000006E-2</v>
      </c>
      <c r="Z1548" s="18">
        <v>0.29252</v>
      </c>
      <c r="AA1548" s="18">
        <v>0.42848000000000003</v>
      </c>
      <c r="AB1548" s="18">
        <v>0.7622000000000001</v>
      </c>
      <c r="AC1548" s="18">
        <v>0.23484000000000002</v>
      </c>
      <c r="AD1548" s="18">
        <v>1.2360000000000002</v>
      </c>
    </row>
    <row r="1549" spans="2:30" x14ac:dyDescent="0.25">
      <c r="B1549" t="s">
        <v>269</v>
      </c>
      <c r="C1549" t="s">
        <v>463</v>
      </c>
      <c r="D1549" t="s">
        <v>747</v>
      </c>
      <c r="E1549" s="35">
        <v>0.9</v>
      </c>
      <c r="F1549" s="35">
        <v>6.6</v>
      </c>
      <c r="G1549" s="36">
        <v>4.9449999999999997E-3</v>
      </c>
      <c r="H1549" s="18">
        <v>8.9002979999999994</v>
      </c>
      <c r="I1549" s="16" t="s">
        <v>746</v>
      </c>
      <c r="J1549" s="16"/>
      <c r="K1549" s="16"/>
      <c r="L1549" s="37"/>
      <c r="M1549" s="37"/>
      <c r="N1549" s="37"/>
      <c r="O1549" s="37"/>
      <c r="P1549" s="37"/>
      <c r="Q1549" s="18">
        <v>5.4394999999999999E-2</v>
      </c>
      <c r="R1549" s="18">
        <v>3.7087499999999995E-4</v>
      </c>
      <c r="S1549" s="18">
        <v>0.10384499999999999</v>
      </c>
      <c r="T1549" s="18">
        <v>0.44505</v>
      </c>
      <c r="U1549" s="18">
        <v>0.222525</v>
      </c>
      <c r="V1549" s="18">
        <v>2.8483199999999997</v>
      </c>
      <c r="W1549" s="18">
        <v>2.6702999999999997</v>
      </c>
      <c r="X1549" s="18">
        <v>1.7802</v>
      </c>
      <c r="Y1549" s="18">
        <v>7.9119999999999996E-2</v>
      </c>
      <c r="Z1549" s="18">
        <v>0.35109499999999999</v>
      </c>
      <c r="AA1549" s="18">
        <v>0.51427999999999996</v>
      </c>
      <c r="AB1549" s="18">
        <v>0.914825</v>
      </c>
      <c r="AC1549" s="18">
        <v>0.28186499999999998</v>
      </c>
      <c r="AD1549" s="18">
        <v>1.4834999999999998</v>
      </c>
    </row>
    <row r="1550" spans="2:30" x14ac:dyDescent="0.25">
      <c r="B1550" t="s">
        <v>269</v>
      </c>
      <c r="C1550" t="s">
        <v>463</v>
      </c>
      <c r="D1550" t="s">
        <v>749</v>
      </c>
      <c r="E1550" s="35">
        <v>0.9</v>
      </c>
      <c r="F1550" s="35">
        <v>6.6</v>
      </c>
      <c r="G1550" s="36">
        <v>3.5699999999999998E-3</v>
      </c>
      <c r="H1550" s="18">
        <v>6.4252979999999997</v>
      </c>
      <c r="I1550" s="16" t="s">
        <v>746</v>
      </c>
      <c r="J1550" s="16"/>
      <c r="K1550" s="16"/>
      <c r="L1550" s="37"/>
      <c r="M1550" s="37"/>
      <c r="N1550" s="37"/>
      <c r="O1550" s="37"/>
      <c r="P1550" s="37"/>
      <c r="Q1550" s="18">
        <v>3.9269999999999999E-2</v>
      </c>
      <c r="R1550" s="18">
        <v>2.6774999999999998E-4</v>
      </c>
      <c r="S1550" s="18">
        <v>7.4969999999999995E-2</v>
      </c>
      <c r="T1550" s="18">
        <v>0.32129999999999997</v>
      </c>
      <c r="U1550" s="18">
        <v>0.16064999999999999</v>
      </c>
      <c r="V1550" s="18">
        <v>2.0563199999999999</v>
      </c>
      <c r="W1550" s="18">
        <v>1.9278</v>
      </c>
      <c r="X1550" s="18">
        <v>1.2851999999999999</v>
      </c>
      <c r="Y1550" s="18">
        <v>5.7119999999999997E-2</v>
      </c>
      <c r="Z1550" s="18">
        <v>0.25346999999999997</v>
      </c>
      <c r="AA1550" s="18">
        <v>0.37128</v>
      </c>
      <c r="AB1550" s="18">
        <v>0.66044999999999998</v>
      </c>
      <c r="AC1550" s="18">
        <v>0.20348999999999998</v>
      </c>
      <c r="AD1550" s="18">
        <v>1.071</v>
      </c>
    </row>
    <row r="1551" spans="2:30" x14ac:dyDescent="0.25">
      <c r="B1551" t="s">
        <v>269</v>
      </c>
      <c r="C1551" t="s">
        <v>463</v>
      </c>
      <c r="D1551" t="s">
        <v>748</v>
      </c>
      <c r="E1551" s="35">
        <v>0.9</v>
      </c>
      <c r="F1551" s="35">
        <v>6.6</v>
      </c>
      <c r="G1551" s="36">
        <v>4.1200000000000004E-3</v>
      </c>
      <c r="H1551" s="18">
        <v>7.4152979999999999</v>
      </c>
      <c r="I1551" s="16" t="s">
        <v>746</v>
      </c>
      <c r="J1551" s="16"/>
      <c r="K1551" s="16"/>
      <c r="L1551" s="37"/>
      <c r="M1551" s="37"/>
      <c r="N1551" s="37"/>
      <c r="O1551" s="37"/>
      <c r="P1551" s="37"/>
      <c r="Q1551" s="18">
        <v>4.5320000000000006E-2</v>
      </c>
      <c r="R1551" s="18">
        <v>3.0900000000000003E-4</v>
      </c>
      <c r="S1551" s="18">
        <v>8.6520000000000014E-2</v>
      </c>
      <c r="T1551" s="18">
        <v>0.37080000000000002</v>
      </c>
      <c r="U1551" s="18">
        <v>0.18540000000000001</v>
      </c>
      <c r="V1551" s="18">
        <v>2.3731200000000001</v>
      </c>
      <c r="W1551" s="18">
        <v>2.2248000000000001</v>
      </c>
      <c r="X1551" s="18">
        <v>1.4832000000000001</v>
      </c>
      <c r="Y1551" s="18">
        <v>6.5920000000000006E-2</v>
      </c>
      <c r="Z1551" s="18">
        <v>0.29252</v>
      </c>
      <c r="AA1551" s="18">
        <v>0.42848000000000003</v>
      </c>
      <c r="AB1551" s="18">
        <v>0.7622000000000001</v>
      </c>
      <c r="AC1551" s="18">
        <v>0.23484000000000002</v>
      </c>
      <c r="AD1551" s="18">
        <v>1.2360000000000002</v>
      </c>
    </row>
    <row r="1552" spans="2:30" x14ac:dyDescent="0.25">
      <c r="B1552" t="s">
        <v>269</v>
      </c>
      <c r="C1552" t="s">
        <v>463</v>
      </c>
      <c r="D1552" t="s">
        <v>749</v>
      </c>
      <c r="E1552" s="35">
        <v>0.9</v>
      </c>
      <c r="F1552" s="35">
        <v>6.6</v>
      </c>
      <c r="G1552" s="36">
        <v>3.5699999999999998E-3</v>
      </c>
      <c r="H1552" s="18">
        <v>6.4252979999999997</v>
      </c>
      <c r="I1552" s="16" t="s">
        <v>746</v>
      </c>
      <c r="J1552" s="16"/>
      <c r="K1552" s="16"/>
      <c r="L1552" s="37"/>
      <c r="M1552" s="37"/>
      <c r="N1552" s="37"/>
      <c r="O1552" s="37"/>
      <c r="P1552" s="37"/>
      <c r="Q1552" s="18">
        <v>3.9269999999999999E-2</v>
      </c>
      <c r="R1552" s="18">
        <v>2.6774999999999998E-4</v>
      </c>
      <c r="S1552" s="18">
        <v>7.4969999999999995E-2</v>
      </c>
      <c r="T1552" s="18">
        <v>0.32129999999999997</v>
      </c>
      <c r="U1552" s="18">
        <v>0.16064999999999999</v>
      </c>
      <c r="V1552" s="18">
        <v>2.0563199999999999</v>
      </c>
      <c r="W1552" s="18">
        <v>1.9278</v>
      </c>
      <c r="X1552" s="18">
        <v>1.2851999999999999</v>
      </c>
      <c r="Y1552" s="18">
        <v>5.7119999999999997E-2</v>
      </c>
      <c r="Z1552" s="18">
        <v>0.25346999999999997</v>
      </c>
      <c r="AA1552" s="18">
        <v>0.37128</v>
      </c>
      <c r="AB1552" s="18">
        <v>0.66044999999999998</v>
      </c>
      <c r="AC1552" s="18">
        <v>0.20348999999999998</v>
      </c>
      <c r="AD1552" s="18">
        <v>1.071</v>
      </c>
    </row>
    <row r="1553" spans="2:30" x14ac:dyDescent="0.25">
      <c r="B1553" t="s">
        <v>269</v>
      </c>
      <c r="C1553" t="s">
        <v>463</v>
      </c>
      <c r="D1553" t="s">
        <v>748</v>
      </c>
      <c r="E1553" s="35">
        <v>0.9</v>
      </c>
      <c r="F1553" s="35">
        <v>6.6</v>
      </c>
      <c r="G1553" s="36">
        <v>4.1200000000000004E-3</v>
      </c>
      <c r="H1553" s="18">
        <v>7.4152979999999999</v>
      </c>
      <c r="I1553" s="16" t="s">
        <v>746</v>
      </c>
      <c r="J1553" s="16"/>
      <c r="K1553" s="16"/>
      <c r="L1553" s="37"/>
      <c r="M1553" s="37"/>
      <c r="N1553" s="37"/>
      <c r="O1553" s="37"/>
      <c r="P1553" s="37"/>
      <c r="Q1553" s="18">
        <v>4.5320000000000006E-2</v>
      </c>
      <c r="R1553" s="18">
        <v>3.0900000000000003E-4</v>
      </c>
      <c r="S1553" s="18">
        <v>8.6520000000000014E-2</v>
      </c>
      <c r="T1553" s="18">
        <v>0.37080000000000002</v>
      </c>
      <c r="U1553" s="18">
        <v>0.18540000000000001</v>
      </c>
      <c r="V1553" s="18">
        <v>2.3731200000000001</v>
      </c>
      <c r="W1553" s="18">
        <v>2.2248000000000001</v>
      </c>
      <c r="X1553" s="18">
        <v>1.4832000000000001</v>
      </c>
      <c r="Y1553" s="18">
        <v>6.5920000000000006E-2</v>
      </c>
      <c r="Z1553" s="18">
        <v>0.29252</v>
      </c>
      <c r="AA1553" s="18">
        <v>0.42848000000000003</v>
      </c>
      <c r="AB1553" s="18">
        <v>0.7622000000000001</v>
      </c>
      <c r="AC1553" s="18">
        <v>0.23484000000000002</v>
      </c>
      <c r="AD1553" s="18">
        <v>1.2360000000000002</v>
      </c>
    </row>
    <row r="1554" spans="2:30" x14ac:dyDescent="0.25">
      <c r="B1554" t="s">
        <v>269</v>
      </c>
      <c r="C1554" t="s">
        <v>463</v>
      </c>
      <c r="D1554" t="s">
        <v>749</v>
      </c>
      <c r="E1554" s="35">
        <v>0.9</v>
      </c>
      <c r="F1554" s="35">
        <v>6.6</v>
      </c>
      <c r="G1554" s="36">
        <v>3.5699999999999998E-3</v>
      </c>
      <c r="H1554" s="18">
        <v>6.4252979999999997</v>
      </c>
      <c r="I1554" s="16" t="s">
        <v>746</v>
      </c>
      <c r="J1554" s="16"/>
      <c r="K1554" s="16"/>
      <c r="L1554" s="37"/>
      <c r="M1554" s="37"/>
      <c r="N1554" s="37"/>
      <c r="O1554" s="37"/>
      <c r="P1554" s="37"/>
      <c r="Q1554" s="18">
        <v>3.9269999999999999E-2</v>
      </c>
      <c r="R1554" s="18">
        <v>2.6774999999999998E-4</v>
      </c>
      <c r="S1554" s="18">
        <v>7.4969999999999995E-2</v>
      </c>
      <c r="T1554" s="18">
        <v>0.32129999999999997</v>
      </c>
      <c r="U1554" s="18">
        <v>0.16064999999999999</v>
      </c>
      <c r="V1554" s="18">
        <v>2.0563199999999999</v>
      </c>
      <c r="W1554" s="18">
        <v>1.9278</v>
      </c>
      <c r="X1554" s="18">
        <v>1.2851999999999999</v>
      </c>
      <c r="Y1554" s="18">
        <v>5.7119999999999997E-2</v>
      </c>
      <c r="Z1554" s="18">
        <v>0.25346999999999997</v>
      </c>
      <c r="AA1554" s="18">
        <v>0.37128</v>
      </c>
      <c r="AB1554" s="18">
        <v>0.66044999999999998</v>
      </c>
      <c r="AC1554" s="18">
        <v>0.20348999999999998</v>
      </c>
      <c r="AD1554" s="18">
        <v>1.071</v>
      </c>
    </row>
    <row r="1555" spans="2:30" x14ac:dyDescent="0.25">
      <c r="B1555" t="s">
        <v>269</v>
      </c>
      <c r="C1555" t="s">
        <v>463</v>
      </c>
      <c r="D1555" t="s">
        <v>748</v>
      </c>
      <c r="E1555" s="35">
        <v>0.9</v>
      </c>
      <c r="F1555" s="35">
        <v>6.6</v>
      </c>
      <c r="G1555" s="36">
        <v>4.1200000000000004E-3</v>
      </c>
      <c r="H1555" s="18">
        <v>7.4152979999999999</v>
      </c>
      <c r="I1555" s="16" t="s">
        <v>746</v>
      </c>
      <c r="J1555" s="16"/>
      <c r="K1555" s="16"/>
      <c r="L1555" s="37"/>
      <c r="M1555" s="37"/>
      <c r="N1555" s="37"/>
      <c r="O1555" s="37"/>
      <c r="P1555" s="37"/>
      <c r="Q1555" s="18">
        <v>4.5320000000000006E-2</v>
      </c>
      <c r="R1555" s="18">
        <v>3.0900000000000003E-4</v>
      </c>
      <c r="S1555" s="18">
        <v>8.6520000000000014E-2</v>
      </c>
      <c r="T1555" s="18">
        <v>0.37080000000000002</v>
      </c>
      <c r="U1555" s="18">
        <v>0.18540000000000001</v>
      </c>
      <c r="V1555" s="18">
        <v>2.3731200000000001</v>
      </c>
      <c r="W1555" s="18">
        <v>2.2248000000000001</v>
      </c>
      <c r="X1555" s="18">
        <v>1.4832000000000001</v>
      </c>
      <c r="Y1555" s="18">
        <v>6.5920000000000006E-2</v>
      </c>
      <c r="Z1555" s="18">
        <v>0.29252</v>
      </c>
      <c r="AA1555" s="18">
        <v>0.42848000000000003</v>
      </c>
      <c r="AB1555" s="18">
        <v>0.7622000000000001</v>
      </c>
      <c r="AC1555" s="18">
        <v>0.23484000000000002</v>
      </c>
      <c r="AD1555" s="18">
        <v>1.2360000000000002</v>
      </c>
    </row>
    <row r="1556" spans="2:30" x14ac:dyDescent="0.25">
      <c r="B1556" t="s">
        <v>269</v>
      </c>
      <c r="C1556" t="s">
        <v>463</v>
      </c>
      <c r="D1556" t="s">
        <v>749</v>
      </c>
      <c r="E1556" s="35">
        <v>0.9</v>
      </c>
      <c r="F1556" s="35">
        <v>6.6</v>
      </c>
      <c r="G1556" s="36">
        <v>3.5699999999999998E-3</v>
      </c>
      <c r="H1556" s="18">
        <v>6.4252979999999997</v>
      </c>
      <c r="I1556" s="16" t="s">
        <v>746</v>
      </c>
      <c r="J1556" s="16"/>
      <c r="K1556" s="16"/>
      <c r="L1556" s="37"/>
      <c r="M1556" s="37"/>
      <c r="N1556" s="37"/>
      <c r="O1556" s="37"/>
      <c r="P1556" s="37"/>
      <c r="Q1556" s="18">
        <v>3.9269999999999999E-2</v>
      </c>
      <c r="R1556" s="18">
        <v>2.6774999999999998E-4</v>
      </c>
      <c r="S1556" s="18">
        <v>7.4969999999999995E-2</v>
      </c>
      <c r="T1556" s="18">
        <v>0.32129999999999997</v>
      </c>
      <c r="U1556" s="18">
        <v>0.16064999999999999</v>
      </c>
      <c r="V1556" s="18">
        <v>2.0563199999999999</v>
      </c>
      <c r="W1556" s="18">
        <v>1.9278</v>
      </c>
      <c r="X1556" s="18">
        <v>1.2851999999999999</v>
      </c>
      <c r="Y1556" s="18">
        <v>5.7119999999999997E-2</v>
      </c>
      <c r="Z1556" s="18">
        <v>0.25346999999999997</v>
      </c>
      <c r="AA1556" s="18">
        <v>0.37128</v>
      </c>
      <c r="AB1556" s="18">
        <v>0.66044999999999998</v>
      </c>
      <c r="AC1556" s="18">
        <v>0.20348999999999998</v>
      </c>
      <c r="AD1556" s="18">
        <v>1.071</v>
      </c>
    </row>
    <row r="1557" spans="2:30" x14ac:dyDescent="0.25">
      <c r="B1557" t="s">
        <v>269</v>
      </c>
      <c r="C1557" t="s">
        <v>463</v>
      </c>
      <c r="D1557" t="s">
        <v>747</v>
      </c>
      <c r="E1557" s="35">
        <v>0.9</v>
      </c>
      <c r="F1557" s="35">
        <v>6.6</v>
      </c>
      <c r="G1557" s="36">
        <v>4.9449999999999997E-3</v>
      </c>
      <c r="H1557" s="18">
        <v>8.9002979999999994</v>
      </c>
      <c r="I1557" s="16" t="s">
        <v>746</v>
      </c>
      <c r="J1557" s="16"/>
      <c r="K1557" s="16"/>
      <c r="L1557" s="37"/>
      <c r="M1557" s="37"/>
      <c r="N1557" s="37"/>
      <c r="O1557" s="37"/>
      <c r="P1557" s="37"/>
      <c r="Q1557" s="18">
        <v>5.4394999999999999E-2</v>
      </c>
      <c r="R1557" s="18">
        <v>3.7087499999999995E-4</v>
      </c>
      <c r="S1557" s="18">
        <v>0.10384499999999999</v>
      </c>
      <c r="T1557" s="18">
        <v>0.44505</v>
      </c>
      <c r="U1557" s="18">
        <v>0.222525</v>
      </c>
      <c r="V1557" s="18">
        <v>2.8483199999999997</v>
      </c>
      <c r="W1557" s="18">
        <v>2.6702999999999997</v>
      </c>
      <c r="X1557" s="18">
        <v>1.7802</v>
      </c>
      <c r="Y1557" s="18">
        <v>7.9119999999999996E-2</v>
      </c>
      <c r="Z1557" s="18">
        <v>0.35109499999999999</v>
      </c>
      <c r="AA1557" s="18">
        <v>0.51427999999999996</v>
      </c>
      <c r="AB1557" s="18">
        <v>0.914825</v>
      </c>
      <c r="AC1557" s="18">
        <v>0.28186499999999998</v>
      </c>
      <c r="AD1557" s="18">
        <v>1.4834999999999998</v>
      </c>
    </row>
    <row r="1558" spans="2:30" x14ac:dyDescent="0.25">
      <c r="B1558" t="s">
        <v>269</v>
      </c>
      <c r="C1558" t="s">
        <v>463</v>
      </c>
      <c r="D1558" t="s">
        <v>749</v>
      </c>
      <c r="E1558" s="35">
        <v>0.9</v>
      </c>
      <c r="F1558" s="35">
        <v>6.6</v>
      </c>
      <c r="G1558" s="36">
        <v>3.5699999999999998E-3</v>
      </c>
      <c r="H1558" s="18">
        <v>6.4252979999999997</v>
      </c>
      <c r="I1558" s="16" t="s">
        <v>746</v>
      </c>
      <c r="J1558" s="16"/>
      <c r="K1558" s="16"/>
      <c r="L1558" s="37"/>
      <c r="M1558" s="37"/>
      <c r="N1558" s="37"/>
      <c r="O1558" s="37"/>
      <c r="P1558" s="37"/>
      <c r="Q1558" s="18">
        <v>3.9269999999999999E-2</v>
      </c>
      <c r="R1558" s="18">
        <v>2.6774999999999998E-4</v>
      </c>
      <c r="S1558" s="18">
        <v>7.4969999999999995E-2</v>
      </c>
      <c r="T1558" s="18">
        <v>0.32129999999999997</v>
      </c>
      <c r="U1558" s="18">
        <v>0.16064999999999999</v>
      </c>
      <c r="V1558" s="18">
        <v>2.0563199999999999</v>
      </c>
      <c r="W1558" s="18">
        <v>1.9278</v>
      </c>
      <c r="X1558" s="18">
        <v>1.2851999999999999</v>
      </c>
      <c r="Y1558" s="18">
        <v>5.7119999999999997E-2</v>
      </c>
      <c r="Z1558" s="18">
        <v>0.25346999999999997</v>
      </c>
      <c r="AA1558" s="18">
        <v>0.37128</v>
      </c>
      <c r="AB1558" s="18">
        <v>0.66044999999999998</v>
      </c>
      <c r="AC1558" s="18">
        <v>0.20348999999999998</v>
      </c>
      <c r="AD1558" s="18">
        <v>1.071</v>
      </c>
    </row>
    <row r="1559" spans="2:30" x14ac:dyDescent="0.25">
      <c r="B1559" t="s">
        <v>269</v>
      </c>
      <c r="C1559" t="s">
        <v>463</v>
      </c>
      <c r="D1559" t="s">
        <v>749</v>
      </c>
      <c r="E1559" s="35">
        <v>0.9</v>
      </c>
      <c r="F1559" s="35">
        <v>6.6</v>
      </c>
      <c r="G1559" s="36">
        <v>3.5699999999999998E-3</v>
      </c>
      <c r="H1559" s="18">
        <v>6.4252979999999997</v>
      </c>
      <c r="I1559" s="16" t="s">
        <v>746</v>
      </c>
      <c r="J1559" s="16"/>
      <c r="K1559" s="16"/>
      <c r="L1559" s="37"/>
      <c r="M1559" s="37"/>
      <c r="N1559" s="37"/>
      <c r="O1559" s="37"/>
      <c r="P1559" s="37"/>
      <c r="Q1559" s="18">
        <v>3.9269999999999999E-2</v>
      </c>
      <c r="R1559" s="18">
        <v>2.6774999999999998E-4</v>
      </c>
      <c r="S1559" s="18">
        <v>7.4969999999999995E-2</v>
      </c>
      <c r="T1559" s="18">
        <v>0.32129999999999997</v>
      </c>
      <c r="U1559" s="18">
        <v>0.16064999999999999</v>
      </c>
      <c r="V1559" s="18">
        <v>2.0563199999999999</v>
      </c>
      <c r="W1559" s="18">
        <v>1.9278</v>
      </c>
      <c r="X1559" s="18">
        <v>1.2851999999999999</v>
      </c>
      <c r="Y1559" s="18">
        <v>5.7119999999999997E-2</v>
      </c>
      <c r="Z1559" s="18">
        <v>0.25346999999999997</v>
      </c>
      <c r="AA1559" s="18">
        <v>0.37128</v>
      </c>
      <c r="AB1559" s="18">
        <v>0.66044999999999998</v>
      </c>
      <c r="AC1559" s="18">
        <v>0.20348999999999998</v>
      </c>
      <c r="AD1559" s="18">
        <v>1.071</v>
      </c>
    </row>
    <row r="1560" spans="2:30" x14ac:dyDescent="0.25">
      <c r="B1560" t="s">
        <v>269</v>
      </c>
      <c r="C1560" t="s">
        <v>463</v>
      </c>
      <c r="D1560" t="s">
        <v>749</v>
      </c>
      <c r="E1560" s="35">
        <v>0.9</v>
      </c>
      <c r="F1560" s="35">
        <v>6.6</v>
      </c>
      <c r="G1560" s="36">
        <v>3.5699999999999998E-3</v>
      </c>
      <c r="H1560" s="18">
        <v>6.4252979999999997</v>
      </c>
      <c r="I1560" s="16" t="s">
        <v>746</v>
      </c>
      <c r="J1560" s="16"/>
      <c r="K1560" s="16"/>
      <c r="L1560" s="37"/>
      <c r="M1560" s="37"/>
      <c r="N1560" s="37"/>
      <c r="O1560" s="37"/>
      <c r="P1560" s="37"/>
      <c r="Q1560" s="18">
        <v>3.9269999999999999E-2</v>
      </c>
      <c r="R1560" s="18">
        <v>2.6774999999999998E-4</v>
      </c>
      <c r="S1560" s="18">
        <v>7.4969999999999995E-2</v>
      </c>
      <c r="T1560" s="18">
        <v>0.32129999999999997</v>
      </c>
      <c r="U1560" s="18">
        <v>0.16064999999999999</v>
      </c>
      <c r="V1560" s="18">
        <v>2.0563199999999999</v>
      </c>
      <c r="W1560" s="18">
        <v>1.9278</v>
      </c>
      <c r="X1560" s="18">
        <v>1.2851999999999999</v>
      </c>
      <c r="Y1560" s="18">
        <v>5.7119999999999997E-2</v>
      </c>
      <c r="Z1560" s="18">
        <v>0.25346999999999997</v>
      </c>
      <c r="AA1560" s="18">
        <v>0.37128</v>
      </c>
      <c r="AB1560" s="18">
        <v>0.66044999999999998</v>
      </c>
      <c r="AC1560" s="18">
        <v>0.20348999999999998</v>
      </c>
      <c r="AD1560" s="18">
        <v>1.071</v>
      </c>
    </row>
    <row r="1561" spans="2:30" x14ac:dyDescent="0.25">
      <c r="B1561" t="s">
        <v>269</v>
      </c>
      <c r="C1561" t="s">
        <v>463</v>
      </c>
      <c r="D1561" t="s">
        <v>749</v>
      </c>
      <c r="E1561" s="35">
        <v>0.9</v>
      </c>
      <c r="F1561" s="35">
        <v>6.6</v>
      </c>
      <c r="G1561" s="36">
        <v>3.5699999999999998E-3</v>
      </c>
      <c r="H1561" s="18">
        <v>6.4252979999999997</v>
      </c>
      <c r="I1561" s="16" t="s">
        <v>746</v>
      </c>
      <c r="J1561" s="16"/>
      <c r="K1561" s="16"/>
      <c r="L1561" s="37"/>
      <c r="M1561" s="37"/>
      <c r="N1561" s="37"/>
      <c r="O1561" s="37"/>
      <c r="P1561" s="37"/>
      <c r="Q1561" s="18">
        <v>3.9269999999999999E-2</v>
      </c>
      <c r="R1561" s="18">
        <v>2.6774999999999998E-4</v>
      </c>
      <c r="S1561" s="18">
        <v>7.4969999999999995E-2</v>
      </c>
      <c r="T1561" s="18">
        <v>0.32129999999999997</v>
      </c>
      <c r="U1561" s="18">
        <v>0.16064999999999999</v>
      </c>
      <c r="V1561" s="18">
        <v>2.0563199999999999</v>
      </c>
      <c r="W1561" s="18">
        <v>1.9278</v>
      </c>
      <c r="X1561" s="18">
        <v>1.2851999999999999</v>
      </c>
      <c r="Y1561" s="18">
        <v>5.7119999999999997E-2</v>
      </c>
      <c r="Z1561" s="18">
        <v>0.25346999999999997</v>
      </c>
      <c r="AA1561" s="18">
        <v>0.37128</v>
      </c>
      <c r="AB1561" s="18">
        <v>0.66044999999999998</v>
      </c>
      <c r="AC1561" s="18">
        <v>0.20348999999999998</v>
      </c>
      <c r="AD1561" s="18">
        <v>1.071</v>
      </c>
    </row>
    <row r="1562" spans="2:30" x14ac:dyDescent="0.25">
      <c r="B1562" t="s">
        <v>269</v>
      </c>
      <c r="C1562" t="s">
        <v>463</v>
      </c>
      <c r="D1562" t="s">
        <v>749</v>
      </c>
      <c r="E1562" s="35">
        <v>0.9</v>
      </c>
      <c r="F1562" s="35">
        <v>6.6</v>
      </c>
      <c r="G1562" s="36">
        <v>3.5699999999999998E-3</v>
      </c>
      <c r="H1562" s="18">
        <v>6.4252979999999997</v>
      </c>
      <c r="I1562" s="16" t="s">
        <v>746</v>
      </c>
      <c r="J1562" s="16"/>
      <c r="K1562" s="16"/>
      <c r="L1562" s="37"/>
      <c r="M1562" s="37"/>
      <c r="N1562" s="37"/>
      <c r="O1562" s="37"/>
      <c r="P1562" s="37"/>
      <c r="Q1562" s="18">
        <v>3.9269999999999999E-2</v>
      </c>
      <c r="R1562" s="18">
        <v>2.6774999999999998E-4</v>
      </c>
      <c r="S1562" s="18">
        <v>7.4969999999999995E-2</v>
      </c>
      <c r="T1562" s="18">
        <v>0.32129999999999997</v>
      </c>
      <c r="U1562" s="18">
        <v>0.16064999999999999</v>
      </c>
      <c r="V1562" s="18">
        <v>2.0563199999999999</v>
      </c>
      <c r="W1562" s="18">
        <v>1.9278</v>
      </c>
      <c r="X1562" s="18">
        <v>1.2851999999999999</v>
      </c>
      <c r="Y1562" s="18">
        <v>5.7119999999999997E-2</v>
      </c>
      <c r="Z1562" s="18">
        <v>0.25346999999999997</v>
      </c>
      <c r="AA1562" s="18">
        <v>0.37128</v>
      </c>
      <c r="AB1562" s="18">
        <v>0.66044999999999998</v>
      </c>
      <c r="AC1562" s="18">
        <v>0.20348999999999998</v>
      </c>
      <c r="AD1562" s="18">
        <v>1.071</v>
      </c>
    </row>
    <row r="1563" spans="2:30" x14ac:dyDescent="0.25">
      <c r="B1563" t="s">
        <v>269</v>
      </c>
      <c r="C1563" t="s">
        <v>463</v>
      </c>
      <c r="D1563" t="s">
        <v>748</v>
      </c>
      <c r="E1563" s="35">
        <v>0.9</v>
      </c>
      <c r="F1563" s="35">
        <v>6.6</v>
      </c>
      <c r="G1563" s="36">
        <v>4.1200000000000004E-3</v>
      </c>
      <c r="H1563" s="18">
        <v>7.4152979999999999</v>
      </c>
      <c r="I1563" s="16" t="s">
        <v>746</v>
      </c>
      <c r="J1563" s="16"/>
      <c r="K1563" s="16"/>
      <c r="L1563" s="37"/>
      <c r="M1563" s="37"/>
      <c r="N1563" s="37"/>
      <c r="O1563" s="37"/>
      <c r="P1563" s="37"/>
      <c r="Q1563" s="18">
        <v>4.5320000000000006E-2</v>
      </c>
      <c r="R1563" s="18">
        <v>3.0900000000000003E-4</v>
      </c>
      <c r="S1563" s="18">
        <v>8.6520000000000014E-2</v>
      </c>
      <c r="T1563" s="18">
        <v>0.37080000000000002</v>
      </c>
      <c r="U1563" s="18">
        <v>0.18540000000000001</v>
      </c>
      <c r="V1563" s="18">
        <v>2.3731200000000001</v>
      </c>
      <c r="W1563" s="18">
        <v>2.2248000000000001</v>
      </c>
      <c r="X1563" s="18">
        <v>1.4832000000000001</v>
      </c>
      <c r="Y1563" s="18">
        <v>6.5920000000000006E-2</v>
      </c>
      <c r="Z1563" s="18">
        <v>0.29252</v>
      </c>
      <c r="AA1563" s="18">
        <v>0.42848000000000003</v>
      </c>
      <c r="AB1563" s="18">
        <v>0.7622000000000001</v>
      </c>
      <c r="AC1563" s="18">
        <v>0.23484000000000002</v>
      </c>
      <c r="AD1563" s="18">
        <v>1.2360000000000002</v>
      </c>
    </row>
    <row r="1564" spans="2:30" x14ac:dyDescent="0.25">
      <c r="B1564" t="s">
        <v>269</v>
      </c>
      <c r="C1564" t="s">
        <v>463</v>
      </c>
      <c r="D1564" t="s">
        <v>749</v>
      </c>
      <c r="E1564" s="35">
        <v>0.9</v>
      </c>
      <c r="F1564" s="35">
        <v>6.6</v>
      </c>
      <c r="G1564" s="36">
        <v>3.5699999999999998E-3</v>
      </c>
      <c r="H1564" s="18">
        <v>6.4252979999999997</v>
      </c>
      <c r="I1564" s="16" t="s">
        <v>746</v>
      </c>
      <c r="J1564" s="16"/>
      <c r="K1564" s="16"/>
      <c r="L1564" s="37"/>
      <c r="M1564" s="37"/>
      <c r="N1564" s="37"/>
      <c r="O1564" s="37"/>
      <c r="P1564" s="37"/>
      <c r="Q1564" s="18">
        <v>3.9269999999999999E-2</v>
      </c>
      <c r="R1564" s="18">
        <v>2.6774999999999998E-4</v>
      </c>
      <c r="S1564" s="18">
        <v>7.4969999999999995E-2</v>
      </c>
      <c r="T1564" s="18">
        <v>0.32129999999999997</v>
      </c>
      <c r="U1564" s="18">
        <v>0.16064999999999999</v>
      </c>
      <c r="V1564" s="18">
        <v>2.0563199999999999</v>
      </c>
      <c r="W1564" s="18">
        <v>1.9278</v>
      </c>
      <c r="X1564" s="18">
        <v>1.2851999999999999</v>
      </c>
      <c r="Y1564" s="18">
        <v>5.7119999999999997E-2</v>
      </c>
      <c r="Z1564" s="18">
        <v>0.25346999999999997</v>
      </c>
      <c r="AA1564" s="18">
        <v>0.37128</v>
      </c>
      <c r="AB1564" s="18">
        <v>0.66044999999999998</v>
      </c>
      <c r="AC1564" s="18">
        <v>0.20348999999999998</v>
      </c>
      <c r="AD1564" s="18">
        <v>1.071</v>
      </c>
    </row>
    <row r="1565" spans="2:30" x14ac:dyDescent="0.25">
      <c r="B1565" t="s">
        <v>269</v>
      </c>
      <c r="C1565" t="s">
        <v>463</v>
      </c>
      <c r="D1565" t="s">
        <v>748</v>
      </c>
      <c r="E1565" s="35">
        <v>0.9</v>
      </c>
      <c r="F1565" s="35">
        <v>6.6</v>
      </c>
      <c r="G1565" s="36">
        <v>4.1200000000000004E-3</v>
      </c>
      <c r="H1565" s="18">
        <v>7.4152979999999999</v>
      </c>
      <c r="I1565" s="16" t="s">
        <v>746</v>
      </c>
      <c r="J1565" s="16"/>
      <c r="K1565" s="16"/>
      <c r="L1565" s="37"/>
      <c r="M1565" s="37"/>
      <c r="N1565" s="37"/>
      <c r="O1565" s="37"/>
      <c r="P1565" s="37"/>
      <c r="Q1565" s="18">
        <v>4.5320000000000006E-2</v>
      </c>
      <c r="R1565" s="18">
        <v>3.0900000000000003E-4</v>
      </c>
      <c r="S1565" s="18">
        <v>8.6520000000000014E-2</v>
      </c>
      <c r="T1565" s="18">
        <v>0.37080000000000002</v>
      </c>
      <c r="U1565" s="18">
        <v>0.18540000000000001</v>
      </c>
      <c r="V1565" s="18">
        <v>2.3731200000000001</v>
      </c>
      <c r="W1565" s="18">
        <v>2.2248000000000001</v>
      </c>
      <c r="X1565" s="18">
        <v>1.4832000000000001</v>
      </c>
      <c r="Y1565" s="18">
        <v>6.5920000000000006E-2</v>
      </c>
      <c r="Z1565" s="18">
        <v>0.29252</v>
      </c>
      <c r="AA1565" s="18">
        <v>0.42848000000000003</v>
      </c>
      <c r="AB1565" s="18">
        <v>0.7622000000000001</v>
      </c>
      <c r="AC1565" s="18">
        <v>0.23484000000000002</v>
      </c>
      <c r="AD1565" s="18">
        <v>1.2360000000000002</v>
      </c>
    </row>
    <row r="1566" spans="2:30" x14ac:dyDescent="0.25">
      <c r="B1566" t="s">
        <v>269</v>
      </c>
      <c r="C1566" t="s">
        <v>463</v>
      </c>
      <c r="D1566" t="s">
        <v>748</v>
      </c>
      <c r="E1566" s="35">
        <v>0.9</v>
      </c>
      <c r="F1566" s="35">
        <v>6.6</v>
      </c>
      <c r="G1566" s="36">
        <v>4.1200000000000004E-3</v>
      </c>
      <c r="H1566" s="18">
        <v>7.4152979999999999</v>
      </c>
      <c r="I1566" s="16" t="s">
        <v>746</v>
      </c>
      <c r="J1566" s="16"/>
      <c r="K1566" s="16"/>
      <c r="L1566" s="37"/>
      <c r="M1566" s="37"/>
      <c r="N1566" s="37"/>
      <c r="O1566" s="37"/>
      <c r="P1566" s="37"/>
      <c r="Q1566" s="18">
        <v>4.5320000000000006E-2</v>
      </c>
      <c r="R1566" s="18">
        <v>3.0900000000000003E-4</v>
      </c>
      <c r="S1566" s="18">
        <v>8.6520000000000014E-2</v>
      </c>
      <c r="T1566" s="18">
        <v>0.37080000000000002</v>
      </c>
      <c r="U1566" s="18">
        <v>0.18540000000000001</v>
      </c>
      <c r="V1566" s="18">
        <v>2.3731200000000001</v>
      </c>
      <c r="W1566" s="18">
        <v>2.2248000000000001</v>
      </c>
      <c r="X1566" s="18">
        <v>1.4832000000000001</v>
      </c>
      <c r="Y1566" s="18">
        <v>6.5920000000000006E-2</v>
      </c>
      <c r="Z1566" s="18">
        <v>0.29252</v>
      </c>
      <c r="AA1566" s="18">
        <v>0.42848000000000003</v>
      </c>
      <c r="AB1566" s="18">
        <v>0.7622000000000001</v>
      </c>
      <c r="AC1566" s="18">
        <v>0.23484000000000002</v>
      </c>
      <c r="AD1566" s="18">
        <v>1.2360000000000002</v>
      </c>
    </row>
    <row r="1567" spans="2:30" x14ac:dyDescent="0.25">
      <c r="B1567" t="s">
        <v>269</v>
      </c>
      <c r="C1567" t="s">
        <v>463</v>
      </c>
      <c r="D1567" t="s">
        <v>750</v>
      </c>
      <c r="E1567" s="35">
        <v>0.9</v>
      </c>
      <c r="F1567" s="35">
        <v>6.6</v>
      </c>
      <c r="G1567" s="36">
        <v>3.0200000000000001E-3</v>
      </c>
      <c r="H1567" s="18">
        <v>5.4352980000000004</v>
      </c>
      <c r="I1567" s="16" t="s">
        <v>746</v>
      </c>
      <c r="J1567" s="16"/>
      <c r="K1567" s="16"/>
      <c r="L1567" s="37"/>
      <c r="M1567" s="37"/>
      <c r="N1567" s="37"/>
      <c r="O1567" s="37"/>
      <c r="P1567" s="37"/>
      <c r="Q1567" s="18">
        <v>3.322E-2</v>
      </c>
      <c r="R1567" s="18">
        <v>2.265E-4</v>
      </c>
      <c r="S1567" s="18">
        <v>6.3420000000000004E-2</v>
      </c>
      <c r="T1567" s="18">
        <v>0.27179999999999999</v>
      </c>
      <c r="U1567" s="18">
        <v>0.13589999999999999</v>
      </c>
      <c r="V1567" s="18">
        <v>1.7395200000000002</v>
      </c>
      <c r="W1567" s="18">
        <v>1.6308</v>
      </c>
      <c r="X1567" s="18">
        <v>1.0871999999999999</v>
      </c>
      <c r="Y1567" s="18">
        <v>4.8320000000000002E-2</v>
      </c>
      <c r="Z1567" s="18">
        <v>0.21442</v>
      </c>
      <c r="AA1567" s="18">
        <v>0.31408000000000003</v>
      </c>
      <c r="AB1567" s="18">
        <v>0.55869999999999997</v>
      </c>
      <c r="AC1567" s="18">
        <v>0.17214000000000002</v>
      </c>
      <c r="AD1567" s="18">
        <v>0.90600000000000003</v>
      </c>
    </row>
    <row r="1568" spans="2:30" x14ac:dyDescent="0.25">
      <c r="B1568" t="s">
        <v>269</v>
      </c>
      <c r="C1568" t="s">
        <v>463</v>
      </c>
      <c r="D1568" t="s">
        <v>748</v>
      </c>
      <c r="E1568" s="35">
        <v>0.9</v>
      </c>
      <c r="F1568" s="35">
        <v>6.6</v>
      </c>
      <c r="G1568" s="36">
        <v>4.1200000000000004E-3</v>
      </c>
      <c r="H1568" s="18">
        <v>7.4152979999999999</v>
      </c>
      <c r="I1568" s="16" t="s">
        <v>746</v>
      </c>
      <c r="J1568" s="16"/>
      <c r="K1568" s="16"/>
      <c r="L1568" s="37"/>
      <c r="M1568" s="37"/>
      <c r="N1568" s="37"/>
      <c r="O1568" s="37"/>
      <c r="P1568" s="37"/>
      <c r="Q1568" s="18">
        <v>4.5320000000000006E-2</v>
      </c>
      <c r="R1568" s="18">
        <v>3.0900000000000003E-4</v>
      </c>
      <c r="S1568" s="18">
        <v>8.6520000000000014E-2</v>
      </c>
      <c r="T1568" s="18">
        <v>0.37080000000000002</v>
      </c>
      <c r="U1568" s="18">
        <v>0.18540000000000001</v>
      </c>
      <c r="V1568" s="18">
        <v>2.3731200000000001</v>
      </c>
      <c r="W1568" s="18">
        <v>2.2248000000000001</v>
      </c>
      <c r="X1568" s="18">
        <v>1.4832000000000001</v>
      </c>
      <c r="Y1568" s="18">
        <v>6.5920000000000006E-2</v>
      </c>
      <c r="Z1568" s="18">
        <v>0.29252</v>
      </c>
      <c r="AA1568" s="18">
        <v>0.42848000000000003</v>
      </c>
      <c r="AB1568" s="18">
        <v>0.7622000000000001</v>
      </c>
      <c r="AC1568" s="18">
        <v>0.23484000000000002</v>
      </c>
      <c r="AD1568" s="18">
        <v>1.2360000000000002</v>
      </c>
    </row>
    <row r="1569" spans="2:30" x14ac:dyDescent="0.25">
      <c r="B1569" t="s">
        <v>269</v>
      </c>
      <c r="C1569" t="s">
        <v>463</v>
      </c>
      <c r="D1569" t="s">
        <v>750</v>
      </c>
      <c r="E1569" s="35">
        <v>0.9</v>
      </c>
      <c r="F1569" s="35">
        <v>6.6</v>
      </c>
      <c r="G1569" s="36">
        <v>3.0200000000000001E-3</v>
      </c>
      <c r="H1569" s="18">
        <v>5.4352980000000004</v>
      </c>
      <c r="I1569" s="16" t="s">
        <v>746</v>
      </c>
      <c r="J1569" s="16"/>
      <c r="K1569" s="16"/>
      <c r="L1569" s="37"/>
      <c r="M1569" s="37"/>
      <c r="N1569" s="37"/>
      <c r="O1569" s="37"/>
      <c r="P1569" s="37"/>
      <c r="Q1569" s="18">
        <v>3.322E-2</v>
      </c>
      <c r="R1569" s="18">
        <v>2.265E-4</v>
      </c>
      <c r="S1569" s="18">
        <v>6.3420000000000004E-2</v>
      </c>
      <c r="T1569" s="18">
        <v>0.27179999999999999</v>
      </c>
      <c r="U1569" s="18">
        <v>0.13589999999999999</v>
      </c>
      <c r="V1569" s="18">
        <v>1.7395200000000002</v>
      </c>
      <c r="W1569" s="18">
        <v>1.6308</v>
      </c>
      <c r="X1569" s="18">
        <v>1.0871999999999999</v>
      </c>
      <c r="Y1569" s="18">
        <v>4.8320000000000002E-2</v>
      </c>
      <c r="Z1569" s="18">
        <v>0.21442</v>
      </c>
      <c r="AA1569" s="18">
        <v>0.31408000000000003</v>
      </c>
      <c r="AB1569" s="18">
        <v>0.55869999999999997</v>
      </c>
      <c r="AC1569" s="18">
        <v>0.17214000000000002</v>
      </c>
      <c r="AD1569" s="18">
        <v>0.90600000000000003</v>
      </c>
    </row>
    <row r="1570" spans="2:30" x14ac:dyDescent="0.25">
      <c r="B1570" t="s">
        <v>269</v>
      </c>
      <c r="C1570" t="s">
        <v>463</v>
      </c>
      <c r="D1570" t="s">
        <v>749</v>
      </c>
      <c r="E1570" s="35">
        <v>0.9</v>
      </c>
      <c r="F1570" s="35">
        <v>6.6</v>
      </c>
      <c r="G1570" s="36">
        <v>3.5699999999999998E-3</v>
      </c>
      <c r="H1570" s="18">
        <v>6.4252979999999997</v>
      </c>
      <c r="I1570" s="16" t="s">
        <v>746</v>
      </c>
      <c r="J1570" s="16"/>
      <c r="K1570" s="16"/>
      <c r="L1570" s="37"/>
      <c r="M1570" s="37"/>
      <c r="N1570" s="37"/>
      <c r="O1570" s="37"/>
      <c r="P1570" s="37"/>
      <c r="Q1570" s="18">
        <v>3.9269999999999999E-2</v>
      </c>
      <c r="R1570" s="18">
        <v>2.6774999999999998E-4</v>
      </c>
      <c r="S1570" s="18">
        <v>7.4969999999999995E-2</v>
      </c>
      <c r="T1570" s="18">
        <v>0.32129999999999997</v>
      </c>
      <c r="U1570" s="18">
        <v>0.16064999999999999</v>
      </c>
      <c r="V1570" s="18">
        <v>2.0563199999999999</v>
      </c>
      <c r="W1570" s="18">
        <v>1.9278</v>
      </c>
      <c r="X1570" s="18">
        <v>1.2851999999999999</v>
      </c>
      <c r="Y1570" s="18">
        <v>5.7119999999999997E-2</v>
      </c>
      <c r="Z1570" s="18">
        <v>0.25346999999999997</v>
      </c>
      <c r="AA1570" s="18">
        <v>0.37128</v>
      </c>
      <c r="AB1570" s="18">
        <v>0.66044999999999998</v>
      </c>
      <c r="AC1570" s="18">
        <v>0.20348999999999998</v>
      </c>
      <c r="AD1570" s="18">
        <v>1.071</v>
      </c>
    </row>
    <row r="1571" spans="2:30" x14ac:dyDescent="0.25">
      <c r="B1571" t="s">
        <v>269</v>
      </c>
      <c r="C1571" t="s">
        <v>463</v>
      </c>
      <c r="D1571" t="s">
        <v>748</v>
      </c>
      <c r="E1571" s="35">
        <v>0.9</v>
      </c>
      <c r="F1571" s="35">
        <v>6.6</v>
      </c>
      <c r="G1571" s="36">
        <v>4.1200000000000004E-3</v>
      </c>
      <c r="H1571" s="18">
        <v>7.4152979999999999</v>
      </c>
      <c r="I1571" s="16" t="s">
        <v>746</v>
      </c>
      <c r="J1571" s="16"/>
      <c r="K1571" s="16"/>
      <c r="L1571" s="37"/>
      <c r="M1571" s="37"/>
      <c r="N1571" s="37"/>
      <c r="O1571" s="37"/>
      <c r="P1571" s="37"/>
      <c r="Q1571" s="18">
        <v>4.5320000000000006E-2</v>
      </c>
      <c r="R1571" s="18">
        <v>3.0900000000000003E-4</v>
      </c>
      <c r="S1571" s="18">
        <v>8.6520000000000014E-2</v>
      </c>
      <c r="T1571" s="18">
        <v>0.37080000000000002</v>
      </c>
      <c r="U1571" s="18">
        <v>0.18540000000000001</v>
      </c>
      <c r="V1571" s="18">
        <v>2.3731200000000001</v>
      </c>
      <c r="W1571" s="18">
        <v>2.2248000000000001</v>
      </c>
      <c r="X1571" s="18">
        <v>1.4832000000000001</v>
      </c>
      <c r="Y1571" s="18">
        <v>6.5920000000000006E-2</v>
      </c>
      <c r="Z1571" s="18">
        <v>0.29252</v>
      </c>
      <c r="AA1571" s="18">
        <v>0.42848000000000003</v>
      </c>
      <c r="AB1571" s="18">
        <v>0.7622000000000001</v>
      </c>
      <c r="AC1571" s="18">
        <v>0.23484000000000002</v>
      </c>
      <c r="AD1571" s="18">
        <v>1.2360000000000002</v>
      </c>
    </row>
    <row r="1572" spans="2:30" x14ac:dyDescent="0.25">
      <c r="B1572" t="s">
        <v>269</v>
      </c>
      <c r="C1572" t="s">
        <v>463</v>
      </c>
      <c r="D1572" t="s">
        <v>748</v>
      </c>
      <c r="E1572" s="35">
        <v>0.9</v>
      </c>
      <c r="F1572" s="35">
        <v>6.6</v>
      </c>
      <c r="G1572" s="36">
        <v>4.1200000000000004E-3</v>
      </c>
      <c r="H1572" s="18">
        <v>7.4152979999999999</v>
      </c>
      <c r="I1572" s="16" t="s">
        <v>746</v>
      </c>
      <c r="J1572" s="16"/>
      <c r="K1572" s="16"/>
      <c r="L1572" s="37"/>
      <c r="M1572" s="37"/>
      <c r="N1572" s="37"/>
      <c r="O1572" s="37"/>
      <c r="P1572" s="37"/>
      <c r="Q1572" s="18">
        <v>4.5320000000000006E-2</v>
      </c>
      <c r="R1572" s="18">
        <v>3.0900000000000003E-4</v>
      </c>
      <c r="S1572" s="18">
        <v>8.6520000000000014E-2</v>
      </c>
      <c r="T1572" s="18">
        <v>0.37080000000000002</v>
      </c>
      <c r="U1572" s="18">
        <v>0.18540000000000001</v>
      </c>
      <c r="V1572" s="18">
        <v>2.3731200000000001</v>
      </c>
      <c r="W1572" s="18">
        <v>2.2248000000000001</v>
      </c>
      <c r="X1572" s="18">
        <v>1.4832000000000001</v>
      </c>
      <c r="Y1572" s="18">
        <v>6.5920000000000006E-2</v>
      </c>
      <c r="Z1572" s="18">
        <v>0.29252</v>
      </c>
      <c r="AA1572" s="18">
        <v>0.42848000000000003</v>
      </c>
      <c r="AB1572" s="18">
        <v>0.7622000000000001</v>
      </c>
      <c r="AC1572" s="18">
        <v>0.23484000000000002</v>
      </c>
      <c r="AD1572" s="18">
        <v>1.2360000000000002</v>
      </c>
    </row>
    <row r="1573" spans="2:30" x14ac:dyDescent="0.25">
      <c r="B1573" t="s">
        <v>269</v>
      </c>
      <c r="C1573" t="s">
        <v>463</v>
      </c>
      <c r="D1573" t="s">
        <v>749</v>
      </c>
      <c r="E1573" s="35">
        <v>0.9</v>
      </c>
      <c r="F1573" s="35">
        <v>6.6</v>
      </c>
      <c r="G1573" s="36">
        <v>3.5699999999999998E-3</v>
      </c>
      <c r="H1573" s="18">
        <v>6.4252979999999997</v>
      </c>
      <c r="I1573" s="16" t="s">
        <v>746</v>
      </c>
      <c r="J1573" s="16"/>
      <c r="K1573" s="16"/>
      <c r="L1573" s="37"/>
      <c r="M1573" s="37"/>
      <c r="N1573" s="37"/>
      <c r="O1573" s="37"/>
      <c r="P1573" s="37"/>
      <c r="Q1573" s="18">
        <v>3.9269999999999999E-2</v>
      </c>
      <c r="R1573" s="18">
        <v>2.6774999999999998E-4</v>
      </c>
      <c r="S1573" s="18">
        <v>7.4969999999999995E-2</v>
      </c>
      <c r="T1573" s="18">
        <v>0.32129999999999997</v>
      </c>
      <c r="U1573" s="18">
        <v>0.16064999999999999</v>
      </c>
      <c r="V1573" s="18">
        <v>2.0563199999999999</v>
      </c>
      <c r="W1573" s="18">
        <v>1.9278</v>
      </c>
      <c r="X1573" s="18">
        <v>1.2851999999999999</v>
      </c>
      <c r="Y1573" s="18">
        <v>5.7119999999999997E-2</v>
      </c>
      <c r="Z1573" s="18">
        <v>0.25346999999999997</v>
      </c>
      <c r="AA1573" s="18">
        <v>0.37128</v>
      </c>
      <c r="AB1573" s="18">
        <v>0.66044999999999998</v>
      </c>
      <c r="AC1573" s="18">
        <v>0.20348999999999998</v>
      </c>
      <c r="AD1573" s="18">
        <v>1.071</v>
      </c>
    </row>
    <row r="1574" spans="2:30" x14ac:dyDescent="0.25">
      <c r="B1574" t="s">
        <v>269</v>
      </c>
      <c r="C1574" t="s">
        <v>463</v>
      </c>
      <c r="D1574" t="s">
        <v>748</v>
      </c>
      <c r="E1574" s="35">
        <v>0.9</v>
      </c>
      <c r="F1574" s="35">
        <v>6.6</v>
      </c>
      <c r="G1574" s="36">
        <v>4.1200000000000004E-3</v>
      </c>
      <c r="H1574" s="18">
        <v>7.4152979999999999</v>
      </c>
      <c r="I1574" s="16" t="s">
        <v>746</v>
      </c>
      <c r="J1574" s="16"/>
      <c r="K1574" s="16"/>
      <c r="L1574" s="37"/>
      <c r="M1574" s="37"/>
      <c r="N1574" s="37"/>
      <c r="O1574" s="37"/>
      <c r="P1574" s="37"/>
      <c r="Q1574" s="18">
        <v>4.5320000000000006E-2</v>
      </c>
      <c r="R1574" s="18">
        <v>3.0900000000000003E-4</v>
      </c>
      <c r="S1574" s="18">
        <v>8.6520000000000014E-2</v>
      </c>
      <c r="T1574" s="18">
        <v>0.37080000000000002</v>
      </c>
      <c r="U1574" s="18">
        <v>0.18540000000000001</v>
      </c>
      <c r="V1574" s="18">
        <v>2.3731200000000001</v>
      </c>
      <c r="W1574" s="18">
        <v>2.2248000000000001</v>
      </c>
      <c r="X1574" s="18">
        <v>1.4832000000000001</v>
      </c>
      <c r="Y1574" s="18">
        <v>6.5920000000000006E-2</v>
      </c>
      <c r="Z1574" s="18">
        <v>0.29252</v>
      </c>
      <c r="AA1574" s="18">
        <v>0.42848000000000003</v>
      </c>
      <c r="AB1574" s="18">
        <v>0.7622000000000001</v>
      </c>
      <c r="AC1574" s="18">
        <v>0.23484000000000002</v>
      </c>
      <c r="AD1574" s="18">
        <v>1.2360000000000002</v>
      </c>
    </row>
    <row r="1575" spans="2:30" x14ac:dyDescent="0.25">
      <c r="B1575" t="s">
        <v>269</v>
      </c>
      <c r="C1575" t="s">
        <v>463</v>
      </c>
      <c r="D1575" t="s">
        <v>749</v>
      </c>
      <c r="E1575" s="35">
        <v>0.9</v>
      </c>
      <c r="F1575" s="35">
        <v>6.6</v>
      </c>
      <c r="G1575" s="36">
        <v>3.5699999999999998E-3</v>
      </c>
      <c r="H1575" s="18">
        <v>6.4252979999999997</v>
      </c>
      <c r="I1575" s="16" t="s">
        <v>746</v>
      </c>
      <c r="J1575" s="16"/>
      <c r="K1575" s="16"/>
      <c r="L1575" s="37"/>
      <c r="M1575" s="37"/>
      <c r="N1575" s="37"/>
      <c r="O1575" s="37"/>
      <c r="P1575" s="37"/>
      <c r="Q1575" s="18">
        <v>3.9269999999999999E-2</v>
      </c>
      <c r="R1575" s="18">
        <v>2.6774999999999998E-4</v>
      </c>
      <c r="S1575" s="18">
        <v>7.4969999999999995E-2</v>
      </c>
      <c r="T1575" s="18">
        <v>0.32129999999999997</v>
      </c>
      <c r="U1575" s="18">
        <v>0.16064999999999999</v>
      </c>
      <c r="V1575" s="18">
        <v>2.0563199999999999</v>
      </c>
      <c r="W1575" s="18">
        <v>1.9278</v>
      </c>
      <c r="X1575" s="18">
        <v>1.2851999999999999</v>
      </c>
      <c r="Y1575" s="18">
        <v>5.7119999999999997E-2</v>
      </c>
      <c r="Z1575" s="18">
        <v>0.25346999999999997</v>
      </c>
      <c r="AA1575" s="18">
        <v>0.37128</v>
      </c>
      <c r="AB1575" s="18">
        <v>0.66044999999999998</v>
      </c>
      <c r="AC1575" s="18">
        <v>0.20348999999999998</v>
      </c>
      <c r="AD1575" s="18">
        <v>1.071</v>
      </c>
    </row>
    <row r="1576" spans="2:30" x14ac:dyDescent="0.25">
      <c r="B1576" t="s">
        <v>269</v>
      </c>
      <c r="C1576" t="s">
        <v>463</v>
      </c>
      <c r="D1576" t="s">
        <v>749</v>
      </c>
      <c r="E1576" s="35">
        <v>0.9</v>
      </c>
      <c r="F1576" s="35">
        <v>6.6</v>
      </c>
      <c r="G1576" s="36">
        <v>3.5699999999999998E-3</v>
      </c>
      <c r="H1576" s="18">
        <v>6.4252979999999997</v>
      </c>
      <c r="I1576" s="16" t="s">
        <v>746</v>
      </c>
      <c r="J1576" s="16"/>
      <c r="K1576" s="16"/>
      <c r="L1576" s="37"/>
      <c r="M1576" s="37"/>
      <c r="N1576" s="37"/>
      <c r="O1576" s="37"/>
      <c r="P1576" s="37"/>
      <c r="Q1576" s="18">
        <v>3.9269999999999999E-2</v>
      </c>
      <c r="R1576" s="18">
        <v>2.6774999999999998E-4</v>
      </c>
      <c r="S1576" s="18">
        <v>7.4969999999999995E-2</v>
      </c>
      <c r="T1576" s="18">
        <v>0.32129999999999997</v>
      </c>
      <c r="U1576" s="18">
        <v>0.16064999999999999</v>
      </c>
      <c r="V1576" s="18">
        <v>2.0563199999999999</v>
      </c>
      <c r="W1576" s="18">
        <v>1.9278</v>
      </c>
      <c r="X1576" s="18">
        <v>1.2851999999999999</v>
      </c>
      <c r="Y1576" s="18">
        <v>5.7119999999999997E-2</v>
      </c>
      <c r="Z1576" s="18">
        <v>0.25346999999999997</v>
      </c>
      <c r="AA1576" s="18">
        <v>0.37128</v>
      </c>
      <c r="AB1576" s="18">
        <v>0.66044999999999998</v>
      </c>
      <c r="AC1576" s="18">
        <v>0.20348999999999998</v>
      </c>
      <c r="AD1576" s="18">
        <v>1.071</v>
      </c>
    </row>
    <row r="1577" spans="2:30" x14ac:dyDescent="0.25">
      <c r="B1577" t="s">
        <v>269</v>
      </c>
      <c r="C1577" t="s">
        <v>463</v>
      </c>
      <c r="D1577" t="s">
        <v>748</v>
      </c>
      <c r="E1577" s="35">
        <v>0.9</v>
      </c>
      <c r="F1577" s="35">
        <v>6.6</v>
      </c>
      <c r="G1577" s="36">
        <v>4.1200000000000004E-3</v>
      </c>
      <c r="H1577" s="18">
        <v>7.4152979999999999</v>
      </c>
      <c r="I1577" s="16" t="s">
        <v>746</v>
      </c>
      <c r="J1577" s="16"/>
      <c r="K1577" s="16"/>
      <c r="L1577" s="37"/>
      <c r="M1577" s="37"/>
      <c r="N1577" s="37"/>
      <c r="O1577" s="37"/>
      <c r="P1577" s="37"/>
      <c r="Q1577" s="18">
        <v>4.5320000000000006E-2</v>
      </c>
      <c r="R1577" s="18">
        <v>3.0900000000000003E-4</v>
      </c>
      <c r="S1577" s="18">
        <v>8.6520000000000014E-2</v>
      </c>
      <c r="T1577" s="18">
        <v>0.37080000000000002</v>
      </c>
      <c r="U1577" s="18">
        <v>0.18540000000000001</v>
      </c>
      <c r="V1577" s="18">
        <v>2.3731200000000001</v>
      </c>
      <c r="W1577" s="18">
        <v>2.2248000000000001</v>
      </c>
      <c r="X1577" s="18">
        <v>1.4832000000000001</v>
      </c>
      <c r="Y1577" s="18">
        <v>6.5920000000000006E-2</v>
      </c>
      <c r="Z1577" s="18">
        <v>0.29252</v>
      </c>
      <c r="AA1577" s="18">
        <v>0.42848000000000003</v>
      </c>
      <c r="AB1577" s="18">
        <v>0.7622000000000001</v>
      </c>
      <c r="AC1577" s="18">
        <v>0.23484000000000002</v>
      </c>
      <c r="AD1577" s="18">
        <v>1.2360000000000002</v>
      </c>
    </row>
    <row r="1578" spans="2:30" x14ac:dyDescent="0.25">
      <c r="B1578" t="s">
        <v>269</v>
      </c>
      <c r="C1578" t="s">
        <v>463</v>
      </c>
      <c r="D1578" t="s">
        <v>748</v>
      </c>
      <c r="E1578" s="35">
        <v>0.9</v>
      </c>
      <c r="F1578" s="35">
        <v>6.6</v>
      </c>
      <c r="G1578" s="36">
        <v>4.1200000000000004E-3</v>
      </c>
      <c r="H1578" s="18">
        <v>7.4152979999999999</v>
      </c>
      <c r="I1578" s="16" t="s">
        <v>746</v>
      </c>
      <c r="J1578" s="16"/>
      <c r="K1578" s="16"/>
      <c r="L1578" s="37"/>
      <c r="M1578" s="37"/>
      <c r="N1578" s="37"/>
      <c r="O1578" s="37"/>
      <c r="P1578" s="37"/>
      <c r="Q1578" s="18">
        <v>4.5320000000000006E-2</v>
      </c>
      <c r="R1578" s="18">
        <v>3.0900000000000003E-4</v>
      </c>
      <c r="S1578" s="18">
        <v>8.6520000000000014E-2</v>
      </c>
      <c r="T1578" s="18">
        <v>0.37080000000000002</v>
      </c>
      <c r="U1578" s="18">
        <v>0.18540000000000001</v>
      </c>
      <c r="V1578" s="18">
        <v>2.3731200000000001</v>
      </c>
      <c r="W1578" s="18">
        <v>2.2248000000000001</v>
      </c>
      <c r="X1578" s="18">
        <v>1.4832000000000001</v>
      </c>
      <c r="Y1578" s="18">
        <v>6.5920000000000006E-2</v>
      </c>
      <c r="Z1578" s="18">
        <v>0.29252</v>
      </c>
      <c r="AA1578" s="18">
        <v>0.42848000000000003</v>
      </c>
      <c r="AB1578" s="18">
        <v>0.7622000000000001</v>
      </c>
      <c r="AC1578" s="18">
        <v>0.23484000000000002</v>
      </c>
      <c r="AD1578" s="18">
        <v>1.2360000000000002</v>
      </c>
    </row>
    <row r="1579" spans="2:30" x14ac:dyDescent="0.25">
      <c r="B1579" t="s">
        <v>269</v>
      </c>
      <c r="C1579" t="s">
        <v>463</v>
      </c>
      <c r="D1579" t="s">
        <v>749</v>
      </c>
      <c r="E1579" s="35">
        <v>0.9</v>
      </c>
      <c r="F1579" s="35">
        <v>6.6</v>
      </c>
      <c r="G1579" s="36">
        <v>3.5699999999999998E-3</v>
      </c>
      <c r="H1579" s="18">
        <v>6.4252979999999997</v>
      </c>
      <c r="I1579" s="16" t="s">
        <v>746</v>
      </c>
      <c r="J1579" s="16"/>
      <c r="K1579" s="16"/>
      <c r="L1579" s="37"/>
      <c r="M1579" s="37"/>
      <c r="N1579" s="37"/>
      <c r="O1579" s="37"/>
      <c r="P1579" s="37"/>
      <c r="Q1579" s="18">
        <v>3.9269999999999999E-2</v>
      </c>
      <c r="R1579" s="18">
        <v>2.6774999999999998E-4</v>
      </c>
      <c r="S1579" s="18">
        <v>7.4969999999999995E-2</v>
      </c>
      <c r="T1579" s="18">
        <v>0.32129999999999997</v>
      </c>
      <c r="U1579" s="18">
        <v>0.16064999999999999</v>
      </c>
      <c r="V1579" s="18">
        <v>2.0563199999999999</v>
      </c>
      <c r="W1579" s="18">
        <v>1.9278</v>
      </c>
      <c r="X1579" s="18">
        <v>1.2851999999999999</v>
      </c>
      <c r="Y1579" s="18">
        <v>5.7119999999999997E-2</v>
      </c>
      <c r="Z1579" s="18">
        <v>0.25346999999999997</v>
      </c>
      <c r="AA1579" s="18">
        <v>0.37128</v>
      </c>
      <c r="AB1579" s="18">
        <v>0.66044999999999998</v>
      </c>
      <c r="AC1579" s="18">
        <v>0.20348999999999998</v>
      </c>
      <c r="AD1579" s="18">
        <v>1.071</v>
      </c>
    </row>
    <row r="1580" spans="2:30" x14ac:dyDescent="0.25">
      <c r="B1580" t="s">
        <v>269</v>
      </c>
      <c r="C1580" t="s">
        <v>463</v>
      </c>
      <c r="D1580" t="s">
        <v>749</v>
      </c>
      <c r="E1580" s="35">
        <v>0.9</v>
      </c>
      <c r="F1580" s="35">
        <v>6.6</v>
      </c>
      <c r="G1580" s="36">
        <v>3.5699999999999998E-3</v>
      </c>
      <c r="H1580" s="18">
        <v>6.4252979999999997</v>
      </c>
      <c r="I1580" s="16" t="s">
        <v>746</v>
      </c>
      <c r="J1580" s="16"/>
      <c r="K1580" s="16"/>
      <c r="L1580" s="37"/>
      <c r="M1580" s="37"/>
      <c r="N1580" s="37"/>
      <c r="O1580" s="37"/>
      <c r="P1580" s="37"/>
      <c r="Q1580" s="18">
        <v>3.9269999999999999E-2</v>
      </c>
      <c r="R1580" s="18">
        <v>2.6774999999999998E-4</v>
      </c>
      <c r="S1580" s="18">
        <v>7.4969999999999995E-2</v>
      </c>
      <c r="T1580" s="18">
        <v>0.32129999999999997</v>
      </c>
      <c r="U1580" s="18">
        <v>0.16064999999999999</v>
      </c>
      <c r="V1580" s="18">
        <v>2.0563199999999999</v>
      </c>
      <c r="W1580" s="18">
        <v>1.9278</v>
      </c>
      <c r="X1580" s="18">
        <v>1.2851999999999999</v>
      </c>
      <c r="Y1580" s="18">
        <v>5.7119999999999997E-2</v>
      </c>
      <c r="Z1580" s="18">
        <v>0.25346999999999997</v>
      </c>
      <c r="AA1580" s="18">
        <v>0.37128</v>
      </c>
      <c r="AB1580" s="18">
        <v>0.66044999999999998</v>
      </c>
      <c r="AC1580" s="18">
        <v>0.20348999999999998</v>
      </c>
      <c r="AD1580" s="18">
        <v>1.071</v>
      </c>
    </row>
    <row r="1581" spans="2:30" x14ac:dyDescent="0.25">
      <c r="B1581" t="s">
        <v>269</v>
      </c>
      <c r="C1581" t="s">
        <v>463</v>
      </c>
      <c r="D1581" t="s">
        <v>749</v>
      </c>
      <c r="E1581" s="35">
        <v>0.9</v>
      </c>
      <c r="F1581" s="35">
        <v>6.6</v>
      </c>
      <c r="G1581" s="36">
        <v>3.5699999999999998E-3</v>
      </c>
      <c r="H1581" s="18">
        <v>6.4252979999999997</v>
      </c>
      <c r="I1581" s="16" t="s">
        <v>746</v>
      </c>
      <c r="J1581" s="16"/>
      <c r="K1581" s="16"/>
      <c r="L1581" s="37"/>
      <c r="M1581" s="37"/>
      <c r="N1581" s="37"/>
      <c r="O1581" s="37"/>
      <c r="P1581" s="37"/>
      <c r="Q1581" s="18">
        <v>3.9269999999999999E-2</v>
      </c>
      <c r="R1581" s="18">
        <v>2.6774999999999998E-4</v>
      </c>
      <c r="S1581" s="18">
        <v>7.4969999999999995E-2</v>
      </c>
      <c r="T1581" s="18">
        <v>0.32129999999999997</v>
      </c>
      <c r="U1581" s="18">
        <v>0.16064999999999999</v>
      </c>
      <c r="V1581" s="18">
        <v>2.0563199999999999</v>
      </c>
      <c r="W1581" s="18">
        <v>1.9278</v>
      </c>
      <c r="X1581" s="18">
        <v>1.2851999999999999</v>
      </c>
      <c r="Y1581" s="18">
        <v>5.7119999999999997E-2</v>
      </c>
      <c r="Z1581" s="18">
        <v>0.25346999999999997</v>
      </c>
      <c r="AA1581" s="18">
        <v>0.37128</v>
      </c>
      <c r="AB1581" s="18">
        <v>0.66044999999999998</v>
      </c>
      <c r="AC1581" s="18">
        <v>0.20348999999999998</v>
      </c>
      <c r="AD1581" s="18">
        <v>1.071</v>
      </c>
    </row>
    <row r="1582" spans="2:30" x14ac:dyDescent="0.25">
      <c r="B1582" t="s">
        <v>269</v>
      </c>
      <c r="C1582" t="s">
        <v>463</v>
      </c>
      <c r="D1582" t="s">
        <v>748</v>
      </c>
      <c r="E1582" s="35">
        <v>0.9</v>
      </c>
      <c r="F1582" s="35">
        <v>6.6</v>
      </c>
      <c r="G1582" s="36">
        <v>4.1200000000000004E-3</v>
      </c>
      <c r="H1582" s="18">
        <v>7.4152979999999999</v>
      </c>
      <c r="I1582" s="16" t="s">
        <v>746</v>
      </c>
      <c r="J1582" s="16"/>
      <c r="K1582" s="16"/>
      <c r="L1582" s="37"/>
      <c r="M1582" s="37"/>
      <c r="N1582" s="37"/>
      <c r="O1582" s="37"/>
      <c r="P1582" s="37"/>
      <c r="Q1582" s="18">
        <v>4.5320000000000006E-2</v>
      </c>
      <c r="R1582" s="18">
        <v>3.0900000000000003E-4</v>
      </c>
      <c r="S1582" s="18">
        <v>8.6520000000000014E-2</v>
      </c>
      <c r="T1582" s="18">
        <v>0.37080000000000002</v>
      </c>
      <c r="U1582" s="18">
        <v>0.18540000000000001</v>
      </c>
      <c r="V1582" s="18">
        <v>2.3731200000000001</v>
      </c>
      <c r="W1582" s="18">
        <v>2.2248000000000001</v>
      </c>
      <c r="X1582" s="18">
        <v>1.4832000000000001</v>
      </c>
      <c r="Y1582" s="18">
        <v>6.5920000000000006E-2</v>
      </c>
      <c r="Z1582" s="18">
        <v>0.29252</v>
      </c>
      <c r="AA1582" s="18">
        <v>0.42848000000000003</v>
      </c>
      <c r="AB1582" s="18">
        <v>0.7622000000000001</v>
      </c>
      <c r="AC1582" s="18">
        <v>0.23484000000000002</v>
      </c>
      <c r="AD1582" s="18">
        <v>1.2360000000000002</v>
      </c>
    </row>
    <row r="1583" spans="2:30" x14ac:dyDescent="0.25">
      <c r="B1583" t="s">
        <v>269</v>
      </c>
      <c r="C1583" t="s">
        <v>463</v>
      </c>
      <c r="D1583" t="s">
        <v>748</v>
      </c>
      <c r="E1583" s="35">
        <v>0.9</v>
      </c>
      <c r="F1583" s="35">
        <v>6.6</v>
      </c>
      <c r="G1583" s="36">
        <v>4.1200000000000004E-3</v>
      </c>
      <c r="H1583" s="18">
        <v>7.4152979999999999</v>
      </c>
      <c r="I1583" s="16" t="s">
        <v>746</v>
      </c>
      <c r="J1583" s="16"/>
      <c r="K1583" s="16"/>
      <c r="L1583" s="37"/>
      <c r="M1583" s="37"/>
      <c r="N1583" s="37"/>
      <c r="O1583" s="37"/>
      <c r="P1583" s="37"/>
      <c r="Q1583" s="18">
        <v>4.5320000000000006E-2</v>
      </c>
      <c r="R1583" s="18">
        <v>3.0900000000000003E-4</v>
      </c>
      <c r="S1583" s="18">
        <v>8.6520000000000014E-2</v>
      </c>
      <c r="T1583" s="18">
        <v>0.37080000000000002</v>
      </c>
      <c r="U1583" s="18">
        <v>0.18540000000000001</v>
      </c>
      <c r="V1583" s="18">
        <v>2.3731200000000001</v>
      </c>
      <c r="W1583" s="18">
        <v>2.2248000000000001</v>
      </c>
      <c r="X1583" s="18">
        <v>1.4832000000000001</v>
      </c>
      <c r="Y1583" s="18">
        <v>6.5920000000000006E-2</v>
      </c>
      <c r="Z1583" s="18">
        <v>0.29252</v>
      </c>
      <c r="AA1583" s="18">
        <v>0.42848000000000003</v>
      </c>
      <c r="AB1583" s="18">
        <v>0.7622000000000001</v>
      </c>
      <c r="AC1583" s="18">
        <v>0.23484000000000002</v>
      </c>
      <c r="AD1583" s="18">
        <v>1.2360000000000002</v>
      </c>
    </row>
    <row r="1584" spans="2:30" x14ac:dyDescent="0.25">
      <c r="B1584" t="s">
        <v>269</v>
      </c>
      <c r="C1584" t="s">
        <v>463</v>
      </c>
      <c r="D1584" t="s">
        <v>748</v>
      </c>
      <c r="E1584" s="35">
        <v>0.9</v>
      </c>
      <c r="F1584" s="35">
        <v>6.6</v>
      </c>
      <c r="G1584" s="36">
        <v>4.1200000000000004E-3</v>
      </c>
      <c r="H1584" s="18">
        <v>7.4152979999999999</v>
      </c>
      <c r="I1584" s="16" t="s">
        <v>746</v>
      </c>
      <c r="J1584" s="16"/>
      <c r="K1584" s="16"/>
      <c r="L1584" s="37"/>
      <c r="M1584" s="37"/>
      <c r="N1584" s="37"/>
      <c r="O1584" s="37"/>
      <c r="P1584" s="37"/>
      <c r="Q1584" s="18">
        <v>4.5320000000000006E-2</v>
      </c>
      <c r="R1584" s="18">
        <v>3.0900000000000003E-4</v>
      </c>
      <c r="S1584" s="18">
        <v>8.6520000000000014E-2</v>
      </c>
      <c r="T1584" s="18">
        <v>0.37080000000000002</v>
      </c>
      <c r="U1584" s="18">
        <v>0.18540000000000001</v>
      </c>
      <c r="V1584" s="18">
        <v>2.3731200000000001</v>
      </c>
      <c r="W1584" s="18">
        <v>2.2248000000000001</v>
      </c>
      <c r="X1584" s="18">
        <v>1.4832000000000001</v>
      </c>
      <c r="Y1584" s="18">
        <v>6.5920000000000006E-2</v>
      </c>
      <c r="Z1584" s="18">
        <v>0.29252</v>
      </c>
      <c r="AA1584" s="18">
        <v>0.42848000000000003</v>
      </c>
      <c r="AB1584" s="18">
        <v>0.7622000000000001</v>
      </c>
      <c r="AC1584" s="18">
        <v>0.23484000000000002</v>
      </c>
      <c r="AD1584" s="18">
        <v>1.2360000000000002</v>
      </c>
    </row>
    <row r="1585" spans="2:30" x14ac:dyDescent="0.25">
      <c r="B1585" t="s">
        <v>269</v>
      </c>
      <c r="C1585" t="s">
        <v>463</v>
      </c>
      <c r="D1585" t="s">
        <v>747</v>
      </c>
      <c r="E1585" s="35">
        <v>0.9</v>
      </c>
      <c r="F1585" s="35">
        <v>6.6</v>
      </c>
      <c r="G1585" s="36">
        <v>4.9449999999999997E-3</v>
      </c>
      <c r="H1585" s="18">
        <v>8.9002979999999994</v>
      </c>
      <c r="I1585" s="16" t="s">
        <v>746</v>
      </c>
      <c r="J1585" s="16"/>
      <c r="K1585" s="16"/>
      <c r="L1585" s="37"/>
      <c r="M1585" s="37"/>
      <c r="N1585" s="37"/>
      <c r="O1585" s="37"/>
      <c r="P1585" s="37"/>
      <c r="Q1585" s="18">
        <v>5.4394999999999999E-2</v>
      </c>
      <c r="R1585" s="18">
        <v>3.7087499999999995E-4</v>
      </c>
      <c r="S1585" s="18">
        <v>0.10384499999999999</v>
      </c>
      <c r="T1585" s="18">
        <v>0.44505</v>
      </c>
      <c r="U1585" s="18">
        <v>0.222525</v>
      </c>
      <c r="V1585" s="18">
        <v>2.8483199999999997</v>
      </c>
      <c r="W1585" s="18">
        <v>2.6702999999999997</v>
      </c>
      <c r="X1585" s="18">
        <v>1.7802</v>
      </c>
      <c r="Y1585" s="18">
        <v>7.9119999999999996E-2</v>
      </c>
      <c r="Z1585" s="18">
        <v>0.35109499999999999</v>
      </c>
      <c r="AA1585" s="18">
        <v>0.51427999999999996</v>
      </c>
      <c r="AB1585" s="18">
        <v>0.914825</v>
      </c>
      <c r="AC1585" s="18">
        <v>0.28186499999999998</v>
      </c>
      <c r="AD1585" s="18">
        <v>1.4834999999999998</v>
      </c>
    </row>
    <row r="1586" spans="2:30" x14ac:dyDescent="0.25">
      <c r="B1586" t="s">
        <v>269</v>
      </c>
      <c r="C1586" t="s">
        <v>463</v>
      </c>
      <c r="D1586" t="s">
        <v>748</v>
      </c>
      <c r="E1586" s="35">
        <v>0.9</v>
      </c>
      <c r="F1586" s="35">
        <v>6.6</v>
      </c>
      <c r="G1586" s="36">
        <v>4.1200000000000004E-3</v>
      </c>
      <c r="H1586" s="18">
        <v>7.4152979999999999</v>
      </c>
      <c r="I1586" s="16" t="s">
        <v>746</v>
      </c>
      <c r="J1586" s="16"/>
      <c r="K1586" s="16"/>
      <c r="L1586" s="37"/>
      <c r="M1586" s="37"/>
      <c r="N1586" s="37"/>
      <c r="O1586" s="37"/>
      <c r="P1586" s="37"/>
      <c r="Q1586" s="18">
        <v>4.5320000000000006E-2</v>
      </c>
      <c r="R1586" s="18">
        <v>3.0900000000000003E-4</v>
      </c>
      <c r="S1586" s="18">
        <v>8.6520000000000014E-2</v>
      </c>
      <c r="T1586" s="18">
        <v>0.37080000000000002</v>
      </c>
      <c r="U1586" s="18">
        <v>0.18540000000000001</v>
      </c>
      <c r="V1586" s="18">
        <v>2.3731200000000001</v>
      </c>
      <c r="W1586" s="18">
        <v>2.2248000000000001</v>
      </c>
      <c r="X1586" s="18">
        <v>1.4832000000000001</v>
      </c>
      <c r="Y1586" s="18">
        <v>6.5920000000000006E-2</v>
      </c>
      <c r="Z1586" s="18">
        <v>0.29252</v>
      </c>
      <c r="AA1586" s="18">
        <v>0.42848000000000003</v>
      </c>
      <c r="AB1586" s="18">
        <v>0.7622000000000001</v>
      </c>
      <c r="AC1586" s="18">
        <v>0.23484000000000002</v>
      </c>
      <c r="AD1586" s="18">
        <v>1.2360000000000002</v>
      </c>
    </row>
    <row r="1587" spans="2:30" x14ac:dyDescent="0.25">
      <c r="B1587" t="s">
        <v>269</v>
      </c>
      <c r="C1587" t="s">
        <v>463</v>
      </c>
      <c r="D1587" t="s">
        <v>748</v>
      </c>
      <c r="E1587" s="35">
        <v>0.9</v>
      </c>
      <c r="F1587" s="35">
        <v>6.6</v>
      </c>
      <c r="G1587" s="36">
        <v>4.1200000000000004E-3</v>
      </c>
      <c r="H1587" s="18">
        <v>7.4152979999999999</v>
      </c>
      <c r="I1587" s="16" t="s">
        <v>746</v>
      </c>
      <c r="J1587" s="16"/>
      <c r="K1587" s="16"/>
      <c r="L1587" s="37"/>
      <c r="M1587" s="37"/>
      <c r="N1587" s="37"/>
      <c r="O1587" s="37"/>
      <c r="P1587" s="37"/>
      <c r="Q1587" s="18">
        <v>4.5320000000000006E-2</v>
      </c>
      <c r="R1587" s="18">
        <v>3.0900000000000003E-4</v>
      </c>
      <c r="S1587" s="18">
        <v>8.6520000000000014E-2</v>
      </c>
      <c r="T1587" s="18">
        <v>0.37080000000000002</v>
      </c>
      <c r="U1587" s="18">
        <v>0.18540000000000001</v>
      </c>
      <c r="V1587" s="18">
        <v>2.3731200000000001</v>
      </c>
      <c r="W1587" s="18">
        <v>2.2248000000000001</v>
      </c>
      <c r="X1587" s="18">
        <v>1.4832000000000001</v>
      </c>
      <c r="Y1587" s="18">
        <v>6.5920000000000006E-2</v>
      </c>
      <c r="Z1587" s="18">
        <v>0.29252</v>
      </c>
      <c r="AA1587" s="18">
        <v>0.42848000000000003</v>
      </c>
      <c r="AB1587" s="18">
        <v>0.7622000000000001</v>
      </c>
      <c r="AC1587" s="18">
        <v>0.23484000000000002</v>
      </c>
      <c r="AD1587" s="18">
        <v>1.2360000000000002</v>
      </c>
    </row>
    <row r="1588" spans="2:30" x14ac:dyDescent="0.25">
      <c r="B1588" t="s">
        <v>269</v>
      </c>
      <c r="C1588" t="s">
        <v>463</v>
      </c>
      <c r="D1588" t="s">
        <v>748</v>
      </c>
      <c r="E1588" s="35">
        <v>0.9</v>
      </c>
      <c r="F1588" s="35">
        <v>6.6</v>
      </c>
      <c r="G1588" s="36">
        <v>4.1200000000000004E-3</v>
      </c>
      <c r="H1588" s="18">
        <v>7.4152979999999999</v>
      </c>
      <c r="I1588" s="16" t="s">
        <v>746</v>
      </c>
      <c r="J1588" s="16"/>
      <c r="K1588" s="16"/>
      <c r="L1588" s="37"/>
      <c r="M1588" s="37"/>
      <c r="N1588" s="37"/>
      <c r="O1588" s="37"/>
      <c r="P1588" s="37"/>
      <c r="Q1588" s="18">
        <v>4.5320000000000006E-2</v>
      </c>
      <c r="R1588" s="18">
        <v>3.0900000000000003E-4</v>
      </c>
      <c r="S1588" s="18">
        <v>8.6520000000000014E-2</v>
      </c>
      <c r="T1588" s="18">
        <v>0.37080000000000002</v>
      </c>
      <c r="U1588" s="18">
        <v>0.18540000000000001</v>
      </c>
      <c r="V1588" s="18">
        <v>2.3731200000000001</v>
      </c>
      <c r="W1588" s="18">
        <v>2.2248000000000001</v>
      </c>
      <c r="X1588" s="18">
        <v>1.4832000000000001</v>
      </c>
      <c r="Y1588" s="18">
        <v>6.5920000000000006E-2</v>
      </c>
      <c r="Z1588" s="18">
        <v>0.29252</v>
      </c>
      <c r="AA1588" s="18">
        <v>0.42848000000000003</v>
      </c>
      <c r="AB1588" s="18">
        <v>0.7622000000000001</v>
      </c>
      <c r="AC1588" s="18">
        <v>0.23484000000000002</v>
      </c>
      <c r="AD1588" s="18">
        <v>1.2360000000000002</v>
      </c>
    </row>
    <row r="1589" spans="2:30" x14ac:dyDescent="0.25">
      <c r="B1589" t="s">
        <v>269</v>
      </c>
      <c r="C1589" t="s">
        <v>463</v>
      </c>
      <c r="D1589" t="s">
        <v>749</v>
      </c>
      <c r="E1589" s="35">
        <v>0.9</v>
      </c>
      <c r="F1589" s="35">
        <v>6.6</v>
      </c>
      <c r="G1589" s="36">
        <v>3.5699999999999998E-3</v>
      </c>
      <c r="H1589" s="18">
        <v>6.4252979999999997</v>
      </c>
      <c r="I1589" s="16" t="s">
        <v>746</v>
      </c>
      <c r="J1589" s="16"/>
      <c r="K1589" s="16"/>
      <c r="L1589" s="37"/>
      <c r="M1589" s="37"/>
      <c r="N1589" s="37"/>
      <c r="O1589" s="37"/>
      <c r="P1589" s="37"/>
      <c r="Q1589" s="18">
        <v>3.9269999999999999E-2</v>
      </c>
      <c r="R1589" s="18">
        <v>2.6774999999999998E-4</v>
      </c>
      <c r="S1589" s="18">
        <v>7.4969999999999995E-2</v>
      </c>
      <c r="T1589" s="18">
        <v>0.32129999999999997</v>
      </c>
      <c r="U1589" s="18">
        <v>0.16064999999999999</v>
      </c>
      <c r="V1589" s="18">
        <v>2.0563199999999999</v>
      </c>
      <c r="W1589" s="18">
        <v>1.9278</v>
      </c>
      <c r="X1589" s="18">
        <v>1.2851999999999999</v>
      </c>
      <c r="Y1589" s="18">
        <v>5.7119999999999997E-2</v>
      </c>
      <c r="Z1589" s="18">
        <v>0.25346999999999997</v>
      </c>
      <c r="AA1589" s="18">
        <v>0.37128</v>
      </c>
      <c r="AB1589" s="18">
        <v>0.66044999999999998</v>
      </c>
      <c r="AC1589" s="18">
        <v>0.20348999999999998</v>
      </c>
      <c r="AD1589" s="18">
        <v>1.071</v>
      </c>
    </row>
    <row r="1590" spans="2:30" x14ac:dyDescent="0.25">
      <c r="B1590" t="s">
        <v>269</v>
      </c>
      <c r="C1590" t="s">
        <v>570</v>
      </c>
      <c r="D1590" t="s">
        <v>749</v>
      </c>
      <c r="E1590" s="35">
        <v>0.9</v>
      </c>
      <c r="F1590" s="35">
        <v>6.6</v>
      </c>
      <c r="G1590" s="36">
        <v>3.5699999999999998E-3</v>
      </c>
      <c r="H1590" s="18">
        <v>6.4252979999999997</v>
      </c>
      <c r="I1590" s="16" t="s">
        <v>746</v>
      </c>
      <c r="J1590" s="16"/>
      <c r="K1590" s="16"/>
      <c r="L1590" s="37"/>
      <c r="M1590" s="37"/>
      <c r="N1590" s="37"/>
      <c r="O1590" s="37"/>
      <c r="P1590" s="37"/>
      <c r="Q1590" s="18">
        <v>3.9269999999999999E-2</v>
      </c>
      <c r="R1590" s="18">
        <v>2.6774999999999998E-4</v>
      </c>
      <c r="S1590" s="18">
        <v>7.4969999999999995E-2</v>
      </c>
      <c r="T1590" s="18">
        <v>0.32129999999999997</v>
      </c>
      <c r="U1590" s="18">
        <v>0.16064999999999999</v>
      </c>
      <c r="V1590" s="18">
        <v>2.0563199999999999</v>
      </c>
      <c r="W1590" s="18">
        <v>1.9278</v>
      </c>
      <c r="X1590" s="18">
        <v>1.2851999999999999</v>
      </c>
      <c r="Y1590" s="18">
        <v>5.7119999999999997E-2</v>
      </c>
      <c r="Z1590" s="18">
        <v>0.25346999999999997</v>
      </c>
      <c r="AA1590" s="18">
        <v>0.37128</v>
      </c>
      <c r="AB1590" s="18">
        <v>0.66044999999999998</v>
      </c>
      <c r="AC1590" s="18">
        <v>0.20348999999999998</v>
      </c>
      <c r="AD1590" s="18">
        <v>1.071</v>
      </c>
    </row>
    <row r="1591" spans="2:30" x14ac:dyDescent="0.25">
      <c r="B1591" t="s">
        <v>269</v>
      </c>
      <c r="C1591" t="s">
        <v>570</v>
      </c>
      <c r="D1591" t="s">
        <v>749</v>
      </c>
      <c r="E1591" s="35">
        <v>0.9</v>
      </c>
      <c r="F1591" s="35">
        <v>6.6</v>
      </c>
      <c r="G1591" s="36">
        <v>3.5699999999999998E-3</v>
      </c>
      <c r="H1591" s="18">
        <v>6.4252979999999997</v>
      </c>
      <c r="I1591" s="16" t="s">
        <v>746</v>
      </c>
      <c r="J1591" s="16"/>
      <c r="K1591" s="16"/>
      <c r="L1591" s="37"/>
      <c r="M1591" s="37"/>
      <c r="N1591" s="37"/>
      <c r="O1591" s="37"/>
      <c r="P1591" s="37"/>
      <c r="Q1591" s="18">
        <v>3.9269999999999999E-2</v>
      </c>
      <c r="R1591" s="18">
        <v>2.6774999999999998E-4</v>
      </c>
      <c r="S1591" s="18">
        <v>7.4969999999999995E-2</v>
      </c>
      <c r="T1591" s="18">
        <v>0.32129999999999997</v>
      </c>
      <c r="U1591" s="18">
        <v>0.16064999999999999</v>
      </c>
      <c r="V1591" s="18">
        <v>2.0563199999999999</v>
      </c>
      <c r="W1591" s="18">
        <v>1.9278</v>
      </c>
      <c r="X1591" s="18">
        <v>1.2851999999999999</v>
      </c>
      <c r="Y1591" s="18">
        <v>5.7119999999999997E-2</v>
      </c>
      <c r="Z1591" s="18">
        <v>0.25346999999999997</v>
      </c>
      <c r="AA1591" s="18">
        <v>0.37128</v>
      </c>
      <c r="AB1591" s="18">
        <v>0.66044999999999998</v>
      </c>
      <c r="AC1591" s="18">
        <v>0.20348999999999998</v>
      </c>
      <c r="AD1591" s="18">
        <v>1.071</v>
      </c>
    </row>
    <row r="1592" spans="2:30" x14ac:dyDescent="0.25">
      <c r="B1592" t="s">
        <v>269</v>
      </c>
      <c r="C1592" t="s">
        <v>570</v>
      </c>
      <c r="D1592" t="s">
        <v>749</v>
      </c>
      <c r="E1592" s="35">
        <v>0.9</v>
      </c>
      <c r="F1592" s="35">
        <v>6.6</v>
      </c>
      <c r="G1592" s="36">
        <v>3.5699999999999998E-3</v>
      </c>
      <c r="H1592" s="18">
        <v>6.4252979999999997</v>
      </c>
      <c r="I1592" s="16" t="s">
        <v>746</v>
      </c>
      <c r="J1592" s="16"/>
      <c r="K1592" s="16"/>
      <c r="L1592" s="37"/>
      <c r="M1592" s="37"/>
      <c r="N1592" s="37"/>
      <c r="O1592" s="37"/>
      <c r="P1592" s="37"/>
      <c r="Q1592" s="18">
        <v>3.9269999999999999E-2</v>
      </c>
      <c r="R1592" s="18">
        <v>2.6774999999999998E-4</v>
      </c>
      <c r="S1592" s="18">
        <v>7.4969999999999995E-2</v>
      </c>
      <c r="T1592" s="18">
        <v>0.32129999999999997</v>
      </c>
      <c r="U1592" s="18">
        <v>0.16064999999999999</v>
      </c>
      <c r="V1592" s="18">
        <v>2.0563199999999999</v>
      </c>
      <c r="W1592" s="18">
        <v>1.9278</v>
      </c>
      <c r="X1592" s="18">
        <v>1.2851999999999999</v>
      </c>
      <c r="Y1592" s="18">
        <v>5.7119999999999997E-2</v>
      </c>
      <c r="Z1592" s="18">
        <v>0.25346999999999997</v>
      </c>
      <c r="AA1592" s="18">
        <v>0.37128</v>
      </c>
      <c r="AB1592" s="18">
        <v>0.66044999999999998</v>
      </c>
      <c r="AC1592" s="18">
        <v>0.20348999999999998</v>
      </c>
      <c r="AD1592" s="18">
        <v>1.071</v>
      </c>
    </row>
    <row r="1593" spans="2:30" x14ac:dyDescent="0.25">
      <c r="B1593" t="s">
        <v>269</v>
      </c>
      <c r="C1593" t="s">
        <v>570</v>
      </c>
      <c r="D1593" t="s">
        <v>752</v>
      </c>
      <c r="E1593" s="35">
        <v>0.9</v>
      </c>
      <c r="F1593" s="35">
        <v>6.6</v>
      </c>
      <c r="G1593" s="36">
        <v>2.47E-3</v>
      </c>
      <c r="H1593" s="18">
        <v>4.4452980000000002</v>
      </c>
      <c r="I1593" s="16" t="s">
        <v>746</v>
      </c>
      <c r="J1593" s="16"/>
      <c r="K1593" s="16"/>
      <c r="L1593" s="37"/>
      <c r="M1593" s="37"/>
      <c r="N1593" s="37"/>
      <c r="O1593" s="37"/>
      <c r="P1593" s="37"/>
      <c r="Q1593" s="18">
        <v>2.717E-2</v>
      </c>
      <c r="R1593" s="18">
        <v>1.8525E-4</v>
      </c>
      <c r="S1593" s="18">
        <v>5.1869999999999999E-2</v>
      </c>
      <c r="T1593" s="18">
        <v>0.2223</v>
      </c>
      <c r="U1593" s="18">
        <v>0.11115</v>
      </c>
      <c r="V1593" s="18">
        <v>1.42272</v>
      </c>
      <c r="W1593" s="18">
        <v>1.3338000000000001</v>
      </c>
      <c r="X1593" s="18">
        <v>0.88919999999999999</v>
      </c>
      <c r="Y1593" s="18">
        <v>3.952E-2</v>
      </c>
      <c r="Z1593" s="18">
        <v>0.17537</v>
      </c>
      <c r="AA1593" s="18">
        <v>0.25688</v>
      </c>
      <c r="AB1593" s="18">
        <v>0.45694999999999997</v>
      </c>
      <c r="AC1593" s="18">
        <v>0.14079</v>
      </c>
      <c r="AD1593" s="18">
        <v>0.74099999999999999</v>
      </c>
    </row>
    <row r="1594" spans="2:30" x14ac:dyDescent="0.25">
      <c r="B1594" t="s">
        <v>269</v>
      </c>
      <c r="C1594" t="s">
        <v>570</v>
      </c>
      <c r="D1594" t="s">
        <v>749</v>
      </c>
      <c r="E1594" s="35">
        <v>0.9</v>
      </c>
      <c r="F1594" s="35">
        <v>6.6</v>
      </c>
      <c r="G1594" s="36">
        <v>3.5699999999999998E-3</v>
      </c>
      <c r="H1594" s="18">
        <v>6.4252979999999997</v>
      </c>
      <c r="I1594" s="16" t="s">
        <v>746</v>
      </c>
      <c r="J1594" s="16"/>
      <c r="K1594" s="16"/>
      <c r="L1594" s="37"/>
      <c r="M1594" s="37"/>
      <c r="N1594" s="37"/>
      <c r="O1594" s="37"/>
      <c r="P1594" s="37"/>
      <c r="Q1594" s="18">
        <v>3.9269999999999999E-2</v>
      </c>
      <c r="R1594" s="18">
        <v>2.6774999999999998E-4</v>
      </c>
      <c r="S1594" s="18">
        <v>7.4969999999999995E-2</v>
      </c>
      <c r="T1594" s="18">
        <v>0.32129999999999997</v>
      </c>
      <c r="U1594" s="18">
        <v>0.16064999999999999</v>
      </c>
      <c r="V1594" s="18">
        <v>2.0563199999999999</v>
      </c>
      <c r="W1594" s="18">
        <v>1.9278</v>
      </c>
      <c r="X1594" s="18">
        <v>1.2851999999999999</v>
      </c>
      <c r="Y1594" s="18">
        <v>5.7119999999999997E-2</v>
      </c>
      <c r="Z1594" s="18">
        <v>0.25346999999999997</v>
      </c>
      <c r="AA1594" s="18">
        <v>0.37128</v>
      </c>
      <c r="AB1594" s="18">
        <v>0.66044999999999998</v>
      </c>
      <c r="AC1594" s="18">
        <v>0.20348999999999998</v>
      </c>
      <c r="AD1594" s="18">
        <v>1.071</v>
      </c>
    </row>
    <row r="1595" spans="2:30" x14ac:dyDescent="0.25">
      <c r="B1595" t="s">
        <v>269</v>
      </c>
      <c r="C1595" t="s">
        <v>570</v>
      </c>
      <c r="D1595" t="s">
        <v>752</v>
      </c>
      <c r="E1595" s="35">
        <v>0.9</v>
      </c>
      <c r="F1595" s="35">
        <v>6.6</v>
      </c>
      <c r="G1595" s="36">
        <v>2.47E-3</v>
      </c>
      <c r="H1595" s="18">
        <v>4.4452980000000002</v>
      </c>
      <c r="I1595" s="16" t="s">
        <v>746</v>
      </c>
      <c r="J1595" s="16"/>
      <c r="K1595" s="16"/>
      <c r="L1595" s="37"/>
      <c r="M1595" s="37"/>
      <c r="N1595" s="37"/>
      <c r="O1595" s="37"/>
      <c r="P1595" s="37"/>
      <c r="Q1595" s="18">
        <v>2.717E-2</v>
      </c>
      <c r="R1595" s="18">
        <v>1.8525E-4</v>
      </c>
      <c r="S1595" s="18">
        <v>5.1869999999999999E-2</v>
      </c>
      <c r="T1595" s="18">
        <v>0.2223</v>
      </c>
      <c r="U1595" s="18">
        <v>0.11115</v>
      </c>
      <c r="V1595" s="18">
        <v>1.42272</v>
      </c>
      <c r="W1595" s="18">
        <v>1.3338000000000001</v>
      </c>
      <c r="X1595" s="18">
        <v>0.88919999999999999</v>
      </c>
      <c r="Y1595" s="18">
        <v>3.952E-2</v>
      </c>
      <c r="Z1595" s="18">
        <v>0.17537</v>
      </c>
      <c r="AA1595" s="18">
        <v>0.25688</v>
      </c>
      <c r="AB1595" s="18">
        <v>0.45694999999999997</v>
      </c>
      <c r="AC1595" s="18">
        <v>0.14079</v>
      </c>
      <c r="AD1595" s="18">
        <v>0.74099999999999999</v>
      </c>
    </row>
    <row r="1596" spans="2:30" x14ac:dyDescent="0.25">
      <c r="B1596" t="s">
        <v>269</v>
      </c>
      <c r="C1596" t="s">
        <v>570</v>
      </c>
      <c r="D1596" t="s">
        <v>749</v>
      </c>
      <c r="E1596" s="35">
        <v>0.9</v>
      </c>
      <c r="F1596" s="35">
        <v>6.6</v>
      </c>
      <c r="G1596" s="36">
        <v>3.5699999999999998E-3</v>
      </c>
      <c r="H1596" s="18">
        <v>6.4252979999999997</v>
      </c>
      <c r="I1596" s="16" t="s">
        <v>746</v>
      </c>
      <c r="J1596" s="16"/>
      <c r="K1596" s="16"/>
      <c r="L1596" s="37"/>
      <c r="M1596" s="37"/>
      <c r="N1596" s="37"/>
      <c r="O1596" s="37"/>
      <c r="P1596" s="37"/>
      <c r="Q1596" s="18">
        <v>3.9269999999999999E-2</v>
      </c>
      <c r="R1596" s="18">
        <v>2.6774999999999998E-4</v>
      </c>
      <c r="S1596" s="18">
        <v>7.4969999999999995E-2</v>
      </c>
      <c r="T1596" s="18">
        <v>0.32129999999999997</v>
      </c>
      <c r="U1596" s="18">
        <v>0.16064999999999999</v>
      </c>
      <c r="V1596" s="18">
        <v>2.0563199999999999</v>
      </c>
      <c r="W1596" s="18">
        <v>1.9278</v>
      </c>
      <c r="X1596" s="18">
        <v>1.2851999999999999</v>
      </c>
      <c r="Y1596" s="18">
        <v>5.7119999999999997E-2</v>
      </c>
      <c r="Z1596" s="18">
        <v>0.25346999999999997</v>
      </c>
      <c r="AA1596" s="18">
        <v>0.37128</v>
      </c>
      <c r="AB1596" s="18">
        <v>0.66044999999999998</v>
      </c>
      <c r="AC1596" s="18">
        <v>0.20348999999999998</v>
      </c>
      <c r="AD1596" s="18">
        <v>1.071</v>
      </c>
    </row>
    <row r="1597" spans="2:30" x14ac:dyDescent="0.25">
      <c r="B1597" t="s">
        <v>269</v>
      </c>
      <c r="C1597" t="s">
        <v>570</v>
      </c>
      <c r="D1597" t="s">
        <v>748</v>
      </c>
      <c r="E1597" s="35">
        <v>0.9</v>
      </c>
      <c r="F1597" s="35">
        <v>6.6</v>
      </c>
      <c r="G1597" s="36">
        <v>4.1200000000000004E-3</v>
      </c>
      <c r="H1597" s="18">
        <v>7.4152979999999999</v>
      </c>
      <c r="I1597" s="16" t="s">
        <v>746</v>
      </c>
      <c r="J1597" s="16"/>
      <c r="K1597" s="16"/>
      <c r="L1597" s="37"/>
      <c r="M1597" s="37"/>
      <c r="N1597" s="37"/>
      <c r="O1597" s="37"/>
      <c r="P1597" s="37"/>
      <c r="Q1597" s="18">
        <v>4.5320000000000006E-2</v>
      </c>
      <c r="R1597" s="18">
        <v>3.0900000000000003E-4</v>
      </c>
      <c r="S1597" s="18">
        <v>8.6520000000000014E-2</v>
      </c>
      <c r="T1597" s="18">
        <v>0.37080000000000002</v>
      </c>
      <c r="U1597" s="18">
        <v>0.18540000000000001</v>
      </c>
      <c r="V1597" s="18">
        <v>2.3731200000000001</v>
      </c>
      <c r="W1597" s="18">
        <v>2.2248000000000001</v>
      </c>
      <c r="X1597" s="18">
        <v>1.4832000000000001</v>
      </c>
      <c r="Y1597" s="18">
        <v>6.5920000000000006E-2</v>
      </c>
      <c r="Z1597" s="18">
        <v>0.29252</v>
      </c>
      <c r="AA1597" s="18">
        <v>0.42848000000000003</v>
      </c>
      <c r="AB1597" s="18">
        <v>0.7622000000000001</v>
      </c>
      <c r="AC1597" s="18">
        <v>0.23484000000000002</v>
      </c>
      <c r="AD1597" s="18">
        <v>1.2360000000000002</v>
      </c>
    </row>
    <row r="1598" spans="2:30" x14ac:dyDescent="0.25">
      <c r="B1598" t="s">
        <v>269</v>
      </c>
      <c r="C1598" t="s">
        <v>570</v>
      </c>
      <c r="D1598" t="s">
        <v>749</v>
      </c>
      <c r="E1598" s="35">
        <v>0.9</v>
      </c>
      <c r="F1598" s="35">
        <v>6.6</v>
      </c>
      <c r="G1598" s="36">
        <v>3.5699999999999998E-3</v>
      </c>
      <c r="H1598" s="18">
        <v>6.4252979999999997</v>
      </c>
      <c r="I1598" s="16" t="s">
        <v>746</v>
      </c>
      <c r="J1598" s="16"/>
      <c r="K1598" s="16"/>
      <c r="L1598" s="37"/>
      <c r="M1598" s="37"/>
      <c r="N1598" s="37"/>
      <c r="O1598" s="37"/>
      <c r="P1598" s="37"/>
      <c r="Q1598" s="18">
        <v>3.9269999999999999E-2</v>
      </c>
      <c r="R1598" s="18">
        <v>2.6774999999999998E-4</v>
      </c>
      <c r="S1598" s="18">
        <v>7.4969999999999995E-2</v>
      </c>
      <c r="T1598" s="18">
        <v>0.32129999999999997</v>
      </c>
      <c r="U1598" s="18">
        <v>0.16064999999999999</v>
      </c>
      <c r="V1598" s="18">
        <v>2.0563199999999999</v>
      </c>
      <c r="W1598" s="18">
        <v>1.9278</v>
      </c>
      <c r="X1598" s="18">
        <v>1.2851999999999999</v>
      </c>
      <c r="Y1598" s="18">
        <v>5.7119999999999997E-2</v>
      </c>
      <c r="Z1598" s="18">
        <v>0.25346999999999997</v>
      </c>
      <c r="AA1598" s="18">
        <v>0.37128</v>
      </c>
      <c r="AB1598" s="18">
        <v>0.66044999999999998</v>
      </c>
      <c r="AC1598" s="18">
        <v>0.20348999999999998</v>
      </c>
      <c r="AD1598" s="18">
        <v>1.071</v>
      </c>
    </row>
    <row r="1599" spans="2:30" x14ac:dyDescent="0.25">
      <c r="B1599" t="s">
        <v>269</v>
      </c>
      <c r="C1599" t="s">
        <v>570</v>
      </c>
      <c r="D1599" t="s">
        <v>753</v>
      </c>
      <c r="E1599" s="35">
        <v>0.9</v>
      </c>
      <c r="F1599" s="35">
        <v>6.6</v>
      </c>
      <c r="G1599" s="36">
        <v>5.77E-3</v>
      </c>
      <c r="H1599" s="18">
        <v>10.385298000000001</v>
      </c>
      <c r="I1599" s="16" t="s">
        <v>746</v>
      </c>
      <c r="J1599" s="16"/>
      <c r="K1599" s="16"/>
      <c r="L1599" s="37"/>
      <c r="M1599" s="37"/>
      <c r="N1599" s="37"/>
      <c r="O1599" s="37"/>
      <c r="P1599" s="37"/>
      <c r="Q1599" s="18">
        <v>6.3469999999999999E-2</v>
      </c>
      <c r="R1599" s="18">
        <v>4.3274999999999997E-4</v>
      </c>
      <c r="S1599" s="18">
        <v>0.12117</v>
      </c>
      <c r="T1599" s="18">
        <v>0.51929999999999998</v>
      </c>
      <c r="U1599" s="18">
        <v>0.25964999999999999</v>
      </c>
      <c r="V1599" s="18">
        <v>3.3235199999999998</v>
      </c>
      <c r="W1599" s="18">
        <v>3.1158000000000001</v>
      </c>
      <c r="X1599" s="18">
        <v>2.0771999999999999</v>
      </c>
      <c r="Y1599" s="18">
        <v>9.2319999999999999E-2</v>
      </c>
      <c r="Z1599" s="18">
        <v>0.40966999999999998</v>
      </c>
      <c r="AA1599" s="18">
        <v>0.60007999999999995</v>
      </c>
      <c r="AB1599" s="18">
        <v>1.06745</v>
      </c>
      <c r="AC1599" s="18">
        <v>0.32889000000000002</v>
      </c>
      <c r="AD1599" s="18">
        <v>1.7310000000000001</v>
      </c>
    </row>
    <row r="1600" spans="2:30" x14ac:dyDescent="0.25">
      <c r="B1600" t="s">
        <v>269</v>
      </c>
      <c r="C1600" t="s">
        <v>570</v>
      </c>
      <c r="D1600" t="s">
        <v>748</v>
      </c>
      <c r="E1600" s="35">
        <v>0.9</v>
      </c>
      <c r="F1600" s="35">
        <v>6.6</v>
      </c>
      <c r="G1600" s="36">
        <v>4.1200000000000004E-3</v>
      </c>
      <c r="H1600" s="18">
        <v>7.4152979999999999</v>
      </c>
      <c r="I1600" s="16" t="s">
        <v>746</v>
      </c>
      <c r="J1600" s="16"/>
      <c r="K1600" s="16"/>
      <c r="L1600" s="37"/>
      <c r="M1600" s="37"/>
      <c r="N1600" s="37"/>
      <c r="O1600" s="37"/>
      <c r="P1600" s="37"/>
      <c r="Q1600" s="18">
        <v>4.5320000000000006E-2</v>
      </c>
      <c r="R1600" s="18">
        <v>3.0900000000000003E-4</v>
      </c>
      <c r="S1600" s="18">
        <v>8.6520000000000014E-2</v>
      </c>
      <c r="T1600" s="18">
        <v>0.37080000000000002</v>
      </c>
      <c r="U1600" s="18">
        <v>0.18540000000000001</v>
      </c>
      <c r="V1600" s="18">
        <v>2.3731200000000001</v>
      </c>
      <c r="W1600" s="18">
        <v>2.2248000000000001</v>
      </c>
      <c r="X1600" s="18">
        <v>1.4832000000000001</v>
      </c>
      <c r="Y1600" s="18">
        <v>6.5920000000000006E-2</v>
      </c>
      <c r="Z1600" s="18">
        <v>0.29252</v>
      </c>
      <c r="AA1600" s="18">
        <v>0.42848000000000003</v>
      </c>
      <c r="AB1600" s="18">
        <v>0.7622000000000001</v>
      </c>
      <c r="AC1600" s="18">
        <v>0.23484000000000002</v>
      </c>
      <c r="AD1600" s="18">
        <v>1.2360000000000002</v>
      </c>
    </row>
    <row r="1601" spans="2:30" x14ac:dyDescent="0.25">
      <c r="B1601" t="s">
        <v>269</v>
      </c>
      <c r="C1601" t="s">
        <v>570</v>
      </c>
      <c r="D1601" t="s">
        <v>748</v>
      </c>
      <c r="E1601" s="35">
        <v>0.9</v>
      </c>
      <c r="F1601" s="35">
        <v>6.6</v>
      </c>
      <c r="G1601" s="36">
        <v>4.1200000000000004E-3</v>
      </c>
      <c r="H1601" s="18">
        <v>7.4152979999999999</v>
      </c>
      <c r="I1601" s="16" t="s">
        <v>746</v>
      </c>
      <c r="J1601" s="16"/>
      <c r="K1601" s="16"/>
      <c r="L1601" s="37"/>
      <c r="M1601" s="37"/>
      <c r="N1601" s="37"/>
      <c r="O1601" s="37"/>
      <c r="P1601" s="37"/>
      <c r="Q1601" s="18">
        <v>4.5320000000000006E-2</v>
      </c>
      <c r="R1601" s="18">
        <v>3.0900000000000003E-4</v>
      </c>
      <c r="S1601" s="18">
        <v>8.6520000000000014E-2</v>
      </c>
      <c r="T1601" s="18">
        <v>0.37080000000000002</v>
      </c>
      <c r="U1601" s="18">
        <v>0.18540000000000001</v>
      </c>
      <c r="V1601" s="18">
        <v>2.3731200000000001</v>
      </c>
      <c r="W1601" s="18">
        <v>2.2248000000000001</v>
      </c>
      <c r="X1601" s="18">
        <v>1.4832000000000001</v>
      </c>
      <c r="Y1601" s="18">
        <v>6.5920000000000006E-2</v>
      </c>
      <c r="Z1601" s="18">
        <v>0.29252</v>
      </c>
      <c r="AA1601" s="18">
        <v>0.42848000000000003</v>
      </c>
      <c r="AB1601" s="18">
        <v>0.7622000000000001</v>
      </c>
      <c r="AC1601" s="18">
        <v>0.23484000000000002</v>
      </c>
      <c r="AD1601" s="18">
        <v>1.2360000000000002</v>
      </c>
    </row>
    <row r="1602" spans="2:30" x14ac:dyDescent="0.25">
      <c r="B1602" t="s">
        <v>269</v>
      </c>
      <c r="C1602" t="s">
        <v>570</v>
      </c>
      <c r="D1602" t="s">
        <v>747</v>
      </c>
      <c r="E1602" s="35">
        <v>0.9</v>
      </c>
      <c r="F1602" s="35">
        <v>6.6</v>
      </c>
      <c r="G1602" s="36">
        <v>4.9449999999999997E-3</v>
      </c>
      <c r="H1602" s="18">
        <v>8.9002979999999994</v>
      </c>
      <c r="I1602" s="16" t="s">
        <v>746</v>
      </c>
      <c r="J1602" s="16"/>
      <c r="K1602" s="16"/>
      <c r="L1602" s="37"/>
      <c r="M1602" s="37"/>
      <c r="N1602" s="37"/>
      <c r="O1602" s="37"/>
      <c r="P1602" s="37"/>
      <c r="Q1602" s="18">
        <v>5.4394999999999999E-2</v>
      </c>
      <c r="R1602" s="18">
        <v>3.7087499999999995E-4</v>
      </c>
      <c r="S1602" s="18">
        <v>0.10384499999999999</v>
      </c>
      <c r="T1602" s="18">
        <v>0.44505</v>
      </c>
      <c r="U1602" s="18">
        <v>0.222525</v>
      </c>
      <c r="V1602" s="18">
        <v>2.8483199999999997</v>
      </c>
      <c r="W1602" s="18">
        <v>2.6702999999999997</v>
      </c>
      <c r="X1602" s="18">
        <v>1.7802</v>
      </c>
      <c r="Y1602" s="18">
        <v>7.9119999999999996E-2</v>
      </c>
      <c r="Z1602" s="18">
        <v>0.35109499999999999</v>
      </c>
      <c r="AA1602" s="18">
        <v>0.51427999999999996</v>
      </c>
      <c r="AB1602" s="18">
        <v>0.914825</v>
      </c>
      <c r="AC1602" s="18">
        <v>0.28186499999999998</v>
      </c>
      <c r="AD1602" s="18">
        <v>1.4834999999999998</v>
      </c>
    </row>
    <row r="1603" spans="2:30" x14ac:dyDescent="0.25">
      <c r="B1603" t="s">
        <v>269</v>
      </c>
      <c r="C1603" t="s">
        <v>570</v>
      </c>
      <c r="D1603" t="s">
        <v>749</v>
      </c>
      <c r="E1603" s="35">
        <v>0.9</v>
      </c>
      <c r="F1603" s="35">
        <v>6.6</v>
      </c>
      <c r="G1603" s="36">
        <v>3.5699999999999998E-3</v>
      </c>
      <c r="H1603" s="18">
        <v>6.4252979999999997</v>
      </c>
      <c r="I1603" s="16" t="s">
        <v>746</v>
      </c>
      <c r="J1603" s="16"/>
      <c r="K1603" s="16"/>
      <c r="L1603" s="37"/>
      <c r="M1603" s="37"/>
      <c r="N1603" s="37"/>
      <c r="O1603" s="37"/>
      <c r="P1603" s="37"/>
      <c r="Q1603" s="18">
        <v>3.9269999999999999E-2</v>
      </c>
      <c r="R1603" s="18">
        <v>2.6774999999999998E-4</v>
      </c>
      <c r="S1603" s="18">
        <v>7.4969999999999995E-2</v>
      </c>
      <c r="T1603" s="18">
        <v>0.32129999999999997</v>
      </c>
      <c r="U1603" s="18">
        <v>0.16064999999999999</v>
      </c>
      <c r="V1603" s="18">
        <v>2.0563199999999999</v>
      </c>
      <c r="W1603" s="18">
        <v>1.9278</v>
      </c>
      <c r="X1603" s="18">
        <v>1.2851999999999999</v>
      </c>
      <c r="Y1603" s="18">
        <v>5.7119999999999997E-2</v>
      </c>
      <c r="Z1603" s="18">
        <v>0.25346999999999997</v>
      </c>
      <c r="AA1603" s="18">
        <v>0.37128</v>
      </c>
      <c r="AB1603" s="18">
        <v>0.66044999999999998</v>
      </c>
      <c r="AC1603" s="18">
        <v>0.20348999999999998</v>
      </c>
      <c r="AD1603" s="18">
        <v>1.071</v>
      </c>
    </row>
    <row r="1604" spans="2:30" x14ac:dyDescent="0.25">
      <c r="B1604" t="s">
        <v>269</v>
      </c>
      <c r="C1604" t="s">
        <v>570</v>
      </c>
      <c r="D1604" t="s">
        <v>750</v>
      </c>
      <c r="E1604" s="35">
        <v>0.9</v>
      </c>
      <c r="F1604" s="35">
        <v>6.6</v>
      </c>
      <c r="G1604" s="36">
        <v>3.0200000000000001E-3</v>
      </c>
      <c r="H1604" s="18">
        <v>5.4352980000000004</v>
      </c>
      <c r="I1604" s="16" t="s">
        <v>746</v>
      </c>
      <c r="J1604" s="16"/>
      <c r="K1604" s="16"/>
      <c r="L1604" s="37"/>
      <c r="M1604" s="37"/>
      <c r="N1604" s="37"/>
      <c r="O1604" s="37"/>
      <c r="P1604" s="37"/>
      <c r="Q1604" s="18">
        <v>3.322E-2</v>
      </c>
      <c r="R1604" s="18">
        <v>2.265E-4</v>
      </c>
      <c r="S1604" s="18">
        <v>6.3420000000000004E-2</v>
      </c>
      <c r="T1604" s="18">
        <v>0.27179999999999999</v>
      </c>
      <c r="U1604" s="18">
        <v>0.13589999999999999</v>
      </c>
      <c r="V1604" s="18">
        <v>1.7395200000000002</v>
      </c>
      <c r="W1604" s="18">
        <v>1.6308</v>
      </c>
      <c r="X1604" s="18">
        <v>1.0871999999999999</v>
      </c>
      <c r="Y1604" s="18">
        <v>4.8320000000000002E-2</v>
      </c>
      <c r="Z1604" s="18">
        <v>0.21442</v>
      </c>
      <c r="AA1604" s="18">
        <v>0.31408000000000003</v>
      </c>
      <c r="AB1604" s="18">
        <v>0.55869999999999997</v>
      </c>
      <c r="AC1604" s="18">
        <v>0.17214000000000002</v>
      </c>
      <c r="AD1604" s="18">
        <v>0.90600000000000003</v>
      </c>
    </row>
    <row r="1605" spans="2:30" x14ac:dyDescent="0.25">
      <c r="B1605" t="s">
        <v>269</v>
      </c>
      <c r="C1605" t="s">
        <v>570</v>
      </c>
      <c r="D1605" t="s">
        <v>750</v>
      </c>
      <c r="E1605" s="35">
        <v>0.9</v>
      </c>
      <c r="F1605" s="35">
        <v>6.6</v>
      </c>
      <c r="G1605" s="36">
        <v>3.0200000000000001E-3</v>
      </c>
      <c r="H1605" s="18">
        <v>5.4352980000000004</v>
      </c>
      <c r="I1605" s="16" t="s">
        <v>746</v>
      </c>
      <c r="J1605" s="16"/>
      <c r="K1605" s="16"/>
      <c r="L1605" s="37"/>
      <c r="M1605" s="37"/>
      <c r="N1605" s="37"/>
      <c r="O1605" s="37"/>
      <c r="P1605" s="37"/>
      <c r="Q1605" s="18">
        <v>3.322E-2</v>
      </c>
      <c r="R1605" s="18">
        <v>2.265E-4</v>
      </c>
      <c r="S1605" s="18">
        <v>6.3420000000000004E-2</v>
      </c>
      <c r="T1605" s="18">
        <v>0.27179999999999999</v>
      </c>
      <c r="U1605" s="18">
        <v>0.13589999999999999</v>
      </c>
      <c r="V1605" s="18">
        <v>1.7395200000000002</v>
      </c>
      <c r="W1605" s="18">
        <v>1.6308</v>
      </c>
      <c r="X1605" s="18">
        <v>1.0871999999999999</v>
      </c>
      <c r="Y1605" s="18">
        <v>4.8320000000000002E-2</v>
      </c>
      <c r="Z1605" s="18">
        <v>0.21442</v>
      </c>
      <c r="AA1605" s="18">
        <v>0.31408000000000003</v>
      </c>
      <c r="AB1605" s="18">
        <v>0.55869999999999997</v>
      </c>
      <c r="AC1605" s="18">
        <v>0.17214000000000002</v>
      </c>
      <c r="AD1605" s="18">
        <v>0.90600000000000003</v>
      </c>
    </row>
    <row r="1606" spans="2:30" x14ac:dyDescent="0.25">
      <c r="B1606" t="s">
        <v>269</v>
      </c>
      <c r="C1606" t="s">
        <v>570</v>
      </c>
      <c r="D1606" t="s">
        <v>748</v>
      </c>
      <c r="E1606" s="35">
        <v>0.9</v>
      </c>
      <c r="F1606" s="35">
        <v>6.6</v>
      </c>
      <c r="G1606" s="36">
        <v>4.1200000000000004E-3</v>
      </c>
      <c r="H1606" s="18">
        <v>7.4152979999999999</v>
      </c>
      <c r="I1606" s="16" t="s">
        <v>746</v>
      </c>
      <c r="J1606" s="16"/>
      <c r="K1606" s="16"/>
      <c r="L1606" s="37"/>
      <c r="M1606" s="37"/>
      <c r="N1606" s="37"/>
      <c r="O1606" s="37"/>
      <c r="P1606" s="37"/>
      <c r="Q1606" s="18">
        <v>4.5320000000000006E-2</v>
      </c>
      <c r="R1606" s="18">
        <v>3.0900000000000003E-4</v>
      </c>
      <c r="S1606" s="18">
        <v>8.6520000000000014E-2</v>
      </c>
      <c r="T1606" s="18">
        <v>0.37080000000000002</v>
      </c>
      <c r="U1606" s="18">
        <v>0.18540000000000001</v>
      </c>
      <c r="V1606" s="18">
        <v>2.3731200000000001</v>
      </c>
      <c r="W1606" s="18">
        <v>2.2248000000000001</v>
      </c>
      <c r="X1606" s="18">
        <v>1.4832000000000001</v>
      </c>
      <c r="Y1606" s="18">
        <v>6.5920000000000006E-2</v>
      </c>
      <c r="Z1606" s="18">
        <v>0.29252</v>
      </c>
      <c r="AA1606" s="18">
        <v>0.42848000000000003</v>
      </c>
      <c r="AB1606" s="18">
        <v>0.7622000000000001</v>
      </c>
      <c r="AC1606" s="18">
        <v>0.23484000000000002</v>
      </c>
      <c r="AD1606" s="18">
        <v>1.2360000000000002</v>
      </c>
    </row>
    <row r="1607" spans="2:30" x14ac:dyDescent="0.25">
      <c r="B1607" t="s">
        <v>269</v>
      </c>
      <c r="C1607" t="s">
        <v>570</v>
      </c>
      <c r="D1607" t="s">
        <v>747</v>
      </c>
      <c r="E1607" s="35">
        <v>0.9</v>
      </c>
      <c r="F1607" s="35">
        <v>6.6</v>
      </c>
      <c r="G1607" s="36">
        <v>4.9449999999999997E-3</v>
      </c>
      <c r="H1607" s="18">
        <v>8.9002979999999994</v>
      </c>
      <c r="I1607" s="16" t="s">
        <v>746</v>
      </c>
      <c r="J1607" s="16"/>
      <c r="K1607" s="16"/>
      <c r="L1607" s="37"/>
      <c r="M1607" s="37"/>
      <c r="N1607" s="37"/>
      <c r="O1607" s="37"/>
      <c r="P1607" s="37"/>
      <c r="Q1607" s="18">
        <v>5.4394999999999999E-2</v>
      </c>
      <c r="R1607" s="18">
        <v>3.7087499999999995E-4</v>
      </c>
      <c r="S1607" s="18">
        <v>0.10384499999999999</v>
      </c>
      <c r="T1607" s="18">
        <v>0.44505</v>
      </c>
      <c r="U1607" s="18">
        <v>0.222525</v>
      </c>
      <c r="V1607" s="18">
        <v>2.8483199999999997</v>
      </c>
      <c r="W1607" s="18">
        <v>2.6702999999999997</v>
      </c>
      <c r="X1607" s="18">
        <v>1.7802</v>
      </c>
      <c r="Y1607" s="18">
        <v>7.9119999999999996E-2</v>
      </c>
      <c r="Z1607" s="18">
        <v>0.35109499999999999</v>
      </c>
      <c r="AA1607" s="18">
        <v>0.51427999999999996</v>
      </c>
      <c r="AB1607" s="18">
        <v>0.914825</v>
      </c>
      <c r="AC1607" s="18">
        <v>0.28186499999999998</v>
      </c>
      <c r="AD1607" s="18">
        <v>1.4834999999999998</v>
      </c>
    </row>
    <row r="1608" spans="2:30" x14ac:dyDescent="0.25">
      <c r="B1608" t="s">
        <v>269</v>
      </c>
      <c r="C1608" t="s">
        <v>570</v>
      </c>
      <c r="D1608" t="s">
        <v>753</v>
      </c>
      <c r="E1608" s="35">
        <v>0.9</v>
      </c>
      <c r="F1608" s="35">
        <v>6.6</v>
      </c>
      <c r="G1608" s="36">
        <v>5.77E-3</v>
      </c>
      <c r="H1608" s="18">
        <v>10.385298000000001</v>
      </c>
      <c r="I1608" s="16" t="s">
        <v>746</v>
      </c>
      <c r="J1608" s="16"/>
      <c r="K1608" s="16"/>
      <c r="L1608" s="37"/>
      <c r="M1608" s="37"/>
      <c r="N1608" s="37"/>
      <c r="O1608" s="37"/>
      <c r="P1608" s="37"/>
      <c r="Q1608" s="18">
        <v>6.3469999999999999E-2</v>
      </c>
      <c r="R1608" s="18">
        <v>4.3274999999999997E-4</v>
      </c>
      <c r="S1608" s="18">
        <v>0.12117</v>
      </c>
      <c r="T1608" s="18">
        <v>0.51929999999999998</v>
      </c>
      <c r="U1608" s="18">
        <v>0.25964999999999999</v>
      </c>
      <c r="V1608" s="18">
        <v>3.3235199999999998</v>
      </c>
      <c r="W1608" s="18">
        <v>3.1158000000000001</v>
      </c>
      <c r="X1608" s="18">
        <v>2.0771999999999999</v>
      </c>
      <c r="Y1608" s="18">
        <v>9.2319999999999999E-2</v>
      </c>
      <c r="Z1608" s="18">
        <v>0.40966999999999998</v>
      </c>
      <c r="AA1608" s="18">
        <v>0.60007999999999995</v>
      </c>
      <c r="AB1608" s="18">
        <v>1.06745</v>
      </c>
      <c r="AC1608" s="18">
        <v>0.32889000000000002</v>
      </c>
      <c r="AD1608" s="18">
        <v>1.7310000000000001</v>
      </c>
    </row>
    <row r="1609" spans="2:30" x14ac:dyDescent="0.25">
      <c r="B1609" t="s">
        <v>269</v>
      </c>
      <c r="C1609" t="s">
        <v>570</v>
      </c>
      <c r="D1609" t="s">
        <v>753</v>
      </c>
      <c r="E1609" s="35">
        <v>0.9</v>
      </c>
      <c r="F1609" s="35">
        <v>6.6</v>
      </c>
      <c r="G1609" s="36">
        <v>5.77E-3</v>
      </c>
      <c r="H1609" s="18">
        <v>10.385298000000001</v>
      </c>
      <c r="I1609" s="16" t="s">
        <v>746</v>
      </c>
      <c r="J1609" s="16"/>
      <c r="K1609" s="16"/>
      <c r="L1609" s="37"/>
      <c r="M1609" s="37"/>
      <c r="N1609" s="37"/>
      <c r="O1609" s="37"/>
      <c r="P1609" s="37"/>
      <c r="Q1609" s="18">
        <v>6.3469999999999999E-2</v>
      </c>
      <c r="R1609" s="18">
        <v>4.3274999999999997E-4</v>
      </c>
      <c r="S1609" s="18">
        <v>0.12117</v>
      </c>
      <c r="T1609" s="18">
        <v>0.51929999999999998</v>
      </c>
      <c r="U1609" s="18">
        <v>0.25964999999999999</v>
      </c>
      <c r="V1609" s="18">
        <v>3.3235199999999998</v>
      </c>
      <c r="W1609" s="18">
        <v>3.1158000000000001</v>
      </c>
      <c r="X1609" s="18">
        <v>2.0771999999999999</v>
      </c>
      <c r="Y1609" s="18">
        <v>9.2319999999999999E-2</v>
      </c>
      <c r="Z1609" s="18">
        <v>0.40966999999999998</v>
      </c>
      <c r="AA1609" s="18">
        <v>0.60007999999999995</v>
      </c>
      <c r="AB1609" s="18">
        <v>1.06745</v>
      </c>
      <c r="AC1609" s="18">
        <v>0.32889000000000002</v>
      </c>
      <c r="AD1609" s="18">
        <v>1.7310000000000001</v>
      </c>
    </row>
    <row r="1610" spans="2:30" x14ac:dyDescent="0.25">
      <c r="B1610" t="s">
        <v>269</v>
      </c>
      <c r="C1610" t="s">
        <v>570</v>
      </c>
      <c r="D1610" t="s">
        <v>748</v>
      </c>
      <c r="E1610" s="35">
        <v>0.9</v>
      </c>
      <c r="F1610" s="35">
        <v>6.6</v>
      </c>
      <c r="G1610" s="36">
        <v>4.1200000000000004E-3</v>
      </c>
      <c r="H1610" s="18">
        <v>7.4152979999999999</v>
      </c>
      <c r="I1610" s="16" t="s">
        <v>746</v>
      </c>
      <c r="J1610" s="16"/>
      <c r="K1610" s="16"/>
      <c r="L1610" s="37"/>
      <c r="M1610" s="37"/>
      <c r="N1610" s="37"/>
      <c r="O1610" s="37"/>
      <c r="P1610" s="37"/>
      <c r="Q1610" s="18">
        <v>4.5320000000000006E-2</v>
      </c>
      <c r="R1610" s="18">
        <v>3.0900000000000003E-4</v>
      </c>
      <c r="S1610" s="18">
        <v>8.6520000000000014E-2</v>
      </c>
      <c r="T1610" s="18">
        <v>0.37080000000000002</v>
      </c>
      <c r="U1610" s="18">
        <v>0.18540000000000001</v>
      </c>
      <c r="V1610" s="18">
        <v>2.3731200000000001</v>
      </c>
      <c r="W1610" s="18">
        <v>2.2248000000000001</v>
      </c>
      <c r="X1610" s="18">
        <v>1.4832000000000001</v>
      </c>
      <c r="Y1610" s="18">
        <v>6.5920000000000006E-2</v>
      </c>
      <c r="Z1610" s="18">
        <v>0.29252</v>
      </c>
      <c r="AA1610" s="18">
        <v>0.42848000000000003</v>
      </c>
      <c r="AB1610" s="18">
        <v>0.7622000000000001</v>
      </c>
      <c r="AC1610" s="18">
        <v>0.23484000000000002</v>
      </c>
      <c r="AD1610" s="18">
        <v>1.2360000000000002</v>
      </c>
    </row>
    <row r="1611" spans="2:30" x14ac:dyDescent="0.25">
      <c r="B1611" t="s">
        <v>269</v>
      </c>
      <c r="C1611" t="s">
        <v>570</v>
      </c>
      <c r="D1611" t="s">
        <v>748</v>
      </c>
      <c r="E1611" s="35">
        <v>0.9</v>
      </c>
      <c r="F1611" s="35">
        <v>6.6</v>
      </c>
      <c r="G1611" s="36">
        <v>4.1200000000000004E-3</v>
      </c>
      <c r="H1611" s="18">
        <v>7.4152979999999999</v>
      </c>
      <c r="I1611" s="16" t="s">
        <v>746</v>
      </c>
      <c r="J1611" s="16"/>
      <c r="K1611" s="16"/>
      <c r="L1611" s="37"/>
      <c r="M1611" s="37"/>
      <c r="N1611" s="37"/>
      <c r="O1611" s="37"/>
      <c r="P1611" s="37"/>
      <c r="Q1611" s="18">
        <v>4.5320000000000006E-2</v>
      </c>
      <c r="R1611" s="18">
        <v>3.0900000000000003E-4</v>
      </c>
      <c r="S1611" s="18">
        <v>8.6520000000000014E-2</v>
      </c>
      <c r="T1611" s="18">
        <v>0.37080000000000002</v>
      </c>
      <c r="U1611" s="18">
        <v>0.18540000000000001</v>
      </c>
      <c r="V1611" s="18">
        <v>2.3731200000000001</v>
      </c>
      <c r="W1611" s="18">
        <v>2.2248000000000001</v>
      </c>
      <c r="X1611" s="18">
        <v>1.4832000000000001</v>
      </c>
      <c r="Y1611" s="18">
        <v>6.5920000000000006E-2</v>
      </c>
      <c r="Z1611" s="18">
        <v>0.29252</v>
      </c>
      <c r="AA1611" s="18">
        <v>0.42848000000000003</v>
      </c>
      <c r="AB1611" s="18">
        <v>0.7622000000000001</v>
      </c>
      <c r="AC1611" s="18">
        <v>0.23484000000000002</v>
      </c>
      <c r="AD1611" s="18">
        <v>1.2360000000000002</v>
      </c>
    </row>
    <row r="1612" spans="2:30" x14ac:dyDescent="0.25">
      <c r="B1612" t="s">
        <v>269</v>
      </c>
      <c r="C1612" t="s">
        <v>570</v>
      </c>
      <c r="D1612" t="s">
        <v>748</v>
      </c>
      <c r="E1612" s="35">
        <v>0.9</v>
      </c>
      <c r="F1612" s="35">
        <v>6.6</v>
      </c>
      <c r="G1612" s="36">
        <v>4.1200000000000004E-3</v>
      </c>
      <c r="H1612" s="18">
        <v>7.4152979999999999</v>
      </c>
      <c r="I1612" s="16" t="s">
        <v>746</v>
      </c>
      <c r="J1612" s="16"/>
      <c r="K1612" s="16"/>
      <c r="L1612" s="37"/>
      <c r="M1612" s="37"/>
      <c r="N1612" s="37"/>
      <c r="O1612" s="37"/>
      <c r="P1612" s="37"/>
      <c r="Q1612" s="18">
        <v>4.5320000000000006E-2</v>
      </c>
      <c r="R1612" s="18">
        <v>3.0900000000000003E-4</v>
      </c>
      <c r="S1612" s="18">
        <v>8.6520000000000014E-2</v>
      </c>
      <c r="T1612" s="18">
        <v>0.37080000000000002</v>
      </c>
      <c r="U1612" s="18">
        <v>0.18540000000000001</v>
      </c>
      <c r="V1612" s="18">
        <v>2.3731200000000001</v>
      </c>
      <c r="W1612" s="18">
        <v>2.2248000000000001</v>
      </c>
      <c r="X1612" s="18">
        <v>1.4832000000000001</v>
      </c>
      <c r="Y1612" s="18">
        <v>6.5920000000000006E-2</v>
      </c>
      <c r="Z1612" s="18">
        <v>0.29252</v>
      </c>
      <c r="AA1612" s="18">
        <v>0.42848000000000003</v>
      </c>
      <c r="AB1612" s="18">
        <v>0.7622000000000001</v>
      </c>
      <c r="AC1612" s="18">
        <v>0.23484000000000002</v>
      </c>
      <c r="AD1612" s="18">
        <v>1.2360000000000002</v>
      </c>
    </row>
    <row r="1613" spans="2:30" x14ac:dyDescent="0.25">
      <c r="B1613" t="s">
        <v>269</v>
      </c>
      <c r="C1613" t="s">
        <v>570</v>
      </c>
      <c r="D1613" t="s">
        <v>747</v>
      </c>
      <c r="E1613" s="35">
        <v>0.9</v>
      </c>
      <c r="F1613" s="35">
        <v>6.6</v>
      </c>
      <c r="G1613" s="36">
        <v>4.9449999999999997E-3</v>
      </c>
      <c r="H1613" s="18">
        <v>8.9002979999999994</v>
      </c>
      <c r="I1613" s="16" t="s">
        <v>746</v>
      </c>
      <c r="J1613" s="16"/>
      <c r="K1613" s="16"/>
      <c r="L1613" s="37"/>
      <c r="M1613" s="37"/>
      <c r="N1613" s="37"/>
      <c r="O1613" s="37"/>
      <c r="P1613" s="37"/>
      <c r="Q1613" s="18">
        <v>5.4394999999999999E-2</v>
      </c>
      <c r="R1613" s="18">
        <v>3.7087499999999995E-4</v>
      </c>
      <c r="S1613" s="18">
        <v>0.10384499999999999</v>
      </c>
      <c r="T1613" s="18">
        <v>0.44505</v>
      </c>
      <c r="U1613" s="18">
        <v>0.222525</v>
      </c>
      <c r="V1613" s="18">
        <v>2.8483199999999997</v>
      </c>
      <c r="W1613" s="18">
        <v>2.6702999999999997</v>
      </c>
      <c r="X1613" s="18">
        <v>1.7802</v>
      </c>
      <c r="Y1613" s="18">
        <v>7.9119999999999996E-2</v>
      </c>
      <c r="Z1613" s="18">
        <v>0.35109499999999999</v>
      </c>
      <c r="AA1613" s="18">
        <v>0.51427999999999996</v>
      </c>
      <c r="AB1613" s="18">
        <v>0.914825</v>
      </c>
      <c r="AC1613" s="18">
        <v>0.28186499999999998</v>
      </c>
      <c r="AD1613" s="18">
        <v>1.4834999999999998</v>
      </c>
    </row>
    <row r="1614" spans="2:30" x14ac:dyDescent="0.25">
      <c r="B1614" t="s">
        <v>269</v>
      </c>
      <c r="C1614" t="s">
        <v>570</v>
      </c>
      <c r="D1614" t="s">
        <v>748</v>
      </c>
      <c r="E1614" s="35">
        <v>0.9</v>
      </c>
      <c r="F1614" s="35">
        <v>6.6</v>
      </c>
      <c r="G1614" s="36">
        <v>4.1200000000000004E-3</v>
      </c>
      <c r="H1614" s="18">
        <v>7.4152979999999999</v>
      </c>
      <c r="I1614" s="16" t="s">
        <v>746</v>
      </c>
      <c r="J1614" s="16"/>
      <c r="K1614" s="16"/>
      <c r="L1614" s="37"/>
      <c r="M1614" s="37"/>
      <c r="N1614" s="37"/>
      <c r="O1614" s="37"/>
      <c r="P1614" s="37"/>
      <c r="Q1614" s="18">
        <v>4.5320000000000006E-2</v>
      </c>
      <c r="R1614" s="18">
        <v>3.0900000000000003E-4</v>
      </c>
      <c r="S1614" s="18">
        <v>8.6520000000000014E-2</v>
      </c>
      <c r="T1614" s="18">
        <v>0.37080000000000002</v>
      </c>
      <c r="U1614" s="18">
        <v>0.18540000000000001</v>
      </c>
      <c r="V1614" s="18">
        <v>2.3731200000000001</v>
      </c>
      <c r="W1614" s="18">
        <v>2.2248000000000001</v>
      </c>
      <c r="X1614" s="18">
        <v>1.4832000000000001</v>
      </c>
      <c r="Y1614" s="18">
        <v>6.5920000000000006E-2</v>
      </c>
      <c r="Z1614" s="18">
        <v>0.29252</v>
      </c>
      <c r="AA1614" s="18">
        <v>0.42848000000000003</v>
      </c>
      <c r="AB1614" s="18">
        <v>0.7622000000000001</v>
      </c>
      <c r="AC1614" s="18">
        <v>0.23484000000000002</v>
      </c>
      <c r="AD1614" s="18">
        <v>1.2360000000000002</v>
      </c>
    </row>
    <row r="1615" spans="2:30" x14ac:dyDescent="0.25">
      <c r="B1615" t="s">
        <v>269</v>
      </c>
      <c r="C1615" t="s">
        <v>570</v>
      </c>
      <c r="D1615" t="s">
        <v>748</v>
      </c>
      <c r="E1615" s="35">
        <v>0.9</v>
      </c>
      <c r="F1615" s="35">
        <v>6.6</v>
      </c>
      <c r="G1615" s="36">
        <v>4.1200000000000004E-3</v>
      </c>
      <c r="H1615" s="18">
        <v>7.4152979999999999</v>
      </c>
      <c r="I1615" s="16" t="s">
        <v>746</v>
      </c>
      <c r="J1615" s="16"/>
      <c r="K1615" s="16"/>
      <c r="L1615" s="37"/>
      <c r="M1615" s="37"/>
      <c r="N1615" s="37"/>
      <c r="O1615" s="37"/>
      <c r="P1615" s="37"/>
      <c r="Q1615" s="18">
        <v>4.5320000000000006E-2</v>
      </c>
      <c r="R1615" s="18">
        <v>3.0900000000000003E-4</v>
      </c>
      <c r="S1615" s="18">
        <v>8.6520000000000014E-2</v>
      </c>
      <c r="T1615" s="18">
        <v>0.37080000000000002</v>
      </c>
      <c r="U1615" s="18">
        <v>0.18540000000000001</v>
      </c>
      <c r="V1615" s="18">
        <v>2.3731200000000001</v>
      </c>
      <c r="W1615" s="18">
        <v>2.2248000000000001</v>
      </c>
      <c r="X1615" s="18">
        <v>1.4832000000000001</v>
      </c>
      <c r="Y1615" s="18">
        <v>6.5920000000000006E-2</v>
      </c>
      <c r="Z1615" s="18">
        <v>0.29252</v>
      </c>
      <c r="AA1615" s="18">
        <v>0.42848000000000003</v>
      </c>
      <c r="AB1615" s="18">
        <v>0.7622000000000001</v>
      </c>
      <c r="AC1615" s="18">
        <v>0.23484000000000002</v>
      </c>
      <c r="AD1615" s="18">
        <v>1.2360000000000002</v>
      </c>
    </row>
    <row r="1616" spans="2:30" x14ac:dyDescent="0.25">
      <c r="B1616" t="s">
        <v>269</v>
      </c>
      <c r="C1616" t="s">
        <v>570</v>
      </c>
      <c r="D1616" t="s">
        <v>748</v>
      </c>
      <c r="E1616" s="35">
        <v>0.9</v>
      </c>
      <c r="F1616" s="35">
        <v>6.6</v>
      </c>
      <c r="G1616" s="36">
        <v>4.1200000000000004E-3</v>
      </c>
      <c r="H1616" s="18">
        <v>7.4152979999999999</v>
      </c>
      <c r="I1616" s="16" t="s">
        <v>746</v>
      </c>
      <c r="J1616" s="16"/>
      <c r="K1616" s="16"/>
      <c r="L1616" s="37"/>
      <c r="M1616" s="37"/>
      <c r="N1616" s="37"/>
      <c r="O1616" s="37"/>
      <c r="P1616" s="37"/>
      <c r="Q1616" s="18">
        <v>4.5320000000000006E-2</v>
      </c>
      <c r="R1616" s="18">
        <v>3.0900000000000003E-4</v>
      </c>
      <c r="S1616" s="18">
        <v>8.6520000000000014E-2</v>
      </c>
      <c r="T1616" s="18">
        <v>0.37080000000000002</v>
      </c>
      <c r="U1616" s="18">
        <v>0.18540000000000001</v>
      </c>
      <c r="V1616" s="18">
        <v>2.3731200000000001</v>
      </c>
      <c r="W1616" s="18">
        <v>2.2248000000000001</v>
      </c>
      <c r="X1616" s="18">
        <v>1.4832000000000001</v>
      </c>
      <c r="Y1616" s="18">
        <v>6.5920000000000006E-2</v>
      </c>
      <c r="Z1616" s="18">
        <v>0.29252</v>
      </c>
      <c r="AA1616" s="18">
        <v>0.42848000000000003</v>
      </c>
      <c r="AB1616" s="18">
        <v>0.7622000000000001</v>
      </c>
      <c r="AC1616" s="18">
        <v>0.23484000000000002</v>
      </c>
      <c r="AD1616" s="18">
        <v>1.2360000000000002</v>
      </c>
    </row>
    <row r="1617" spans="2:30" x14ac:dyDescent="0.25">
      <c r="B1617" t="s">
        <v>269</v>
      </c>
      <c r="C1617" t="s">
        <v>570</v>
      </c>
      <c r="D1617" t="s">
        <v>748</v>
      </c>
      <c r="E1617" s="35">
        <v>0.9</v>
      </c>
      <c r="F1617" s="35">
        <v>6.6</v>
      </c>
      <c r="G1617" s="36">
        <v>4.1200000000000004E-3</v>
      </c>
      <c r="H1617" s="18">
        <v>7.4152979999999999</v>
      </c>
      <c r="I1617" s="16" t="s">
        <v>746</v>
      </c>
      <c r="J1617" s="16"/>
      <c r="K1617" s="16"/>
      <c r="L1617" s="37"/>
      <c r="M1617" s="37"/>
      <c r="N1617" s="37"/>
      <c r="O1617" s="37"/>
      <c r="P1617" s="37"/>
      <c r="Q1617" s="18">
        <v>4.5320000000000006E-2</v>
      </c>
      <c r="R1617" s="18">
        <v>3.0900000000000003E-4</v>
      </c>
      <c r="S1617" s="18">
        <v>8.6520000000000014E-2</v>
      </c>
      <c r="T1617" s="18">
        <v>0.37080000000000002</v>
      </c>
      <c r="U1617" s="18">
        <v>0.18540000000000001</v>
      </c>
      <c r="V1617" s="18">
        <v>2.3731200000000001</v>
      </c>
      <c r="W1617" s="18">
        <v>2.2248000000000001</v>
      </c>
      <c r="X1617" s="18">
        <v>1.4832000000000001</v>
      </c>
      <c r="Y1617" s="18">
        <v>6.5920000000000006E-2</v>
      </c>
      <c r="Z1617" s="18">
        <v>0.29252</v>
      </c>
      <c r="AA1617" s="18">
        <v>0.42848000000000003</v>
      </c>
      <c r="AB1617" s="18">
        <v>0.7622000000000001</v>
      </c>
      <c r="AC1617" s="18">
        <v>0.23484000000000002</v>
      </c>
      <c r="AD1617" s="18">
        <v>1.2360000000000002</v>
      </c>
    </row>
    <row r="1618" spans="2:30" x14ac:dyDescent="0.25">
      <c r="B1618" t="s">
        <v>269</v>
      </c>
      <c r="C1618" t="s">
        <v>570</v>
      </c>
      <c r="D1618" t="s">
        <v>748</v>
      </c>
      <c r="E1618" s="35">
        <v>0.9</v>
      </c>
      <c r="F1618" s="35">
        <v>6.6</v>
      </c>
      <c r="G1618" s="36">
        <v>4.1200000000000004E-3</v>
      </c>
      <c r="H1618" s="18">
        <v>7.4152979999999999</v>
      </c>
      <c r="I1618" s="16" t="s">
        <v>746</v>
      </c>
      <c r="J1618" s="16"/>
      <c r="K1618" s="16"/>
      <c r="L1618" s="37"/>
      <c r="M1618" s="37"/>
      <c r="N1618" s="37"/>
      <c r="O1618" s="37"/>
      <c r="P1618" s="37"/>
      <c r="Q1618" s="18">
        <v>4.5320000000000006E-2</v>
      </c>
      <c r="R1618" s="18">
        <v>3.0900000000000003E-4</v>
      </c>
      <c r="S1618" s="18">
        <v>8.6520000000000014E-2</v>
      </c>
      <c r="T1618" s="18">
        <v>0.37080000000000002</v>
      </c>
      <c r="U1618" s="18">
        <v>0.18540000000000001</v>
      </c>
      <c r="V1618" s="18">
        <v>2.3731200000000001</v>
      </c>
      <c r="W1618" s="18">
        <v>2.2248000000000001</v>
      </c>
      <c r="X1618" s="18">
        <v>1.4832000000000001</v>
      </c>
      <c r="Y1618" s="18">
        <v>6.5920000000000006E-2</v>
      </c>
      <c r="Z1618" s="18">
        <v>0.29252</v>
      </c>
      <c r="AA1618" s="18">
        <v>0.42848000000000003</v>
      </c>
      <c r="AB1618" s="18">
        <v>0.7622000000000001</v>
      </c>
      <c r="AC1618" s="18">
        <v>0.23484000000000002</v>
      </c>
      <c r="AD1618" s="18">
        <v>1.2360000000000002</v>
      </c>
    </row>
    <row r="1619" spans="2:30" x14ac:dyDescent="0.25">
      <c r="B1619" t="s">
        <v>269</v>
      </c>
      <c r="C1619" t="s">
        <v>570</v>
      </c>
      <c r="D1619" t="s">
        <v>747</v>
      </c>
      <c r="E1619" s="35">
        <v>0.9</v>
      </c>
      <c r="F1619" s="35">
        <v>6.6</v>
      </c>
      <c r="G1619" s="36">
        <v>4.9449999999999997E-3</v>
      </c>
      <c r="H1619" s="18">
        <v>8.9002979999999994</v>
      </c>
      <c r="I1619" s="16" t="s">
        <v>746</v>
      </c>
      <c r="J1619" s="16"/>
      <c r="K1619" s="16"/>
      <c r="L1619" s="37"/>
      <c r="M1619" s="37"/>
      <c r="N1619" s="37"/>
      <c r="O1619" s="37"/>
      <c r="P1619" s="37"/>
      <c r="Q1619" s="18">
        <v>5.4394999999999999E-2</v>
      </c>
      <c r="R1619" s="18">
        <v>3.7087499999999995E-4</v>
      </c>
      <c r="S1619" s="18">
        <v>0.10384499999999999</v>
      </c>
      <c r="T1619" s="18">
        <v>0.44505</v>
      </c>
      <c r="U1619" s="18">
        <v>0.222525</v>
      </c>
      <c r="V1619" s="18">
        <v>2.8483199999999997</v>
      </c>
      <c r="W1619" s="18">
        <v>2.6702999999999997</v>
      </c>
      <c r="X1619" s="18">
        <v>1.7802</v>
      </c>
      <c r="Y1619" s="18">
        <v>7.9119999999999996E-2</v>
      </c>
      <c r="Z1619" s="18">
        <v>0.35109499999999999</v>
      </c>
      <c r="AA1619" s="18">
        <v>0.51427999999999996</v>
      </c>
      <c r="AB1619" s="18">
        <v>0.914825</v>
      </c>
      <c r="AC1619" s="18">
        <v>0.28186499999999998</v>
      </c>
      <c r="AD1619" s="18">
        <v>1.4834999999999998</v>
      </c>
    </row>
    <row r="1620" spans="2:30" x14ac:dyDescent="0.25">
      <c r="B1620" t="s">
        <v>269</v>
      </c>
      <c r="C1620" t="s">
        <v>570</v>
      </c>
      <c r="D1620" t="s">
        <v>748</v>
      </c>
      <c r="E1620" s="35">
        <v>0.9</v>
      </c>
      <c r="F1620" s="35">
        <v>6.6</v>
      </c>
      <c r="G1620" s="36">
        <v>4.1200000000000004E-3</v>
      </c>
      <c r="H1620" s="18">
        <v>7.4152979999999999</v>
      </c>
      <c r="I1620" s="16" t="s">
        <v>746</v>
      </c>
      <c r="J1620" s="16"/>
      <c r="K1620" s="16"/>
      <c r="L1620" s="37"/>
      <c r="M1620" s="37"/>
      <c r="N1620" s="37"/>
      <c r="O1620" s="37"/>
      <c r="P1620" s="37"/>
      <c r="Q1620" s="18">
        <v>4.5320000000000006E-2</v>
      </c>
      <c r="R1620" s="18">
        <v>3.0900000000000003E-4</v>
      </c>
      <c r="S1620" s="18">
        <v>8.6520000000000014E-2</v>
      </c>
      <c r="T1620" s="18">
        <v>0.37080000000000002</v>
      </c>
      <c r="U1620" s="18">
        <v>0.18540000000000001</v>
      </c>
      <c r="V1620" s="18">
        <v>2.3731200000000001</v>
      </c>
      <c r="W1620" s="18">
        <v>2.2248000000000001</v>
      </c>
      <c r="X1620" s="18">
        <v>1.4832000000000001</v>
      </c>
      <c r="Y1620" s="18">
        <v>6.5920000000000006E-2</v>
      </c>
      <c r="Z1620" s="18">
        <v>0.29252</v>
      </c>
      <c r="AA1620" s="18">
        <v>0.42848000000000003</v>
      </c>
      <c r="AB1620" s="18">
        <v>0.7622000000000001</v>
      </c>
      <c r="AC1620" s="18">
        <v>0.23484000000000002</v>
      </c>
      <c r="AD1620" s="18">
        <v>1.2360000000000002</v>
      </c>
    </row>
    <row r="1621" spans="2:30" x14ac:dyDescent="0.25">
      <c r="B1621" t="s">
        <v>269</v>
      </c>
      <c r="C1621" t="s">
        <v>570</v>
      </c>
      <c r="D1621" t="s">
        <v>748</v>
      </c>
      <c r="E1621" s="35">
        <v>0.9</v>
      </c>
      <c r="F1621" s="35">
        <v>6.6</v>
      </c>
      <c r="G1621" s="36">
        <v>4.1200000000000004E-3</v>
      </c>
      <c r="H1621" s="18">
        <v>7.4152979999999999</v>
      </c>
      <c r="I1621" s="16" t="s">
        <v>746</v>
      </c>
      <c r="J1621" s="16"/>
      <c r="K1621" s="16"/>
      <c r="L1621" s="37"/>
      <c r="M1621" s="37"/>
      <c r="N1621" s="37"/>
      <c r="O1621" s="37"/>
      <c r="P1621" s="37"/>
      <c r="Q1621" s="18">
        <v>4.5320000000000006E-2</v>
      </c>
      <c r="R1621" s="18">
        <v>3.0900000000000003E-4</v>
      </c>
      <c r="S1621" s="18">
        <v>8.6520000000000014E-2</v>
      </c>
      <c r="T1621" s="18">
        <v>0.37080000000000002</v>
      </c>
      <c r="U1621" s="18">
        <v>0.18540000000000001</v>
      </c>
      <c r="V1621" s="18">
        <v>2.3731200000000001</v>
      </c>
      <c r="W1621" s="18">
        <v>2.2248000000000001</v>
      </c>
      <c r="X1621" s="18">
        <v>1.4832000000000001</v>
      </c>
      <c r="Y1621" s="18">
        <v>6.5920000000000006E-2</v>
      </c>
      <c r="Z1621" s="18">
        <v>0.29252</v>
      </c>
      <c r="AA1621" s="18">
        <v>0.42848000000000003</v>
      </c>
      <c r="AB1621" s="18">
        <v>0.7622000000000001</v>
      </c>
      <c r="AC1621" s="18">
        <v>0.23484000000000002</v>
      </c>
      <c r="AD1621" s="18">
        <v>1.2360000000000002</v>
      </c>
    </row>
    <row r="1622" spans="2:30" x14ac:dyDescent="0.25">
      <c r="B1622" t="s">
        <v>269</v>
      </c>
      <c r="C1622" t="s">
        <v>570</v>
      </c>
      <c r="D1622" t="s">
        <v>748</v>
      </c>
      <c r="E1622" s="35">
        <v>0.9</v>
      </c>
      <c r="F1622" s="35">
        <v>6.6</v>
      </c>
      <c r="G1622" s="36">
        <v>4.1200000000000004E-3</v>
      </c>
      <c r="H1622" s="18">
        <v>7.4152979999999999</v>
      </c>
      <c r="I1622" s="16" t="s">
        <v>746</v>
      </c>
      <c r="J1622" s="16"/>
      <c r="K1622" s="16"/>
      <c r="L1622" s="37"/>
      <c r="M1622" s="37"/>
      <c r="N1622" s="37"/>
      <c r="O1622" s="37"/>
      <c r="P1622" s="37"/>
      <c r="Q1622" s="18">
        <v>4.5320000000000006E-2</v>
      </c>
      <c r="R1622" s="18">
        <v>3.0900000000000003E-4</v>
      </c>
      <c r="S1622" s="18">
        <v>8.6520000000000014E-2</v>
      </c>
      <c r="T1622" s="18">
        <v>0.37080000000000002</v>
      </c>
      <c r="U1622" s="18">
        <v>0.18540000000000001</v>
      </c>
      <c r="V1622" s="18">
        <v>2.3731200000000001</v>
      </c>
      <c r="W1622" s="18">
        <v>2.2248000000000001</v>
      </c>
      <c r="X1622" s="18">
        <v>1.4832000000000001</v>
      </c>
      <c r="Y1622" s="18">
        <v>6.5920000000000006E-2</v>
      </c>
      <c r="Z1622" s="18">
        <v>0.29252</v>
      </c>
      <c r="AA1622" s="18">
        <v>0.42848000000000003</v>
      </c>
      <c r="AB1622" s="18">
        <v>0.7622000000000001</v>
      </c>
      <c r="AC1622" s="18">
        <v>0.23484000000000002</v>
      </c>
      <c r="AD1622" s="18">
        <v>1.2360000000000002</v>
      </c>
    </row>
    <row r="1623" spans="2:30" x14ac:dyDescent="0.25">
      <c r="B1623" t="s">
        <v>269</v>
      </c>
      <c r="C1623" t="s">
        <v>570</v>
      </c>
      <c r="D1623" t="s">
        <v>747</v>
      </c>
      <c r="E1623" s="35">
        <v>0.9</v>
      </c>
      <c r="F1623" s="35">
        <v>6.6</v>
      </c>
      <c r="G1623" s="36">
        <v>4.9449999999999997E-3</v>
      </c>
      <c r="H1623" s="18">
        <v>8.9002979999999994</v>
      </c>
      <c r="I1623" s="16" t="s">
        <v>746</v>
      </c>
      <c r="J1623" s="16"/>
      <c r="K1623" s="16"/>
      <c r="L1623" s="37"/>
      <c r="M1623" s="37"/>
      <c r="N1623" s="37"/>
      <c r="O1623" s="37"/>
      <c r="P1623" s="37"/>
      <c r="Q1623" s="18">
        <v>5.4394999999999999E-2</v>
      </c>
      <c r="R1623" s="18">
        <v>3.7087499999999995E-4</v>
      </c>
      <c r="S1623" s="18">
        <v>0.10384499999999999</v>
      </c>
      <c r="T1623" s="18">
        <v>0.44505</v>
      </c>
      <c r="U1623" s="18">
        <v>0.222525</v>
      </c>
      <c r="V1623" s="18">
        <v>2.8483199999999997</v>
      </c>
      <c r="W1623" s="18">
        <v>2.6702999999999997</v>
      </c>
      <c r="X1623" s="18">
        <v>1.7802</v>
      </c>
      <c r="Y1623" s="18">
        <v>7.9119999999999996E-2</v>
      </c>
      <c r="Z1623" s="18">
        <v>0.35109499999999999</v>
      </c>
      <c r="AA1623" s="18">
        <v>0.51427999999999996</v>
      </c>
      <c r="AB1623" s="18">
        <v>0.914825</v>
      </c>
      <c r="AC1623" s="18">
        <v>0.28186499999999998</v>
      </c>
      <c r="AD1623" s="18">
        <v>1.4834999999999998</v>
      </c>
    </row>
    <row r="1624" spans="2:30" x14ac:dyDescent="0.25">
      <c r="B1624" t="s">
        <v>269</v>
      </c>
      <c r="C1624" t="s">
        <v>570</v>
      </c>
      <c r="D1624" t="s">
        <v>748</v>
      </c>
      <c r="E1624" s="35">
        <v>0.9</v>
      </c>
      <c r="F1624" s="35">
        <v>6.6</v>
      </c>
      <c r="G1624" s="36">
        <v>4.1200000000000004E-3</v>
      </c>
      <c r="H1624" s="18">
        <v>7.4152979999999999</v>
      </c>
      <c r="I1624" s="16" t="s">
        <v>746</v>
      </c>
      <c r="J1624" s="16"/>
      <c r="K1624" s="16"/>
      <c r="L1624" s="37"/>
      <c r="M1624" s="37"/>
      <c r="N1624" s="37"/>
      <c r="O1624" s="37"/>
      <c r="P1624" s="37"/>
      <c r="Q1624" s="18">
        <v>4.5320000000000006E-2</v>
      </c>
      <c r="R1624" s="18">
        <v>3.0900000000000003E-4</v>
      </c>
      <c r="S1624" s="18">
        <v>8.6520000000000014E-2</v>
      </c>
      <c r="T1624" s="18">
        <v>0.37080000000000002</v>
      </c>
      <c r="U1624" s="18">
        <v>0.18540000000000001</v>
      </c>
      <c r="V1624" s="18">
        <v>2.3731200000000001</v>
      </c>
      <c r="W1624" s="18">
        <v>2.2248000000000001</v>
      </c>
      <c r="X1624" s="18">
        <v>1.4832000000000001</v>
      </c>
      <c r="Y1624" s="18">
        <v>6.5920000000000006E-2</v>
      </c>
      <c r="Z1624" s="18">
        <v>0.29252</v>
      </c>
      <c r="AA1624" s="18">
        <v>0.42848000000000003</v>
      </c>
      <c r="AB1624" s="18">
        <v>0.7622000000000001</v>
      </c>
      <c r="AC1624" s="18">
        <v>0.23484000000000002</v>
      </c>
      <c r="AD1624" s="18">
        <v>1.2360000000000002</v>
      </c>
    </row>
    <row r="1625" spans="2:30" x14ac:dyDescent="0.25">
      <c r="B1625" t="s">
        <v>269</v>
      </c>
      <c r="C1625" t="s">
        <v>570</v>
      </c>
      <c r="D1625" t="s">
        <v>748</v>
      </c>
      <c r="E1625" s="35">
        <v>0.9</v>
      </c>
      <c r="F1625" s="35">
        <v>6.6</v>
      </c>
      <c r="G1625" s="36">
        <v>4.1200000000000004E-3</v>
      </c>
      <c r="H1625" s="18">
        <v>7.4152979999999999</v>
      </c>
      <c r="I1625" s="16" t="s">
        <v>746</v>
      </c>
      <c r="J1625" s="16"/>
      <c r="K1625" s="16"/>
      <c r="L1625" s="37"/>
      <c r="M1625" s="37"/>
      <c r="N1625" s="37"/>
      <c r="O1625" s="37"/>
      <c r="P1625" s="37"/>
      <c r="Q1625" s="18">
        <v>4.5320000000000006E-2</v>
      </c>
      <c r="R1625" s="18">
        <v>3.0900000000000003E-4</v>
      </c>
      <c r="S1625" s="18">
        <v>8.6520000000000014E-2</v>
      </c>
      <c r="T1625" s="18">
        <v>0.37080000000000002</v>
      </c>
      <c r="U1625" s="18">
        <v>0.18540000000000001</v>
      </c>
      <c r="V1625" s="18">
        <v>2.3731200000000001</v>
      </c>
      <c r="W1625" s="18">
        <v>2.2248000000000001</v>
      </c>
      <c r="X1625" s="18">
        <v>1.4832000000000001</v>
      </c>
      <c r="Y1625" s="18">
        <v>6.5920000000000006E-2</v>
      </c>
      <c r="Z1625" s="18">
        <v>0.29252</v>
      </c>
      <c r="AA1625" s="18">
        <v>0.42848000000000003</v>
      </c>
      <c r="AB1625" s="18">
        <v>0.7622000000000001</v>
      </c>
      <c r="AC1625" s="18">
        <v>0.23484000000000002</v>
      </c>
      <c r="AD1625" s="18">
        <v>1.2360000000000002</v>
      </c>
    </row>
    <row r="1626" spans="2:30" x14ac:dyDescent="0.25">
      <c r="B1626" t="s">
        <v>269</v>
      </c>
      <c r="C1626" t="s">
        <v>570</v>
      </c>
      <c r="D1626" t="s">
        <v>753</v>
      </c>
      <c r="E1626" s="35">
        <v>0.9</v>
      </c>
      <c r="F1626" s="35">
        <v>6.6</v>
      </c>
      <c r="G1626" s="36">
        <v>5.77E-3</v>
      </c>
      <c r="H1626" s="18">
        <v>10.385298000000001</v>
      </c>
      <c r="I1626" s="16" t="s">
        <v>746</v>
      </c>
      <c r="J1626" s="16"/>
      <c r="K1626" s="16"/>
      <c r="L1626" s="37"/>
      <c r="M1626" s="37"/>
      <c r="N1626" s="37"/>
      <c r="O1626" s="37"/>
      <c r="P1626" s="37"/>
      <c r="Q1626" s="18">
        <v>6.3469999999999999E-2</v>
      </c>
      <c r="R1626" s="18">
        <v>4.3274999999999997E-4</v>
      </c>
      <c r="S1626" s="18">
        <v>0.12117</v>
      </c>
      <c r="T1626" s="18">
        <v>0.51929999999999998</v>
      </c>
      <c r="U1626" s="18">
        <v>0.25964999999999999</v>
      </c>
      <c r="V1626" s="18">
        <v>3.3235199999999998</v>
      </c>
      <c r="W1626" s="18">
        <v>3.1158000000000001</v>
      </c>
      <c r="X1626" s="18">
        <v>2.0771999999999999</v>
      </c>
      <c r="Y1626" s="18">
        <v>9.2319999999999999E-2</v>
      </c>
      <c r="Z1626" s="18">
        <v>0.40966999999999998</v>
      </c>
      <c r="AA1626" s="18">
        <v>0.60007999999999995</v>
      </c>
      <c r="AB1626" s="18">
        <v>1.06745</v>
      </c>
      <c r="AC1626" s="18">
        <v>0.32889000000000002</v>
      </c>
      <c r="AD1626" s="18">
        <v>1.7310000000000001</v>
      </c>
    </row>
    <row r="1627" spans="2:30" x14ac:dyDescent="0.25">
      <c r="B1627" t="s">
        <v>269</v>
      </c>
      <c r="C1627" t="s">
        <v>570</v>
      </c>
      <c r="D1627" t="s">
        <v>750</v>
      </c>
      <c r="E1627" s="35">
        <v>0.9</v>
      </c>
      <c r="F1627" s="35">
        <v>6.6</v>
      </c>
      <c r="G1627" s="36">
        <v>3.0200000000000001E-3</v>
      </c>
      <c r="H1627" s="18">
        <v>5.4352980000000004</v>
      </c>
      <c r="I1627" s="16" t="s">
        <v>746</v>
      </c>
      <c r="J1627" s="16"/>
      <c r="K1627" s="16"/>
      <c r="L1627" s="37"/>
      <c r="M1627" s="37"/>
      <c r="N1627" s="37"/>
      <c r="O1627" s="37"/>
      <c r="P1627" s="37"/>
      <c r="Q1627" s="18">
        <v>3.322E-2</v>
      </c>
      <c r="R1627" s="18">
        <v>2.265E-4</v>
      </c>
      <c r="S1627" s="18">
        <v>6.3420000000000004E-2</v>
      </c>
      <c r="T1627" s="18">
        <v>0.27179999999999999</v>
      </c>
      <c r="U1627" s="18">
        <v>0.13589999999999999</v>
      </c>
      <c r="V1627" s="18">
        <v>1.7395200000000002</v>
      </c>
      <c r="W1627" s="18">
        <v>1.6308</v>
      </c>
      <c r="X1627" s="18">
        <v>1.0871999999999999</v>
      </c>
      <c r="Y1627" s="18">
        <v>4.8320000000000002E-2</v>
      </c>
      <c r="Z1627" s="18">
        <v>0.21442</v>
      </c>
      <c r="AA1627" s="18">
        <v>0.31408000000000003</v>
      </c>
      <c r="AB1627" s="18">
        <v>0.55869999999999997</v>
      </c>
      <c r="AC1627" s="18">
        <v>0.17214000000000002</v>
      </c>
      <c r="AD1627" s="18">
        <v>0.90600000000000003</v>
      </c>
    </row>
    <row r="1628" spans="2:30" x14ac:dyDescent="0.25">
      <c r="B1628" t="s">
        <v>269</v>
      </c>
      <c r="C1628" t="s">
        <v>570</v>
      </c>
      <c r="D1628" t="s">
        <v>750</v>
      </c>
      <c r="E1628" s="35">
        <v>0.9</v>
      </c>
      <c r="F1628" s="35">
        <v>6.6</v>
      </c>
      <c r="G1628" s="36">
        <v>3.0200000000000001E-3</v>
      </c>
      <c r="H1628" s="18">
        <v>5.4352980000000004</v>
      </c>
      <c r="I1628" s="16" t="s">
        <v>746</v>
      </c>
      <c r="J1628" s="16"/>
      <c r="K1628" s="16"/>
      <c r="L1628" s="37"/>
      <c r="M1628" s="37"/>
      <c r="N1628" s="37"/>
      <c r="O1628" s="37"/>
      <c r="P1628" s="37"/>
      <c r="Q1628" s="18">
        <v>3.322E-2</v>
      </c>
      <c r="R1628" s="18">
        <v>2.265E-4</v>
      </c>
      <c r="S1628" s="18">
        <v>6.3420000000000004E-2</v>
      </c>
      <c r="T1628" s="18">
        <v>0.27179999999999999</v>
      </c>
      <c r="U1628" s="18">
        <v>0.13589999999999999</v>
      </c>
      <c r="V1628" s="18">
        <v>1.7395200000000002</v>
      </c>
      <c r="W1628" s="18">
        <v>1.6308</v>
      </c>
      <c r="X1628" s="18">
        <v>1.0871999999999999</v>
      </c>
      <c r="Y1628" s="18">
        <v>4.8320000000000002E-2</v>
      </c>
      <c r="Z1628" s="18">
        <v>0.21442</v>
      </c>
      <c r="AA1628" s="18">
        <v>0.31408000000000003</v>
      </c>
      <c r="AB1628" s="18">
        <v>0.55869999999999997</v>
      </c>
      <c r="AC1628" s="18">
        <v>0.17214000000000002</v>
      </c>
      <c r="AD1628" s="18">
        <v>0.90600000000000003</v>
      </c>
    </row>
    <row r="1629" spans="2:30" x14ac:dyDescent="0.25">
      <c r="B1629" t="s">
        <v>269</v>
      </c>
      <c r="C1629" t="s">
        <v>570</v>
      </c>
      <c r="D1629" t="s">
        <v>750</v>
      </c>
      <c r="E1629" s="35">
        <v>0.9</v>
      </c>
      <c r="F1629" s="35">
        <v>6.6</v>
      </c>
      <c r="G1629" s="36">
        <v>3.0200000000000001E-3</v>
      </c>
      <c r="H1629" s="18">
        <v>5.4352980000000004</v>
      </c>
      <c r="I1629" s="16" t="s">
        <v>746</v>
      </c>
      <c r="J1629" s="16"/>
      <c r="K1629" s="16"/>
      <c r="L1629" s="37"/>
      <c r="M1629" s="37"/>
      <c r="N1629" s="37"/>
      <c r="O1629" s="37"/>
      <c r="P1629" s="37"/>
      <c r="Q1629" s="18">
        <v>3.322E-2</v>
      </c>
      <c r="R1629" s="18">
        <v>2.265E-4</v>
      </c>
      <c r="S1629" s="18">
        <v>6.3420000000000004E-2</v>
      </c>
      <c r="T1629" s="18">
        <v>0.27179999999999999</v>
      </c>
      <c r="U1629" s="18">
        <v>0.13589999999999999</v>
      </c>
      <c r="V1629" s="18">
        <v>1.7395200000000002</v>
      </c>
      <c r="W1629" s="18">
        <v>1.6308</v>
      </c>
      <c r="X1629" s="18">
        <v>1.0871999999999999</v>
      </c>
      <c r="Y1629" s="18">
        <v>4.8320000000000002E-2</v>
      </c>
      <c r="Z1629" s="18">
        <v>0.21442</v>
      </c>
      <c r="AA1629" s="18">
        <v>0.31408000000000003</v>
      </c>
      <c r="AB1629" s="18">
        <v>0.55869999999999997</v>
      </c>
      <c r="AC1629" s="18">
        <v>0.17214000000000002</v>
      </c>
      <c r="AD1629" s="18">
        <v>0.90600000000000003</v>
      </c>
    </row>
    <row r="1630" spans="2:30" x14ac:dyDescent="0.25">
      <c r="B1630" t="s">
        <v>269</v>
      </c>
      <c r="C1630" t="s">
        <v>570</v>
      </c>
      <c r="D1630" t="s">
        <v>752</v>
      </c>
      <c r="E1630" s="35">
        <v>0.9</v>
      </c>
      <c r="F1630" s="35">
        <v>6.6</v>
      </c>
      <c r="G1630" s="36">
        <v>2.47E-3</v>
      </c>
      <c r="H1630" s="18">
        <v>4.4452980000000002</v>
      </c>
      <c r="I1630" s="16" t="s">
        <v>746</v>
      </c>
      <c r="J1630" s="16"/>
      <c r="K1630" s="16"/>
      <c r="L1630" s="37"/>
      <c r="M1630" s="37"/>
      <c r="N1630" s="37"/>
      <c r="O1630" s="37"/>
      <c r="P1630" s="37"/>
      <c r="Q1630" s="18">
        <v>2.717E-2</v>
      </c>
      <c r="R1630" s="18">
        <v>1.8525E-4</v>
      </c>
      <c r="S1630" s="18">
        <v>5.1869999999999999E-2</v>
      </c>
      <c r="T1630" s="18">
        <v>0.2223</v>
      </c>
      <c r="U1630" s="18">
        <v>0.11115</v>
      </c>
      <c r="V1630" s="18">
        <v>1.42272</v>
      </c>
      <c r="W1630" s="18">
        <v>1.3338000000000001</v>
      </c>
      <c r="X1630" s="18">
        <v>0.88919999999999999</v>
      </c>
      <c r="Y1630" s="18">
        <v>3.952E-2</v>
      </c>
      <c r="Z1630" s="18">
        <v>0.17537</v>
      </c>
      <c r="AA1630" s="18">
        <v>0.25688</v>
      </c>
      <c r="AB1630" s="18">
        <v>0.45694999999999997</v>
      </c>
      <c r="AC1630" s="18">
        <v>0.14079</v>
      </c>
      <c r="AD1630" s="18">
        <v>0.74099999999999999</v>
      </c>
    </row>
    <row r="1631" spans="2:30" x14ac:dyDescent="0.25">
      <c r="B1631" t="s">
        <v>269</v>
      </c>
      <c r="C1631" t="s">
        <v>570</v>
      </c>
      <c r="D1631" t="s">
        <v>752</v>
      </c>
      <c r="E1631" s="35">
        <v>0.9</v>
      </c>
      <c r="F1631" s="35">
        <v>6.6</v>
      </c>
      <c r="G1631" s="36">
        <v>2.47E-3</v>
      </c>
      <c r="H1631" s="18">
        <v>4.4452980000000002</v>
      </c>
      <c r="I1631" s="16" t="s">
        <v>746</v>
      </c>
      <c r="J1631" s="16"/>
      <c r="K1631" s="16"/>
      <c r="L1631" s="37"/>
      <c r="M1631" s="37"/>
      <c r="N1631" s="37"/>
      <c r="O1631" s="37"/>
      <c r="P1631" s="37"/>
      <c r="Q1631" s="18">
        <v>2.717E-2</v>
      </c>
      <c r="R1631" s="18">
        <v>1.8525E-4</v>
      </c>
      <c r="S1631" s="18">
        <v>5.1869999999999999E-2</v>
      </c>
      <c r="T1631" s="18">
        <v>0.2223</v>
      </c>
      <c r="U1631" s="18">
        <v>0.11115</v>
      </c>
      <c r="V1631" s="18">
        <v>1.42272</v>
      </c>
      <c r="W1631" s="18">
        <v>1.3338000000000001</v>
      </c>
      <c r="X1631" s="18">
        <v>0.88919999999999999</v>
      </c>
      <c r="Y1631" s="18">
        <v>3.952E-2</v>
      </c>
      <c r="Z1631" s="18">
        <v>0.17537</v>
      </c>
      <c r="AA1631" s="18">
        <v>0.25688</v>
      </c>
      <c r="AB1631" s="18">
        <v>0.45694999999999997</v>
      </c>
      <c r="AC1631" s="18">
        <v>0.14079</v>
      </c>
      <c r="AD1631" s="18">
        <v>0.74099999999999999</v>
      </c>
    </row>
    <row r="1632" spans="2:30" x14ac:dyDescent="0.25">
      <c r="B1632" t="s">
        <v>269</v>
      </c>
      <c r="C1632" t="s">
        <v>570</v>
      </c>
      <c r="D1632" t="s">
        <v>752</v>
      </c>
      <c r="E1632" s="35">
        <v>0.9</v>
      </c>
      <c r="F1632" s="35">
        <v>6.6</v>
      </c>
      <c r="G1632" s="36">
        <v>2.47E-3</v>
      </c>
      <c r="H1632" s="18">
        <v>4.4452980000000002</v>
      </c>
      <c r="I1632" s="16" t="s">
        <v>746</v>
      </c>
      <c r="J1632" s="16"/>
      <c r="K1632" s="16"/>
      <c r="L1632" s="37"/>
      <c r="M1632" s="37"/>
      <c r="N1632" s="37"/>
      <c r="O1632" s="37"/>
      <c r="P1632" s="37"/>
      <c r="Q1632" s="18">
        <v>2.717E-2</v>
      </c>
      <c r="R1632" s="18">
        <v>1.8525E-4</v>
      </c>
      <c r="S1632" s="18">
        <v>5.1869999999999999E-2</v>
      </c>
      <c r="T1632" s="18">
        <v>0.2223</v>
      </c>
      <c r="U1632" s="18">
        <v>0.11115</v>
      </c>
      <c r="V1632" s="18">
        <v>1.42272</v>
      </c>
      <c r="W1632" s="18">
        <v>1.3338000000000001</v>
      </c>
      <c r="X1632" s="18">
        <v>0.88919999999999999</v>
      </c>
      <c r="Y1632" s="18">
        <v>3.952E-2</v>
      </c>
      <c r="Z1632" s="18">
        <v>0.17537</v>
      </c>
      <c r="AA1632" s="18">
        <v>0.25688</v>
      </c>
      <c r="AB1632" s="18">
        <v>0.45694999999999997</v>
      </c>
      <c r="AC1632" s="18">
        <v>0.14079</v>
      </c>
      <c r="AD1632" s="18">
        <v>0.74099999999999999</v>
      </c>
    </row>
    <row r="1633" spans="2:30" x14ac:dyDescent="0.25">
      <c r="B1633" t="s">
        <v>269</v>
      </c>
      <c r="C1633" t="s">
        <v>570</v>
      </c>
      <c r="D1633" t="s">
        <v>752</v>
      </c>
      <c r="E1633" s="35">
        <v>0.9</v>
      </c>
      <c r="F1633" s="35">
        <v>6.6</v>
      </c>
      <c r="G1633" s="36">
        <v>2.47E-3</v>
      </c>
      <c r="H1633" s="18">
        <v>4.4452980000000002</v>
      </c>
      <c r="I1633" s="16" t="s">
        <v>746</v>
      </c>
      <c r="J1633" s="16"/>
      <c r="K1633" s="16"/>
      <c r="L1633" s="37"/>
      <c r="M1633" s="37"/>
      <c r="N1633" s="37"/>
      <c r="O1633" s="37"/>
      <c r="P1633" s="37"/>
      <c r="Q1633" s="18">
        <v>2.717E-2</v>
      </c>
      <c r="R1633" s="18">
        <v>1.8525E-4</v>
      </c>
      <c r="S1633" s="18">
        <v>5.1869999999999999E-2</v>
      </c>
      <c r="T1633" s="18">
        <v>0.2223</v>
      </c>
      <c r="U1633" s="18">
        <v>0.11115</v>
      </c>
      <c r="V1633" s="18">
        <v>1.42272</v>
      </c>
      <c r="W1633" s="18">
        <v>1.3338000000000001</v>
      </c>
      <c r="X1633" s="18">
        <v>0.88919999999999999</v>
      </c>
      <c r="Y1633" s="18">
        <v>3.952E-2</v>
      </c>
      <c r="Z1633" s="18">
        <v>0.17537</v>
      </c>
      <c r="AA1633" s="18">
        <v>0.25688</v>
      </c>
      <c r="AB1633" s="18">
        <v>0.45694999999999997</v>
      </c>
      <c r="AC1633" s="18">
        <v>0.14079</v>
      </c>
      <c r="AD1633" s="18">
        <v>0.74099999999999999</v>
      </c>
    </row>
    <row r="1634" spans="2:30" x14ac:dyDescent="0.25">
      <c r="B1634" t="s">
        <v>269</v>
      </c>
      <c r="C1634" t="s">
        <v>570</v>
      </c>
      <c r="D1634" t="s">
        <v>752</v>
      </c>
      <c r="E1634" s="35">
        <v>0.9</v>
      </c>
      <c r="F1634" s="35">
        <v>6.6</v>
      </c>
      <c r="G1634" s="36">
        <v>2.47E-3</v>
      </c>
      <c r="H1634" s="18">
        <v>4.4452980000000002</v>
      </c>
      <c r="I1634" s="16" t="s">
        <v>746</v>
      </c>
      <c r="J1634" s="16"/>
      <c r="K1634" s="16"/>
      <c r="L1634" s="37"/>
      <c r="M1634" s="37"/>
      <c r="N1634" s="37"/>
      <c r="O1634" s="37"/>
      <c r="P1634" s="37"/>
      <c r="Q1634" s="18">
        <v>2.717E-2</v>
      </c>
      <c r="R1634" s="18">
        <v>1.8525E-4</v>
      </c>
      <c r="S1634" s="18">
        <v>5.1869999999999999E-2</v>
      </c>
      <c r="T1634" s="18">
        <v>0.2223</v>
      </c>
      <c r="U1634" s="18">
        <v>0.11115</v>
      </c>
      <c r="V1634" s="18">
        <v>1.42272</v>
      </c>
      <c r="W1634" s="18">
        <v>1.3338000000000001</v>
      </c>
      <c r="X1634" s="18">
        <v>0.88919999999999999</v>
      </c>
      <c r="Y1634" s="18">
        <v>3.952E-2</v>
      </c>
      <c r="Z1634" s="18">
        <v>0.17537</v>
      </c>
      <c r="AA1634" s="18">
        <v>0.25688</v>
      </c>
      <c r="AB1634" s="18">
        <v>0.45694999999999997</v>
      </c>
      <c r="AC1634" s="18">
        <v>0.14079</v>
      </c>
      <c r="AD1634" s="18">
        <v>0.74099999999999999</v>
      </c>
    </row>
    <row r="1635" spans="2:30" x14ac:dyDescent="0.25">
      <c r="B1635" t="s">
        <v>269</v>
      </c>
      <c r="C1635" t="s">
        <v>570</v>
      </c>
      <c r="D1635" t="s">
        <v>752</v>
      </c>
      <c r="E1635" s="35">
        <v>0.9</v>
      </c>
      <c r="F1635" s="35">
        <v>6.6</v>
      </c>
      <c r="G1635" s="36">
        <v>2.47E-3</v>
      </c>
      <c r="H1635" s="18">
        <v>4.4452980000000002</v>
      </c>
      <c r="I1635" s="16" t="s">
        <v>746</v>
      </c>
      <c r="J1635" s="16"/>
      <c r="K1635" s="16"/>
      <c r="L1635" s="37"/>
      <c r="M1635" s="37"/>
      <c r="N1635" s="37"/>
      <c r="O1635" s="37"/>
      <c r="P1635" s="37"/>
      <c r="Q1635" s="18">
        <v>2.717E-2</v>
      </c>
      <c r="R1635" s="18">
        <v>1.8525E-4</v>
      </c>
      <c r="S1635" s="18">
        <v>5.1869999999999999E-2</v>
      </c>
      <c r="T1635" s="18">
        <v>0.2223</v>
      </c>
      <c r="U1635" s="18">
        <v>0.11115</v>
      </c>
      <c r="V1635" s="18">
        <v>1.42272</v>
      </c>
      <c r="W1635" s="18">
        <v>1.3338000000000001</v>
      </c>
      <c r="X1635" s="18">
        <v>0.88919999999999999</v>
      </c>
      <c r="Y1635" s="18">
        <v>3.952E-2</v>
      </c>
      <c r="Z1635" s="18">
        <v>0.17537</v>
      </c>
      <c r="AA1635" s="18">
        <v>0.25688</v>
      </c>
      <c r="AB1635" s="18">
        <v>0.45694999999999997</v>
      </c>
      <c r="AC1635" s="18">
        <v>0.14079</v>
      </c>
      <c r="AD1635" s="18">
        <v>0.74099999999999999</v>
      </c>
    </row>
    <row r="1636" spans="2:30" x14ac:dyDescent="0.25">
      <c r="B1636" t="s">
        <v>269</v>
      </c>
      <c r="C1636" t="s">
        <v>463</v>
      </c>
      <c r="D1636" t="s">
        <v>752</v>
      </c>
      <c r="E1636" s="35">
        <v>0.9</v>
      </c>
      <c r="F1636" s="35">
        <v>6.6</v>
      </c>
      <c r="G1636" s="36">
        <v>2.47E-3</v>
      </c>
      <c r="H1636" s="18">
        <v>4.4452980000000002</v>
      </c>
      <c r="I1636" s="16" t="s">
        <v>746</v>
      </c>
      <c r="J1636" s="16"/>
      <c r="K1636" s="16"/>
      <c r="L1636" s="37"/>
      <c r="M1636" s="37"/>
      <c r="N1636" s="37"/>
      <c r="O1636" s="37"/>
      <c r="P1636" s="37"/>
      <c r="Q1636" s="18">
        <v>2.717E-2</v>
      </c>
      <c r="R1636" s="18">
        <v>1.8525E-4</v>
      </c>
      <c r="S1636" s="18">
        <v>5.1869999999999999E-2</v>
      </c>
      <c r="T1636" s="18">
        <v>0.2223</v>
      </c>
      <c r="U1636" s="18">
        <v>0.11115</v>
      </c>
      <c r="V1636" s="18">
        <v>1.42272</v>
      </c>
      <c r="W1636" s="18">
        <v>1.3338000000000001</v>
      </c>
      <c r="X1636" s="18">
        <v>0.88919999999999999</v>
      </c>
      <c r="Y1636" s="18">
        <v>3.952E-2</v>
      </c>
      <c r="Z1636" s="18">
        <v>0.17537</v>
      </c>
      <c r="AA1636" s="18">
        <v>0.25688</v>
      </c>
      <c r="AB1636" s="18">
        <v>0.45694999999999997</v>
      </c>
      <c r="AC1636" s="18">
        <v>0.14079</v>
      </c>
      <c r="AD1636" s="18">
        <v>0.74099999999999999</v>
      </c>
    </row>
    <row r="1637" spans="2:30" x14ac:dyDescent="0.25">
      <c r="B1637" t="s">
        <v>269</v>
      </c>
      <c r="C1637" t="s">
        <v>463</v>
      </c>
      <c r="D1637" t="s">
        <v>752</v>
      </c>
      <c r="E1637" s="35">
        <v>0.9</v>
      </c>
      <c r="F1637" s="35">
        <v>6.6</v>
      </c>
      <c r="G1637" s="36">
        <v>2.47E-3</v>
      </c>
      <c r="H1637" s="18">
        <v>4.4452980000000002</v>
      </c>
      <c r="I1637" s="16" t="s">
        <v>746</v>
      </c>
      <c r="J1637" s="16"/>
      <c r="K1637" s="16"/>
      <c r="L1637" s="37"/>
      <c r="M1637" s="37"/>
      <c r="N1637" s="37"/>
      <c r="O1637" s="37"/>
      <c r="P1637" s="37"/>
      <c r="Q1637" s="18">
        <v>2.717E-2</v>
      </c>
      <c r="R1637" s="18">
        <v>1.8525E-4</v>
      </c>
      <c r="S1637" s="18">
        <v>5.1869999999999999E-2</v>
      </c>
      <c r="T1637" s="18">
        <v>0.2223</v>
      </c>
      <c r="U1637" s="18">
        <v>0.11115</v>
      </c>
      <c r="V1637" s="18">
        <v>1.42272</v>
      </c>
      <c r="W1637" s="18">
        <v>1.3338000000000001</v>
      </c>
      <c r="X1637" s="18">
        <v>0.88919999999999999</v>
      </c>
      <c r="Y1637" s="18">
        <v>3.952E-2</v>
      </c>
      <c r="Z1637" s="18">
        <v>0.17537</v>
      </c>
      <c r="AA1637" s="18">
        <v>0.25688</v>
      </c>
      <c r="AB1637" s="18">
        <v>0.45694999999999997</v>
      </c>
      <c r="AC1637" s="18">
        <v>0.14079</v>
      </c>
      <c r="AD1637" s="18">
        <v>0.74099999999999999</v>
      </c>
    </row>
    <row r="1638" spans="2:30" x14ac:dyDescent="0.25">
      <c r="B1638" t="s">
        <v>269</v>
      </c>
      <c r="C1638" t="s">
        <v>463</v>
      </c>
      <c r="D1638" t="s">
        <v>752</v>
      </c>
      <c r="E1638" s="35">
        <v>0.9</v>
      </c>
      <c r="F1638" s="35">
        <v>6.6</v>
      </c>
      <c r="G1638" s="36">
        <v>2.47E-3</v>
      </c>
      <c r="H1638" s="18">
        <v>4.4452980000000002</v>
      </c>
      <c r="I1638" s="16" t="s">
        <v>746</v>
      </c>
      <c r="J1638" s="16"/>
      <c r="K1638" s="16"/>
      <c r="L1638" s="37"/>
      <c r="M1638" s="37"/>
      <c r="N1638" s="37"/>
      <c r="O1638" s="37"/>
      <c r="P1638" s="37"/>
      <c r="Q1638" s="18">
        <v>2.717E-2</v>
      </c>
      <c r="R1638" s="18">
        <v>1.8525E-4</v>
      </c>
      <c r="S1638" s="18">
        <v>5.1869999999999999E-2</v>
      </c>
      <c r="T1638" s="18">
        <v>0.2223</v>
      </c>
      <c r="U1638" s="18">
        <v>0.11115</v>
      </c>
      <c r="V1638" s="18">
        <v>1.42272</v>
      </c>
      <c r="W1638" s="18">
        <v>1.3338000000000001</v>
      </c>
      <c r="X1638" s="18">
        <v>0.88919999999999999</v>
      </c>
      <c r="Y1638" s="18">
        <v>3.952E-2</v>
      </c>
      <c r="Z1638" s="18">
        <v>0.17537</v>
      </c>
      <c r="AA1638" s="18">
        <v>0.25688</v>
      </c>
      <c r="AB1638" s="18">
        <v>0.45694999999999997</v>
      </c>
      <c r="AC1638" s="18">
        <v>0.14079</v>
      </c>
      <c r="AD1638" s="18">
        <v>0.74099999999999999</v>
      </c>
    </row>
    <row r="1639" spans="2:30" x14ac:dyDescent="0.25">
      <c r="B1639" t="s">
        <v>269</v>
      </c>
      <c r="C1639" t="s">
        <v>463</v>
      </c>
      <c r="D1639" t="s">
        <v>752</v>
      </c>
      <c r="E1639" s="35">
        <v>0.9</v>
      </c>
      <c r="F1639" s="35">
        <v>6.6</v>
      </c>
      <c r="G1639" s="36">
        <v>2.47E-3</v>
      </c>
      <c r="H1639" s="18">
        <v>4.4452980000000002</v>
      </c>
      <c r="I1639" s="16" t="s">
        <v>746</v>
      </c>
      <c r="J1639" s="16"/>
      <c r="K1639" s="16"/>
      <c r="L1639" s="37"/>
      <c r="M1639" s="37"/>
      <c r="N1639" s="37"/>
      <c r="O1639" s="37"/>
      <c r="P1639" s="37"/>
      <c r="Q1639" s="18">
        <v>2.717E-2</v>
      </c>
      <c r="R1639" s="18">
        <v>1.8525E-4</v>
      </c>
      <c r="S1639" s="18">
        <v>5.1869999999999999E-2</v>
      </c>
      <c r="T1639" s="18">
        <v>0.2223</v>
      </c>
      <c r="U1639" s="18">
        <v>0.11115</v>
      </c>
      <c r="V1639" s="18">
        <v>1.42272</v>
      </c>
      <c r="W1639" s="18">
        <v>1.3338000000000001</v>
      </c>
      <c r="X1639" s="18">
        <v>0.88919999999999999</v>
      </c>
      <c r="Y1639" s="18">
        <v>3.952E-2</v>
      </c>
      <c r="Z1639" s="18">
        <v>0.17537</v>
      </c>
      <c r="AA1639" s="18">
        <v>0.25688</v>
      </c>
      <c r="AB1639" s="18">
        <v>0.45694999999999997</v>
      </c>
      <c r="AC1639" s="18">
        <v>0.14079</v>
      </c>
      <c r="AD1639" s="18">
        <v>0.74099999999999999</v>
      </c>
    </row>
    <row r="1640" spans="2:30" x14ac:dyDescent="0.25">
      <c r="B1640" t="s">
        <v>269</v>
      </c>
      <c r="C1640" t="s">
        <v>463</v>
      </c>
      <c r="D1640" t="s">
        <v>752</v>
      </c>
      <c r="E1640" s="35">
        <v>0.9</v>
      </c>
      <c r="F1640" s="35">
        <v>6.6</v>
      </c>
      <c r="G1640" s="36">
        <v>2.47E-3</v>
      </c>
      <c r="H1640" s="18">
        <v>4.4452980000000002</v>
      </c>
      <c r="I1640" s="16" t="s">
        <v>746</v>
      </c>
      <c r="J1640" s="16"/>
      <c r="K1640" s="16"/>
      <c r="L1640" s="37"/>
      <c r="M1640" s="37"/>
      <c r="N1640" s="37"/>
      <c r="O1640" s="37"/>
      <c r="P1640" s="37"/>
      <c r="Q1640" s="18">
        <v>2.717E-2</v>
      </c>
      <c r="R1640" s="18">
        <v>1.8525E-4</v>
      </c>
      <c r="S1640" s="18">
        <v>5.1869999999999999E-2</v>
      </c>
      <c r="T1640" s="18">
        <v>0.2223</v>
      </c>
      <c r="U1640" s="18">
        <v>0.11115</v>
      </c>
      <c r="V1640" s="18">
        <v>1.42272</v>
      </c>
      <c r="W1640" s="18">
        <v>1.3338000000000001</v>
      </c>
      <c r="X1640" s="18">
        <v>0.88919999999999999</v>
      </c>
      <c r="Y1640" s="18">
        <v>3.952E-2</v>
      </c>
      <c r="Z1640" s="18">
        <v>0.17537</v>
      </c>
      <c r="AA1640" s="18">
        <v>0.25688</v>
      </c>
      <c r="AB1640" s="18">
        <v>0.45694999999999997</v>
      </c>
      <c r="AC1640" s="18">
        <v>0.14079</v>
      </c>
      <c r="AD1640" s="18">
        <v>0.74099999999999999</v>
      </c>
    </row>
    <row r="1641" spans="2:30" x14ac:dyDescent="0.25">
      <c r="B1641" t="s">
        <v>269</v>
      </c>
      <c r="C1641" t="s">
        <v>463</v>
      </c>
      <c r="D1641" t="s">
        <v>752</v>
      </c>
      <c r="E1641" s="35">
        <v>0.9</v>
      </c>
      <c r="F1641" s="35">
        <v>6.6</v>
      </c>
      <c r="G1641" s="36">
        <v>2.47E-3</v>
      </c>
      <c r="H1641" s="18">
        <v>4.4452980000000002</v>
      </c>
      <c r="I1641" s="16" t="s">
        <v>746</v>
      </c>
      <c r="J1641" s="16"/>
      <c r="K1641" s="16"/>
      <c r="L1641" s="37"/>
      <c r="M1641" s="37"/>
      <c r="N1641" s="37"/>
      <c r="O1641" s="37"/>
      <c r="P1641" s="37"/>
      <c r="Q1641" s="18">
        <v>2.717E-2</v>
      </c>
      <c r="R1641" s="18">
        <v>1.8525E-4</v>
      </c>
      <c r="S1641" s="18">
        <v>5.1869999999999999E-2</v>
      </c>
      <c r="T1641" s="18">
        <v>0.2223</v>
      </c>
      <c r="U1641" s="18">
        <v>0.11115</v>
      </c>
      <c r="V1641" s="18">
        <v>1.42272</v>
      </c>
      <c r="W1641" s="18">
        <v>1.3338000000000001</v>
      </c>
      <c r="X1641" s="18">
        <v>0.88919999999999999</v>
      </c>
      <c r="Y1641" s="18">
        <v>3.952E-2</v>
      </c>
      <c r="Z1641" s="18">
        <v>0.17537</v>
      </c>
      <c r="AA1641" s="18">
        <v>0.25688</v>
      </c>
      <c r="AB1641" s="18">
        <v>0.45694999999999997</v>
      </c>
      <c r="AC1641" s="18">
        <v>0.14079</v>
      </c>
      <c r="AD1641" s="18">
        <v>0.74099999999999999</v>
      </c>
    </row>
    <row r="1642" spans="2:30" x14ac:dyDescent="0.25">
      <c r="B1642" t="s">
        <v>269</v>
      </c>
      <c r="C1642" t="s">
        <v>463</v>
      </c>
      <c r="D1642" t="s">
        <v>752</v>
      </c>
      <c r="E1642" s="35">
        <v>0.9</v>
      </c>
      <c r="F1642" s="35">
        <v>6.6</v>
      </c>
      <c r="G1642" s="36">
        <v>2.47E-3</v>
      </c>
      <c r="H1642" s="18">
        <v>4.4452980000000002</v>
      </c>
      <c r="I1642" s="16" t="s">
        <v>746</v>
      </c>
      <c r="J1642" s="16"/>
      <c r="K1642" s="16"/>
      <c r="L1642" s="37"/>
      <c r="M1642" s="37"/>
      <c r="N1642" s="37"/>
      <c r="O1642" s="37"/>
      <c r="P1642" s="37"/>
      <c r="Q1642" s="18">
        <v>2.717E-2</v>
      </c>
      <c r="R1642" s="18">
        <v>1.8525E-4</v>
      </c>
      <c r="S1642" s="18">
        <v>5.1869999999999999E-2</v>
      </c>
      <c r="T1642" s="18">
        <v>0.2223</v>
      </c>
      <c r="U1642" s="18">
        <v>0.11115</v>
      </c>
      <c r="V1642" s="18">
        <v>1.42272</v>
      </c>
      <c r="W1642" s="18">
        <v>1.3338000000000001</v>
      </c>
      <c r="X1642" s="18">
        <v>0.88919999999999999</v>
      </c>
      <c r="Y1642" s="18">
        <v>3.952E-2</v>
      </c>
      <c r="Z1642" s="18">
        <v>0.17537</v>
      </c>
      <c r="AA1642" s="18">
        <v>0.25688</v>
      </c>
      <c r="AB1642" s="18">
        <v>0.45694999999999997</v>
      </c>
      <c r="AC1642" s="18">
        <v>0.14079</v>
      </c>
      <c r="AD1642" s="18">
        <v>0.74099999999999999</v>
      </c>
    </row>
    <row r="1643" spans="2:30" x14ac:dyDescent="0.25">
      <c r="B1643" t="s">
        <v>269</v>
      </c>
      <c r="C1643" t="s">
        <v>463</v>
      </c>
      <c r="D1643" t="s">
        <v>752</v>
      </c>
      <c r="E1643" s="35">
        <v>0.9</v>
      </c>
      <c r="F1643" s="35">
        <v>6.6</v>
      </c>
      <c r="G1643" s="36">
        <v>2.47E-3</v>
      </c>
      <c r="H1643" s="18">
        <v>4.4452980000000002</v>
      </c>
      <c r="I1643" s="16" t="s">
        <v>746</v>
      </c>
      <c r="J1643" s="16"/>
      <c r="K1643" s="16"/>
      <c r="L1643" s="37"/>
      <c r="M1643" s="37"/>
      <c r="N1643" s="37"/>
      <c r="O1643" s="37"/>
      <c r="P1643" s="37"/>
      <c r="Q1643" s="18">
        <v>2.717E-2</v>
      </c>
      <c r="R1643" s="18">
        <v>1.8525E-4</v>
      </c>
      <c r="S1643" s="18">
        <v>5.1869999999999999E-2</v>
      </c>
      <c r="T1643" s="18">
        <v>0.2223</v>
      </c>
      <c r="U1643" s="18">
        <v>0.11115</v>
      </c>
      <c r="V1643" s="18">
        <v>1.42272</v>
      </c>
      <c r="W1643" s="18">
        <v>1.3338000000000001</v>
      </c>
      <c r="X1643" s="18">
        <v>0.88919999999999999</v>
      </c>
      <c r="Y1643" s="18">
        <v>3.952E-2</v>
      </c>
      <c r="Z1643" s="18">
        <v>0.17537</v>
      </c>
      <c r="AA1643" s="18">
        <v>0.25688</v>
      </c>
      <c r="AB1643" s="18">
        <v>0.45694999999999997</v>
      </c>
      <c r="AC1643" s="18">
        <v>0.14079</v>
      </c>
      <c r="AD1643" s="18">
        <v>0.74099999999999999</v>
      </c>
    </row>
    <row r="1644" spans="2:30" x14ac:dyDescent="0.25">
      <c r="B1644" t="s">
        <v>269</v>
      </c>
      <c r="C1644" t="s">
        <v>463</v>
      </c>
      <c r="D1644" t="s">
        <v>752</v>
      </c>
      <c r="E1644" s="35">
        <v>0.9</v>
      </c>
      <c r="F1644" s="35">
        <v>6.6</v>
      </c>
      <c r="G1644" s="36">
        <v>2.47E-3</v>
      </c>
      <c r="H1644" s="18">
        <v>4.4452980000000002</v>
      </c>
      <c r="I1644" s="16" t="s">
        <v>746</v>
      </c>
      <c r="J1644" s="16"/>
      <c r="K1644" s="16"/>
      <c r="L1644" s="37"/>
      <c r="M1644" s="37"/>
      <c r="N1644" s="37"/>
      <c r="O1644" s="37"/>
      <c r="P1644" s="37"/>
      <c r="Q1644" s="18">
        <v>2.717E-2</v>
      </c>
      <c r="R1644" s="18">
        <v>1.8525E-4</v>
      </c>
      <c r="S1644" s="18">
        <v>5.1869999999999999E-2</v>
      </c>
      <c r="T1644" s="18">
        <v>0.2223</v>
      </c>
      <c r="U1644" s="18">
        <v>0.11115</v>
      </c>
      <c r="V1644" s="18">
        <v>1.42272</v>
      </c>
      <c r="W1644" s="18">
        <v>1.3338000000000001</v>
      </c>
      <c r="X1644" s="18">
        <v>0.88919999999999999</v>
      </c>
      <c r="Y1644" s="18">
        <v>3.952E-2</v>
      </c>
      <c r="Z1644" s="18">
        <v>0.17537</v>
      </c>
      <c r="AA1644" s="18">
        <v>0.25688</v>
      </c>
      <c r="AB1644" s="18">
        <v>0.45694999999999997</v>
      </c>
      <c r="AC1644" s="18">
        <v>0.14079</v>
      </c>
      <c r="AD1644" s="18">
        <v>0.74099999999999999</v>
      </c>
    </row>
    <row r="1645" spans="2:30" x14ac:dyDescent="0.25">
      <c r="B1645" t="s">
        <v>269</v>
      </c>
      <c r="C1645" t="s">
        <v>463</v>
      </c>
      <c r="D1645" t="s">
        <v>752</v>
      </c>
      <c r="E1645" s="35">
        <v>0.9</v>
      </c>
      <c r="F1645" s="35">
        <v>6.6</v>
      </c>
      <c r="G1645" s="36">
        <v>2.47E-3</v>
      </c>
      <c r="H1645" s="18">
        <v>4.4452980000000002</v>
      </c>
      <c r="I1645" s="16" t="s">
        <v>746</v>
      </c>
      <c r="J1645" s="16"/>
      <c r="K1645" s="16"/>
      <c r="L1645" s="37"/>
      <c r="M1645" s="37"/>
      <c r="N1645" s="37"/>
      <c r="O1645" s="37"/>
      <c r="P1645" s="37"/>
      <c r="Q1645" s="18">
        <v>2.717E-2</v>
      </c>
      <c r="R1645" s="18">
        <v>1.8525E-4</v>
      </c>
      <c r="S1645" s="18">
        <v>5.1869999999999999E-2</v>
      </c>
      <c r="T1645" s="18">
        <v>0.2223</v>
      </c>
      <c r="U1645" s="18">
        <v>0.11115</v>
      </c>
      <c r="V1645" s="18">
        <v>1.42272</v>
      </c>
      <c r="W1645" s="18">
        <v>1.3338000000000001</v>
      </c>
      <c r="X1645" s="18">
        <v>0.88919999999999999</v>
      </c>
      <c r="Y1645" s="18">
        <v>3.952E-2</v>
      </c>
      <c r="Z1645" s="18">
        <v>0.17537</v>
      </c>
      <c r="AA1645" s="18">
        <v>0.25688</v>
      </c>
      <c r="AB1645" s="18">
        <v>0.45694999999999997</v>
      </c>
      <c r="AC1645" s="18">
        <v>0.14079</v>
      </c>
      <c r="AD1645" s="18">
        <v>0.74099999999999999</v>
      </c>
    </row>
    <row r="1646" spans="2:30" x14ac:dyDescent="0.25">
      <c r="B1646" t="s">
        <v>269</v>
      </c>
      <c r="C1646" t="s">
        <v>463</v>
      </c>
      <c r="D1646" t="s">
        <v>752</v>
      </c>
      <c r="E1646" s="35">
        <v>0.9</v>
      </c>
      <c r="F1646" s="35">
        <v>6.6</v>
      </c>
      <c r="G1646" s="36">
        <v>2.47E-3</v>
      </c>
      <c r="H1646" s="18">
        <v>4.4452980000000002</v>
      </c>
      <c r="I1646" s="16" t="s">
        <v>746</v>
      </c>
      <c r="J1646" s="16"/>
      <c r="K1646" s="16"/>
      <c r="L1646" s="37"/>
      <c r="M1646" s="37"/>
      <c r="N1646" s="37"/>
      <c r="O1646" s="37"/>
      <c r="P1646" s="37"/>
      <c r="Q1646" s="18">
        <v>2.717E-2</v>
      </c>
      <c r="R1646" s="18">
        <v>1.8525E-4</v>
      </c>
      <c r="S1646" s="18">
        <v>5.1869999999999999E-2</v>
      </c>
      <c r="T1646" s="18">
        <v>0.2223</v>
      </c>
      <c r="U1646" s="18">
        <v>0.11115</v>
      </c>
      <c r="V1646" s="18">
        <v>1.42272</v>
      </c>
      <c r="W1646" s="18">
        <v>1.3338000000000001</v>
      </c>
      <c r="X1646" s="18">
        <v>0.88919999999999999</v>
      </c>
      <c r="Y1646" s="18">
        <v>3.952E-2</v>
      </c>
      <c r="Z1646" s="18">
        <v>0.17537</v>
      </c>
      <c r="AA1646" s="18">
        <v>0.25688</v>
      </c>
      <c r="AB1646" s="18">
        <v>0.45694999999999997</v>
      </c>
      <c r="AC1646" s="18">
        <v>0.14079</v>
      </c>
      <c r="AD1646" s="18">
        <v>0.74099999999999999</v>
      </c>
    </row>
    <row r="1647" spans="2:30" x14ac:dyDescent="0.25">
      <c r="B1647" t="s">
        <v>269</v>
      </c>
      <c r="C1647" t="s">
        <v>463</v>
      </c>
      <c r="D1647" t="s">
        <v>752</v>
      </c>
      <c r="E1647" s="35">
        <v>0.9</v>
      </c>
      <c r="F1647" s="35">
        <v>6.6</v>
      </c>
      <c r="G1647" s="36">
        <v>2.47E-3</v>
      </c>
      <c r="H1647" s="18">
        <v>4.4452980000000002</v>
      </c>
      <c r="I1647" s="16" t="s">
        <v>746</v>
      </c>
      <c r="J1647" s="16"/>
      <c r="K1647" s="16"/>
      <c r="L1647" s="37"/>
      <c r="M1647" s="37"/>
      <c r="N1647" s="37"/>
      <c r="O1647" s="37"/>
      <c r="P1647" s="37"/>
      <c r="Q1647" s="18">
        <v>2.717E-2</v>
      </c>
      <c r="R1647" s="18">
        <v>1.8525E-4</v>
      </c>
      <c r="S1647" s="18">
        <v>5.1869999999999999E-2</v>
      </c>
      <c r="T1647" s="18">
        <v>0.2223</v>
      </c>
      <c r="U1647" s="18">
        <v>0.11115</v>
      </c>
      <c r="V1647" s="18">
        <v>1.42272</v>
      </c>
      <c r="W1647" s="18">
        <v>1.3338000000000001</v>
      </c>
      <c r="X1647" s="18">
        <v>0.88919999999999999</v>
      </c>
      <c r="Y1647" s="18">
        <v>3.952E-2</v>
      </c>
      <c r="Z1647" s="18">
        <v>0.17537</v>
      </c>
      <c r="AA1647" s="18">
        <v>0.25688</v>
      </c>
      <c r="AB1647" s="18">
        <v>0.45694999999999997</v>
      </c>
      <c r="AC1647" s="18">
        <v>0.14079</v>
      </c>
      <c r="AD1647" s="18">
        <v>0.74099999999999999</v>
      </c>
    </row>
    <row r="1648" spans="2:30" x14ac:dyDescent="0.25">
      <c r="B1648" t="s">
        <v>269</v>
      </c>
      <c r="C1648" t="s">
        <v>463</v>
      </c>
      <c r="D1648" t="s">
        <v>752</v>
      </c>
      <c r="E1648" s="35">
        <v>0.9</v>
      </c>
      <c r="F1648" s="35">
        <v>6.6</v>
      </c>
      <c r="G1648" s="36">
        <v>2.47E-3</v>
      </c>
      <c r="H1648" s="18">
        <v>4.4452980000000002</v>
      </c>
      <c r="I1648" s="16" t="s">
        <v>746</v>
      </c>
      <c r="J1648" s="16"/>
      <c r="K1648" s="16"/>
      <c r="L1648" s="37"/>
      <c r="M1648" s="37"/>
      <c r="N1648" s="37"/>
      <c r="O1648" s="37"/>
      <c r="P1648" s="37"/>
      <c r="Q1648" s="18">
        <v>2.717E-2</v>
      </c>
      <c r="R1648" s="18">
        <v>1.8525E-4</v>
      </c>
      <c r="S1648" s="18">
        <v>5.1869999999999999E-2</v>
      </c>
      <c r="T1648" s="18">
        <v>0.2223</v>
      </c>
      <c r="U1648" s="18">
        <v>0.11115</v>
      </c>
      <c r="V1648" s="18">
        <v>1.42272</v>
      </c>
      <c r="W1648" s="18">
        <v>1.3338000000000001</v>
      </c>
      <c r="X1648" s="18">
        <v>0.88919999999999999</v>
      </c>
      <c r="Y1648" s="18">
        <v>3.952E-2</v>
      </c>
      <c r="Z1648" s="18">
        <v>0.17537</v>
      </c>
      <c r="AA1648" s="18">
        <v>0.25688</v>
      </c>
      <c r="AB1648" s="18">
        <v>0.45694999999999997</v>
      </c>
      <c r="AC1648" s="18">
        <v>0.14079</v>
      </c>
      <c r="AD1648" s="18">
        <v>0.74099999999999999</v>
      </c>
    </row>
    <row r="1649" spans="2:30" x14ac:dyDescent="0.25">
      <c r="B1649" t="s">
        <v>269</v>
      </c>
      <c r="C1649" t="s">
        <v>463</v>
      </c>
      <c r="D1649" t="s">
        <v>752</v>
      </c>
      <c r="E1649" s="35">
        <v>0.9</v>
      </c>
      <c r="F1649" s="35">
        <v>6.6</v>
      </c>
      <c r="G1649" s="36">
        <v>2.47E-3</v>
      </c>
      <c r="H1649" s="18">
        <v>4.4452980000000002</v>
      </c>
      <c r="I1649" s="16" t="s">
        <v>746</v>
      </c>
      <c r="J1649" s="16"/>
      <c r="K1649" s="16"/>
      <c r="L1649" s="37"/>
      <c r="M1649" s="37"/>
      <c r="N1649" s="37"/>
      <c r="O1649" s="37"/>
      <c r="P1649" s="37"/>
      <c r="Q1649" s="18">
        <v>2.717E-2</v>
      </c>
      <c r="R1649" s="18">
        <v>1.8525E-4</v>
      </c>
      <c r="S1649" s="18">
        <v>5.1869999999999999E-2</v>
      </c>
      <c r="T1649" s="18">
        <v>0.2223</v>
      </c>
      <c r="U1649" s="18">
        <v>0.11115</v>
      </c>
      <c r="V1649" s="18">
        <v>1.42272</v>
      </c>
      <c r="W1649" s="18">
        <v>1.3338000000000001</v>
      </c>
      <c r="X1649" s="18">
        <v>0.88919999999999999</v>
      </c>
      <c r="Y1649" s="18">
        <v>3.952E-2</v>
      </c>
      <c r="Z1649" s="18">
        <v>0.17537</v>
      </c>
      <c r="AA1649" s="18">
        <v>0.25688</v>
      </c>
      <c r="AB1649" s="18">
        <v>0.45694999999999997</v>
      </c>
      <c r="AC1649" s="18">
        <v>0.14079</v>
      </c>
      <c r="AD1649" s="18">
        <v>0.74099999999999999</v>
      </c>
    </row>
    <row r="1650" spans="2:30" x14ac:dyDescent="0.25">
      <c r="B1650" t="s">
        <v>269</v>
      </c>
      <c r="C1650" t="s">
        <v>463</v>
      </c>
      <c r="D1650" t="s">
        <v>752</v>
      </c>
      <c r="E1650" s="35">
        <v>0.9</v>
      </c>
      <c r="F1650" s="35">
        <v>6.6</v>
      </c>
      <c r="G1650" s="36">
        <v>2.47E-3</v>
      </c>
      <c r="H1650" s="18">
        <v>4.4452980000000002</v>
      </c>
      <c r="I1650" s="16" t="s">
        <v>746</v>
      </c>
      <c r="J1650" s="16"/>
      <c r="K1650" s="16"/>
      <c r="L1650" s="37"/>
      <c r="M1650" s="37"/>
      <c r="N1650" s="37"/>
      <c r="O1650" s="37"/>
      <c r="P1650" s="37"/>
      <c r="Q1650" s="18">
        <v>2.717E-2</v>
      </c>
      <c r="R1650" s="18">
        <v>1.8525E-4</v>
      </c>
      <c r="S1650" s="18">
        <v>5.1869999999999999E-2</v>
      </c>
      <c r="T1650" s="18">
        <v>0.2223</v>
      </c>
      <c r="U1650" s="18">
        <v>0.11115</v>
      </c>
      <c r="V1650" s="18">
        <v>1.42272</v>
      </c>
      <c r="W1650" s="18">
        <v>1.3338000000000001</v>
      </c>
      <c r="X1650" s="18">
        <v>0.88919999999999999</v>
      </c>
      <c r="Y1650" s="18">
        <v>3.952E-2</v>
      </c>
      <c r="Z1650" s="18">
        <v>0.17537</v>
      </c>
      <c r="AA1650" s="18">
        <v>0.25688</v>
      </c>
      <c r="AB1650" s="18">
        <v>0.45694999999999997</v>
      </c>
      <c r="AC1650" s="18">
        <v>0.14079</v>
      </c>
      <c r="AD1650" s="18">
        <v>0.74099999999999999</v>
      </c>
    </row>
    <row r="1651" spans="2:30" x14ac:dyDescent="0.25">
      <c r="B1651" t="s">
        <v>269</v>
      </c>
      <c r="C1651" t="s">
        <v>463</v>
      </c>
      <c r="D1651" t="s">
        <v>752</v>
      </c>
      <c r="E1651" s="35">
        <v>0.9</v>
      </c>
      <c r="F1651" s="35">
        <v>6.6</v>
      </c>
      <c r="G1651" s="36">
        <v>2.47E-3</v>
      </c>
      <c r="H1651" s="18">
        <v>4.4452980000000002</v>
      </c>
      <c r="I1651" s="16" t="s">
        <v>746</v>
      </c>
      <c r="J1651" s="16"/>
      <c r="K1651" s="16"/>
      <c r="L1651" s="37"/>
      <c r="M1651" s="37"/>
      <c r="N1651" s="37"/>
      <c r="O1651" s="37"/>
      <c r="P1651" s="37"/>
      <c r="Q1651" s="18">
        <v>2.717E-2</v>
      </c>
      <c r="R1651" s="18">
        <v>1.8525E-4</v>
      </c>
      <c r="S1651" s="18">
        <v>5.1869999999999999E-2</v>
      </c>
      <c r="T1651" s="18">
        <v>0.2223</v>
      </c>
      <c r="U1651" s="18">
        <v>0.11115</v>
      </c>
      <c r="V1651" s="18">
        <v>1.42272</v>
      </c>
      <c r="W1651" s="18">
        <v>1.3338000000000001</v>
      </c>
      <c r="X1651" s="18">
        <v>0.88919999999999999</v>
      </c>
      <c r="Y1651" s="18">
        <v>3.952E-2</v>
      </c>
      <c r="Z1651" s="18">
        <v>0.17537</v>
      </c>
      <c r="AA1651" s="18">
        <v>0.25688</v>
      </c>
      <c r="AB1651" s="18">
        <v>0.45694999999999997</v>
      </c>
      <c r="AC1651" s="18">
        <v>0.14079</v>
      </c>
      <c r="AD1651" s="18">
        <v>0.74099999999999999</v>
      </c>
    </row>
    <row r="1652" spans="2:30" x14ac:dyDescent="0.25">
      <c r="B1652" t="s">
        <v>269</v>
      </c>
      <c r="C1652" t="s">
        <v>463</v>
      </c>
      <c r="D1652" t="s">
        <v>752</v>
      </c>
      <c r="E1652" s="35">
        <v>0.9</v>
      </c>
      <c r="F1652" s="35">
        <v>6.6</v>
      </c>
      <c r="G1652" s="36">
        <v>2.47E-3</v>
      </c>
      <c r="H1652" s="18">
        <v>4.4452980000000002</v>
      </c>
      <c r="I1652" s="16" t="s">
        <v>746</v>
      </c>
      <c r="J1652" s="16"/>
      <c r="K1652" s="16"/>
      <c r="L1652" s="37"/>
      <c r="M1652" s="37"/>
      <c r="N1652" s="37"/>
      <c r="O1652" s="37"/>
      <c r="P1652" s="37"/>
      <c r="Q1652" s="18">
        <v>2.717E-2</v>
      </c>
      <c r="R1652" s="18">
        <v>1.8525E-4</v>
      </c>
      <c r="S1652" s="18">
        <v>5.1869999999999999E-2</v>
      </c>
      <c r="T1652" s="18">
        <v>0.2223</v>
      </c>
      <c r="U1652" s="18">
        <v>0.11115</v>
      </c>
      <c r="V1652" s="18">
        <v>1.42272</v>
      </c>
      <c r="W1652" s="18">
        <v>1.3338000000000001</v>
      </c>
      <c r="X1652" s="18">
        <v>0.88919999999999999</v>
      </c>
      <c r="Y1652" s="18">
        <v>3.952E-2</v>
      </c>
      <c r="Z1652" s="18">
        <v>0.17537</v>
      </c>
      <c r="AA1652" s="18">
        <v>0.25688</v>
      </c>
      <c r="AB1652" s="18">
        <v>0.45694999999999997</v>
      </c>
      <c r="AC1652" s="18">
        <v>0.14079</v>
      </c>
      <c r="AD1652" s="18">
        <v>0.74099999999999999</v>
      </c>
    </row>
    <row r="1653" spans="2:30" x14ac:dyDescent="0.25">
      <c r="B1653" t="s">
        <v>269</v>
      </c>
      <c r="C1653" t="s">
        <v>463</v>
      </c>
      <c r="D1653" t="s">
        <v>752</v>
      </c>
      <c r="E1653" s="35">
        <v>0.9</v>
      </c>
      <c r="F1653" s="35">
        <v>6.6</v>
      </c>
      <c r="G1653" s="36">
        <v>2.47E-3</v>
      </c>
      <c r="H1653" s="18">
        <v>4.4452980000000002</v>
      </c>
      <c r="I1653" s="16" t="s">
        <v>746</v>
      </c>
      <c r="J1653" s="16"/>
      <c r="K1653" s="16"/>
      <c r="L1653" s="37"/>
      <c r="M1653" s="37"/>
      <c r="N1653" s="37"/>
      <c r="O1653" s="37"/>
      <c r="P1653" s="37"/>
      <c r="Q1653" s="18">
        <v>2.717E-2</v>
      </c>
      <c r="R1653" s="18">
        <v>1.8525E-4</v>
      </c>
      <c r="S1653" s="18">
        <v>5.1869999999999999E-2</v>
      </c>
      <c r="T1653" s="18">
        <v>0.2223</v>
      </c>
      <c r="U1653" s="18">
        <v>0.11115</v>
      </c>
      <c r="V1653" s="18">
        <v>1.42272</v>
      </c>
      <c r="W1653" s="18">
        <v>1.3338000000000001</v>
      </c>
      <c r="X1653" s="18">
        <v>0.88919999999999999</v>
      </c>
      <c r="Y1653" s="18">
        <v>3.952E-2</v>
      </c>
      <c r="Z1653" s="18">
        <v>0.17537</v>
      </c>
      <c r="AA1653" s="18">
        <v>0.25688</v>
      </c>
      <c r="AB1653" s="18">
        <v>0.45694999999999997</v>
      </c>
      <c r="AC1653" s="18">
        <v>0.14079</v>
      </c>
      <c r="AD1653" s="18">
        <v>0.74099999999999999</v>
      </c>
    </row>
    <row r="1654" spans="2:30" x14ac:dyDescent="0.25">
      <c r="B1654" t="s">
        <v>269</v>
      </c>
      <c r="C1654" t="s">
        <v>463</v>
      </c>
      <c r="D1654" t="s">
        <v>752</v>
      </c>
      <c r="E1654" s="35">
        <v>0.9</v>
      </c>
      <c r="F1654" s="35">
        <v>6.6</v>
      </c>
      <c r="G1654" s="36">
        <v>2.47E-3</v>
      </c>
      <c r="H1654" s="18">
        <v>4.4452980000000002</v>
      </c>
      <c r="I1654" s="16" t="s">
        <v>746</v>
      </c>
      <c r="J1654" s="16"/>
      <c r="K1654" s="16"/>
      <c r="L1654" s="37"/>
      <c r="M1654" s="37"/>
      <c r="N1654" s="37"/>
      <c r="O1654" s="37"/>
      <c r="P1654" s="37"/>
      <c r="Q1654" s="18">
        <v>2.717E-2</v>
      </c>
      <c r="R1654" s="18">
        <v>1.8525E-4</v>
      </c>
      <c r="S1654" s="18">
        <v>5.1869999999999999E-2</v>
      </c>
      <c r="T1654" s="18">
        <v>0.2223</v>
      </c>
      <c r="U1654" s="18">
        <v>0.11115</v>
      </c>
      <c r="V1654" s="18">
        <v>1.42272</v>
      </c>
      <c r="W1654" s="18">
        <v>1.3338000000000001</v>
      </c>
      <c r="X1654" s="18">
        <v>0.88919999999999999</v>
      </c>
      <c r="Y1654" s="18">
        <v>3.952E-2</v>
      </c>
      <c r="Z1654" s="18">
        <v>0.17537</v>
      </c>
      <c r="AA1654" s="18">
        <v>0.25688</v>
      </c>
      <c r="AB1654" s="18">
        <v>0.45694999999999997</v>
      </c>
      <c r="AC1654" s="18">
        <v>0.14079</v>
      </c>
      <c r="AD1654" s="18">
        <v>0.74099999999999999</v>
      </c>
    </row>
    <row r="1655" spans="2:30" x14ac:dyDescent="0.25">
      <c r="B1655" t="s">
        <v>269</v>
      </c>
      <c r="C1655" t="s">
        <v>463</v>
      </c>
      <c r="D1655" t="s">
        <v>752</v>
      </c>
      <c r="E1655" s="35">
        <v>0.9</v>
      </c>
      <c r="F1655" s="35">
        <v>6.6</v>
      </c>
      <c r="G1655" s="36">
        <v>2.47E-3</v>
      </c>
      <c r="H1655" s="18">
        <v>4.4452980000000002</v>
      </c>
      <c r="I1655" s="16" t="s">
        <v>746</v>
      </c>
      <c r="J1655" s="16"/>
      <c r="K1655" s="16"/>
      <c r="L1655" s="37"/>
      <c r="M1655" s="37"/>
      <c r="N1655" s="37"/>
      <c r="O1655" s="37"/>
      <c r="P1655" s="37"/>
      <c r="Q1655" s="18">
        <v>2.717E-2</v>
      </c>
      <c r="R1655" s="18">
        <v>1.8525E-4</v>
      </c>
      <c r="S1655" s="18">
        <v>5.1869999999999999E-2</v>
      </c>
      <c r="T1655" s="18">
        <v>0.2223</v>
      </c>
      <c r="U1655" s="18">
        <v>0.11115</v>
      </c>
      <c r="V1655" s="18">
        <v>1.42272</v>
      </c>
      <c r="W1655" s="18">
        <v>1.3338000000000001</v>
      </c>
      <c r="X1655" s="18">
        <v>0.88919999999999999</v>
      </c>
      <c r="Y1655" s="18">
        <v>3.952E-2</v>
      </c>
      <c r="Z1655" s="18">
        <v>0.17537</v>
      </c>
      <c r="AA1655" s="18">
        <v>0.25688</v>
      </c>
      <c r="AB1655" s="18">
        <v>0.45694999999999997</v>
      </c>
      <c r="AC1655" s="18">
        <v>0.14079</v>
      </c>
      <c r="AD1655" s="18">
        <v>0.74099999999999999</v>
      </c>
    </row>
    <row r="1656" spans="2:30" x14ac:dyDescent="0.25">
      <c r="B1656" t="s">
        <v>269</v>
      </c>
      <c r="C1656" t="s">
        <v>463</v>
      </c>
      <c r="D1656" t="s">
        <v>752</v>
      </c>
      <c r="E1656" s="35">
        <v>0.9</v>
      </c>
      <c r="F1656" s="35">
        <v>6.6</v>
      </c>
      <c r="G1656" s="36">
        <v>2.47E-3</v>
      </c>
      <c r="H1656" s="18">
        <v>4.4452980000000002</v>
      </c>
      <c r="I1656" s="16" t="s">
        <v>746</v>
      </c>
      <c r="J1656" s="16"/>
      <c r="K1656" s="16"/>
      <c r="L1656" s="37"/>
      <c r="M1656" s="37"/>
      <c r="N1656" s="37"/>
      <c r="O1656" s="37"/>
      <c r="P1656" s="37"/>
      <c r="Q1656" s="18">
        <v>2.717E-2</v>
      </c>
      <c r="R1656" s="18">
        <v>1.8525E-4</v>
      </c>
      <c r="S1656" s="18">
        <v>5.1869999999999999E-2</v>
      </c>
      <c r="T1656" s="18">
        <v>0.2223</v>
      </c>
      <c r="U1656" s="18">
        <v>0.11115</v>
      </c>
      <c r="V1656" s="18">
        <v>1.42272</v>
      </c>
      <c r="W1656" s="18">
        <v>1.3338000000000001</v>
      </c>
      <c r="X1656" s="18">
        <v>0.88919999999999999</v>
      </c>
      <c r="Y1656" s="18">
        <v>3.952E-2</v>
      </c>
      <c r="Z1656" s="18">
        <v>0.17537</v>
      </c>
      <c r="AA1656" s="18">
        <v>0.25688</v>
      </c>
      <c r="AB1656" s="18">
        <v>0.45694999999999997</v>
      </c>
      <c r="AC1656" s="18">
        <v>0.14079</v>
      </c>
      <c r="AD1656" s="18">
        <v>0.74099999999999999</v>
      </c>
    </row>
    <row r="1657" spans="2:30" x14ac:dyDescent="0.25">
      <c r="B1657" t="s">
        <v>269</v>
      </c>
      <c r="C1657" t="s">
        <v>463</v>
      </c>
      <c r="D1657" t="s">
        <v>752</v>
      </c>
      <c r="E1657" s="35">
        <v>0.9</v>
      </c>
      <c r="F1657" s="35">
        <v>6.6</v>
      </c>
      <c r="G1657" s="36">
        <v>2.47E-3</v>
      </c>
      <c r="H1657" s="18">
        <v>4.4452980000000002</v>
      </c>
      <c r="I1657" s="16" t="s">
        <v>746</v>
      </c>
      <c r="J1657" s="16"/>
      <c r="K1657" s="16"/>
      <c r="L1657" s="37"/>
      <c r="M1657" s="37"/>
      <c r="N1657" s="37"/>
      <c r="O1657" s="37"/>
      <c r="P1657" s="37"/>
      <c r="Q1657" s="18">
        <v>2.717E-2</v>
      </c>
      <c r="R1657" s="18">
        <v>1.8525E-4</v>
      </c>
      <c r="S1657" s="18">
        <v>5.1869999999999999E-2</v>
      </c>
      <c r="T1657" s="18">
        <v>0.2223</v>
      </c>
      <c r="U1657" s="18">
        <v>0.11115</v>
      </c>
      <c r="V1657" s="18">
        <v>1.42272</v>
      </c>
      <c r="W1657" s="18">
        <v>1.3338000000000001</v>
      </c>
      <c r="X1657" s="18">
        <v>0.88919999999999999</v>
      </c>
      <c r="Y1657" s="18">
        <v>3.952E-2</v>
      </c>
      <c r="Z1657" s="18">
        <v>0.17537</v>
      </c>
      <c r="AA1657" s="18">
        <v>0.25688</v>
      </c>
      <c r="AB1657" s="18">
        <v>0.45694999999999997</v>
      </c>
      <c r="AC1657" s="18">
        <v>0.14079</v>
      </c>
      <c r="AD1657" s="18">
        <v>0.74099999999999999</v>
      </c>
    </row>
    <row r="1658" spans="2:30" x14ac:dyDescent="0.25">
      <c r="B1658" t="s">
        <v>269</v>
      </c>
      <c r="C1658" t="s">
        <v>463</v>
      </c>
      <c r="D1658" t="s">
        <v>752</v>
      </c>
      <c r="E1658" s="35">
        <v>0.9</v>
      </c>
      <c r="F1658" s="35">
        <v>6.6</v>
      </c>
      <c r="G1658" s="36">
        <v>2.47E-3</v>
      </c>
      <c r="H1658" s="18">
        <v>4.4452980000000002</v>
      </c>
      <c r="I1658" s="16" t="s">
        <v>746</v>
      </c>
      <c r="J1658" s="16"/>
      <c r="K1658" s="16"/>
      <c r="L1658" s="37"/>
      <c r="M1658" s="37"/>
      <c r="N1658" s="37"/>
      <c r="O1658" s="37"/>
      <c r="P1658" s="37"/>
      <c r="Q1658" s="18">
        <v>2.717E-2</v>
      </c>
      <c r="R1658" s="18">
        <v>1.8525E-4</v>
      </c>
      <c r="S1658" s="18">
        <v>5.1869999999999999E-2</v>
      </c>
      <c r="T1658" s="18">
        <v>0.2223</v>
      </c>
      <c r="U1658" s="18">
        <v>0.11115</v>
      </c>
      <c r="V1658" s="18">
        <v>1.42272</v>
      </c>
      <c r="W1658" s="18">
        <v>1.3338000000000001</v>
      </c>
      <c r="X1658" s="18">
        <v>0.88919999999999999</v>
      </c>
      <c r="Y1658" s="18">
        <v>3.952E-2</v>
      </c>
      <c r="Z1658" s="18">
        <v>0.17537</v>
      </c>
      <c r="AA1658" s="18">
        <v>0.25688</v>
      </c>
      <c r="AB1658" s="18">
        <v>0.45694999999999997</v>
      </c>
      <c r="AC1658" s="18">
        <v>0.14079</v>
      </c>
      <c r="AD1658" s="18">
        <v>0.74099999999999999</v>
      </c>
    </row>
    <row r="1659" spans="2:30" x14ac:dyDescent="0.25">
      <c r="B1659" t="s">
        <v>269</v>
      </c>
      <c r="C1659" t="s">
        <v>463</v>
      </c>
      <c r="D1659" t="s">
        <v>752</v>
      </c>
      <c r="E1659" s="35">
        <v>0.9</v>
      </c>
      <c r="F1659" s="35">
        <v>6.6</v>
      </c>
      <c r="G1659" s="36">
        <v>2.47E-3</v>
      </c>
      <c r="H1659" s="18">
        <v>4.4452980000000002</v>
      </c>
      <c r="I1659" s="16" t="s">
        <v>746</v>
      </c>
      <c r="J1659" s="16"/>
      <c r="K1659" s="16"/>
      <c r="L1659" s="37"/>
      <c r="M1659" s="37"/>
      <c r="N1659" s="37"/>
      <c r="O1659" s="37"/>
      <c r="P1659" s="37"/>
      <c r="Q1659" s="18">
        <v>2.717E-2</v>
      </c>
      <c r="R1659" s="18">
        <v>1.8525E-4</v>
      </c>
      <c r="S1659" s="18">
        <v>5.1869999999999999E-2</v>
      </c>
      <c r="T1659" s="18">
        <v>0.2223</v>
      </c>
      <c r="U1659" s="18">
        <v>0.11115</v>
      </c>
      <c r="V1659" s="18">
        <v>1.42272</v>
      </c>
      <c r="W1659" s="18">
        <v>1.3338000000000001</v>
      </c>
      <c r="X1659" s="18">
        <v>0.88919999999999999</v>
      </c>
      <c r="Y1659" s="18">
        <v>3.952E-2</v>
      </c>
      <c r="Z1659" s="18">
        <v>0.17537</v>
      </c>
      <c r="AA1659" s="18">
        <v>0.25688</v>
      </c>
      <c r="AB1659" s="18">
        <v>0.45694999999999997</v>
      </c>
      <c r="AC1659" s="18">
        <v>0.14079</v>
      </c>
      <c r="AD1659" s="18">
        <v>0.74099999999999999</v>
      </c>
    </row>
    <row r="1660" spans="2:30" x14ac:dyDescent="0.25">
      <c r="B1660" t="s">
        <v>269</v>
      </c>
      <c r="C1660" t="s">
        <v>463</v>
      </c>
      <c r="D1660" t="s">
        <v>752</v>
      </c>
      <c r="E1660" s="35">
        <v>0.9</v>
      </c>
      <c r="F1660" s="35">
        <v>6.6</v>
      </c>
      <c r="G1660" s="36">
        <v>2.47E-3</v>
      </c>
      <c r="H1660" s="18">
        <v>4.4452980000000002</v>
      </c>
      <c r="I1660" s="16" t="s">
        <v>746</v>
      </c>
      <c r="J1660" s="16"/>
      <c r="K1660" s="16"/>
      <c r="L1660" s="37"/>
      <c r="M1660" s="37"/>
      <c r="N1660" s="37"/>
      <c r="O1660" s="37"/>
      <c r="P1660" s="37"/>
      <c r="Q1660" s="18">
        <v>2.717E-2</v>
      </c>
      <c r="R1660" s="18">
        <v>1.8525E-4</v>
      </c>
      <c r="S1660" s="18">
        <v>5.1869999999999999E-2</v>
      </c>
      <c r="T1660" s="18">
        <v>0.2223</v>
      </c>
      <c r="U1660" s="18">
        <v>0.11115</v>
      </c>
      <c r="V1660" s="18">
        <v>1.42272</v>
      </c>
      <c r="W1660" s="18">
        <v>1.3338000000000001</v>
      </c>
      <c r="X1660" s="18">
        <v>0.88919999999999999</v>
      </c>
      <c r="Y1660" s="18">
        <v>3.952E-2</v>
      </c>
      <c r="Z1660" s="18">
        <v>0.17537</v>
      </c>
      <c r="AA1660" s="18">
        <v>0.25688</v>
      </c>
      <c r="AB1660" s="18">
        <v>0.45694999999999997</v>
      </c>
      <c r="AC1660" s="18">
        <v>0.14079</v>
      </c>
      <c r="AD1660" s="18">
        <v>0.74099999999999999</v>
      </c>
    </row>
    <row r="1661" spans="2:30" x14ac:dyDescent="0.25">
      <c r="B1661" t="s">
        <v>269</v>
      </c>
      <c r="C1661" t="s">
        <v>463</v>
      </c>
      <c r="D1661" t="s">
        <v>752</v>
      </c>
      <c r="E1661" s="35">
        <v>0.9</v>
      </c>
      <c r="F1661" s="35">
        <v>6.6</v>
      </c>
      <c r="G1661" s="36">
        <v>2.47E-3</v>
      </c>
      <c r="H1661" s="18">
        <v>4.4452980000000002</v>
      </c>
      <c r="I1661" s="16" t="s">
        <v>746</v>
      </c>
      <c r="J1661" s="16"/>
      <c r="K1661" s="16"/>
      <c r="L1661" s="37"/>
      <c r="M1661" s="37"/>
      <c r="N1661" s="37"/>
      <c r="O1661" s="37"/>
      <c r="P1661" s="37"/>
      <c r="Q1661" s="18">
        <v>2.717E-2</v>
      </c>
      <c r="R1661" s="18">
        <v>1.8525E-4</v>
      </c>
      <c r="S1661" s="18">
        <v>5.1869999999999999E-2</v>
      </c>
      <c r="T1661" s="18">
        <v>0.2223</v>
      </c>
      <c r="U1661" s="18">
        <v>0.11115</v>
      </c>
      <c r="V1661" s="18">
        <v>1.42272</v>
      </c>
      <c r="W1661" s="18">
        <v>1.3338000000000001</v>
      </c>
      <c r="X1661" s="18">
        <v>0.88919999999999999</v>
      </c>
      <c r="Y1661" s="18">
        <v>3.952E-2</v>
      </c>
      <c r="Z1661" s="18">
        <v>0.17537</v>
      </c>
      <c r="AA1661" s="18">
        <v>0.25688</v>
      </c>
      <c r="AB1661" s="18">
        <v>0.45694999999999997</v>
      </c>
      <c r="AC1661" s="18">
        <v>0.14079</v>
      </c>
      <c r="AD1661" s="18">
        <v>0.74099999999999999</v>
      </c>
    </row>
    <row r="1662" spans="2:30" x14ac:dyDescent="0.25">
      <c r="B1662" t="s">
        <v>269</v>
      </c>
      <c r="C1662" t="s">
        <v>463</v>
      </c>
      <c r="D1662" t="s">
        <v>752</v>
      </c>
      <c r="E1662" s="35">
        <v>0.9</v>
      </c>
      <c r="F1662" s="35">
        <v>6.6</v>
      </c>
      <c r="G1662" s="36">
        <v>2.47E-3</v>
      </c>
      <c r="H1662" s="18">
        <v>4.4452980000000002</v>
      </c>
      <c r="I1662" s="16" t="s">
        <v>746</v>
      </c>
      <c r="J1662" s="16"/>
      <c r="K1662" s="16"/>
      <c r="L1662" s="37"/>
      <c r="M1662" s="37"/>
      <c r="N1662" s="37"/>
      <c r="O1662" s="37"/>
      <c r="P1662" s="37"/>
      <c r="Q1662" s="18">
        <v>2.717E-2</v>
      </c>
      <c r="R1662" s="18">
        <v>1.8525E-4</v>
      </c>
      <c r="S1662" s="18">
        <v>5.1869999999999999E-2</v>
      </c>
      <c r="T1662" s="18">
        <v>0.2223</v>
      </c>
      <c r="U1662" s="18">
        <v>0.11115</v>
      </c>
      <c r="V1662" s="18">
        <v>1.42272</v>
      </c>
      <c r="W1662" s="18">
        <v>1.3338000000000001</v>
      </c>
      <c r="X1662" s="18">
        <v>0.88919999999999999</v>
      </c>
      <c r="Y1662" s="18">
        <v>3.952E-2</v>
      </c>
      <c r="Z1662" s="18">
        <v>0.17537</v>
      </c>
      <c r="AA1662" s="18">
        <v>0.25688</v>
      </c>
      <c r="AB1662" s="18">
        <v>0.45694999999999997</v>
      </c>
      <c r="AC1662" s="18">
        <v>0.14079</v>
      </c>
      <c r="AD1662" s="18">
        <v>0.74099999999999999</v>
      </c>
    </row>
    <row r="1663" spans="2:30" x14ac:dyDescent="0.25">
      <c r="B1663" t="s">
        <v>269</v>
      </c>
      <c r="C1663" t="s">
        <v>463</v>
      </c>
      <c r="D1663" t="s">
        <v>752</v>
      </c>
      <c r="E1663" s="35">
        <v>0.9</v>
      </c>
      <c r="F1663" s="35">
        <v>6.6</v>
      </c>
      <c r="G1663" s="36">
        <v>2.47E-3</v>
      </c>
      <c r="H1663" s="18">
        <v>4.4452980000000002</v>
      </c>
      <c r="I1663" s="16" t="s">
        <v>746</v>
      </c>
      <c r="J1663" s="16"/>
      <c r="K1663" s="16"/>
      <c r="L1663" s="37"/>
      <c r="M1663" s="37"/>
      <c r="N1663" s="37"/>
      <c r="O1663" s="37"/>
      <c r="P1663" s="37"/>
      <c r="Q1663" s="18">
        <v>2.717E-2</v>
      </c>
      <c r="R1663" s="18">
        <v>1.8525E-4</v>
      </c>
      <c r="S1663" s="18">
        <v>5.1869999999999999E-2</v>
      </c>
      <c r="T1663" s="18">
        <v>0.2223</v>
      </c>
      <c r="U1663" s="18">
        <v>0.11115</v>
      </c>
      <c r="V1663" s="18">
        <v>1.42272</v>
      </c>
      <c r="W1663" s="18">
        <v>1.3338000000000001</v>
      </c>
      <c r="X1663" s="18">
        <v>0.88919999999999999</v>
      </c>
      <c r="Y1663" s="18">
        <v>3.952E-2</v>
      </c>
      <c r="Z1663" s="18">
        <v>0.17537</v>
      </c>
      <c r="AA1663" s="18">
        <v>0.25688</v>
      </c>
      <c r="AB1663" s="18">
        <v>0.45694999999999997</v>
      </c>
      <c r="AC1663" s="18">
        <v>0.14079</v>
      </c>
      <c r="AD1663" s="18">
        <v>0.74099999999999999</v>
      </c>
    </row>
    <row r="1664" spans="2:30" x14ac:dyDescent="0.25">
      <c r="B1664" t="s">
        <v>269</v>
      </c>
      <c r="C1664" t="s">
        <v>463</v>
      </c>
      <c r="D1664" t="s">
        <v>752</v>
      </c>
      <c r="E1664" s="35">
        <v>0.9</v>
      </c>
      <c r="F1664" s="35">
        <v>6.6</v>
      </c>
      <c r="G1664" s="36">
        <v>2.47E-3</v>
      </c>
      <c r="H1664" s="18">
        <v>4.4452980000000002</v>
      </c>
      <c r="I1664" s="16" t="s">
        <v>746</v>
      </c>
      <c r="J1664" s="16"/>
      <c r="K1664" s="16"/>
      <c r="L1664" s="37"/>
      <c r="M1664" s="37"/>
      <c r="N1664" s="37"/>
      <c r="O1664" s="37"/>
      <c r="P1664" s="37"/>
      <c r="Q1664" s="18">
        <v>2.717E-2</v>
      </c>
      <c r="R1664" s="18">
        <v>1.8525E-4</v>
      </c>
      <c r="S1664" s="18">
        <v>5.1869999999999999E-2</v>
      </c>
      <c r="T1664" s="18">
        <v>0.2223</v>
      </c>
      <c r="U1664" s="18">
        <v>0.11115</v>
      </c>
      <c r="V1664" s="18">
        <v>1.42272</v>
      </c>
      <c r="W1664" s="18">
        <v>1.3338000000000001</v>
      </c>
      <c r="X1664" s="18">
        <v>0.88919999999999999</v>
      </c>
      <c r="Y1664" s="18">
        <v>3.952E-2</v>
      </c>
      <c r="Z1664" s="18">
        <v>0.17537</v>
      </c>
      <c r="AA1664" s="18">
        <v>0.25688</v>
      </c>
      <c r="AB1664" s="18">
        <v>0.45694999999999997</v>
      </c>
      <c r="AC1664" s="18">
        <v>0.14079</v>
      </c>
      <c r="AD1664" s="18">
        <v>0.74099999999999999</v>
      </c>
    </row>
    <row r="1665" spans="2:30" x14ac:dyDescent="0.25">
      <c r="B1665" t="s">
        <v>269</v>
      </c>
      <c r="C1665" t="s">
        <v>463</v>
      </c>
      <c r="D1665" t="s">
        <v>752</v>
      </c>
      <c r="E1665" s="35">
        <v>0.9</v>
      </c>
      <c r="F1665" s="35">
        <v>6.6</v>
      </c>
      <c r="G1665" s="36">
        <v>2.47E-3</v>
      </c>
      <c r="H1665" s="18">
        <v>4.4452980000000002</v>
      </c>
      <c r="I1665" s="16" t="s">
        <v>746</v>
      </c>
      <c r="J1665" s="16"/>
      <c r="K1665" s="16"/>
      <c r="L1665" s="37"/>
      <c r="M1665" s="37"/>
      <c r="N1665" s="37"/>
      <c r="O1665" s="37"/>
      <c r="P1665" s="37"/>
      <c r="Q1665" s="18">
        <v>2.717E-2</v>
      </c>
      <c r="R1665" s="18">
        <v>1.8525E-4</v>
      </c>
      <c r="S1665" s="18">
        <v>5.1869999999999999E-2</v>
      </c>
      <c r="T1665" s="18">
        <v>0.2223</v>
      </c>
      <c r="U1665" s="18">
        <v>0.11115</v>
      </c>
      <c r="V1665" s="18">
        <v>1.42272</v>
      </c>
      <c r="W1665" s="18">
        <v>1.3338000000000001</v>
      </c>
      <c r="X1665" s="18">
        <v>0.88919999999999999</v>
      </c>
      <c r="Y1665" s="18">
        <v>3.952E-2</v>
      </c>
      <c r="Z1665" s="18">
        <v>0.17537</v>
      </c>
      <c r="AA1665" s="18">
        <v>0.25688</v>
      </c>
      <c r="AB1665" s="18">
        <v>0.45694999999999997</v>
      </c>
      <c r="AC1665" s="18">
        <v>0.14079</v>
      </c>
      <c r="AD1665" s="18">
        <v>0.74099999999999999</v>
      </c>
    </row>
    <row r="1666" spans="2:30" x14ac:dyDescent="0.25">
      <c r="B1666" t="s">
        <v>269</v>
      </c>
      <c r="C1666" t="s">
        <v>463</v>
      </c>
      <c r="D1666" t="s">
        <v>752</v>
      </c>
      <c r="E1666" s="35">
        <v>0.9</v>
      </c>
      <c r="F1666" s="35">
        <v>6.6</v>
      </c>
      <c r="G1666" s="36">
        <v>2.47E-3</v>
      </c>
      <c r="H1666" s="18">
        <v>4.4452980000000002</v>
      </c>
      <c r="I1666" s="16" t="s">
        <v>746</v>
      </c>
      <c r="J1666" s="16"/>
      <c r="K1666" s="16"/>
      <c r="L1666" s="37"/>
      <c r="M1666" s="37"/>
      <c r="N1666" s="37"/>
      <c r="O1666" s="37"/>
      <c r="P1666" s="37"/>
      <c r="Q1666" s="18">
        <v>2.717E-2</v>
      </c>
      <c r="R1666" s="18">
        <v>1.8525E-4</v>
      </c>
      <c r="S1666" s="18">
        <v>5.1869999999999999E-2</v>
      </c>
      <c r="T1666" s="18">
        <v>0.2223</v>
      </c>
      <c r="U1666" s="18">
        <v>0.11115</v>
      </c>
      <c r="V1666" s="18">
        <v>1.42272</v>
      </c>
      <c r="W1666" s="18">
        <v>1.3338000000000001</v>
      </c>
      <c r="X1666" s="18">
        <v>0.88919999999999999</v>
      </c>
      <c r="Y1666" s="18">
        <v>3.952E-2</v>
      </c>
      <c r="Z1666" s="18">
        <v>0.17537</v>
      </c>
      <c r="AA1666" s="18">
        <v>0.25688</v>
      </c>
      <c r="AB1666" s="18">
        <v>0.45694999999999997</v>
      </c>
      <c r="AC1666" s="18">
        <v>0.14079</v>
      </c>
      <c r="AD1666" s="18">
        <v>0.74099999999999999</v>
      </c>
    </row>
    <row r="1667" spans="2:30" x14ac:dyDescent="0.25">
      <c r="B1667" t="s">
        <v>269</v>
      </c>
      <c r="C1667" t="s">
        <v>463</v>
      </c>
      <c r="D1667" t="s">
        <v>752</v>
      </c>
      <c r="E1667" s="35">
        <v>0.9</v>
      </c>
      <c r="F1667" s="35">
        <v>6.6</v>
      </c>
      <c r="G1667" s="36">
        <v>2.47E-3</v>
      </c>
      <c r="H1667" s="18">
        <v>4.4452980000000002</v>
      </c>
      <c r="I1667" s="16" t="s">
        <v>746</v>
      </c>
      <c r="J1667" s="16"/>
      <c r="K1667" s="16"/>
      <c r="L1667" s="37"/>
      <c r="M1667" s="37"/>
      <c r="N1667" s="37"/>
      <c r="O1667" s="37"/>
      <c r="P1667" s="37"/>
      <c r="Q1667" s="18">
        <v>2.717E-2</v>
      </c>
      <c r="R1667" s="18">
        <v>1.8525E-4</v>
      </c>
      <c r="S1667" s="18">
        <v>5.1869999999999999E-2</v>
      </c>
      <c r="T1667" s="18">
        <v>0.2223</v>
      </c>
      <c r="U1667" s="18">
        <v>0.11115</v>
      </c>
      <c r="V1667" s="18">
        <v>1.42272</v>
      </c>
      <c r="W1667" s="18">
        <v>1.3338000000000001</v>
      </c>
      <c r="X1667" s="18">
        <v>0.88919999999999999</v>
      </c>
      <c r="Y1667" s="18">
        <v>3.952E-2</v>
      </c>
      <c r="Z1667" s="18">
        <v>0.17537</v>
      </c>
      <c r="AA1667" s="18">
        <v>0.25688</v>
      </c>
      <c r="AB1667" s="18">
        <v>0.45694999999999997</v>
      </c>
      <c r="AC1667" s="18">
        <v>0.14079</v>
      </c>
      <c r="AD1667" s="18">
        <v>0.74099999999999999</v>
      </c>
    </row>
    <row r="1668" spans="2:30" x14ac:dyDescent="0.25">
      <c r="B1668" t="s">
        <v>269</v>
      </c>
      <c r="C1668" t="s">
        <v>463</v>
      </c>
      <c r="D1668" t="s">
        <v>752</v>
      </c>
      <c r="E1668" s="35">
        <v>0.9</v>
      </c>
      <c r="F1668" s="35">
        <v>6.6</v>
      </c>
      <c r="G1668" s="36">
        <v>2.47E-3</v>
      </c>
      <c r="H1668" s="18">
        <v>4.4452980000000002</v>
      </c>
      <c r="I1668" s="16" t="s">
        <v>746</v>
      </c>
      <c r="J1668" s="16"/>
      <c r="K1668" s="16"/>
      <c r="L1668" s="37"/>
      <c r="M1668" s="37"/>
      <c r="N1668" s="37"/>
      <c r="O1668" s="37"/>
      <c r="P1668" s="37"/>
      <c r="Q1668" s="18">
        <v>2.717E-2</v>
      </c>
      <c r="R1668" s="18">
        <v>1.8525E-4</v>
      </c>
      <c r="S1668" s="18">
        <v>5.1869999999999999E-2</v>
      </c>
      <c r="T1668" s="18">
        <v>0.2223</v>
      </c>
      <c r="U1668" s="18">
        <v>0.11115</v>
      </c>
      <c r="V1668" s="18">
        <v>1.42272</v>
      </c>
      <c r="W1668" s="18">
        <v>1.3338000000000001</v>
      </c>
      <c r="X1668" s="18">
        <v>0.88919999999999999</v>
      </c>
      <c r="Y1668" s="18">
        <v>3.952E-2</v>
      </c>
      <c r="Z1668" s="18">
        <v>0.17537</v>
      </c>
      <c r="AA1668" s="18">
        <v>0.25688</v>
      </c>
      <c r="AB1668" s="18">
        <v>0.45694999999999997</v>
      </c>
      <c r="AC1668" s="18">
        <v>0.14079</v>
      </c>
      <c r="AD1668" s="18">
        <v>0.74099999999999999</v>
      </c>
    </row>
    <row r="1669" spans="2:30" x14ac:dyDescent="0.25">
      <c r="B1669" t="s">
        <v>269</v>
      </c>
      <c r="C1669" t="s">
        <v>463</v>
      </c>
      <c r="D1669" t="s">
        <v>752</v>
      </c>
      <c r="E1669" s="35">
        <v>0.9</v>
      </c>
      <c r="F1669" s="35">
        <v>6.6</v>
      </c>
      <c r="G1669" s="36">
        <v>2.47E-3</v>
      </c>
      <c r="H1669" s="18">
        <v>4.4452980000000002</v>
      </c>
      <c r="I1669" s="16" t="s">
        <v>746</v>
      </c>
      <c r="J1669" s="16"/>
      <c r="K1669" s="16"/>
      <c r="L1669" s="37"/>
      <c r="M1669" s="37"/>
      <c r="N1669" s="37"/>
      <c r="O1669" s="37"/>
      <c r="P1669" s="37"/>
      <c r="Q1669" s="18">
        <v>2.717E-2</v>
      </c>
      <c r="R1669" s="18">
        <v>1.8525E-4</v>
      </c>
      <c r="S1669" s="18">
        <v>5.1869999999999999E-2</v>
      </c>
      <c r="T1669" s="18">
        <v>0.2223</v>
      </c>
      <c r="U1669" s="18">
        <v>0.11115</v>
      </c>
      <c r="V1669" s="18">
        <v>1.42272</v>
      </c>
      <c r="W1669" s="18">
        <v>1.3338000000000001</v>
      </c>
      <c r="X1669" s="18">
        <v>0.88919999999999999</v>
      </c>
      <c r="Y1669" s="18">
        <v>3.952E-2</v>
      </c>
      <c r="Z1669" s="18">
        <v>0.17537</v>
      </c>
      <c r="AA1669" s="18">
        <v>0.25688</v>
      </c>
      <c r="AB1669" s="18">
        <v>0.45694999999999997</v>
      </c>
      <c r="AC1669" s="18">
        <v>0.14079</v>
      </c>
      <c r="AD1669" s="18">
        <v>0.74099999999999999</v>
      </c>
    </row>
    <row r="1670" spans="2:30" x14ac:dyDescent="0.25">
      <c r="B1670" t="s">
        <v>269</v>
      </c>
      <c r="C1670" t="s">
        <v>463</v>
      </c>
      <c r="D1670" t="s">
        <v>752</v>
      </c>
      <c r="E1670" s="35">
        <v>0.9</v>
      </c>
      <c r="F1670" s="35">
        <v>6.6</v>
      </c>
      <c r="G1670" s="36">
        <v>2.47E-3</v>
      </c>
      <c r="H1670" s="18">
        <v>4.4452980000000002</v>
      </c>
      <c r="I1670" s="16" t="s">
        <v>746</v>
      </c>
      <c r="J1670" s="16"/>
      <c r="K1670" s="16"/>
      <c r="L1670" s="37"/>
      <c r="M1670" s="37"/>
      <c r="N1670" s="37"/>
      <c r="O1670" s="37"/>
      <c r="P1670" s="37"/>
      <c r="Q1670" s="18">
        <v>2.717E-2</v>
      </c>
      <c r="R1670" s="18">
        <v>1.8525E-4</v>
      </c>
      <c r="S1670" s="18">
        <v>5.1869999999999999E-2</v>
      </c>
      <c r="T1670" s="18">
        <v>0.2223</v>
      </c>
      <c r="U1670" s="18">
        <v>0.11115</v>
      </c>
      <c r="V1670" s="18">
        <v>1.42272</v>
      </c>
      <c r="W1670" s="18">
        <v>1.3338000000000001</v>
      </c>
      <c r="X1670" s="18">
        <v>0.88919999999999999</v>
      </c>
      <c r="Y1670" s="18">
        <v>3.952E-2</v>
      </c>
      <c r="Z1670" s="18">
        <v>0.17537</v>
      </c>
      <c r="AA1670" s="18">
        <v>0.25688</v>
      </c>
      <c r="AB1670" s="18">
        <v>0.45694999999999997</v>
      </c>
      <c r="AC1670" s="18">
        <v>0.14079</v>
      </c>
      <c r="AD1670" s="18">
        <v>0.74099999999999999</v>
      </c>
    </row>
    <row r="1671" spans="2:30" x14ac:dyDescent="0.25">
      <c r="B1671" t="s">
        <v>269</v>
      </c>
      <c r="C1671" t="s">
        <v>463</v>
      </c>
      <c r="D1671" t="s">
        <v>752</v>
      </c>
      <c r="E1671" s="35">
        <v>0.9</v>
      </c>
      <c r="F1671" s="35">
        <v>6.6</v>
      </c>
      <c r="G1671" s="36">
        <v>2.47E-3</v>
      </c>
      <c r="H1671" s="18">
        <v>4.4452980000000002</v>
      </c>
      <c r="I1671" s="16" t="s">
        <v>746</v>
      </c>
      <c r="J1671" s="16"/>
      <c r="K1671" s="16"/>
      <c r="L1671" s="37"/>
      <c r="M1671" s="37"/>
      <c r="N1671" s="37"/>
      <c r="O1671" s="37"/>
      <c r="P1671" s="37"/>
      <c r="Q1671" s="18">
        <v>2.717E-2</v>
      </c>
      <c r="R1671" s="18">
        <v>1.8525E-4</v>
      </c>
      <c r="S1671" s="18">
        <v>5.1869999999999999E-2</v>
      </c>
      <c r="T1671" s="18">
        <v>0.2223</v>
      </c>
      <c r="U1671" s="18">
        <v>0.11115</v>
      </c>
      <c r="V1671" s="18">
        <v>1.42272</v>
      </c>
      <c r="W1671" s="18">
        <v>1.3338000000000001</v>
      </c>
      <c r="X1671" s="18">
        <v>0.88919999999999999</v>
      </c>
      <c r="Y1671" s="18">
        <v>3.952E-2</v>
      </c>
      <c r="Z1671" s="18">
        <v>0.17537</v>
      </c>
      <c r="AA1671" s="18">
        <v>0.25688</v>
      </c>
      <c r="AB1671" s="18">
        <v>0.45694999999999997</v>
      </c>
      <c r="AC1671" s="18">
        <v>0.14079</v>
      </c>
      <c r="AD1671" s="18">
        <v>0.74099999999999999</v>
      </c>
    </row>
    <row r="1672" spans="2:30" x14ac:dyDescent="0.25">
      <c r="B1672" t="s">
        <v>269</v>
      </c>
      <c r="C1672" t="s">
        <v>570</v>
      </c>
      <c r="D1672" t="s">
        <v>752</v>
      </c>
      <c r="E1672" s="35">
        <v>0.9</v>
      </c>
      <c r="F1672" s="35">
        <v>6.6</v>
      </c>
      <c r="G1672" s="36">
        <v>2.47E-3</v>
      </c>
      <c r="H1672" s="18">
        <v>4.4452980000000002</v>
      </c>
      <c r="I1672" s="16" t="s">
        <v>746</v>
      </c>
      <c r="J1672" s="16"/>
      <c r="K1672" s="16"/>
      <c r="L1672" s="37"/>
      <c r="M1672" s="37"/>
      <c r="N1672" s="37"/>
      <c r="O1672" s="37"/>
      <c r="P1672" s="37"/>
      <c r="Q1672" s="18">
        <v>2.717E-2</v>
      </c>
      <c r="R1672" s="18">
        <v>1.8525E-4</v>
      </c>
      <c r="S1672" s="18">
        <v>5.1869999999999999E-2</v>
      </c>
      <c r="T1672" s="18">
        <v>0.2223</v>
      </c>
      <c r="U1672" s="18">
        <v>0.11115</v>
      </c>
      <c r="V1672" s="18">
        <v>1.42272</v>
      </c>
      <c r="W1672" s="18">
        <v>1.3338000000000001</v>
      </c>
      <c r="X1672" s="18">
        <v>0.88919999999999999</v>
      </c>
      <c r="Y1672" s="18">
        <v>3.952E-2</v>
      </c>
      <c r="Z1672" s="18">
        <v>0.17537</v>
      </c>
      <c r="AA1672" s="18">
        <v>0.25688</v>
      </c>
      <c r="AB1672" s="18">
        <v>0.45694999999999997</v>
      </c>
      <c r="AC1672" s="18">
        <v>0.14079</v>
      </c>
      <c r="AD1672" s="18">
        <v>0.74099999999999999</v>
      </c>
    </row>
    <row r="1673" spans="2:30" x14ac:dyDescent="0.25">
      <c r="B1673" t="s">
        <v>269</v>
      </c>
      <c r="C1673" t="s">
        <v>570</v>
      </c>
      <c r="D1673" t="s">
        <v>752</v>
      </c>
      <c r="E1673" s="35">
        <v>0.9</v>
      </c>
      <c r="F1673" s="35">
        <v>6.6</v>
      </c>
      <c r="G1673" s="36">
        <v>2.47E-3</v>
      </c>
      <c r="H1673" s="18">
        <v>4.4452980000000002</v>
      </c>
      <c r="I1673" s="16" t="s">
        <v>746</v>
      </c>
      <c r="J1673" s="16"/>
      <c r="K1673" s="16"/>
      <c r="L1673" s="37"/>
      <c r="M1673" s="37"/>
      <c r="N1673" s="37"/>
      <c r="O1673" s="37"/>
      <c r="P1673" s="37"/>
      <c r="Q1673" s="18">
        <v>2.717E-2</v>
      </c>
      <c r="R1673" s="18">
        <v>1.8525E-4</v>
      </c>
      <c r="S1673" s="18">
        <v>5.1869999999999999E-2</v>
      </c>
      <c r="T1673" s="18">
        <v>0.2223</v>
      </c>
      <c r="U1673" s="18">
        <v>0.11115</v>
      </c>
      <c r="V1673" s="18">
        <v>1.42272</v>
      </c>
      <c r="W1673" s="18">
        <v>1.3338000000000001</v>
      </c>
      <c r="X1673" s="18">
        <v>0.88919999999999999</v>
      </c>
      <c r="Y1673" s="18">
        <v>3.952E-2</v>
      </c>
      <c r="Z1673" s="18">
        <v>0.17537</v>
      </c>
      <c r="AA1673" s="18">
        <v>0.25688</v>
      </c>
      <c r="AB1673" s="18">
        <v>0.45694999999999997</v>
      </c>
      <c r="AC1673" s="18">
        <v>0.14079</v>
      </c>
      <c r="AD1673" s="18">
        <v>0.74099999999999999</v>
      </c>
    </row>
    <row r="1674" spans="2:30" x14ac:dyDescent="0.25">
      <c r="B1674" t="s">
        <v>269</v>
      </c>
      <c r="C1674" t="s">
        <v>570</v>
      </c>
      <c r="D1674" t="s">
        <v>752</v>
      </c>
      <c r="E1674" s="35">
        <v>0.9</v>
      </c>
      <c r="F1674" s="35">
        <v>6.6</v>
      </c>
      <c r="G1674" s="36">
        <v>2.47E-3</v>
      </c>
      <c r="H1674" s="18">
        <v>4.4452980000000002</v>
      </c>
      <c r="I1674" s="16" t="s">
        <v>746</v>
      </c>
      <c r="J1674" s="16"/>
      <c r="K1674" s="16"/>
      <c r="L1674" s="37"/>
      <c r="M1674" s="37"/>
      <c r="N1674" s="37"/>
      <c r="O1674" s="37"/>
      <c r="P1674" s="37"/>
      <c r="Q1674" s="18">
        <v>2.717E-2</v>
      </c>
      <c r="R1674" s="18">
        <v>1.8525E-4</v>
      </c>
      <c r="S1674" s="18">
        <v>5.1869999999999999E-2</v>
      </c>
      <c r="T1674" s="18">
        <v>0.2223</v>
      </c>
      <c r="U1674" s="18">
        <v>0.11115</v>
      </c>
      <c r="V1674" s="18">
        <v>1.42272</v>
      </c>
      <c r="W1674" s="18">
        <v>1.3338000000000001</v>
      </c>
      <c r="X1674" s="18">
        <v>0.88919999999999999</v>
      </c>
      <c r="Y1674" s="18">
        <v>3.952E-2</v>
      </c>
      <c r="Z1674" s="18">
        <v>0.17537</v>
      </c>
      <c r="AA1674" s="18">
        <v>0.25688</v>
      </c>
      <c r="AB1674" s="18">
        <v>0.45694999999999997</v>
      </c>
      <c r="AC1674" s="18">
        <v>0.14079</v>
      </c>
      <c r="AD1674" s="18">
        <v>0.74099999999999999</v>
      </c>
    </row>
    <row r="1675" spans="2:30" x14ac:dyDescent="0.25">
      <c r="B1675" t="s">
        <v>269</v>
      </c>
      <c r="C1675" t="s">
        <v>570</v>
      </c>
      <c r="D1675" t="s">
        <v>752</v>
      </c>
      <c r="E1675" s="35">
        <v>0.9</v>
      </c>
      <c r="F1675" s="35">
        <v>6.6</v>
      </c>
      <c r="G1675" s="36">
        <v>2.47E-3</v>
      </c>
      <c r="H1675" s="18">
        <v>4.4452980000000002</v>
      </c>
      <c r="I1675" s="16" t="s">
        <v>746</v>
      </c>
      <c r="J1675" s="16"/>
      <c r="K1675" s="16"/>
      <c r="L1675" s="37"/>
      <c r="M1675" s="37"/>
      <c r="N1675" s="37"/>
      <c r="O1675" s="37"/>
      <c r="P1675" s="37"/>
      <c r="Q1675" s="18">
        <v>2.717E-2</v>
      </c>
      <c r="R1675" s="18">
        <v>1.8525E-4</v>
      </c>
      <c r="S1675" s="18">
        <v>5.1869999999999999E-2</v>
      </c>
      <c r="T1675" s="18">
        <v>0.2223</v>
      </c>
      <c r="U1675" s="18">
        <v>0.11115</v>
      </c>
      <c r="V1675" s="18">
        <v>1.42272</v>
      </c>
      <c r="W1675" s="18">
        <v>1.3338000000000001</v>
      </c>
      <c r="X1675" s="18">
        <v>0.88919999999999999</v>
      </c>
      <c r="Y1675" s="18">
        <v>3.952E-2</v>
      </c>
      <c r="Z1675" s="18">
        <v>0.17537</v>
      </c>
      <c r="AA1675" s="18">
        <v>0.25688</v>
      </c>
      <c r="AB1675" s="18">
        <v>0.45694999999999997</v>
      </c>
      <c r="AC1675" s="18">
        <v>0.14079</v>
      </c>
      <c r="AD1675" s="18">
        <v>0.74099999999999999</v>
      </c>
    </row>
    <row r="1676" spans="2:30" x14ac:dyDescent="0.25">
      <c r="B1676" t="s">
        <v>269</v>
      </c>
      <c r="C1676" t="s">
        <v>570</v>
      </c>
      <c r="D1676" t="s">
        <v>752</v>
      </c>
      <c r="E1676" s="35">
        <v>0.9</v>
      </c>
      <c r="F1676" s="35">
        <v>6.6</v>
      </c>
      <c r="G1676" s="36">
        <v>2.47E-3</v>
      </c>
      <c r="H1676" s="18">
        <v>4.4452980000000002</v>
      </c>
      <c r="I1676" s="16" t="s">
        <v>746</v>
      </c>
      <c r="J1676" s="16"/>
      <c r="K1676" s="16"/>
      <c r="L1676" s="37"/>
      <c r="M1676" s="37"/>
      <c r="N1676" s="37"/>
      <c r="O1676" s="37"/>
      <c r="P1676" s="37"/>
      <c r="Q1676" s="18">
        <v>2.717E-2</v>
      </c>
      <c r="R1676" s="18">
        <v>1.8525E-4</v>
      </c>
      <c r="S1676" s="18">
        <v>5.1869999999999999E-2</v>
      </c>
      <c r="T1676" s="18">
        <v>0.2223</v>
      </c>
      <c r="U1676" s="18">
        <v>0.11115</v>
      </c>
      <c r="V1676" s="18">
        <v>1.42272</v>
      </c>
      <c r="W1676" s="18">
        <v>1.3338000000000001</v>
      </c>
      <c r="X1676" s="18">
        <v>0.88919999999999999</v>
      </c>
      <c r="Y1676" s="18">
        <v>3.952E-2</v>
      </c>
      <c r="Z1676" s="18">
        <v>0.17537</v>
      </c>
      <c r="AA1676" s="18">
        <v>0.25688</v>
      </c>
      <c r="AB1676" s="18">
        <v>0.45694999999999997</v>
      </c>
      <c r="AC1676" s="18">
        <v>0.14079</v>
      </c>
      <c r="AD1676" s="18">
        <v>0.74099999999999999</v>
      </c>
    </row>
    <row r="1677" spans="2:30" x14ac:dyDescent="0.25">
      <c r="B1677" t="s">
        <v>269</v>
      </c>
      <c r="C1677" t="s">
        <v>570</v>
      </c>
      <c r="D1677" t="s">
        <v>752</v>
      </c>
      <c r="E1677" s="35">
        <v>0.9</v>
      </c>
      <c r="F1677" s="35">
        <v>6.6</v>
      </c>
      <c r="G1677" s="36">
        <v>2.47E-3</v>
      </c>
      <c r="H1677" s="18">
        <v>4.4452980000000002</v>
      </c>
      <c r="I1677" s="16" t="s">
        <v>746</v>
      </c>
      <c r="J1677" s="16"/>
      <c r="K1677" s="16"/>
      <c r="L1677" s="37"/>
      <c r="M1677" s="37"/>
      <c r="N1677" s="37"/>
      <c r="O1677" s="37"/>
      <c r="P1677" s="37"/>
      <c r="Q1677" s="18">
        <v>2.717E-2</v>
      </c>
      <c r="R1677" s="18">
        <v>1.8525E-4</v>
      </c>
      <c r="S1677" s="18">
        <v>5.1869999999999999E-2</v>
      </c>
      <c r="T1677" s="18">
        <v>0.2223</v>
      </c>
      <c r="U1677" s="18">
        <v>0.11115</v>
      </c>
      <c r="V1677" s="18">
        <v>1.42272</v>
      </c>
      <c r="W1677" s="18">
        <v>1.3338000000000001</v>
      </c>
      <c r="X1677" s="18">
        <v>0.88919999999999999</v>
      </c>
      <c r="Y1677" s="18">
        <v>3.952E-2</v>
      </c>
      <c r="Z1677" s="18">
        <v>0.17537</v>
      </c>
      <c r="AA1677" s="18">
        <v>0.25688</v>
      </c>
      <c r="AB1677" s="18">
        <v>0.45694999999999997</v>
      </c>
      <c r="AC1677" s="18">
        <v>0.14079</v>
      </c>
      <c r="AD1677" s="18">
        <v>0.74099999999999999</v>
      </c>
    </row>
    <row r="1678" spans="2:30" x14ac:dyDescent="0.25">
      <c r="B1678" t="s">
        <v>269</v>
      </c>
      <c r="C1678" t="s">
        <v>570</v>
      </c>
      <c r="D1678" t="s">
        <v>752</v>
      </c>
      <c r="E1678" s="35">
        <v>0.9</v>
      </c>
      <c r="F1678" s="35">
        <v>6.6</v>
      </c>
      <c r="G1678" s="36">
        <v>2.47E-3</v>
      </c>
      <c r="H1678" s="18">
        <v>4.4452980000000002</v>
      </c>
      <c r="I1678" s="16" t="s">
        <v>746</v>
      </c>
      <c r="J1678" s="16"/>
      <c r="K1678" s="16"/>
      <c r="L1678" s="37"/>
      <c r="M1678" s="37"/>
      <c r="N1678" s="37"/>
      <c r="O1678" s="37"/>
      <c r="P1678" s="37"/>
      <c r="Q1678" s="18">
        <v>2.717E-2</v>
      </c>
      <c r="R1678" s="18">
        <v>1.8525E-4</v>
      </c>
      <c r="S1678" s="18">
        <v>5.1869999999999999E-2</v>
      </c>
      <c r="T1678" s="18">
        <v>0.2223</v>
      </c>
      <c r="U1678" s="18">
        <v>0.11115</v>
      </c>
      <c r="V1678" s="18">
        <v>1.42272</v>
      </c>
      <c r="W1678" s="18">
        <v>1.3338000000000001</v>
      </c>
      <c r="X1678" s="18">
        <v>0.88919999999999999</v>
      </c>
      <c r="Y1678" s="18">
        <v>3.952E-2</v>
      </c>
      <c r="Z1678" s="18">
        <v>0.17537</v>
      </c>
      <c r="AA1678" s="18">
        <v>0.25688</v>
      </c>
      <c r="AB1678" s="18">
        <v>0.45694999999999997</v>
      </c>
      <c r="AC1678" s="18">
        <v>0.14079</v>
      </c>
      <c r="AD1678" s="18">
        <v>0.74099999999999999</v>
      </c>
    </row>
    <row r="1679" spans="2:30" x14ac:dyDescent="0.25">
      <c r="B1679" t="s">
        <v>269</v>
      </c>
      <c r="C1679" t="s">
        <v>570</v>
      </c>
      <c r="D1679" t="s">
        <v>752</v>
      </c>
      <c r="E1679" s="35">
        <v>0.9</v>
      </c>
      <c r="F1679" s="35">
        <v>6.6</v>
      </c>
      <c r="G1679" s="36">
        <v>2.47E-3</v>
      </c>
      <c r="H1679" s="18">
        <v>4.4452980000000002</v>
      </c>
      <c r="I1679" s="16" t="s">
        <v>746</v>
      </c>
      <c r="J1679" s="16"/>
      <c r="K1679" s="16"/>
      <c r="L1679" s="37"/>
      <c r="M1679" s="37"/>
      <c r="N1679" s="37"/>
      <c r="O1679" s="37"/>
      <c r="P1679" s="37"/>
      <c r="Q1679" s="18">
        <v>2.717E-2</v>
      </c>
      <c r="R1679" s="18">
        <v>1.8525E-4</v>
      </c>
      <c r="S1679" s="18">
        <v>5.1869999999999999E-2</v>
      </c>
      <c r="T1679" s="18">
        <v>0.2223</v>
      </c>
      <c r="U1679" s="18">
        <v>0.11115</v>
      </c>
      <c r="V1679" s="18">
        <v>1.42272</v>
      </c>
      <c r="W1679" s="18">
        <v>1.3338000000000001</v>
      </c>
      <c r="X1679" s="18">
        <v>0.88919999999999999</v>
      </c>
      <c r="Y1679" s="18">
        <v>3.952E-2</v>
      </c>
      <c r="Z1679" s="18">
        <v>0.17537</v>
      </c>
      <c r="AA1679" s="18">
        <v>0.25688</v>
      </c>
      <c r="AB1679" s="18">
        <v>0.45694999999999997</v>
      </c>
      <c r="AC1679" s="18">
        <v>0.14079</v>
      </c>
      <c r="AD1679" s="18">
        <v>0.74099999999999999</v>
      </c>
    </row>
    <row r="1680" spans="2:30" x14ac:dyDescent="0.25">
      <c r="B1680" t="s">
        <v>269</v>
      </c>
      <c r="C1680" t="s">
        <v>570</v>
      </c>
      <c r="D1680" t="s">
        <v>752</v>
      </c>
      <c r="E1680" s="35">
        <v>0.9</v>
      </c>
      <c r="F1680" s="35">
        <v>6.6</v>
      </c>
      <c r="G1680" s="36">
        <v>2.47E-3</v>
      </c>
      <c r="H1680" s="18">
        <v>4.4452980000000002</v>
      </c>
      <c r="I1680" s="16" t="s">
        <v>746</v>
      </c>
      <c r="J1680" s="16"/>
      <c r="K1680" s="16"/>
      <c r="L1680" s="37"/>
      <c r="M1680" s="37"/>
      <c r="N1680" s="37"/>
      <c r="O1680" s="37"/>
      <c r="P1680" s="37"/>
      <c r="Q1680" s="18">
        <v>2.717E-2</v>
      </c>
      <c r="R1680" s="18">
        <v>1.8525E-4</v>
      </c>
      <c r="S1680" s="18">
        <v>5.1869999999999999E-2</v>
      </c>
      <c r="T1680" s="18">
        <v>0.2223</v>
      </c>
      <c r="U1680" s="18">
        <v>0.11115</v>
      </c>
      <c r="V1680" s="18">
        <v>1.42272</v>
      </c>
      <c r="W1680" s="18">
        <v>1.3338000000000001</v>
      </c>
      <c r="X1680" s="18">
        <v>0.88919999999999999</v>
      </c>
      <c r="Y1680" s="18">
        <v>3.952E-2</v>
      </c>
      <c r="Z1680" s="18">
        <v>0.17537</v>
      </c>
      <c r="AA1680" s="18">
        <v>0.25688</v>
      </c>
      <c r="AB1680" s="18">
        <v>0.45694999999999997</v>
      </c>
      <c r="AC1680" s="18">
        <v>0.14079</v>
      </c>
      <c r="AD1680" s="18">
        <v>0.74099999999999999</v>
      </c>
    </row>
    <row r="1681" spans="2:30" x14ac:dyDescent="0.25">
      <c r="B1681" t="s">
        <v>269</v>
      </c>
      <c r="C1681" t="s">
        <v>570</v>
      </c>
      <c r="D1681" t="s">
        <v>752</v>
      </c>
      <c r="E1681" s="35">
        <v>0.9</v>
      </c>
      <c r="F1681" s="35">
        <v>6.6</v>
      </c>
      <c r="G1681" s="36">
        <v>2.47E-3</v>
      </c>
      <c r="H1681" s="18">
        <v>4.4452980000000002</v>
      </c>
      <c r="I1681" s="16" t="s">
        <v>746</v>
      </c>
      <c r="J1681" s="16"/>
      <c r="K1681" s="16"/>
      <c r="L1681" s="37"/>
      <c r="M1681" s="37"/>
      <c r="N1681" s="37"/>
      <c r="O1681" s="37"/>
      <c r="P1681" s="37"/>
      <c r="Q1681" s="18">
        <v>2.717E-2</v>
      </c>
      <c r="R1681" s="18">
        <v>1.8525E-4</v>
      </c>
      <c r="S1681" s="18">
        <v>5.1869999999999999E-2</v>
      </c>
      <c r="T1681" s="18">
        <v>0.2223</v>
      </c>
      <c r="U1681" s="18">
        <v>0.11115</v>
      </c>
      <c r="V1681" s="18">
        <v>1.42272</v>
      </c>
      <c r="W1681" s="18">
        <v>1.3338000000000001</v>
      </c>
      <c r="X1681" s="18">
        <v>0.88919999999999999</v>
      </c>
      <c r="Y1681" s="18">
        <v>3.952E-2</v>
      </c>
      <c r="Z1681" s="18">
        <v>0.17537</v>
      </c>
      <c r="AA1681" s="18">
        <v>0.25688</v>
      </c>
      <c r="AB1681" s="18">
        <v>0.45694999999999997</v>
      </c>
      <c r="AC1681" s="18">
        <v>0.14079</v>
      </c>
      <c r="AD1681" s="18">
        <v>0.74099999999999999</v>
      </c>
    </row>
    <row r="1682" spans="2:30" x14ac:dyDescent="0.25">
      <c r="B1682" t="s">
        <v>269</v>
      </c>
      <c r="C1682" t="s">
        <v>570</v>
      </c>
      <c r="D1682" t="s">
        <v>752</v>
      </c>
      <c r="E1682" s="35">
        <v>0.9</v>
      </c>
      <c r="F1682" s="35">
        <v>6.6</v>
      </c>
      <c r="G1682" s="36">
        <v>2.47E-3</v>
      </c>
      <c r="H1682" s="18">
        <v>4.4452980000000002</v>
      </c>
      <c r="I1682" s="16" t="s">
        <v>746</v>
      </c>
      <c r="J1682" s="16"/>
      <c r="K1682" s="16"/>
      <c r="L1682" s="37"/>
      <c r="M1682" s="37"/>
      <c r="N1682" s="37"/>
      <c r="O1682" s="37"/>
      <c r="P1682" s="37"/>
      <c r="Q1682" s="18">
        <v>2.717E-2</v>
      </c>
      <c r="R1682" s="18">
        <v>1.8525E-4</v>
      </c>
      <c r="S1682" s="18">
        <v>5.1869999999999999E-2</v>
      </c>
      <c r="T1682" s="18">
        <v>0.2223</v>
      </c>
      <c r="U1682" s="18">
        <v>0.11115</v>
      </c>
      <c r="V1682" s="18">
        <v>1.42272</v>
      </c>
      <c r="W1682" s="18">
        <v>1.3338000000000001</v>
      </c>
      <c r="X1682" s="18">
        <v>0.88919999999999999</v>
      </c>
      <c r="Y1682" s="18">
        <v>3.952E-2</v>
      </c>
      <c r="Z1682" s="18">
        <v>0.17537</v>
      </c>
      <c r="AA1682" s="18">
        <v>0.25688</v>
      </c>
      <c r="AB1682" s="18">
        <v>0.45694999999999997</v>
      </c>
      <c r="AC1682" s="18">
        <v>0.14079</v>
      </c>
      <c r="AD1682" s="18">
        <v>0.74099999999999999</v>
      </c>
    </row>
    <row r="1683" spans="2:30" x14ac:dyDescent="0.25">
      <c r="B1683" t="s">
        <v>269</v>
      </c>
      <c r="C1683" t="s">
        <v>570</v>
      </c>
      <c r="D1683" t="s">
        <v>752</v>
      </c>
      <c r="E1683" s="35">
        <v>0.9</v>
      </c>
      <c r="F1683" s="35">
        <v>6.6</v>
      </c>
      <c r="G1683" s="36">
        <v>2.47E-3</v>
      </c>
      <c r="H1683" s="18">
        <v>4.4452980000000002</v>
      </c>
      <c r="I1683" s="16" t="s">
        <v>746</v>
      </c>
      <c r="J1683" s="16"/>
      <c r="K1683" s="16"/>
      <c r="L1683" s="37"/>
      <c r="M1683" s="37"/>
      <c r="N1683" s="37"/>
      <c r="O1683" s="37"/>
      <c r="P1683" s="37"/>
      <c r="Q1683" s="18">
        <v>2.717E-2</v>
      </c>
      <c r="R1683" s="18">
        <v>1.8525E-4</v>
      </c>
      <c r="S1683" s="18">
        <v>5.1869999999999999E-2</v>
      </c>
      <c r="T1683" s="18">
        <v>0.2223</v>
      </c>
      <c r="U1683" s="18">
        <v>0.11115</v>
      </c>
      <c r="V1683" s="18">
        <v>1.42272</v>
      </c>
      <c r="W1683" s="18">
        <v>1.3338000000000001</v>
      </c>
      <c r="X1683" s="18">
        <v>0.88919999999999999</v>
      </c>
      <c r="Y1683" s="18">
        <v>3.952E-2</v>
      </c>
      <c r="Z1683" s="18">
        <v>0.17537</v>
      </c>
      <c r="AA1683" s="18">
        <v>0.25688</v>
      </c>
      <c r="AB1683" s="18">
        <v>0.45694999999999997</v>
      </c>
      <c r="AC1683" s="18">
        <v>0.14079</v>
      </c>
      <c r="AD1683" s="18">
        <v>0.74099999999999999</v>
      </c>
    </row>
    <row r="1684" spans="2:30" x14ac:dyDescent="0.25">
      <c r="B1684" t="s">
        <v>269</v>
      </c>
      <c r="C1684" t="s">
        <v>570</v>
      </c>
      <c r="D1684" t="s">
        <v>752</v>
      </c>
      <c r="E1684" s="35">
        <v>0.9</v>
      </c>
      <c r="F1684" s="35">
        <v>6.6</v>
      </c>
      <c r="G1684" s="36">
        <v>2.47E-3</v>
      </c>
      <c r="H1684" s="18">
        <v>4.4452980000000002</v>
      </c>
      <c r="I1684" s="16" t="s">
        <v>746</v>
      </c>
      <c r="J1684" s="16"/>
      <c r="K1684" s="16"/>
      <c r="L1684" s="37"/>
      <c r="M1684" s="37"/>
      <c r="N1684" s="37"/>
      <c r="O1684" s="37"/>
      <c r="P1684" s="37"/>
      <c r="Q1684" s="18">
        <v>2.717E-2</v>
      </c>
      <c r="R1684" s="18">
        <v>1.8525E-4</v>
      </c>
      <c r="S1684" s="18">
        <v>5.1869999999999999E-2</v>
      </c>
      <c r="T1684" s="18">
        <v>0.2223</v>
      </c>
      <c r="U1684" s="18">
        <v>0.11115</v>
      </c>
      <c r="V1684" s="18">
        <v>1.42272</v>
      </c>
      <c r="W1684" s="18">
        <v>1.3338000000000001</v>
      </c>
      <c r="X1684" s="18">
        <v>0.88919999999999999</v>
      </c>
      <c r="Y1684" s="18">
        <v>3.952E-2</v>
      </c>
      <c r="Z1684" s="18">
        <v>0.17537</v>
      </c>
      <c r="AA1684" s="18">
        <v>0.25688</v>
      </c>
      <c r="AB1684" s="18">
        <v>0.45694999999999997</v>
      </c>
      <c r="AC1684" s="18">
        <v>0.14079</v>
      </c>
      <c r="AD1684" s="18">
        <v>0.74099999999999999</v>
      </c>
    </row>
    <row r="1685" spans="2:30" x14ac:dyDescent="0.25">
      <c r="B1685" t="s">
        <v>269</v>
      </c>
      <c r="C1685" t="s">
        <v>570</v>
      </c>
      <c r="D1685" t="s">
        <v>752</v>
      </c>
      <c r="E1685" s="35">
        <v>0.9</v>
      </c>
      <c r="F1685" s="35">
        <v>6.6</v>
      </c>
      <c r="G1685" s="36">
        <v>2.47E-3</v>
      </c>
      <c r="H1685" s="18">
        <v>4.4452980000000002</v>
      </c>
      <c r="I1685" s="16" t="s">
        <v>746</v>
      </c>
      <c r="J1685" s="16"/>
      <c r="K1685" s="16"/>
      <c r="L1685" s="37"/>
      <c r="M1685" s="37"/>
      <c r="N1685" s="37"/>
      <c r="O1685" s="37"/>
      <c r="P1685" s="37"/>
      <c r="Q1685" s="18">
        <v>2.717E-2</v>
      </c>
      <c r="R1685" s="18">
        <v>1.8525E-4</v>
      </c>
      <c r="S1685" s="18">
        <v>5.1869999999999999E-2</v>
      </c>
      <c r="T1685" s="18">
        <v>0.2223</v>
      </c>
      <c r="U1685" s="18">
        <v>0.11115</v>
      </c>
      <c r="V1685" s="18">
        <v>1.42272</v>
      </c>
      <c r="W1685" s="18">
        <v>1.3338000000000001</v>
      </c>
      <c r="X1685" s="18">
        <v>0.88919999999999999</v>
      </c>
      <c r="Y1685" s="18">
        <v>3.952E-2</v>
      </c>
      <c r="Z1685" s="18">
        <v>0.17537</v>
      </c>
      <c r="AA1685" s="18">
        <v>0.25688</v>
      </c>
      <c r="AB1685" s="18">
        <v>0.45694999999999997</v>
      </c>
      <c r="AC1685" s="18">
        <v>0.14079</v>
      </c>
      <c r="AD1685" s="18">
        <v>0.74099999999999999</v>
      </c>
    </row>
    <row r="1686" spans="2:30" x14ac:dyDescent="0.25">
      <c r="B1686" t="s">
        <v>269</v>
      </c>
      <c r="C1686" t="s">
        <v>570</v>
      </c>
      <c r="D1686" t="s">
        <v>752</v>
      </c>
      <c r="E1686" s="35">
        <v>0.9</v>
      </c>
      <c r="F1686" s="35">
        <v>6.6</v>
      </c>
      <c r="G1686" s="36">
        <v>2.47E-3</v>
      </c>
      <c r="H1686" s="18">
        <v>4.4452980000000002</v>
      </c>
      <c r="I1686" s="16" t="s">
        <v>746</v>
      </c>
      <c r="J1686" s="16"/>
      <c r="K1686" s="16"/>
      <c r="L1686" s="37"/>
      <c r="M1686" s="37"/>
      <c r="N1686" s="37"/>
      <c r="O1686" s="37"/>
      <c r="P1686" s="37"/>
      <c r="Q1686" s="18">
        <v>2.717E-2</v>
      </c>
      <c r="R1686" s="18">
        <v>1.8525E-4</v>
      </c>
      <c r="S1686" s="18">
        <v>5.1869999999999999E-2</v>
      </c>
      <c r="T1686" s="18">
        <v>0.2223</v>
      </c>
      <c r="U1686" s="18">
        <v>0.11115</v>
      </c>
      <c r="V1686" s="18">
        <v>1.42272</v>
      </c>
      <c r="W1686" s="18">
        <v>1.3338000000000001</v>
      </c>
      <c r="X1686" s="18">
        <v>0.88919999999999999</v>
      </c>
      <c r="Y1686" s="18">
        <v>3.952E-2</v>
      </c>
      <c r="Z1686" s="18">
        <v>0.17537</v>
      </c>
      <c r="AA1686" s="18">
        <v>0.25688</v>
      </c>
      <c r="AB1686" s="18">
        <v>0.45694999999999997</v>
      </c>
      <c r="AC1686" s="18">
        <v>0.14079</v>
      </c>
      <c r="AD1686" s="18">
        <v>0.74099999999999999</v>
      </c>
    </row>
    <row r="1687" spans="2:30" x14ac:dyDescent="0.25">
      <c r="B1687" t="s">
        <v>269</v>
      </c>
      <c r="C1687" t="s">
        <v>570</v>
      </c>
      <c r="D1687" t="s">
        <v>752</v>
      </c>
      <c r="E1687" s="35">
        <v>0.9</v>
      </c>
      <c r="F1687" s="35">
        <v>6.6</v>
      </c>
      <c r="G1687" s="36">
        <v>2.47E-3</v>
      </c>
      <c r="H1687" s="18">
        <v>4.4452980000000002</v>
      </c>
      <c r="I1687" s="16" t="s">
        <v>746</v>
      </c>
      <c r="J1687" s="16"/>
      <c r="K1687" s="16"/>
      <c r="L1687" s="37"/>
      <c r="M1687" s="37"/>
      <c r="N1687" s="37"/>
      <c r="O1687" s="37"/>
      <c r="P1687" s="37"/>
      <c r="Q1687" s="18">
        <v>2.717E-2</v>
      </c>
      <c r="R1687" s="18">
        <v>1.8525E-4</v>
      </c>
      <c r="S1687" s="18">
        <v>5.1869999999999999E-2</v>
      </c>
      <c r="T1687" s="18">
        <v>0.2223</v>
      </c>
      <c r="U1687" s="18">
        <v>0.11115</v>
      </c>
      <c r="V1687" s="18">
        <v>1.42272</v>
      </c>
      <c r="W1687" s="18">
        <v>1.3338000000000001</v>
      </c>
      <c r="X1687" s="18">
        <v>0.88919999999999999</v>
      </c>
      <c r="Y1687" s="18">
        <v>3.952E-2</v>
      </c>
      <c r="Z1687" s="18">
        <v>0.17537</v>
      </c>
      <c r="AA1687" s="18">
        <v>0.25688</v>
      </c>
      <c r="AB1687" s="18">
        <v>0.45694999999999997</v>
      </c>
      <c r="AC1687" s="18">
        <v>0.14079</v>
      </c>
      <c r="AD1687" s="18">
        <v>0.74099999999999999</v>
      </c>
    </row>
    <row r="1688" spans="2:30" x14ac:dyDescent="0.25">
      <c r="B1688" t="s">
        <v>269</v>
      </c>
      <c r="C1688" t="s">
        <v>570</v>
      </c>
      <c r="D1688" t="s">
        <v>752</v>
      </c>
      <c r="E1688" s="35">
        <v>0.9</v>
      </c>
      <c r="F1688" s="35">
        <v>6.6</v>
      </c>
      <c r="G1688" s="36">
        <v>2.47E-3</v>
      </c>
      <c r="H1688" s="18">
        <v>4.4452980000000002</v>
      </c>
      <c r="I1688" s="16" t="s">
        <v>746</v>
      </c>
      <c r="J1688" s="16"/>
      <c r="K1688" s="16"/>
      <c r="L1688" s="37"/>
      <c r="M1688" s="37"/>
      <c r="N1688" s="37"/>
      <c r="O1688" s="37"/>
      <c r="P1688" s="37"/>
      <c r="Q1688" s="18">
        <v>2.717E-2</v>
      </c>
      <c r="R1688" s="18">
        <v>1.8525E-4</v>
      </c>
      <c r="S1688" s="18">
        <v>5.1869999999999999E-2</v>
      </c>
      <c r="T1688" s="18">
        <v>0.2223</v>
      </c>
      <c r="U1688" s="18">
        <v>0.11115</v>
      </c>
      <c r="V1688" s="18">
        <v>1.42272</v>
      </c>
      <c r="W1688" s="18">
        <v>1.3338000000000001</v>
      </c>
      <c r="X1688" s="18">
        <v>0.88919999999999999</v>
      </c>
      <c r="Y1688" s="18">
        <v>3.952E-2</v>
      </c>
      <c r="Z1688" s="18">
        <v>0.17537</v>
      </c>
      <c r="AA1688" s="18">
        <v>0.25688</v>
      </c>
      <c r="AB1688" s="18">
        <v>0.45694999999999997</v>
      </c>
      <c r="AC1688" s="18">
        <v>0.14079</v>
      </c>
      <c r="AD1688" s="18">
        <v>0.74099999999999999</v>
      </c>
    </row>
    <row r="1689" spans="2:30" x14ac:dyDescent="0.25">
      <c r="B1689" t="s">
        <v>269</v>
      </c>
      <c r="C1689" t="s">
        <v>570</v>
      </c>
      <c r="D1689" t="s">
        <v>752</v>
      </c>
      <c r="E1689" s="35">
        <v>0.9</v>
      </c>
      <c r="F1689" s="35">
        <v>6.6</v>
      </c>
      <c r="G1689" s="36">
        <v>2.47E-3</v>
      </c>
      <c r="H1689" s="18">
        <v>4.4452980000000002</v>
      </c>
      <c r="I1689" s="16" t="s">
        <v>746</v>
      </c>
      <c r="J1689" s="16"/>
      <c r="K1689" s="16"/>
      <c r="L1689" s="37"/>
      <c r="M1689" s="37"/>
      <c r="N1689" s="37"/>
      <c r="O1689" s="37"/>
      <c r="P1689" s="37"/>
      <c r="Q1689" s="18">
        <v>2.717E-2</v>
      </c>
      <c r="R1689" s="18">
        <v>1.8525E-4</v>
      </c>
      <c r="S1689" s="18">
        <v>5.1869999999999999E-2</v>
      </c>
      <c r="T1689" s="18">
        <v>0.2223</v>
      </c>
      <c r="U1689" s="18">
        <v>0.11115</v>
      </c>
      <c r="V1689" s="18">
        <v>1.42272</v>
      </c>
      <c r="W1689" s="18">
        <v>1.3338000000000001</v>
      </c>
      <c r="X1689" s="18">
        <v>0.88919999999999999</v>
      </c>
      <c r="Y1689" s="18">
        <v>3.952E-2</v>
      </c>
      <c r="Z1689" s="18">
        <v>0.17537</v>
      </c>
      <c r="AA1689" s="18">
        <v>0.25688</v>
      </c>
      <c r="AB1689" s="18">
        <v>0.45694999999999997</v>
      </c>
      <c r="AC1689" s="18">
        <v>0.14079</v>
      </c>
      <c r="AD1689" s="18">
        <v>0.74099999999999999</v>
      </c>
    </row>
    <row r="1690" spans="2:30" x14ac:dyDescent="0.25">
      <c r="B1690" t="s">
        <v>269</v>
      </c>
      <c r="C1690" t="s">
        <v>570</v>
      </c>
      <c r="D1690" t="s">
        <v>752</v>
      </c>
      <c r="E1690" s="35">
        <v>0.9</v>
      </c>
      <c r="F1690" s="35">
        <v>6.6</v>
      </c>
      <c r="G1690" s="36">
        <v>2.47E-3</v>
      </c>
      <c r="H1690" s="18">
        <v>4.4452980000000002</v>
      </c>
      <c r="I1690" s="16" t="s">
        <v>746</v>
      </c>
      <c r="J1690" s="16"/>
      <c r="K1690" s="16"/>
      <c r="L1690" s="37"/>
      <c r="M1690" s="37"/>
      <c r="N1690" s="37"/>
      <c r="O1690" s="37"/>
      <c r="P1690" s="37"/>
      <c r="Q1690" s="18">
        <v>2.717E-2</v>
      </c>
      <c r="R1690" s="18">
        <v>1.8525E-4</v>
      </c>
      <c r="S1690" s="18">
        <v>5.1869999999999999E-2</v>
      </c>
      <c r="T1690" s="18">
        <v>0.2223</v>
      </c>
      <c r="U1690" s="18">
        <v>0.11115</v>
      </c>
      <c r="V1690" s="18">
        <v>1.42272</v>
      </c>
      <c r="W1690" s="18">
        <v>1.3338000000000001</v>
      </c>
      <c r="X1690" s="18">
        <v>0.88919999999999999</v>
      </c>
      <c r="Y1690" s="18">
        <v>3.952E-2</v>
      </c>
      <c r="Z1690" s="18">
        <v>0.17537</v>
      </c>
      <c r="AA1690" s="18">
        <v>0.25688</v>
      </c>
      <c r="AB1690" s="18">
        <v>0.45694999999999997</v>
      </c>
      <c r="AC1690" s="18">
        <v>0.14079</v>
      </c>
      <c r="AD1690" s="18">
        <v>0.74099999999999999</v>
      </c>
    </row>
    <row r="1691" spans="2:30" x14ac:dyDescent="0.25">
      <c r="B1691" t="s">
        <v>269</v>
      </c>
      <c r="C1691" t="s">
        <v>570</v>
      </c>
      <c r="D1691" t="s">
        <v>752</v>
      </c>
      <c r="E1691" s="35">
        <v>0.9</v>
      </c>
      <c r="F1691" s="35">
        <v>6.6</v>
      </c>
      <c r="G1691" s="36">
        <v>2.47E-3</v>
      </c>
      <c r="H1691" s="18">
        <v>4.4452980000000002</v>
      </c>
      <c r="I1691" s="16" t="s">
        <v>746</v>
      </c>
      <c r="J1691" s="16"/>
      <c r="K1691" s="16"/>
      <c r="L1691" s="37"/>
      <c r="M1691" s="37"/>
      <c r="N1691" s="37"/>
      <c r="O1691" s="37"/>
      <c r="P1691" s="37"/>
      <c r="Q1691" s="18">
        <v>2.717E-2</v>
      </c>
      <c r="R1691" s="18">
        <v>1.8525E-4</v>
      </c>
      <c r="S1691" s="18">
        <v>5.1869999999999999E-2</v>
      </c>
      <c r="T1691" s="18">
        <v>0.2223</v>
      </c>
      <c r="U1691" s="18">
        <v>0.11115</v>
      </c>
      <c r="V1691" s="18">
        <v>1.42272</v>
      </c>
      <c r="W1691" s="18">
        <v>1.3338000000000001</v>
      </c>
      <c r="X1691" s="18">
        <v>0.88919999999999999</v>
      </c>
      <c r="Y1691" s="18">
        <v>3.952E-2</v>
      </c>
      <c r="Z1691" s="18">
        <v>0.17537</v>
      </c>
      <c r="AA1691" s="18">
        <v>0.25688</v>
      </c>
      <c r="AB1691" s="18">
        <v>0.45694999999999997</v>
      </c>
      <c r="AC1691" s="18">
        <v>0.14079</v>
      </c>
      <c r="AD1691" s="18">
        <v>0.74099999999999999</v>
      </c>
    </row>
    <row r="1692" spans="2:30" x14ac:dyDescent="0.25">
      <c r="B1692" t="s">
        <v>269</v>
      </c>
      <c r="C1692" t="s">
        <v>570</v>
      </c>
      <c r="D1692" t="s">
        <v>752</v>
      </c>
      <c r="E1692" s="35">
        <v>0.9</v>
      </c>
      <c r="F1692" s="35">
        <v>6.6</v>
      </c>
      <c r="G1692" s="36">
        <v>2.47E-3</v>
      </c>
      <c r="H1692" s="18">
        <v>4.4452980000000002</v>
      </c>
      <c r="I1692" s="16" t="s">
        <v>746</v>
      </c>
      <c r="J1692" s="16"/>
      <c r="K1692" s="16"/>
      <c r="L1692" s="37"/>
      <c r="M1692" s="37"/>
      <c r="N1692" s="37"/>
      <c r="O1692" s="37"/>
      <c r="P1692" s="37"/>
      <c r="Q1692" s="18">
        <v>2.717E-2</v>
      </c>
      <c r="R1692" s="18">
        <v>1.8525E-4</v>
      </c>
      <c r="S1692" s="18">
        <v>5.1869999999999999E-2</v>
      </c>
      <c r="T1692" s="18">
        <v>0.2223</v>
      </c>
      <c r="U1692" s="18">
        <v>0.11115</v>
      </c>
      <c r="V1692" s="18">
        <v>1.42272</v>
      </c>
      <c r="W1692" s="18">
        <v>1.3338000000000001</v>
      </c>
      <c r="X1692" s="18">
        <v>0.88919999999999999</v>
      </c>
      <c r="Y1692" s="18">
        <v>3.952E-2</v>
      </c>
      <c r="Z1692" s="18">
        <v>0.17537</v>
      </c>
      <c r="AA1692" s="18">
        <v>0.25688</v>
      </c>
      <c r="AB1692" s="18">
        <v>0.45694999999999997</v>
      </c>
      <c r="AC1692" s="18">
        <v>0.14079</v>
      </c>
      <c r="AD1692" s="18">
        <v>0.74099999999999999</v>
      </c>
    </row>
    <row r="1693" spans="2:30" x14ac:dyDescent="0.25">
      <c r="B1693" t="s">
        <v>269</v>
      </c>
      <c r="C1693" t="s">
        <v>570</v>
      </c>
      <c r="D1693" t="s">
        <v>752</v>
      </c>
      <c r="E1693" s="35">
        <v>0.9</v>
      </c>
      <c r="F1693" s="35">
        <v>6.6</v>
      </c>
      <c r="G1693" s="36">
        <v>2.47E-3</v>
      </c>
      <c r="H1693" s="18">
        <v>4.4452980000000002</v>
      </c>
      <c r="I1693" s="16" t="s">
        <v>746</v>
      </c>
      <c r="J1693" s="16"/>
      <c r="K1693" s="16"/>
      <c r="L1693" s="37"/>
      <c r="M1693" s="37"/>
      <c r="N1693" s="37"/>
      <c r="O1693" s="37"/>
      <c r="P1693" s="37"/>
      <c r="Q1693" s="18">
        <v>2.717E-2</v>
      </c>
      <c r="R1693" s="18">
        <v>1.8525E-4</v>
      </c>
      <c r="S1693" s="18">
        <v>5.1869999999999999E-2</v>
      </c>
      <c r="T1693" s="18">
        <v>0.2223</v>
      </c>
      <c r="U1693" s="18">
        <v>0.11115</v>
      </c>
      <c r="V1693" s="18">
        <v>1.42272</v>
      </c>
      <c r="W1693" s="18">
        <v>1.3338000000000001</v>
      </c>
      <c r="X1693" s="18">
        <v>0.88919999999999999</v>
      </c>
      <c r="Y1693" s="18">
        <v>3.952E-2</v>
      </c>
      <c r="Z1693" s="18">
        <v>0.17537</v>
      </c>
      <c r="AA1693" s="18">
        <v>0.25688</v>
      </c>
      <c r="AB1693" s="18">
        <v>0.45694999999999997</v>
      </c>
      <c r="AC1693" s="18">
        <v>0.14079</v>
      </c>
      <c r="AD1693" s="18">
        <v>0.74099999999999999</v>
      </c>
    </row>
    <row r="1694" spans="2:30" x14ac:dyDescent="0.25">
      <c r="B1694" t="s">
        <v>269</v>
      </c>
      <c r="C1694" t="s">
        <v>570</v>
      </c>
      <c r="D1694" t="s">
        <v>752</v>
      </c>
      <c r="E1694" s="35">
        <v>0.9</v>
      </c>
      <c r="F1694" s="35">
        <v>6.6</v>
      </c>
      <c r="G1694" s="36">
        <v>2.47E-3</v>
      </c>
      <c r="H1694" s="18">
        <v>4.4452980000000002</v>
      </c>
      <c r="I1694" s="16" t="s">
        <v>746</v>
      </c>
      <c r="J1694" s="16"/>
      <c r="K1694" s="16"/>
      <c r="L1694" s="37"/>
      <c r="M1694" s="37"/>
      <c r="N1694" s="37"/>
      <c r="O1694" s="37"/>
      <c r="P1694" s="37"/>
      <c r="Q1694" s="18">
        <v>2.717E-2</v>
      </c>
      <c r="R1694" s="18">
        <v>1.8525E-4</v>
      </c>
      <c r="S1694" s="18">
        <v>5.1869999999999999E-2</v>
      </c>
      <c r="T1694" s="18">
        <v>0.2223</v>
      </c>
      <c r="U1694" s="18">
        <v>0.11115</v>
      </c>
      <c r="V1694" s="18">
        <v>1.42272</v>
      </c>
      <c r="W1694" s="18">
        <v>1.3338000000000001</v>
      </c>
      <c r="X1694" s="18">
        <v>0.88919999999999999</v>
      </c>
      <c r="Y1694" s="18">
        <v>3.952E-2</v>
      </c>
      <c r="Z1694" s="18">
        <v>0.17537</v>
      </c>
      <c r="AA1694" s="18">
        <v>0.25688</v>
      </c>
      <c r="AB1694" s="18">
        <v>0.45694999999999997</v>
      </c>
      <c r="AC1694" s="18">
        <v>0.14079</v>
      </c>
      <c r="AD1694" s="18">
        <v>0.74099999999999999</v>
      </c>
    </row>
    <row r="1695" spans="2:30" x14ac:dyDescent="0.25">
      <c r="B1695" t="s">
        <v>269</v>
      </c>
      <c r="C1695" t="s">
        <v>570</v>
      </c>
      <c r="D1695" t="s">
        <v>752</v>
      </c>
      <c r="E1695" s="35">
        <v>0.9</v>
      </c>
      <c r="F1695" s="35">
        <v>6.6</v>
      </c>
      <c r="G1695" s="36">
        <v>2.47E-3</v>
      </c>
      <c r="H1695" s="18">
        <v>4.4452980000000002</v>
      </c>
      <c r="I1695" s="16" t="s">
        <v>746</v>
      </c>
      <c r="J1695" s="16"/>
      <c r="K1695" s="16"/>
      <c r="L1695" s="37"/>
      <c r="M1695" s="37"/>
      <c r="N1695" s="37"/>
      <c r="O1695" s="37"/>
      <c r="P1695" s="37"/>
      <c r="Q1695" s="18">
        <v>2.717E-2</v>
      </c>
      <c r="R1695" s="18">
        <v>1.8525E-4</v>
      </c>
      <c r="S1695" s="18">
        <v>5.1869999999999999E-2</v>
      </c>
      <c r="T1695" s="18">
        <v>0.2223</v>
      </c>
      <c r="U1695" s="18">
        <v>0.11115</v>
      </c>
      <c r="V1695" s="18">
        <v>1.42272</v>
      </c>
      <c r="W1695" s="18">
        <v>1.3338000000000001</v>
      </c>
      <c r="X1695" s="18">
        <v>0.88919999999999999</v>
      </c>
      <c r="Y1695" s="18">
        <v>3.952E-2</v>
      </c>
      <c r="Z1695" s="18">
        <v>0.17537</v>
      </c>
      <c r="AA1695" s="18">
        <v>0.25688</v>
      </c>
      <c r="AB1695" s="18">
        <v>0.45694999999999997</v>
      </c>
      <c r="AC1695" s="18">
        <v>0.14079</v>
      </c>
      <c r="AD1695" s="18">
        <v>0.74099999999999999</v>
      </c>
    </row>
    <row r="1696" spans="2:30" x14ac:dyDescent="0.25">
      <c r="B1696" t="s">
        <v>269</v>
      </c>
      <c r="C1696" t="s">
        <v>570</v>
      </c>
      <c r="D1696" t="s">
        <v>752</v>
      </c>
      <c r="E1696" s="35">
        <v>0.9</v>
      </c>
      <c r="F1696" s="35">
        <v>6.6</v>
      </c>
      <c r="G1696" s="36">
        <v>2.47E-3</v>
      </c>
      <c r="H1696" s="18">
        <v>4.4452980000000002</v>
      </c>
      <c r="I1696" s="16" t="s">
        <v>746</v>
      </c>
      <c r="J1696" s="16"/>
      <c r="K1696" s="16"/>
      <c r="L1696" s="37"/>
      <c r="M1696" s="37"/>
      <c r="N1696" s="37"/>
      <c r="O1696" s="37"/>
      <c r="P1696" s="37"/>
      <c r="Q1696" s="18">
        <v>2.717E-2</v>
      </c>
      <c r="R1696" s="18">
        <v>1.8525E-4</v>
      </c>
      <c r="S1696" s="18">
        <v>5.1869999999999999E-2</v>
      </c>
      <c r="T1696" s="18">
        <v>0.2223</v>
      </c>
      <c r="U1696" s="18">
        <v>0.11115</v>
      </c>
      <c r="V1696" s="18">
        <v>1.42272</v>
      </c>
      <c r="W1696" s="18">
        <v>1.3338000000000001</v>
      </c>
      <c r="X1696" s="18">
        <v>0.88919999999999999</v>
      </c>
      <c r="Y1696" s="18">
        <v>3.952E-2</v>
      </c>
      <c r="Z1696" s="18">
        <v>0.17537</v>
      </c>
      <c r="AA1696" s="18">
        <v>0.25688</v>
      </c>
      <c r="AB1696" s="18">
        <v>0.45694999999999997</v>
      </c>
      <c r="AC1696" s="18">
        <v>0.14079</v>
      </c>
      <c r="AD1696" s="18">
        <v>0.74099999999999999</v>
      </c>
    </row>
    <row r="1697" spans="2:30" x14ac:dyDescent="0.25">
      <c r="B1697" t="s">
        <v>269</v>
      </c>
      <c r="C1697" t="s">
        <v>570</v>
      </c>
      <c r="D1697" t="s">
        <v>752</v>
      </c>
      <c r="E1697" s="35">
        <v>0.9</v>
      </c>
      <c r="F1697" s="35">
        <v>6.6</v>
      </c>
      <c r="G1697" s="36">
        <v>2.47E-3</v>
      </c>
      <c r="H1697" s="18">
        <v>4.4452980000000002</v>
      </c>
      <c r="I1697" s="16" t="s">
        <v>746</v>
      </c>
      <c r="J1697" s="16"/>
      <c r="K1697" s="16"/>
      <c r="L1697" s="37"/>
      <c r="M1697" s="37"/>
      <c r="N1697" s="37"/>
      <c r="O1697" s="37"/>
      <c r="P1697" s="37"/>
      <c r="Q1697" s="18">
        <v>2.717E-2</v>
      </c>
      <c r="R1697" s="18">
        <v>1.8525E-4</v>
      </c>
      <c r="S1697" s="18">
        <v>5.1869999999999999E-2</v>
      </c>
      <c r="T1697" s="18">
        <v>0.2223</v>
      </c>
      <c r="U1697" s="18">
        <v>0.11115</v>
      </c>
      <c r="V1697" s="18">
        <v>1.42272</v>
      </c>
      <c r="W1697" s="18">
        <v>1.3338000000000001</v>
      </c>
      <c r="X1697" s="18">
        <v>0.88919999999999999</v>
      </c>
      <c r="Y1697" s="18">
        <v>3.952E-2</v>
      </c>
      <c r="Z1697" s="18">
        <v>0.17537</v>
      </c>
      <c r="AA1697" s="18">
        <v>0.25688</v>
      </c>
      <c r="AB1697" s="18">
        <v>0.45694999999999997</v>
      </c>
      <c r="AC1697" s="18">
        <v>0.14079</v>
      </c>
      <c r="AD1697" s="18">
        <v>0.74099999999999999</v>
      </c>
    </row>
    <row r="1698" spans="2:30" x14ac:dyDescent="0.25">
      <c r="B1698" t="s">
        <v>269</v>
      </c>
      <c r="C1698" t="s">
        <v>570</v>
      </c>
      <c r="D1698" t="s">
        <v>752</v>
      </c>
      <c r="E1698" s="35">
        <v>0.9</v>
      </c>
      <c r="F1698" s="35">
        <v>6.6</v>
      </c>
      <c r="G1698" s="36">
        <v>2.47E-3</v>
      </c>
      <c r="H1698" s="18">
        <v>4.4452980000000002</v>
      </c>
      <c r="I1698" s="16" t="s">
        <v>746</v>
      </c>
      <c r="J1698" s="16"/>
      <c r="K1698" s="16"/>
      <c r="L1698" s="37"/>
      <c r="M1698" s="37"/>
      <c r="N1698" s="37"/>
      <c r="O1698" s="37"/>
      <c r="P1698" s="37"/>
      <c r="Q1698" s="18">
        <v>2.717E-2</v>
      </c>
      <c r="R1698" s="18">
        <v>1.8525E-4</v>
      </c>
      <c r="S1698" s="18">
        <v>5.1869999999999999E-2</v>
      </c>
      <c r="T1698" s="18">
        <v>0.2223</v>
      </c>
      <c r="U1698" s="18">
        <v>0.11115</v>
      </c>
      <c r="V1698" s="18">
        <v>1.42272</v>
      </c>
      <c r="W1698" s="18">
        <v>1.3338000000000001</v>
      </c>
      <c r="X1698" s="18">
        <v>0.88919999999999999</v>
      </c>
      <c r="Y1698" s="18">
        <v>3.952E-2</v>
      </c>
      <c r="Z1698" s="18">
        <v>0.17537</v>
      </c>
      <c r="AA1698" s="18">
        <v>0.25688</v>
      </c>
      <c r="AB1698" s="18">
        <v>0.45694999999999997</v>
      </c>
      <c r="AC1698" s="18">
        <v>0.14079</v>
      </c>
      <c r="AD1698" s="18">
        <v>0.74099999999999999</v>
      </c>
    </row>
    <row r="1699" spans="2:30" x14ac:dyDescent="0.25">
      <c r="B1699" t="s">
        <v>269</v>
      </c>
      <c r="C1699" t="s">
        <v>570</v>
      </c>
      <c r="D1699" t="s">
        <v>752</v>
      </c>
      <c r="E1699" s="35">
        <v>0.9</v>
      </c>
      <c r="F1699" s="35">
        <v>6.6</v>
      </c>
      <c r="G1699" s="36">
        <v>2.47E-3</v>
      </c>
      <c r="H1699" s="18">
        <v>4.4452980000000002</v>
      </c>
      <c r="I1699" s="16" t="s">
        <v>746</v>
      </c>
      <c r="J1699" s="16"/>
      <c r="K1699" s="16"/>
      <c r="L1699" s="37"/>
      <c r="M1699" s="37"/>
      <c r="N1699" s="37"/>
      <c r="O1699" s="37"/>
      <c r="P1699" s="37"/>
      <c r="Q1699" s="18">
        <v>2.717E-2</v>
      </c>
      <c r="R1699" s="18">
        <v>1.8525E-4</v>
      </c>
      <c r="S1699" s="18">
        <v>5.1869999999999999E-2</v>
      </c>
      <c r="T1699" s="18">
        <v>0.2223</v>
      </c>
      <c r="U1699" s="18">
        <v>0.11115</v>
      </c>
      <c r="V1699" s="18">
        <v>1.42272</v>
      </c>
      <c r="W1699" s="18">
        <v>1.3338000000000001</v>
      </c>
      <c r="X1699" s="18">
        <v>0.88919999999999999</v>
      </c>
      <c r="Y1699" s="18">
        <v>3.952E-2</v>
      </c>
      <c r="Z1699" s="18">
        <v>0.17537</v>
      </c>
      <c r="AA1699" s="18">
        <v>0.25688</v>
      </c>
      <c r="AB1699" s="18">
        <v>0.45694999999999997</v>
      </c>
      <c r="AC1699" s="18">
        <v>0.14079</v>
      </c>
      <c r="AD1699" s="18">
        <v>0.74099999999999999</v>
      </c>
    </row>
    <row r="1700" spans="2:30" x14ac:dyDescent="0.25">
      <c r="B1700" t="s">
        <v>269</v>
      </c>
      <c r="C1700" t="s">
        <v>570</v>
      </c>
      <c r="D1700" t="s">
        <v>752</v>
      </c>
      <c r="E1700" s="35">
        <v>0.9</v>
      </c>
      <c r="F1700" s="35">
        <v>6.6</v>
      </c>
      <c r="G1700" s="36">
        <v>2.47E-3</v>
      </c>
      <c r="H1700" s="18">
        <v>4.4452980000000002</v>
      </c>
      <c r="I1700" s="16" t="s">
        <v>746</v>
      </c>
      <c r="J1700" s="16"/>
      <c r="K1700" s="16"/>
      <c r="L1700" s="37"/>
      <c r="M1700" s="37"/>
      <c r="N1700" s="37"/>
      <c r="O1700" s="37"/>
      <c r="P1700" s="37"/>
      <c r="Q1700" s="18">
        <v>2.717E-2</v>
      </c>
      <c r="R1700" s="18">
        <v>1.8525E-4</v>
      </c>
      <c r="S1700" s="18">
        <v>5.1869999999999999E-2</v>
      </c>
      <c r="T1700" s="18">
        <v>0.2223</v>
      </c>
      <c r="U1700" s="18">
        <v>0.11115</v>
      </c>
      <c r="V1700" s="18">
        <v>1.42272</v>
      </c>
      <c r="W1700" s="18">
        <v>1.3338000000000001</v>
      </c>
      <c r="X1700" s="18">
        <v>0.88919999999999999</v>
      </c>
      <c r="Y1700" s="18">
        <v>3.952E-2</v>
      </c>
      <c r="Z1700" s="18">
        <v>0.17537</v>
      </c>
      <c r="AA1700" s="18">
        <v>0.25688</v>
      </c>
      <c r="AB1700" s="18">
        <v>0.45694999999999997</v>
      </c>
      <c r="AC1700" s="18">
        <v>0.14079</v>
      </c>
      <c r="AD1700" s="18">
        <v>0.74099999999999999</v>
      </c>
    </row>
    <row r="1701" spans="2:30" x14ac:dyDescent="0.25">
      <c r="B1701" t="s">
        <v>269</v>
      </c>
      <c r="C1701" t="s">
        <v>570</v>
      </c>
      <c r="D1701" t="s">
        <v>752</v>
      </c>
      <c r="E1701" s="35">
        <v>0.9</v>
      </c>
      <c r="F1701" s="35">
        <v>6.6</v>
      </c>
      <c r="G1701" s="36">
        <v>2.47E-3</v>
      </c>
      <c r="H1701" s="18">
        <v>4.4452980000000002</v>
      </c>
      <c r="I1701" s="16" t="s">
        <v>746</v>
      </c>
      <c r="J1701" s="16"/>
      <c r="K1701" s="16"/>
      <c r="L1701" s="37"/>
      <c r="M1701" s="37"/>
      <c r="N1701" s="37"/>
      <c r="O1701" s="37"/>
      <c r="P1701" s="37"/>
      <c r="Q1701" s="18">
        <v>2.717E-2</v>
      </c>
      <c r="R1701" s="18">
        <v>1.8525E-4</v>
      </c>
      <c r="S1701" s="18">
        <v>5.1869999999999999E-2</v>
      </c>
      <c r="T1701" s="18">
        <v>0.2223</v>
      </c>
      <c r="U1701" s="18">
        <v>0.11115</v>
      </c>
      <c r="V1701" s="18">
        <v>1.42272</v>
      </c>
      <c r="W1701" s="18">
        <v>1.3338000000000001</v>
      </c>
      <c r="X1701" s="18">
        <v>0.88919999999999999</v>
      </c>
      <c r="Y1701" s="18">
        <v>3.952E-2</v>
      </c>
      <c r="Z1701" s="18">
        <v>0.17537</v>
      </c>
      <c r="AA1701" s="18">
        <v>0.25688</v>
      </c>
      <c r="AB1701" s="18">
        <v>0.45694999999999997</v>
      </c>
      <c r="AC1701" s="18">
        <v>0.14079</v>
      </c>
      <c r="AD1701" s="18">
        <v>0.74099999999999999</v>
      </c>
    </row>
    <row r="1702" spans="2:30" x14ac:dyDescent="0.25">
      <c r="B1702" t="s">
        <v>269</v>
      </c>
      <c r="C1702" t="s">
        <v>570</v>
      </c>
      <c r="D1702" t="s">
        <v>752</v>
      </c>
      <c r="E1702" s="35">
        <v>0.9</v>
      </c>
      <c r="F1702" s="35">
        <v>6.6</v>
      </c>
      <c r="G1702" s="36">
        <v>2.47E-3</v>
      </c>
      <c r="H1702" s="18">
        <v>4.4452980000000002</v>
      </c>
      <c r="I1702" s="16" t="s">
        <v>746</v>
      </c>
      <c r="J1702" s="16"/>
      <c r="K1702" s="16"/>
      <c r="L1702" s="37"/>
      <c r="M1702" s="37"/>
      <c r="N1702" s="37"/>
      <c r="O1702" s="37"/>
      <c r="P1702" s="37"/>
      <c r="Q1702" s="18">
        <v>2.717E-2</v>
      </c>
      <c r="R1702" s="18">
        <v>1.8525E-4</v>
      </c>
      <c r="S1702" s="18">
        <v>5.1869999999999999E-2</v>
      </c>
      <c r="T1702" s="18">
        <v>0.2223</v>
      </c>
      <c r="U1702" s="18">
        <v>0.11115</v>
      </c>
      <c r="V1702" s="18">
        <v>1.42272</v>
      </c>
      <c r="W1702" s="18">
        <v>1.3338000000000001</v>
      </c>
      <c r="X1702" s="18">
        <v>0.88919999999999999</v>
      </c>
      <c r="Y1702" s="18">
        <v>3.952E-2</v>
      </c>
      <c r="Z1702" s="18">
        <v>0.17537</v>
      </c>
      <c r="AA1702" s="18">
        <v>0.25688</v>
      </c>
      <c r="AB1702" s="18">
        <v>0.45694999999999997</v>
      </c>
      <c r="AC1702" s="18">
        <v>0.14079</v>
      </c>
      <c r="AD1702" s="18">
        <v>0.74099999999999999</v>
      </c>
    </row>
    <row r="1703" spans="2:30" x14ac:dyDescent="0.25">
      <c r="B1703" t="s">
        <v>269</v>
      </c>
      <c r="C1703" t="s">
        <v>570</v>
      </c>
      <c r="D1703" t="s">
        <v>752</v>
      </c>
      <c r="E1703" s="35">
        <v>0.9</v>
      </c>
      <c r="F1703" s="35">
        <v>6.6</v>
      </c>
      <c r="G1703" s="36">
        <v>2.47E-3</v>
      </c>
      <c r="H1703" s="18">
        <v>4.4452980000000002</v>
      </c>
      <c r="I1703" s="16" t="s">
        <v>746</v>
      </c>
      <c r="J1703" s="16"/>
      <c r="K1703" s="16"/>
      <c r="L1703" s="37"/>
      <c r="M1703" s="37"/>
      <c r="N1703" s="37"/>
      <c r="O1703" s="37"/>
      <c r="P1703" s="37"/>
      <c r="Q1703" s="18">
        <v>2.717E-2</v>
      </c>
      <c r="R1703" s="18">
        <v>1.8525E-4</v>
      </c>
      <c r="S1703" s="18">
        <v>5.1869999999999999E-2</v>
      </c>
      <c r="T1703" s="18">
        <v>0.2223</v>
      </c>
      <c r="U1703" s="18">
        <v>0.11115</v>
      </c>
      <c r="V1703" s="18">
        <v>1.42272</v>
      </c>
      <c r="W1703" s="18">
        <v>1.3338000000000001</v>
      </c>
      <c r="X1703" s="18">
        <v>0.88919999999999999</v>
      </c>
      <c r="Y1703" s="18">
        <v>3.952E-2</v>
      </c>
      <c r="Z1703" s="18">
        <v>0.17537</v>
      </c>
      <c r="AA1703" s="18">
        <v>0.25688</v>
      </c>
      <c r="AB1703" s="18">
        <v>0.45694999999999997</v>
      </c>
      <c r="AC1703" s="18">
        <v>0.14079</v>
      </c>
      <c r="AD1703" s="18">
        <v>0.74099999999999999</v>
      </c>
    </row>
    <row r="1704" spans="2:30" x14ac:dyDescent="0.25">
      <c r="B1704" t="s">
        <v>269</v>
      </c>
      <c r="C1704" t="s">
        <v>570</v>
      </c>
      <c r="D1704" t="s">
        <v>752</v>
      </c>
      <c r="E1704" s="35">
        <v>0.9</v>
      </c>
      <c r="F1704" s="35">
        <v>6.6</v>
      </c>
      <c r="G1704" s="36">
        <v>2.47E-3</v>
      </c>
      <c r="H1704" s="18">
        <v>4.4452980000000002</v>
      </c>
      <c r="I1704" s="16" t="s">
        <v>746</v>
      </c>
      <c r="J1704" s="16"/>
      <c r="K1704" s="16"/>
      <c r="L1704" s="37"/>
      <c r="M1704" s="37"/>
      <c r="N1704" s="37"/>
      <c r="O1704" s="37"/>
      <c r="P1704" s="37"/>
      <c r="Q1704" s="18">
        <v>2.717E-2</v>
      </c>
      <c r="R1704" s="18">
        <v>1.8525E-4</v>
      </c>
      <c r="S1704" s="18">
        <v>5.1869999999999999E-2</v>
      </c>
      <c r="T1704" s="18">
        <v>0.2223</v>
      </c>
      <c r="U1704" s="18">
        <v>0.11115</v>
      </c>
      <c r="V1704" s="18">
        <v>1.42272</v>
      </c>
      <c r="W1704" s="18">
        <v>1.3338000000000001</v>
      </c>
      <c r="X1704" s="18">
        <v>0.88919999999999999</v>
      </c>
      <c r="Y1704" s="18">
        <v>3.952E-2</v>
      </c>
      <c r="Z1704" s="18">
        <v>0.17537</v>
      </c>
      <c r="AA1704" s="18">
        <v>0.25688</v>
      </c>
      <c r="AB1704" s="18">
        <v>0.45694999999999997</v>
      </c>
      <c r="AC1704" s="18">
        <v>0.14079</v>
      </c>
      <c r="AD1704" s="18">
        <v>0.74099999999999999</v>
      </c>
    </row>
    <row r="1705" spans="2:30" x14ac:dyDescent="0.25">
      <c r="B1705" t="s">
        <v>269</v>
      </c>
      <c r="C1705" t="s">
        <v>570</v>
      </c>
      <c r="D1705" t="s">
        <v>752</v>
      </c>
      <c r="E1705" s="35">
        <v>0.9</v>
      </c>
      <c r="F1705" s="35">
        <v>6.6</v>
      </c>
      <c r="G1705" s="36">
        <v>2.47E-3</v>
      </c>
      <c r="H1705" s="18">
        <v>4.4452980000000002</v>
      </c>
      <c r="I1705" s="16" t="s">
        <v>746</v>
      </c>
      <c r="J1705" s="16"/>
      <c r="K1705" s="16"/>
      <c r="L1705" s="37"/>
      <c r="M1705" s="37"/>
      <c r="N1705" s="37"/>
      <c r="O1705" s="37"/>
      <c r="P1705" s="37"/>
      <c r="Q1705" s="18">
        <v>2.717E-2</v>
      </c>
      <c r="R1705" s="18">
        <v>1.8525E-4</v>
      </c>
      <c r="S1705" s="18">
        <v>5.1869999999999999E-2</v>
      </c>
      <c r="T1705" s="18">
        <v>0.2223</v>
      </c>
      <c r="U1705" s="18">
        <v>0.11115</v>
      </c>
      <c r="V1705" s="18">
        <v>1.42272</v>
      </c>
      <c r="W1705" s="18">
        <v>1.3338000000000001</v>
      </c>
      <c r="X1705" s="18">
        <v>0.88919999999999999</v>
      </c>
      <c r="Y1705" s="18">
        <v>3.952E-2</v>
      </c>
      <c r="Z1705" s="18">
        <v>0.17537</v>
      </c>
      <c r="AA1705" s="18">
        <v>0.25688</v>
      </c>
      <c r="AB1705" s="18">
        <v>0.45694999999999997</v>
      </c>
      <c r="AC1705" s="18">
        <v>0.14079</v>
      </c>
      <c r="AD1705" s="18">
        <v>0.74099999999999999</v>
      </c>
    </row>
    <row r="1706" spans="2:30" x14ac:dyDescent="0.25">
      <c r="B1706" t="s">
        <v>269</v>
      </c>
      <c r="C1706" t="s">
        <v>570</v>
      </c>
      <c r="D1706" t="s">
        <v>752</v>
      </c>
      <c r="E1706" s="35">
        <v>0.9</v>
      </c>
      <c r="F1706" s="35">
        <v>6.6</v>
      </c>
      <c r="G1706" s="36">
        <v>2.47E-3</v>
      </c>
      <c r="H1706" s="18">
        <v>4.4452980000000002</v>
      </c>
      <c r="I1706" s="16" t="s">
        <v>746</v>
      </c>
      <c r="J1706" s="16"/>
      <c r="K1706" s="16"/>
      <c r="L1706" s="37"/>
      <c r="M1706" s="37"/>
      <c r="N1706" s="37"/>
      <c r="O1706" s="37"/>
      <c r="P1706" s="37"/>
      <c r="Q1706" s="18">
        <v>2.717E-2</v>
      </c>
      <c r="R1706" s="18">
        <v>1.8525E-4</v>
      </c>
      <c r="S1706" s="18">
        <v>5.1869999999999999E-2</v>
      </c>
      <c r="T1706" s="18">
        <v>0.2223</v>
      </c>
      <c r="U1706" s="18">
        <v>0.11115</v>
      </c>
      <c r="V1706" s="18">
        <v>1.42272</v>
      </c>
      <c r="W1706" s="18">
        <v>1.3338000000000001</v>
      </c>
      <c r="X1706" s="18">
        <v>0.88919999999999999</v>
      </c>
      <c r="Y1706" s="18">
        <v>3.952E-2</v>
      </c>
      <c r="Z1706" s="18">
        <v>0.17537</v>
      </c>
      <c r="AA1706" s="18">
        <v>0.25688</v>
      </c>
      <c r="AB1706" s="18">
        <v>0.45694999999999997</v>
      </c>
      <c r="AC1706" s="18">
        <v>0.14079</v>
      </c>
      <c r="AD1706" s="18">
        <v>0.74099999999999999</v>
      </c>
    </row>
    <row r="1707" spans="2:30" x14ac:dyDescent="0.25">
      <c r="B1707" t="s">
        <v>269</v>
      </c>
      <c r="C1707" t="s">
        <v>570</v>
      </c>
      <c r="D1707" t="s">
        <v>752</v>
      </c>
      <c r="E1707" s="35">
        <v>0.9</v>
      </c>
      <c r="F1707" s="35">
        <v>6.6</v>
      </c>
      <c r="G1707" s="36">
        <v>2.47E-3</v>
      </c>
      <c r="H1707" s="18">
        <v>4.4452980000000002</v>
      </c>
      <c r="I1707" s="16" t="s">
        <v>746</v>
      </c>
      <c r="J1707" s="16"/>
      <c r="K1707" s="16"/>
      <c r="L1707" s="37"/>
      <c r="M1707" s="37"/>
      <c r="N1707" s="37"/>
      <c r="O1707" s="37"/>
      <c r="P1707" s="37"/>
      <c r="Q1707" s="18">
        <v>2.717E-2</v>
      </c>
      <c r="R1707" s="18">
        <v>1.8525E-4</v>
      </c>
      <c r="S1707" s="18">
        <v>5.1869999999999999E-2</v>
      </c>
      <c r="T1707" s="18">
        <v>0.2223</v>
      </c>
      <c r="U1707" s="18">
        <v>0.11115</v>
      </c>
      <c r="V1707" s="18">
        <v>1.42272</v>
      </c>
      <c r="W1707" s="18">
        <v>1.3338000000000001</v>
      </c>
      <c r="X1707" s="18">
        <v>0.88919999999999999</v>
      </c>
      <c r="Y1707" s="18">
        <v>3.952E-2</v>
      </c>
      <c r="Z1707" s="18">
        <v>0.17537</v>
      </c>
      <c r="AA1707" s="18">
        <v>0.25688</v>
      </c>
      <c r="AB1707" s="18">
        <v>0.45694999999999997</v>
      </c>
      <c r="AC1707" s="18">
        <v>0.14079</v>
      </c>
      <c r="AD1707" s="18">
        <v>0.74099999999999999</v>
      </c>
    </row>
    <row r="1708" spans="2:30" x14ac:dyDescent="0.25">
      <c r="B1708" t="s">
        <v>269</v>
      </c>
      <c r="C1708" t="s">
        <v>570</v>
      </c>
      <c r="D1708" t="s">
        <v>752</v>
      </c>
      <c r="E1708" s="35">
        <v>0.9</v>
      </c>
      <c r="F1708" s="35">
        <v>6.6</v>
      </c>
      <c r="G1708" s="36">
        <v>2.47E-3</v>
      </c>
      <c r="H1708" s="18">
        <v>4.4452980000000002</v>
      </c>
      <c r="I1708" s="16" t="s">
        <v>746</v>
      </c>
      <c r="J1708" s="16"/>
      <c r="K1708" s="16"/>
      <c r="L1708" s="37"/>
      <c r="M1708" s="37"/>
      <c r="N1708" s="37"/>
      <c r="O1708" s="37"/>
      <c r="P1708" s="37"/>
      <c r="Q1708" s="18">
        <v>2.717E-2</v>
      </c>
      <c r="R1708" s="18">
        <v>1.8525E-4</v>
      </c>
      <c r="S1708" s="18">
        <v>5.1869999999999999E-2</v>
      </c>
      <c r="T1708" s="18">
        <v>0.2223</v>
      </c>
      <c r="U1708" s="18">
        <v>0.11115</v>
      </c>
      <c r="V1708" s="18">
        <v>1.42272</v>
      </c>
      <c r="W1708" s="18">
        <v>1.3338000000000001</v>
      </c>
      <c r="X1708" s="18">
        <v>0.88919999999999999</v>
      </c>
      <c r="Y1708" s="18">
        <v>3.952E-2</v>
      </c>
      <c r="Z1708" s="18">
        <v>0.17537</v>
      </c>
      <c r="AA1708" s="18">
        <v>0.25688</v>
      </c>
      <c r="AB1708" s="18">
        <v>0.45694999999999997</v>
      </c>
      <c r="AC1708" s="18">
        <v>0.14079</v>
      </c>
      <c r="AD1708" s="18">
        <v>0.74099999999999999</v>
      </c>
    </row>
    <row r="1709" spans="2:30" x14ac:dyDescent="0.25">
      <c r="B1709" t="s">
        <v>269</v>
      </c>
      <c r="C1709" t="s">
        <v>570</v>
      </c>
      <c r="D1709" t="s">
        <v>752</v>
      </c>
      <c r="E1709" s="35">
        <v>0.9</v>
      </c>
      <c r="F1709" s="35">
        <v>6.6</v>
      </c>
      <c r="G1709" s="36">
        <v>2.47E-3</v>
      </c>
      <c r="H1709" s="18">
        <v>4.4452980000000002</v>
      </c>
      <c r="I1709" s="16" t="s">
        <v>746</v>
      </c>
      <c r="J1709" s="16"/>
      <c r="K1709" s="16"/>
      <c r="L1709" s="37"/>
      <c r="M1709" s="37"/>
      <c r="N1709" s="37"/>
      <c r="O1709" s="37"/>
      <c r="P1709" s="37"/>
      <c r="Q1709" s="18">
        <v>2.717E-2</v>
      </c>
      <c r="R1709" s="18">
        <v>1.8525E-4</v>
      </c>
      <c r="S1709" s="18">
        <v>5.1869999999999999E-2</v>
      </c>
      <c r="T1709" s="18">
        <v>0.2223</v>
      </c>
      <c r="U1709" s="18">
        <v>0.11115</v>
      </c>
      <c r="V1709" s="18">
        <v>1.42272</v>
      </c>
      <c r="W1709" s="18">
        <v>1.3338000000000001</v>
      </c>
      <c r="X1709" s="18">
        <v>0.88919999999999999</v>
      </c>
      <c r="Y1709" s="18">
        <v>3.952E-2</v>
      </c>
      <c r="Z1709" s="18">
        <v>0.17537</v>
      </c>
      <c r="AA1709" s="18">
        <v>0.25688</v>
      </c>
      <c r="AB1709" s="18">
        <v>0.45694999999999997</v>
      </c>
      <c r="AC1709" s="18">
        <v>0.14079</v>
      </c>
      <c r="AD1709" s="18">
        <v>0.74099999999999999</v>
      </c>
    </row>
    <row r="1710" spans="2:30" x14ac:dyDescent="0.25">
      <c r="B1710" t="s">
        <v>269</v>
      </c>
      <c r="C1710" t="s">
        <v>570</v>
      </c>
      <c r="D1710" t="s">
        <v>752</v>
      </c>
      <c r="E1710" s="35">
        <v>0.9</v>
      </c>
      <c r="F1710" s="35">
        <v>6.6</v>
      </c>
      <c r="G1710" s="36">
        <v>2.47E-3</v>
      </c>
      <c r="H1710" s="18">
        <v>4.4452980000000002</v>
      </c>
      <c r="I1710" s="16" t="s">
        <v>746</v>
      </c>
      <c r="J1710" s="16"/>
      <c r="K1710" s="16"/>
      <c r="L1710" s="37"/>
      <c r="M1710" s="37"/>
      <c r="N1710" s="37"/>
      <c r="O1710" s="37"/>
      <c r="P1710" s="37"/>
      <c r="Q1710" s="18">
        <v>2.717E-2</v>
      </c>
      <c r="R1710" s="18">
        <v>1.8525E-4</v>
      </c>
      <c r="S1710" s="18">
        <v>5.1869999999999999E-2</v>
      </c>
      <c r="T1710" s="18">
        <v>0.2223</v>
      </c>
      <c r="U1710" s="18">
        <v>0.11115</v>
      </c>
      <c r="V1710" s="18">
        <v>1.42272</v>
      </c>
      <c r="W1710" s="18">
        <v>1.3338000000000001</v>
      </c>
      <c r="X1710" s="18">
        <v>0.88919999999999999</v>
      </c>
      <c r="Y1710" s="18">
        <v>3.952E-2</v>
      </c>
      <c r="Z1710" s="18">
        <v>0.17537</v>
      </c>
      <c r="AA1710" s="18">
        <v>0.25688</v>
      </c>
      <c r="AB1710" s="18">
        <v>0.45694999999999997</v>
      </c>
      <c r="AC1710" s="18">
        <v>0.14079</v>
      </c>
      <c r="AD1710" s="18">
        <v>0.74099999999999999</v>
      </c>
    </row>
    <row r="1711" spans="2:30" x14ac:dyDescent="0.25">
      <c r="B1711" t="s">
        <v>269</v>
      </c>
      <c r="C1711" t="s">
        <v>570</v>
      </c>
      <c r="D1711" t="s">
        <v>752</v>
      </c>
      <c r="E1711" s="35">
        <v>0.9</v>
      </c>
      <c r="F1711" s="35">
        <v>6.6</v>
      </c>
      <c r="G1711" s="36">
        <v>2.47E-3</v>
      </c>
      <c r="H1711" s="18">
        <v>4.4452980000000002</v>
      </c>
      <c r="I1711" s="16" t="s">
        <v>746</v>
      </c>
      <c r="J1711" s="16"/>
      <c r="K1711" s="16"/>
      <c r="L1711" s="37"/>
      <c r="M1711" s="37"/>
      <c r="N1711" s="37"/>
      <c r="O1711" s="37"/>
      <c r="P1711" s="37"/>
      <c r="Q1711" s="18">
        <v>2.717E-2</v>
      </c>
      <c r="R1711" s="18">
        <v>1.8525E-4</v>
      </c>
      <c r="S1711" s="18">
        <v>5.1869999999999999E-2</v>
      </c>
      <c r="T1711" s="18">
        <v>0.2223</v>
      </c>
      <c r="U1711" s="18">
        <v>0.11115</v>
      </c>
      <c r="V1711" s="18">
        <v>1.42272</v>
      </c>
      <c r="W1711" s="18">
        <v>1.3338000000000001</v>
      </c>
      <c r="X1711" s="18">
        <v>0.88919999999999999</v>
      </c>
      <c r="Y1711" s="18">
        <v>3.952E-2</v>
      </c>
      <c r="Z1711" s="18">
        <v>0.17537</v>
      </c>
      <c r="AA1711" s="18">
        <v>0.25688</v>
      </c>
      <c r="AB1711" s="18">
        <v>0.45694999999999997</v>
      </c>
      <c r="AC1711" s="18">
        <v>0.14079</v>
      </c>
      <c r="AD1711" s="18">
        <v>0.74099999999999999</v>
      </c>
    </row>
    <row r="1712" spans="2:30" x14ac:dyDescent="0.25">
      <c r="B1712" t="s">
        <v>269</v>
      </c>
      <c r="C1712" t="s">
        <v>570</v>
      </c>
      <c r="D1712" t="s">
        <v>752</v>
      </c>
      <c r="E1712" s="35">
        <v>0.9</v>
      </c>
      <c r="F1712" s="35">
        <v>6.6</v>
      </c>
      <c r="G1712" s="36">
        <v>2.47E-3</v>
      </c>
      <c r="H1712" s="18">
        <v>4.4452980000000002</v>
      </c>
      <c r="I1712" s="16" t="s">
        <v>746</v>
      </c>
      <c r="J1712" s="16"/>
      <c r="K1712" s="16"/>
      <c r="L1712" s="37"/>
      <c r="M1712" s="37"/>
      <c r="N1712" s="37"/>
      <c r="O1712" s="37"/>
      <c r="P1712" s="37"/>
      <c r="Q1712" s="18">
        <v>2.717E-2</v>
      </c>
      <c r="R1712" s="18">
        <v>1.8525E-4</v>
      </c>
      <c r="S1712" s="18">
        <v>5.1869999999999999E-2</v>
      </c>
      <c r="T1712" s="18">
        <v>0.2223</v>
      </c>
      <c r="U1712" s="18">
        <v>0.11115</v>
      </c>
      <c r="V1712" s="18">
        <v>1.42272</v>
      </c>
      <c r="W1712" s="18">
        <v>1.3338000000000001</v>
      </c>
      <c r="X1712" s="18">
        <v>0.88919999999999999</v>
      </c>
      <c r="Y1712" s="18">
        <v>3.952E-2</v>
      </c>
      <c r="Z1712" s="18">
        <v>0.17537</v>
      </c>
      <c r="AA1712" s="18">
        <v>0.25688</v>
      </c>
      <c r="AB1712" s="18">
        <v>0.45694999999999997</v>
      </c>
      <c r="AC1712" s="18">
        <v>0.14079</v>
      </c>
      <c r="AD1712" s="18">
        <v>0.74099999999999999</v>
      </c>
    </row>
    <row r="1713" spans="2:30" x14ac:dyDescent="0.25">
      <c r="B1713" t="s">
        <v>269</v>
      </c>
      <c r="C1713" t="s">
        <v>570</v>
      </c>
      <c r="D1713" t="s">
        <v>752</v>
      </c>
      <c r="E1713" s="35">
        <v>0.9</v>
      </c>
      <c r="F1713" s="35">
        <v>6.6</v>
      </c>
      <c r="G1713" s="36">
        <v>2.47E-3</v>
      </c>
      <c r="H1713" s="18">
        <v>4.4452980000000002</v>
      </c>
      <c r="I1713" s="16" t="s">
        <v>746</v>
      </c>
      <c r="J1713" s="16"/>
      <c r="K1713" s="16"/>
      <c r="L1713" s="37"/>
      <c r="M1713" s="37"/>
      <c r="N1713" s="37"/>
      <c r="O1713" s="37"/>
      <c r="P1713" s="37"/>
      <c r="Q1713" s="18">
        <v>2.717E-2</v>
      </c>
      <c r="R1713" s="18">
        <v>1.8525E-4</v>
      </c>
      <c r="S1713" s="18">
        <v>5.1869999999999999E-2</v>
      </c>
      <c r="T1713" s="18">
        <v>0.2223</v>
      </c>
      <c r="U1713" s="18">
        <v>0.11115</v>
      </c>
      <c r="V1713" s="18">
        <v>1.42272</v>
      </c>
      <c r="W1713" s="18">
        <v>1.3338000000000001</v>
      </c>
      <c r="X1713" s="18">
        <v>0.88919999999999999</v>
      </c>
      <c r="Y1713" s="18">
        <v>3.952E-2</v>
      </c>
      <c r="Z1713" s="18">
        <v>0.17537</v>
      </c>
      <c r="AA1713" s="18">
        <v>0.25688</v>
      </c>
      <c r="AB1713" s="18">
        <v>0.45694999999999997</v>
      </c>
      <c r="AC1713" s="18">
        <v>0.14079</v>
      </c>
      <c r="AD1713" s="18">
        <v>0.74099999999999999</v>
      </c>
    </row>
    <row r="1714" spans="2:30" x14ac:dyDescent="0.25">
      <c r="B1714" t="s">
        <v>269</v>
      </c>
      <c r="C1714" t="s">
        <v>570</v>
      </c>
      <c r="D1714" t="s">
        <v>752</v>
      </c>
      <c r="E1714" s="35">
        <v>0.9</v>
      </c>
      <c r="F1714" s="35">
        <v>6.6</v>
      </c>
      <c r="G1714" s="36">
        <v>2.47E-3</v>
      </c>
      <c r="H1714" s="18">
        <v>4.4452980000000002</v>
      </c>
      <c r="I1714" s="16" t="s">
        <v>746</v>
      </c>
      <c r="J1714" s="16"/>
      <c r="K1714" s="16"/>
      <c r="L1714" s="37"/>
      <c r="M1714" s="37"/>
      <c r="N1714" s="37"/>
      <c r="O1714" s="37"/>
      <c r="P1714" s="37"/>
      <c r="Q1714" s="18">
        <v>2.717E-2</v>
      </c>
      <c r="R1714" s="18">
        <v>1.8525E-4</v>
      </c>
      <c r="S1714" s="18">
        <v>5.1869999999999999E-2</v>
      </c>
      <c r="T1714" s="18">
        <v>0.2223</v>
      </c>
      <c r="U1714" s="18">
        <v>0.11115</v>
      </c>
      <c r="V1714" s="18">
        <v>1.42272</v>
      </c>
      <c r="W1714" s="18">
        <v>1.3338000000000001</v>
      </c>
      <c r="X1714" s="18">
        <v>0.88919999999999999</v>
      </c>
      <c r="Y1714" s="18">
        <v>3.952E-2</v>
      </c>
      <c r="Z1714" s="18">
        <v>0.17537</v>
      </c>
      <c r="AA1714" s="18">
        <v>0.25688</v>
      </c>
      <c r="AB1714" s="18">
        <v>0.45694999999999997</v>
      </c>
      <c r="AC1714" s="18">
        <v>0.14079</v>
      </c>
      <c r="AD1714" s="18">
        <v>0.74099999999999999</v>
      </c>
    </row>
    <row r="1715" spans="2:30" x14ac:dyDescent="0.25">
      <c r="B1715" t="s">
        <v>269</v>
      </c>
      <c r="C1715" t="s">
        <v>570</v>
      </c>
      <c r="D1715" t="s">
        <v>752</v>
      </c>
      <c r="E1715" s="35">
        <v>0.9</v>
      </c>
      <c r="F1715" s="35">
        <v>6.6</v>
      </c>
      <c r="G1715" s="36">
        <v>2.47E-3</v>
      </c>
      <c r="H1715" s="18">
        <v>4.4452980000000002</v>
      </c>
      <c r="I1715" s="16" t="s">
        <v>746</v>
      </c>
      <c r="J1715" s="16"/>
      <c r="K1715" s="16"/>
      <c r="L1715" s="37"/>
      <c r="M1715" s="37"/>
      <c r="N1715" s="37"/>
      <c r="O1715" s="37"/>
      <c r="P1715" s="37"/>
      <c r="Q1715" s="18">
        <v>2.717E-2</v>
      </c>
      <c r="R1715" s="18">
        <v>1.8525E-4</v>
      </c>
      <c r="S1715" s="18">
        <v>5.1869999999999999E-2</v>
      </c>
      <c r="T1715" s="18">
        <v>0.2223</v>
      </c>
      <c r="U1715" s="18">
        <v>0.11115</v>
      </c>
      <c r="V1715" s="18">
        <v>1.42272</v>
      </c>
      <c r="W1715" s="18">
        <v>1.3338000000000001</v>
      </c>
      <c r="X1715" s="18">
        <v>0.88919999999999999</v>
      </c>
      <c r="Y1715" s="18">
        <v>3.952E-2</v>
      </c>
      <c r="Z1715" s="18">
        <v>0.17537</v>
      </c>
      <c r="AA1715" s="18">
        <v>0.25688</v>
      </c>
      <c r="AB1715" s="18">
        <v>0.45694999999999997</v>
      </c>
      <c r="AC1715" s="18">
        <v>0.14079</v>
      </c>
      <c r="AD1715" s="18">
        <v>0.74099999999999999</v>
      </c>
    </row>
    <row r="1716" spans="2:30" x14ac:dyDescent="0.25">
      <c r="B1716" t="s">
        <v>269</v>
      </c>
      <c r="C1716" t="s">
        <v>570</v>
      </c>
      <c r="D1716" t="s">
        <v>752</v>
      </c>
      <c r="E1716" s="35">
        <v>0.9</v>
      </c>
      <c r="F1716" s="35">
        <v>6.6</v>
      </c>
      <c r="G1716" s="36">
        <v>2.47E-3</v>
      </c>
      <c r="H1716" s="18">
        <v>4.4452980000000002</v>
      </c>
      <c r="I1716" s="16" t="s">
        <v>746</v>
      </c>
      <c r="J1716" s="16"/>
      <c r="K1716" s="16"/>
      <c r="L1716" s="37"/>
      <c r="M1716" s="37"/>
      <c r="N1716" s="37"/>
      <c r="O1716" s="37"/>
      <c r="P1716" s="37"/>
      <c r="Q1716" s="18">
        <v>2.717E-2</v>
      </c>
      <c r="R1716" s="18">
        <v>1.8525E-4</v>
      </c>
      <c r="S1716" s="18">
        <v>5.1869999999999999E-2</v>
      </c>
      <c r="T1716" s="18">
        <v>0.2223</v>
      </c>
      <c r="U1716" s="18">
        <v>0.11115</v>
      </c>
      <c r="V1716" s="18">
        <v>1.42272</v>
      </c>
      <c r="W1716" s="18">
        <v>1.3338000000000001</v>
      </c>
      <c r="X1716" s="18">
        <v>0.88919999999999999</v>
      </c>
      <c r="Y1716" s="18">
        <v>3.952E-2</v>
      </c>
      <c r="Z1716" s="18">
        <v>0.17537</v>
      </c>
      <c r="AA1716" s="18">
        <v>0.25688</v>
      </c>
      <c r="AB1716" s="18">
        <v>0.45694999999999997</v>
      </c>
      <c r="AC1716" s="18">
        <v>0.14079</v>
      </c>
      <c r="AD1716" s="18">
        <v>0.74099999999999999</v>
      </c>
    </row>
    <row r="1717" spans="2:30" x14ac:dyDescent="0.25">
      <c r="B1717" t="s">
        <v>269</v>
      </c>
      <c r="C1717" t="s">
        <v>570</v>
      </c>
      <c r="D1717" t="s">
        <v>752</v>
      </c>
      <c r="E1717" s="35">
        <v>0.9</v>
      </c>
      <c r="F1717" s="35">
        <v>6.6</v>
      </c>
      <c r="G1717" s="36">
        <v>2.47E-3</v>
      </c>
      <c r="H1717" s="18">
        <v>4.4452980000000002</v>
      </c>
      <c r="I1717" s="16" t="s">
        <v>746</v>
      </c>
      <c r="J1717" s="16"/>
      <c r="K1717" s="16"/>
      <c r="L1717" s="37"/>
      <c r="M1717" s="37"/>
      <c r="N1717" s="37"/>
      <c r="O1717" s="37"/>
      <c r="P1717" s="37"/>
      <c r="Q1717" s="18">
        <v>2.717E-2</v>
      </c>
      <c r="R1717" s="18">
        <v>1.8525E-4</v>
      </c>
      <c r="S1717" s="18">
        <v>5.1869999999999999E-2</v>
      </c>
      <c r="T1717" s="18">
        <v>0.2223</v>
      </c>
      <c r="U1717" s="18">
        <v>0.11115</v>
      </c>
      <c r="V1717" s="18">
        <v>1.42272</v>
      </c>
      <c r="W1717" s="18">
        <v>1.3338000000000001</v>
      </c>
      <c r="X1717" s="18">
        <v>0.88919999999999999</v>
      </c>
      <c r="Y1717" s="18">
        <v>3.952E-2</v>
      </c>
      <c r="Z1717" s="18">
        <v>0.17537</v>
      </c>
      <c r="AA1717" s="18">
        <v>0.25688</v>
      </c>
      <c r="AB1717" s="18">
        <v>0.45694999999999997</v>
      </c>
      <c r="AC1717" s="18">
        <v>0.14079</v>
      </c>
      <c r="AD1717" s="18">
        <v>0.74099999999999999</v>
      </c>
    </row>
    <row r="1718" spans="2:30" x14ac:dyDescent="0.25">
      <c r="B1718" t="s">
        <v>269</v>
      </c>
      <c r="C1718" t="s">
        <v>570</v>
      </c>
      <c r="D1718" t="s">
        <v>752</v>
      </c>
      <c r="E1718" s="35">
        <v>0.9</v>
      </c>
      <c r="F1718" s="35">
        <v>6.6</v>
      </c>
      <c r="G1718" s="36">
        <v>2.47E-3</v>
      </c>
      <c r="H1718" s="18">
        <v>4.4452980000000002</v>
      </c>
      <c r="I1718" s="16" t="s">
        <v>746</v>
      </c>
      <c r="J1718" s="16"/>
      <c r="K1718" s="16"/>
      <c r="L1718" s="37"/>
      <c r="M1718" s="37"/>
      <c r="N1718" s="37"/>
      <c r="O1718" s="37"/>
      <c r="P1718" s="37"/>
      <c r="Q1718" s="18">
        <v>2.717E-2</v>
      </c>
      <c r="R1718" s="18">
        <v>1.8525E-4</v>
      </c>
      <c r="S1718" s="18">
        <v>5.1869999999999999E-2</v>
      </c>
      <c r="T1718" s="18">
        <v>0.2223</v>
      </c>
      <c r="U1718" s="18">
        <v>0.11115</v>
      </c>
      <c r="V1718" s="18">
        <v>1.42272</v>
      </c>
      <c r="W1718" s="18">
        <v>1.3338000000000001</v>
      </c>
      <c r="X1718" s="18">
        <v>0.88919999999999999</v>
      </c>
      <c r="Y1718" s="18">
        <v>3.952E-2</v>
      </c>
      <c r="Z1718" s="18">
        <v>0.17537</v>
      </c>
      <c r="AA1718" s="18">
        <v>0.25688</v>
      </c>
      <c r="AB1718" s="18">
        <v>0.45694999999999997</v>
      </c>
      <c r="AC1718" s="18">
        <v>0.14079</v>
      </c>
      <c r="AD1718" s="18">
        <v>0.74099999999999999</v>
      </c>
    </row>
    <row r="1719" spans="2:30" x14ac:dyDescent="0.25">
      <c r="B1719" t="s">
        <v>269</v>
      </c>
      <c r="C1719" t="s">
        <v>570</v>
      </c>
      <c r="D1719" t="s">
        <v>752</v>
      </c>
      <c r="E1719" s="35">
        <v>0.9</v>
      </c>
      <c r="F1719" s="35">
        <v>6.6</v>
      </c>
      <c r="G1719" s="36">
        <v>2.47E-3</v>
      </c>
      <c r="H1719" s="18">
        <v>4.4452980000000002</v>
      </c>
      <c r="I1719" s="16" t="s">
        <v>746</v>
      </c>
      <c r="J1719" s="16"/>
      <c r="K1719" s="16"/>
      <c r="L1719" s="37"/>
      <c r="M1719" s="37"/>
      <c r="N1719" s="37"/>
      <c r="O1719" s="37"/>
      <c r="P1719" s="37"/>
      <c r="Q1719" s="18">
        <v>2.717E-2</v>
      </c>
      <c r="R1719" s="18">
        <v>1.8525E-4</v>
      </c>
      <c r="S1719" s="18">
        <v>5.1869999999999999E-2</v>
      </c>
      <c r="T1719" s="18">
        <v>0.2223</v>
      </c>
      <c r="U1719" s="18">
        <v>0.11115</v>
      </c>
      <c r="V1719" s="18">
        <v>1.42272</v>
      </c>
      <c r="W1719" s="18">
        <v>1.3338000000000001</v>
      </c>
      <c r="X1719" s="18">
        <v>0.88919999999999999</v>
      </c>
      <c r="Y1719" s="18">
        <v>3.952E-2</v>
      </c>
      <c r="Z1719" s="18">
        <v>0.17537</v>
      </c>
      <c r="AA1719" s="18">
        <v>0.25688</v>
      </c>
      <c r="AB1719" s="18">
        <v>0.45694999999999997</v>
      </c>
      <c r="AC1719" s="18">
        <v>0.14079</v>
      </c>
      <c r="AD1719" s="18">
        <v>0.74099999999999999</v>
      </c>
    </row>
    <row r="1720" spans="2:30" x14ac:dyDescent="0.25">
      <c r="B1720" t="s">
        <v>269</v>
      </c>
      <c r="C1720" t="s">
        <v>570</v>
      </c>
      <c r="D1720" t="s">
        <v>752</v>
      </c>
      <c r="E1720" s="35">
        <v>0.9</v>
      </c>
      <c r="F1720" s="35">
        <v>6.6</v>
      </c>
      <c r="G1720" s="36">
        <v>2.47E-3</v>
      </c>
      <c r="H1720" s="18">
        <v>4.4452980000000002</v>
      </c>
      <c r="I1720" s="16" t="s">
        <v>746</v>
      </c>
      <c r="J1720" s="16"/>
      <c r="K1720" s="16"/>
      <c r="L1720" s="37"/>
      <c r="M1720" s="37"/>
      <c r="N1720" s="37"/>
      <c r="O1720" s="37"/>
      <c r="P1720" s="37"/>
      <c r="Q1720" s="18">
        <v>2.717E-2</v>
      </c>
      <c r="R1720" s="18">
        <v>1.8525E-4</v>
      </c>
      <c r="S1720" s="18">
        <v>5.1869999999999999E-2</v>
      </c>
      <c r="T1720" s="18">
        <v>0.2223</v>
      </c>
      <c r="U1720" s="18">
        <v>0.11115</v>
      </c>
      <c r="V1720" s="18">
        <v>1.42272</v>
      </c>
      <c r="W1720" s="18">
        <v>1.3338000000000001</v>
      </c>
      <c r="X1720" s="18">
        <v>0.88919999999999999</v>
      </c>
      <c r="Y1720" s="18">
        <v>3.952E-2</v>
      </c>
      <c r="Z1720" s="18">
        <v>0.17537</v>
      </c>
      <c r="AA1720" s="18">
        <v>0.25688</v>
      </c>
      <c r="AB1720" s="18">
        <v>0.45694999999999997</v>
      </c>
      <c r="AC1720" s="18">
        <v>0.14079</v>
      </c>
      <c r="AD1720" s="18">
        <v>0.74099999999999999</v>
      </c>
    </row>
    <row r="1721" spans="2:30" x14ac:dyDescent="0.25">
      <c r="B1721" t="s">
        <v>269</v>
      </c>
      <c r="C1721" t="s">
        <v>570</v>
      </c>
      <c r="D1721" t="s">
        <v>752</v>
      </c>
      <c r="E1721" s="35">
        <v>0.9</v>
      </c>
      <c r="F1721" s="35">
        <v>6.6</v>
      </c>
      <c r="G1721" s="36">
        <v>2.47E-3</v>
      </c>
      <c r="H1721" s="18">
        <v>4.4452980000000002</v>
      </c>
      <c r="I1721" s="16" t="s">
        <v>746</v>
      </c>
      <c r="J1721" s="16"/>
      <c r="K1721" s="16"/>
      <c r="L1721" s="37"/>
      <c r="M1721" s="37"/>
      <c r="N1721" s="37"/>
      <c r="O1721" s="37"/>
      <c r="P1721" s="37"/>
      <c r="Q1721" s="18">
        <v>2.717E-2</v>
      </c>
      <c r="R1721" s="18">
        <v>1.8525E-4</v>
      </c>
      <c r="S1721" s="18">
        <v>5.1869999999999999E-2</v>
      </c>
      <c r="T1721" s="18">
        <v>0.2223</v>
      </c>
      <c r="U1721" s="18">
        <v>0.11115</v>
      </c>
      <c r="V1721" s="18">
        <v>1.42272</v>
      </c>
      <c r="W1721" s="18">
        <v>1.3338000000000001</v>
      </c>
      <c r="X1721" s="18">
        <v>0.88919999999999999</v>
      </c>
      <c r="Y1721" s="18">
        <v>3.952E-2</v>
      </c>
      <c r="Z1721" s="18">
        <v>0.17537</v>
      </c>
      <c r="AA1721" s="18">
        <v>0.25688</v>
      </c>
      <c r="AB1721" s="18">
        <v>0.45694999999999997</v>
      </c>
      <c r="AC1721" s="18">
        <v>0.14079</v>
      </c>
      <c r="AD1721" s="18">
        <v>0.74099999999999999</v>
      </c>
    </row>
    <row r="1722" spans="2:30" x14ac:dyDescent="0.25">
      <c r="B1722" t="s">
        <v>269</v>
      </c>
      <c r="C1722" t="s">
        <v>570</v>
      </c>
      <c r="D1722" t="s">
        <v>752</v>
      </c>
      <c r="E1722" s="35">
        <v>0.9</v>
      </c>
      <c r="F1722" s="35">
        <v>6.6</v>
      </c>
      <c r="G1722" s="36">
        <v>2.47E-3</v>
      </c>
      <c r="H1722" s="18">
        <v>4.4452980000000002</v>
      </c>
      <c r="I1722" s="16" t="s">
        <v>746</v>
      </c>
      <c r="J1722" s="16"/>
      <c r="K1722" s="16"/>
      <c r="L1722" s="37"/>
      <c r="M1722" s="37"/>
      <c r="N1722" s="37"/>
      <c r="O1722" s="37"/>
      <c r="P1722" s="37"/>
      <c r="Q1722" s="18">
        <v>2.717E-2</v>
      </c>
      <c r="R1722" s="18">
        <v>1.8525E-4</v>
      </c>
      <c r="S1722" s="18">
        <v>5.1869999999999999E-2</v>
      </c>
      <c r="T1722" s="18">
        <v>0.2223</v>
      </c>
      <c r="U1722" s="18">
        <v>0.11115</v>
      </c>
      <c r="V1722" s="18">
        <v>1.42272</v>
      </c>
      <c r="W1722" s="18">
        <v>1.3338000000000001</v>
      </c>
      <c r="X1722" s="18">
        <v>0.88919999999999999</v>
      </c>
      <c r="Y1722" s="18">
        <v>3.952E-2</v>
      </c>
      <c r="Z1722" s="18">
        <v>0.17537</v>
      </c>
      <c r="AA1722" s="18">
        <v>0.25688</v>
      </c>
      <c r="AB1722" s="18">
        <v>0.45694999999999997</v>
      </c>
      <c r="AC1722" s="18">
        <v>0.14079</v>
      </c>
      <c r="AD1722" s="18">
        <v>0.74099999999999999</v>
      </c>
    </row>
    <row r="1723" spans="2:30" x14ac:dyDescent="0.25">
      <c r="B1723" t="s">
        <v>269</v>
      </c>
      <c r="C1723" t="s">
        <v>570</v>
      </c>
      <c r="D1723" t="s">
        <v>752</v>
      </c>
      <c r="E1723" s="35">
        <v>0.9</v>
      </c>
      <c r="F1723" s="35">
        <v>6.6</v>
      </c>
      <c r="G1723" s="36">
        <v>2.47E-3</v>
      </c>
      <c r="H1723" s="18">
        <v>4.4452980000000002</v>
      </c>
      <c r="I1723" s="16" t="s">
        <v>746</v>
      </c>
      <c r="J1723" s="16"/>
      <c r="K1723" s="16"/>
      <c r="L1723" s="37"/>
      <c r="M1723" s="37"/>
      <c r="N1723" s="37"/>
      <c r="O1723" s="37"/>
      <c r="P1723" s="37"/>
      <c r="Q1723" s="18">
        <v>2.717E-2</v>
      </c>
      <c r="R1723" s="18">
        <v>1.8525E-4</v>
      </c>
      <c r="S1723" s="18">
        <v>5.1869999999999999E-2</v>
      </c>
      <c r="T1723" s="18">
        <v>0.2223</v>
      </c>
      <c r="U1723" s="18">
        <v>0.11115</v>
      </c>
      <c r="V1723" s="18">
        <v>1.42272</v>
      </c>
      <c r="W1723" s="18">
        <v>1.3338000000000001</v>
      </c>
      <c r="X1723" s="18">
        <v>0.88919999999999999</v>
      </c>
      <c r="Y1723" s="18">
        <v>3.952E-2</v>
      </c>
      <c r="Z1723" s="18">
        <v>0.17537</v>
      </c>
      <c r="AA1723" s="18">
        <v>0.25688</v>
      </c>
      <c r="AB1723" s="18">
        <v>0.45694999999999997</v>
      </c>
      <c r="AC1723" s="18">
        <v>0.14079</v>
      </c>
      <c r="AD1723" s="18">
        <v>0.74099999999999999</v>
      </c>
    </row>
    <row r="1724" spans="2:30" x14ac:dyDescent="0.25">
      <c r="B1724" t="s">
        <v>269</v>
      </c>
      <c r="C1724" t="s">
        <v>570</v>
      </c>
      <c r="D1724" t="s">
        <v>752</v>
      </c>
      <c r="E1724" s="35">
        <v>0.9</v>
      </c>
      <c r="F1724" s="35">
        <v>6.6</v>
      </c>
      <c r="G1724" s="36">
        <v>2.47E-3</v>
      </c>
      <c r="H1724" s="18">
        <v>4.4452980000000002</v>
      </c>
      <c r="I1724" s="16" t="s">
        <v>746</v>
      </c>
      <c r="J1724" s="16"/>
      <c r="K1724" s="16"/>
      <c r="L1724" s="37"/>
      <c r="M1724" s="37"/>
      <c r="N1724" s="37"/>
      <c r="O1724" s="37"/>
      <c r="P1724" s="37"/>
      <c r="Q1724" s="18">
        <v>2.717E-2</v>
      </c>
      <c r="R1724" s="18">
        <v>1.8525E-4</v>
      </c>
      <c r="S1724" s="18">
        <v>5.1869999999999999E-2</v>
      </c>
      <c r="T1724" s="18">
        <v>0.2223</v>
      </c>
      <c r="U1724" s="18">
        <v>0.11115</v>
      </c>
      <c r="V1724" s="18">
        <v>1.42272</v>
      </c>
      <c r="W1724" s="18">
        <v>1.3338000000000001</v>
      </c>
      <c r="X1724" s="18">
        <v>0.88919999999999999</v>
      </c>
      <c r="Y1724" s="18">
        <v>3.952E-2</v>
      </c>
      <c r="Z1724" s="18">
        <v>0.17537</v>
      </c>
      <c r="AA1724" s="18">
        <v>0.25688</v>
      </c>
      <c r="AB1724" s="18">
        <v>0.45694999999999997</v>
      </c>
      <c r="AC1724" s="18">
        <v>0.14079</v>
      </c>
      <c r="AD1724" s="18">
        <v>0.74099999999999999</v>
      </c>
    </row>
    <row r="1725" spans="2:30" x14ac:dyDescent="0.25">
      <c r="B1725" t="s">
        <v>269</v>
      </c>
      <c r="C1725" t="s">
        <v>570</v>
      </c>
      <c r="D1725" t="s">
        <v>752</v>
      </c>
      <c r="E1725" s="35">
        <v>0.9</v>
      </c>
      <c r="F1725" s="35">
        <v>6.6</v>
      </c>
      <c r="G1725" s="36">
        <v>2.47E-3</v>
      </c>
      <c r="H1725" s="18">
        <v>4.4452980000000002</v>
      </c>
      <c r="I1725" s="16" t="s">
        <v>746</v>
      </c>
      <c r="J1725" s="16"/>
      <c r="K1725" s="16"/>
      <c r="L1725" s="37"/>
      <c r="M1725" s="37"/>
      <c r="N1725" s="37"/>
      <c r="O1725" s="37"/>
      <c r="P1725" s="37"/>
      <c r="Q1725" s="18">
        <v>2.717E-2</v>
      </c>
      <c r="R1725" s="18">
        <v>1.8525E-4</v>
      </c>
      <c r="S1725" s="18">
        <v>5.1869999999999999E-2</v>
      </c>
      <c r="T1725" s="18">
        <v>0.2223</v>
      </c>
      <c r="U1725" s="18">
        <v>0.11115</v>
      </c>
      <c r="V1725" s="18">
        <v>1.42272</v>
      </c>
      <c r="W1725" s="18">
        <v>1.3338000000000001</v>
      </c>
      <c r="X1725" s="18">
        <v>0.88919999999999999</v>
      </c>
      <c r="Y1725" s="18">
        <v>3.952E-2</v>
      </c>
      <c r="Z1725" s="18">
        <v>0.17537</v>
      </c>
      <c r="AA1725" s="18">
        <v>0.25688</v>
      </c>
      <c r="AB1725" s="18">
        <v>0.45694999999999997</v>
      </c>
      <c r="AC1725" s="18">
        <v>0.14079</v>
      </c>
      <c r="AD1725" s="18">
        <v>0.74099999999999999</v>
      </c>
    </row>
    <row r="1726" spans="2:30" x14ac:dyDescent="0.25">
      <c r="B1726" t="s">
        <v>269</v>
      </c>
      <c r="C1726" t="s">
        <v>570</v>
      </c>
      <c r="D1726" t="s">
        <v>752</v>
      </c>
      <c r="E1726" s="35">
        <v>0.9</v>
      </c>
      <c r="F1726" s="35">
        <v>6.6</v>
      </c>
      <c r="G1726" s="36">
        <v>2.47E-3</v>
      </c>
      <c r="H1726" s="18">
        <v>4.4452980000000002</v>
      </c>
      <c r="I1726" s="16" t="s">
        <v>746</v>
      </c>
      <c r="J1726" s="16"/>
      <c r="K1726" s="16"/>
      <c r="L1726" s="37"/>
      <c r="M1726" s="37"/>
      <c r="N1726" s="37"/>
      <c r="O1726" s="37"/>
      <c r="P1726" s="37"/>
      <c r="Q1726" s="18">
        <v>2.717E-2</v>
      </c>
      <c r="R1726" s="18">
        <v>1.8525E-4</v>
      </c>
      <c r="S1726" s="18">
        <v>5.1869999999999999E-2</v>
      </c>
      <c r="T1726" s="18">
        <v>0.2223</v>
      </c>
      <c r="U1726" s="18">
        <v>0.11115</v>
      </c>
      <c r="V1726" s="18">
        <v>1.42272</v>
      </c>
      <c r="W1726" s="18">
        <v>1.3338000000000001</v>
      </c>
      <c r="X1726" s="18">
        <v>0.88919999999999999</v>
      </c>
      <c r="Y1726" s="18">
        <v>3.952E-2</v>
      </c>
      <c r="Z1726" s="18">
        <v>0.17537</v>
      </c>
      <c r="AA1726" s="18">
        <v>0.25688</v>
      </c>
      <c r="AB1726" s="18">
        <v>0.45694999999999997</v>
      </c>
      <c r="AC1726" s="18">
        <v>0.14079</v>
      </c>
      <c r="AD1726" s="18">
        <v>0.74099999999999999</v>
      </c>
    </row>
    <row r="1727" spans="2:30" x14ac:dyDescent="0.25">
      <c r="B1727" t="s">
        <v>269</v>
      </c>
      <c r="C1727" t="s">
        <v>570</v>
      </c>
      <c r="D1727" t="s">
        <v>752</v>
      </c>
      <c r="E1727" s="35">
        <v>0.9</v>
      </c>
      <c r="F1727" s="35">
        <v>6.6</v>
      </c>
      <c r="G1727" s="36">
        <v>2.47E-3</v>
      </c>
      <c r="H1727" s="18">
        <v>4.4452980000000002</v>
      </c>
      <c r="I1727" s="16" t="s">
        <v>746</v>
      </c>
      <c r="J1727" s="16"/>
      <c r="K1727" s="16"/>
      <c r="L1727" s="37"/>
      <c r="M1727" s="37"/>
      <c r="N1727" s="37"/>
      <c r="O1727" s="37"/>
      <c r="P1727" s="37"/>
      <c r="Q1727" s="18">
        <v>2.717E-2</v>
      </c>
      <c r="R1727" s="18">
        <v>1.8525E-4</v>
      </c>
      <c r="S1727" s="18">
        <v>5.1869999999999999E-2</v>
      </c>
      <c r="T1727" s="18">
        <v>0.2223</v>
      </c>
      <c r="U1727" s="18">
        <v>0.11115</v>
      </c>
      <c r="V1727" s="18">
        <v>1.42272</v>
      </c>
      <c r="W1727" s="18">
        <v>1.3338000000000001</v>
      </c>
      <c r="X1727" s="18">
        <v>0.88919999999999999</v>
      </c>
      <c r="Y1727" s="18">
        <v>3.952E-2</v>
      </c>
      <c r="Z1727" s="18">
        <v>0.17537</v>
      </c>
      <c r="AA1727" s="18">
        <v>0.25688</v>
      </c>
      <c r="AB1727" s="18">
        <v>0.45694999999999997</v>
      </c>
      <c r="AC1727" s="18">
        <v>0.14079</v>
      </c>
      <c r="AD1727" s="18">
        <v>0.74099999999999999</v>
      </c>
    </row>
    <row r="1728" spans="2:30" x14ac:dyDescent="0.25">
      <c r="B1728" t="s">
        <v>269</v>
      </c>
      <c r="C1728" t="s">
        <v>570</v>
      </c>
      <c r="D1728" t="s">
        <v>752</v>
      </c>
      <c r="E1728" s="35">
        <v>0.9</v>
      </c>
      <c r="F1728" s="35">
        <v>6.6</v>
      </c>
      <c r="G1728" s="36">
        <v>2.47E-3</v>
      </c>
      <c r="H1728" s="18">
        <v>4.4452980000000002</v>
      </c>
      <c r="I1728" s="16" t="s">
        <v>746</v>
      </c>
      <c r="J1728" s="16"/>
      <c r="K1728" s="16"/>
      <c r="L1728" s="37"/>
      <c r="M1728" s="37"/>
      <c r="N1728" s="37"/>
      <c r="O1728" s="37"/>
      <c r="P1728" s="37"/>
      <c r="Q1728" s="18">
        <v>2.717E-2</v>
      </c>
      <c r="R1728" s="18">
        <v>1.8525E-4</v>
      </c>
      <c r="S1728" s="18">
        <v>5.1869999999999999E-2</v>
      </c>
      <c r="T1728" s="18">
        <v>0.2223</v>
      </c>
      <c r="U1728" s="18">
        <v>0.11115</v>
      </c>
      <c r="V1728" s="18">
        <v>1.42272</v>
      </c>
      <c r="W1728" s="18">
        <v>1.3338000000000001</v>
      </c>
      <c r="X1728" s="18">
        <v>0.88919999999999999</v>
      </c>
      <c r="Y1728" s="18">
        <v>3.952E-2</v>
      </c>
      <c r="Z1728" s="18">
        <v>0.17537</v>
      </c>
      <c r="AA1728" s="18">
        <v>0.25688</v>
      </c>
      <c r="AB1728" s="18">
        <v>0.45694999999999997</v>
      </c>
      <c r="AC1728" s="18">
        <v>0.14079</v>
      </c>
      <c r="AD1728" s="18">
        <v>0.74099999999999999</v>
      </c>
    </row>
    <row r="1729" spans="2:30" x14ac:dyDescent="0.25">
      <c r="B1729" t="s">
        <v>269</v>
      </c>
      <c r="C1729" t="s">
        <v>570</v>
      </c>
      <c r="D1729" t="s">
        <v>752</v>
      </c>
      <c r="E1729" s="35">
        <v>0.9</v>
      </c>
      <c r="F1729" s="35">
        <v>6.6</v>
      </c>
      <c r="G1729" s="36">
        <v>2.47E-3</v>
      </c>
      <c r="H1729" s="18">
        <v>4.4452980000000002</v>
      </c>
      <c r="I1729" s="16" t="s">
        <v>746</v>
      </c>
      <c r="J1729" s="16"/>
      <c r="K1729" s="16"/>
      <c r="L1729" s="37"/>
      <c r="M1729" s="37"/>
      <c r="N1729" s="37"/>
      <c r="O1729" s="37"/>
      <c r="P1729" s="37"/>
      <c r="Q1729" s="18">
        <v>2.717E-2</v>
      </c>
      <c r="R1729" s="18">
        <v>1.8525E-4</v>
      </c>
      <c r="S1729" s="18">
        <v>5.1869999999999999E-2</v>
      </c>
      <c r="T1729" s="18">
        <v>0.2223</v>
      </c>
      <c r="U1729" s="18">
        <v>0.11115</v>
      </c>
      <c r="V1729" s="18">
        <v>1.42272</v>
      </c>
      <c r="W1729" s="18">
        <v>1.3338000000000001</v>
      </c>
      <c r="X1729" s="18">
        <v>0.88919999999999999</v>
      </c>
      <c r="Y1729" s="18">
        <v>3.952E-2</v>
      </c>
      <c r="Z1729" s="18">
        <v>0.17537</v>
      </c>
      <c r="AA1729" s="18">
        <v>0.25688</v>
      </c>
      <c r="AB1729" s="18">
        <v>0.45694999999999997</v>
      </c>
      <c r="AC1729" s="18">
        <v>0.14079</v>
      </c>
      <c r="AD1729" s="18">
        <v>0.74099999999999999</v>
      </c>
    </row>
    <row r="1730" spans="2:30" x14ac:dyDescent="0.25">
      <c r="B1730" t="s">
        <v>269</v>
      </c>
      <c r="C1730" t="s">
        <v>570</v>
      </c>
      <c r="D1730" t="s">
        <v>752</v>
      </c>
      <c r="E1730" s="35">
        <v>0.9</v>
      </c>
      <c r="F1730" s="35">
        <v>6.6</v>
      </c>
      <c r="G1730" s="36">
        <v>2.47E-3</v>
      </c>
      <c r="H1730" s="18">
        <v>4.4452980000000002</v>
      </c>
      <c r="I1730" s="16" t="s">
        <v>746</v>
      </c>
      <c r="J1730" s="16"/>
      <c r="K1730" s="16"/>
      <c r="L1730" s="37"/>
      <c r="M1730" s="37"/>
      <c r="N1730" s="37"/>
      <c r="O1730" s="37"/>
      <c r="P1730" s="37"/>
      <c r="Q1730" s="18">
        <v>2.717E-2</v>
      </c>
      <c r="R1730" s="18">
        <v>1.8525E-4</v>
      </c>
      <c r="S1730" s="18">
        <v>5.1869999999999999E-2</v>
      </c>
      <c r="T1730" s="18">
        <v>0.2223</v>
      </c>
      <c r="U1730" s="18">
        <v>0.11115</v>
      </c>
      <c r="V1730" s="18">
        <v>1.42272</v>
      </c>
      <c r="W1730" s="18">
        <v>1.3338000000000001</v>
      </c>
      <c r="X1730" s="18">
        <v>0.88919999999999999</v>
      </c>
      <c r="Y1730" s="18">
        <v>3.952E-2</v>
      </c>
      <c r="Z1730" s="18">
        <v>0.17537</v>
      </c>
      <c r="AA1730" s="18">
        <v>0.25688</v>
      </c>
      <c r="AB1730" s="18">
        <v>0.45694999999999997</v>
      </c>
      <c r="AC1730" s="18">
        <v>0.14079</v>
      </c>
      <c r="AD1730" s="18">
        <v>0.74099999999999999</v>
      </c>
    </row>
    <row r="1731" spans="2:30" x14ac:dyDescent="0.25">
      <c r="B1731" t="s">
        <v>269</v>
      </c>
      <c r="C1731" t="s">
        <v>570</v>
      </c>
      <c r="D1731" t="s">
        <v>752</v>
      </c>
      <c r="E1731" s="35">
        <v>0.9</v>
      </c>
      <c r="F1731" s="35">
        <v>6.6</v>
      </c>
      <c r="G1731" s="36">
        <v>2.47E-3</v>
      </c>
      <c r="H1731" s="18">
        <v>4.4452980000000002</v>
      </c>
      <c r="I1731" s="16" t="s">
        <v>746</v>
      </c>
      <c r="J1731" s="16"/>
      <c r="K1731" s="16"/>
      <c r="L1731" s="37"/>
      <c r="M1731" s="37"/>
      <c r="N1731" s="37"/>
      <c r="O1731" s="37"/>
      <c r="P1731" s="37"/>
      <c r="Q1731" s="18">
        <v>2.717E-2</v>
      </c>
      <c r="R1731" s="18">
        <v>1.8525E-4</v>
      </c>
      <c r="S1731" s="18">
        <v>5.1869999999999999E-2</v>
      </c>
      <c r="T1731" s="18">
        <v>0.2223</v>
      </c>
      <c r="U1731" s="18">
        <v>0.11115</v>
      </c>
      <c r="V1731" s="18">
        <v>1.42272</v>
      </c>
      <c r="W1731" s="18">
        <v>1.3338000000000001</v>
      </c>
      <c r="X1731" s="18">
        <v>0.88919999999999999</v>
      </c>
      <c r="Y1731" s="18">
        <v>3.952E-2</v>
      </c>
      <c r="Z1731" s="18">
        <v>0.17537</v>
      </c>
      <c r="AA1731" s="18">
        <v>0.25688</v>
      </c>
      <c r="AB1731" s="18">
        <v>0.45694999999999997</v>
      </c>
      <c r="AC1731" s="18">
        <v>0.14079</v>
      </c>
      <c r="AD1731" s="18">
        <v>0.74099999999999999</v>
      </c>
    </row>
    <row r="1732" spans="2:30" x14ac:dyDescent="0.25">
      <c r="B1732" t="s">
        <v>269</v>
      </c>
      <c r="C1732" t="s">
        <v>570</v>
      </c>
      <c r="D1732" t="s">
        <v>752</v>
      </c>
      <c r="E1732" s="35">
        <v>0.9</v>
      </c>
      <c r="F1732" s="35">
        <v>6.6</v>
      </c>
      <c r="G1732" s="36">
        <v>2.47E-3</v>
      </c>
      <c r="H1732" s="18">
        <v>4.4452980000000002</v>
      </c>
      <c r="I1732" s="16" t="s">
        <v>746</v>
      </c>
      <c r="J1732" s="16"/>
      <c r="K1732" s="16"/>
      <c r="L1732" s="37"/>
      <c r="M1732" s="37"/>
      <c r="N1732" s="37"/>
      <c r="O1732" s="37"/>
      <c r="P1732" s="37"/>
      <c r="Q1732" s="18">
        <v>2.717E-2</v>
      </c>
      <c r="R1732" s="18">
        <v>1.8525E-4</v>
      </c>
      <c r="S1732" s="18">
        <v>5.1869999999999999E-2</v>
      </c>
      <c r="T1732" s="18">
        <v>0.2223</v>
      </c>
      <c r="U1732" s="18">
        <v>0.11115</v>
      </c>
      <c r="V1732" s="18">
        <v>1.42272</v>
      </c>
      <c r="W1732" s="18">
        <v>1.3338000000000001</v>
      </c>
      <c r="X1732" s="18">
        <v>0.88919999999999999</v>
      </c>
      <c r="Y1732" s="18">
        <v>3.952E-2</v>
      </c>
      <c r="Z1732" s="18">
        <v>0.17537</v>
      </c>
      <c r="AA1732" s="18">
        <v>0.25688</v>
      </c>
      <c r="AB1732" s="18">
        <v>0.45694999999999997</v>
      </c>
      <c r="AC1732" s="18">
        <v>0.14079</v>
      </c>
      <c r="AD1732" s="18">
        <v>0.74099999999999999</v>
      </c>
    </row>
    <row r="1733" spans="2:30" x14ac:dyDescent="0.25">
      <c r="B1733" t="s">
        <v>269</v>
      </c>
      <c r="C1733" t="s">
        <v>570</v>
      </c>
      <c r="D1733" t="s">
        <v>752</v>
      </c>
      <c r="E1733" s="35">
        <v>0.9</v>
      </c>
      <c r="F1733" s="35">
        <v>6.6</v>
      </c>
      <c r="G1733" s="36">
        <v>2.47E-3</v>
      </c>
      <c r="H1733" s="18">
        <v>4.4452980000000002</v>
      </c>
      <c r="I1733" s="16" t="s">
        <v>746</v>
      </c>
      <c r="J1733" s="16"/>
      <c r="K1733" s="16"/>
      <c r="L1733" s="37"/>
      <c r="M1733" s="37"/>
      <c r="N1733" s="37"/>
      <c r="O1733" s="37"/>
      <c r="P1733" s="37"/>
      <c r="Q1733" s="18">
        <v>2.717E-2</v>
      </c>
      <c r="R1733" s="18">
        <v>1.8525E-4</v>
      </c>
      <c r="S1733" s="18">
        <v>5.1869999999999999E-2</v>
      </c>
      <c r="T1733" s="18">
        <v>0.2223</v>
      </c>
      <c r="U1733" s="18">
        <v>0.11115</v>
      </c>
      <c r="V1733" s="18">
        <v>1.42272</v>
      </c>
      <c r="W1733" s="18">
        <v>1.3338000000000001</v>
      </c>
      <c r="X1733" s="18">
        <v>0.88919999999999999</v>
      </c>
      <c r="Y1733" s="18">
        <v>3.952E-2</v>
      </c>
      <c r="Z1733" s="18">
        <v>0.17537</v>
      </c>
      <c r="AA1733" s="18">
        <v>0.25688</v>
      </c>
      <c r="AB1733" s="18">
        <v>0.45694999999999997</v>
      </c>
      <c r="AC1733" s="18">
        <v>0.14079</v>
      </c>
      <c r="AD1733" s="18">
        <v>0.74099999999999999</v>
      </c>
    </row>
    <row r="1734" spans="2:30" x14ac:dyDescent="0.25">
      <c r="B1734" t="s">
        <v>269</v>
      </c>
      <c r="C1734" t="s">
        <v>570</v>
      </c>
      <c r="D1734" t="s">
        <v>752</v>
      </c>
      <c r="E1734" s="35">
        <v>0.9</v>
      </c>
      <c r="F1734" s="35">
        <v>6.6</v>
      </c>
      <c r="G1734" s="36">
        <v>2.47E-3</v>
      </c>
      <c r="H1734" s="18">
        <v>4.4452980000000002</v>
      </c>
      <c r="I1734" s="16" t="s">
        <v>746</v>
      </c>
      <c r="J1734" s="16"/>
      <c r="K1734" s="16"/>
      <c r="L1734" s="37"/>
      <c r="M1734" s="37"/>
      <c r="N1734" s="37"/>
      <c r="O1734" s="37"/>
      <c r="P1734" s="37"/>
      <c r="Q1734" s="18">
        <v>2.717E-2</v>
      </c>
      <c r="R1734" s="18">
        <v>1.8525E-4</v>
      </c>
      <c r="S1734" s="18">
        <v>5.1869999999999999E-2</v>
      </c>
      <c r="T1734" s="18">
        <v>0.2223</v>
      </c>
      <c r="U1734" s="18">
        <v>0.11115</v>
      </c>
      <c r="V1734" s="18">
        <v>1.42272</v>
      </c>
      <c r="W1734" s="18">
        <v>1.3338000000000001</v>
      </c>
      <c r="X1734" s="18">
        <v>0.88919999999999999</v>
      </c>
      <c r="Y1734" s="18">
        <v>3.952E-2</v>
      </c>
      <c r="Z1734" s="18">
        <v>0.17537</v>
      </c>
      <c r="AA1734" s="18">
        <v>0.25688</v>
      </c>
      <c r="AB1734" s="18">
        <v>0.45694999999999997</v>
      </c>
      <c r="AC1734" s="18">
        <v>0.14079</v>
      </c>
      <c r="AD1734" s="18">
        <v>0.74099999999999999</v>
      </c>
    </row>
    <row r="1735" spans="2:30" x14ac:dyDescent="0.25">
      <c r="B1735" t="s">
        <v>269</v>
      </c>
      <c r="C1735" t="s">
        <v>570</v>
      </c>
      <c r="D1735" t="s">
        <v>752</v>
      </c>
      <c r="E1735" s="35">
        <v>0.9</v>
      </c>
      <c r="F1735" s="35">
        <v>6.6</v>
      </c>
      <c r="G1735" s="36">
        <v>2.47E-3</v>
      </c>
      <c r="H1735" s="18">
        <v>4.4452980000000002</v>
      </c>
      <c r="I1735" s="16" t="s">
        <v>746</v>
      </c>
      <c r="J1735" s="16"/>
      <c r="K1735" s="16"/>
      <c r="L1735" s="37"/>
      <c r="M1735" s="37"/>
      <c r="N1735" s="37"/>
      <c r="O1735" s="37"/>
      <c r="P1735" s="37"/>
      <c r="Q1735" s="18">
        <v>2.717E-2</v>
      </c>
      <c r="R1735" s="18">
        <v>1.8525E-4</v>
      </c>
      <c r="S1735" s="18">
        <v>5.1869999999999999E-2</v>
      </c>
      <c r="T1735" s="18">
        <v>0.2223</v>
      </c>
      <c r="U1735" s="18">
        <v>0.11115</v>
      </c>
      <c r="V1735" s="18">
        <v>1.42272</v>
      </c>
      <c r="W1735" s="18">
        <v>1.3338000000000001</v>
      </c>
      <c r="X1735" s="18">
        <v>0.88919999999999999</v>
      </c>
      <c r="Y1735" s="18">
        <v>3.952E-2</v>
      </c>
      <c r="Z1735" s="18">
        <v>0.17537</v>
      </c>
      <c r="AA1735" s="18">
        <v>0.25688</v>
      </c>
      <c r="AB1735" s="18">
        <v>0.45694999999999997</v>
      </c>
      <c r="AC1735" s="18">
        <v>0.14079</v>
      </c>
      <c r="AD1735" s="18">
        <v>0.74099999999999999</v>
      </c>
    </row>
    <row r="1736" spans="2:30" x14ac:dyDescent="0.25">
      <c r="B1736" t="s">
        <v>269</v>
      </c>
      <c r="C1736" t="s">
        <v>570</v>
      </c>
      <c r="D1736" t="s">
        <v>752</v>
      </c>
      <c r="E1736" s="35">
        <v>0.9</v>
      </c>
      <c r="F1736" s="35">
        <v>6.6</v>
      </c>
      <c r="G1736" s="36">
        <v>2.47E-3</v>
      </c>
      <c r="H1736" s="18">
        <v>4.4452980000000002</v>
      </c>
      <c r="I1736" s="16" t="s">
        <v>746</v>
      </c>
      <c r="J1736" s="16"/>
      <c r="K1736" s="16"/>
      <c r="L1736" s="37"/>
      <c r="M1736" s="37"/>
      <c r="N1736" s="37"/>
      <c r="O1736" s="37"/>
      <c r="P1736" s="37"/>
      <c r="Q1736" s="18">
        <v>2.717E-2</v>
      </c>
      <c r="R1736" s="18">
        <v>1.8525E-4</v>
      </c>
      <c r="S1736" s="18">
        <v>5.1869999999999999E-2</v>
      </c>
      <c r="T1736" s="18">
        <v>0.2223</v>
      </c>
      <c r="U1736" s="18">
        <v>0.11115</v>
      </c>
      <c r="V1736" s="18">
        <v>1.42272</v>
      </c>
      <c r="W1736" s="18">
        <v>1.3338000000000001</v>
      </c>
      <c r="X1736" s="18">
        <v>0.88919999999999999</v>
      </c>
      <c r="Y1736" s="18">
        <v>3.952E-2</v>
      </c>
      <c r="Z1736" s="18">
        <v>0.17537</v>
      </c>
      <c r="AA1736" s="18">
        <v>0.25688</v>
      </c>
      <c r="AB1736" s="18">
        <v>0.45694999999999997</v>
      </c>
      <c r="AC1736" s="18">
        <v>0.14079</v>
      </c>
      <c r="AD1736" s="18">
        <v>0.74099999999999999</v>
      </c>
    </row>
    <row r="1737" spans="2:30" x14ac:dyDescent="0.25">
      <c r="B1737" t="s">
        <v>269</v>
      </c>
      <c r="C1737" t="s">
        <v>570</v>
      </c>
      <c r="D1737" t="s">
        <v>752</v>
      </c>
      <c r="E1737" s="35">
        <v>0.9</v>
      </c>
      <c r="F1737" s="35">
        <v>6.6</v>
      </c>
      <c r="G1737" s="36">
        <v>2.47E-3</v>
      </c>
      <c r="H1737" s="18">
        <v>4.4452980000000002</v>
      </c>
      <c r="I1737" s="16" t="s">
        <v>746</v>
      </c>
      <c r="J1737" s="16"/>
      <c r="K1737" s="16"/>
      <c r="L1737" s="37"/>
      <c r="M1737" s="37"/>
      <c r="N1737" s="37"/>
      <c r="O1737" s="37"/>
      <c r="P1737" s="37"/>
      <c r="Q1737" s="18">
        <v>2.717E-2</v>
      </c>
      <c r="R1737" s="18">
        <v>1.8525E-4</v>
      </c>
      <c r="S1737" s="18">
        <v>5.1869999999999999E-2</v>
      </c>
      <c r="T1737" s="18">
        <v>0.2223</v>
      </c>
      <c r="U1737" s="18">
        <v>0.11115</v>
      </c>
      <c r="V1737" s="18">
        <v>1.42272</v>
      </c>
      <c r="W1737" s="18">
        <v>1.3338000000000001</v>
      </c>
      <c r="X1737" s="18">
        <v>0.88919999999999999</v>
      </c>
      <c r="Y1737" s="18">
        <v>3.952E-2</v>
      </c>
      <c r="Z1737" s="18">
        <v>0.17537</v>
      </c>
      <c r="AA1737" s="18">
        <v>0.25688</v>
      </c>
      <c r="AB1737" s="18">
        <v>0.45694999999999997</v>
      </c>
      <c r="AC1737" s="18">
        <v>0.14079</v>
      </c>
      <c r="AD1737" s="18">
        <v>0.74099999999999999</v>
      </c>
    </row>
    <row r="1738" spans="2:30" x14ac:dyDescent="0.25">
      <c r="B1738" t="s">
        <v>269</v>
      </c>
      <c r="C1738" t="s">
        <v>570</v>
      </c>
      <c r="D1738" t="s">
        <v>752</v>
      </c>
      <c r="E1738" s="35">
        <v>0.9</v>
      </c>
      <c r="F1738" s="35">
        <v>6.6</v>
      </c>
      <c r="G1738" s="36">
        <v>2.47E-3</v>
      </c>
      <c r="H1738" s="18">
        <v>4.4452980000000002</v>
      </c>
      <c r="I1738" s="16" t="s">
        <v>746</v>
      </c>
      <c r="J1738" s="16"/>
      <c r="K1738" s="16"/>
      <c r="L1738" s="37"/>
      <c r="M1738" s="37"/>
      <c r="N1738" s="37"/>
      <c r="O1738" s="37"/>
      <c r="P1738" s="37"/>
      <c r="Q1738" s="18">
        <v>2.717E-2</v>
      </c>
      <c r="R1738" s="18">
        <v>1.8525E-4</v>
      </c>
      <c r="S1738" s="18">
        <v>5.1869999999999999E-2</v>
      </c>
      <c r="T1738" s="18">
        <v>0.2223</v>
      </c>
      <c r="U1738" s="18">
        <v>0.11115</v>
      </c>
      <c r="V1738" s="18">
        <v>1.42272</v>
      </c>
      <c r="W1738" s="18">
        <v>1.3338000000000001</v>
      </c>
      <c r="X1738" s="18">
        <v>0.88919999999999999</v>
      </c>
      <c r="Y1738" s="18">
        <v>3.952E-2</v>
      </c>
      <c r="Z1738" s="18">
        <v>0.17537</v>
      </c>
      <c r="AA1738" s="18">
        <v>0.25688</v>
      </c>
      <c r="AB1738" s="18">
        <v>0.45694999999999997</v>
      </c>
      <c r="AC1738" s="18">
        <v>0.14079</v>
      </c>
      <c r="AD1738" s="18">
        <v>0.74099999999999999</v>
      </c>
    </row>
    <row r="1739" spans="2:30" x14ac:dyDescent="0.25">
      <c r="B1739" t="s">
        <v>269</v>
      </c>
      <c r="C1739" t="s">
        <v>570</v>
      </c>
      <c r="D1739" t="s">
        <v>752</v>
      </c>
      <c r="E1739" s="35">
        <v>0.9</v>
      </c>
      <c r="F1739" s="35">
        <v>6.6</v>
      </c>
      <c r="G1739" s="36">
        <v>2.47E-3</v>
      </c>
      <c r="H1739" s="18">
        <v>4.4452980000000002</v>
      </c>
      <c r="I1739" s="16" t="s">
        <v>746</v>
      </c>
      <c r="J1739" s="16"/>
      <c r="K1739" s="16"/>
      <c r="L1739" s="37"/>
      <c r="M1739" s="37"/>
      <c r="N1739" s="37"/>
      <c r="O1739" s="37"/>
      <c r="P1739" s="37"/>
      <c r="Q1739" s="18">
        <v>2.717E-2</v>
      </c>
      <c r="R1739" s="18">
        <v>1.8525E-4</v>
      </c>
      <c r="S1739" s="18">
        <v>5.1869999999999999E-2</v>
      </c>
      <c r="T1739" s="18">
        <v>0.2223</v>
      </c>
      <c r="U1739" s="18">
        <v>0.11115</v>
      </c>
      <c r="V1739" s="18">
        <v>1.42272</v>
      </c>
      <c r="W1739" s="18">
        <v>1.3338000000000001</v>
      </c>
      <c r="X1739" s="18">
        <v>0.88919999999999999</v>
      </c>
      <c r="Y1739" s="18">
        <v>3.952E-2</v>
      </c>
      <c r="Z1739" s="18">
        <v>0.17537</v>
      </c>
      <c r="AA1739" s="18">
        <v>0.25688</v>
      </c>
      <c r="AB1739" s="18">
        <v>0.45694999999999997</v>
      </c>
      <c r="AC1739" s="18">
        <v>0.14079</v>
      </c>
      <c r="AD1739" s="18">
        <v>0.74099999999999999</v>
      </c>
    </row>
    <row r="1740" spans="2:30" x14ac:dyDescent="0.25">
      <c r="B1740" t="s">
        <v>269</v>
      </c>
      <c r="C1740" t="s">
        <v>570</v>
      </c>
      <c r="D1740" t="s">
        <v>752</v>
      </c>
      <c r="E1740" s="35">
        <v>0.9</v>
      </c>
      <c r="F1740" s="35">
        <v>6.6</v>
      </c>
      <c r="G1740" s="36">
        <v>2.47E-3</v>
      </c>
      <c r="H1740" s="18">
        <v>4.4452980000000002</v>
      </c>
      <c r="I1740" s="16" t="s">
        <v>746</v>
      </c>
      <c r="J1740" s="16"/>
      <c r="K1740" s="16"/>
      <c r="L1740" s="37"/>
      <c r="M1740" s="37"/>
      <c r="N1740" s="37"/>
      <c r="O1740" s="37"/>
      <c r="P1740" s="37"/>
      <c r="Q1740" s="18">
        <v>2.717E-2</v>
      </c>
      <c r="R1740" s="18">
        <v>1.8525E-4</v>
      </c>
      <c r="S1740" s="18">
        <v>5.1869999999999999E-2</v>
      </c>
      <c r="T1740" s="18">
        <v>0.2223</v>
      </c>
      <c r="U1740" s="18">
        <v>0.11115</v>
      </c>
      <c r="V1740" s="18">
        <v>1.42272</v>
      </c>
      <c r="W1740" s="18">
        <v>1.3338000000000001</v>
      </c>
      <c r="X1740" s="18">
        <v>0.88919999999999999</v>
      </c>
      <c r="Y1740" s="18">
        <v>3.952E-2</v>
      </c>
      <c r="Z1740" s="18">
        <v>0.17537</v>
      </c>
      <c r="AA1740" s="18">
        <v>0.25688</v>
      </c>
      <c r="AB1740" s="18">
        <v>0.45694999999999997</v>
      </c>
      <c r="AC1740" s="18">
        <v>0.14079</v>
      </c>
      <c r="AD1740" s="18">
        <v>0.74099999999999999</v>
      </c>
    </row>
    <row r="1741" spans="2:30" x14ac:dyDescent="0.25">
      <c r="B1741" t="s">
        <v>269</v>
      </c>
      <c r="C1741" t="s">
        <v>570</v>
      </c>
      <c r="D1741" t="s">
        <v>752</v>
      </c>
      <c r="E1741" s="35">
        <v>0.9</v>
      </c>
      <c r="F1741" s="35">
        <v>6.6</v>
      </c>
      <c r="G1741" s="36">
        <v>2.47E-3</v>
      </c>
      <c r="H1741" s="18">
        <v>4.4452980000000002</v>
      </c>
      <c r="I1741" s="16" t="s">
        <v>746</v>
      </c>
      <c r="J1741" s="16"/>
      <c r="K1741" s="16"/>
      <c r="L1741" s="37"/>
      <c r="M1741" s="37"/>
      <c r="N1741" s="37"/>
      <c r="O1741" s="37"/>
      <c r="P1741" s="37"/>
      <c r="Q1741" s="18">
        <v>2.717E-2</v>
      </c>
      <c r="R1741" s="18">
        <v>1.8525E-4</v>
      </c>
      <c r="S1741" s="18">
        <v>5.1869999999999999E-2</v>
      </c>
      <c r="T1741" s="18">
        <v>0.2223</v>
      </c>
      <c r="U1741" s="18">
        <v>0.11115</v>
      </c>
      <c r="V1741" s="18">
        <v>1.42272</v>
      </c>
      <c r="W1741" s="18">
        <v>1.3338000000000001</v>
      </c>
      <c r="X1741" s="18">
        <v>0.88919999999999999</v>
      </c>
      <c r="Y1741" s="18">
        <v>3.952E-2</v>
      </c>
      <c r="Z1741" s="18">
        <v>0.17537</v>
      </c>
      <c r="AA1741" s="18">
        <v>0.25688</v>
      </c>
      <c r="AB1741" s="18">
        <v>0.45694999999999997</v>
      </c>
      <c r="AC1741" s="18">
        <v>0.14079</v>
      </c>
      <c r="AD1741" s="18">
        <v>0.74099999999999999</v>
      </c>
    </row>
    <row r="1742" spans="2:30" x14ac:dyDescent="0.25">
      <c r="B1742" t="s">
        <v>269</v>
      </c>
      <c r="C1742" t="s">
        <v>570</v>
      </c>
      <c r="D1742" t="s">
        <v>752</v>
      </c>
      <c r="E1742" s="35">
        <v>0.9</v>
      </c>
      <c r="F1742" s="35">
        <v>6.6</v>
      </c>
      <c r="G1742" s="36">
        <v>2.47E-3</v>
      </c>
      <c r="H1742" s="18">
        <v>4.4452980000000002</v>
      </c>
      <c r="I1742" s="16" t="s">
        <v>746</v>
      </c>
      <c r="J1742" s="16"/>
      <c r="K1742" s="16"/>
      <c r="L1742" s="37"/>
      <c r="M1742" s="37"/>
      <c r="N1742" s="37"/>
      <c r="O1742" s="37"/>
      <c r="P1742" s="37"/>
      <c r="Q1742" s="18">
        <v>2.717E-2</v>
      </c>
      <c r="R1742" s="18">
        <v>1.8525E-4</v>
      </c>
      <c r="S1742" s="18">
        <v>5.1869999999999999E-2</v>
      </c>
      <c r="T1742" s="18">
        <v>0.2223</v>
      </c>
      <c r="U1742" s="18">
        <v>0.11115</v>
      </c>
      <c r="V1742" s="18">
        <v>1.42272</v>
      </c>
      <c r="W1742" s="18">
        <v>1.3338000000000001</v>
      </c>
      <c r="X1742" s="18">
        <v>0.88919999999999999</v>
      </c>
      <c r="Y1742" s="18">
        <v>3.952E-2</v>
      </c>
      <c r="Z1742" s="18">
        <v>0.17537</v>
      </c>
      <c r="AA1742" s="18">
        <v>0.25688</v>
      </c>
      <c r="AB1742" s="18">
        <v>0.45694999999999997</v>
      </c>
      <c r="AC1742" s="18">
        <v>0.14079</v>
      </c>
      <c r="AD1742" s="18">
        <v>0.74099999999999999</v>
      </c>
    </row>
    <row r="1743" spans="2:30" x14ac:dyDescent="0.25">
      <c r="B1743" t="s">
        <v>269</v>
      </c>
      <c r="C1743" t="s">
        <v>570</v>
      </c>
      <c r="D1743" t="s">
        <v>752</v>
      </c>
      <c r="E1743" s="35">
        <v>0.9</v>
      </c>
      <c r="F1743" s="35">
        <v>6.6</v>
      </c>
      <c r="G1743" s="36">
        <v>2.47E-3</v>
      </c>
      <c r="H1743" s="18">
        <v>4.4452980000000002</v>
      </c>
      <c r="I1743" s="16" t="s">
        <v>746</v>
      </c>
      <c r="J1743" s="16"/>
      <c r="K1743" s="16"/>
      <c r="L1743" s="37"/>
      <c r="M1743" s="37"/>
      <c r="N1743" s="37"/>
      <c r="O1743" s="37"/>
      <c r="P1743" s="37"/>
      <c r="Q1743" s="18">
        <v>2.717E-2</v>
      </c>
      <c r="R1743" s="18">
        <v>1.8525E-4</v>
      </c>
      <c r="S1743" s="18">
        <v>5.1869999999999999E-2</v>
      </c>
      <c r="T1743" s="18">
        <v>0.2223</v>
      </c>
      <c r="U1743" s="18">
        <v>0.11115</v>
      </c>
      <c r="V1743" s="18">
        <v>1.42272</v>
      </c>
      <c r="W1743" s="18">
        <v>1.3338000000000001</v>
      </c>
      <c r="X1743" s="18">
        <v>0.88919999999999999</v>
      </c>
      <c r="Y1743" s="18">
        <v>3.952E-2</v>
      </c>
      <c r="Z1743" s="18">
        <v>0.17537</v>
      </c>
      <c r="AA1743" s="18">
        <v>0.25688</v>
      </c>
      <c r="AB1743" s="18">
        <v>0.45694999999999997</v>
      </c>
      <c r="AC1743" s="18">
        <v>0.14079</v>
      </c>
      <c r="AD1743" s="18">
        <v>0.74099999999999999</v>
      </c>
    </row>
    <row r="1744" spans="2:30" x14ac:dyDescent="0.25">
      <c r="B1744" t="s">
        <v>269</v>
      </c>
      <c r="C1744" t="s">
        <v>570</v>
      </c>
      <c r="D1744" t="s">
        <v>752</v>
      </c>
      <c r="E1744" s="35">
        <v>0.9</v>
      </c>
      <c r="F1744" s="35">
        <v>6.6</v>
      </c>
      <c r="G1744" s="36">
        <v>2.47E-3</v>
      </c>
      <c r="H1744" s="18">
        <v>4.4452980000000002</v>
      </c>
      <c r="I1744" s="16" t="s">
        <v>746</v>
      </c>
      <c r="J1744" s="16"/>
      <c r="K1744" s="16"/>
      <c r="L1744" s="37"/>
      <c r="M1744" s="37"/>
      <c r="N1744" s="37"/>
      <c r="O1744" s="37"/>
      <c r="P1744" s="37"/>
      <c r="Q1744" s="18">
        <v>2.717E-2</v>
      </c>
      <c r="R1744" s="18">
        <v>1.8525E-4</v>
      </c>
      <c r="S1744" s="18">
        <v>5.1869999999999999E-2</v>
      </c>
      <c r="T1744" s="18">
        <v>0.2223</v>
      </c>
      <c r="U1744" s="18">
        <v>0.11115</v>
      </c>
      <c r="V1744" s="18">
        <v>1.42272</v>
      </c>
      <c r="W1744" s="18">
        <v>1.3338000000000001</v>
      </c>
      <c r="X1744" s="18">
        <v>0.88919999999999999</v>
      </c>
      <c r="Y1744" s="18">
        <v>3.952E-2</v>
      </c>
      <c r="Z1744" s="18">
        <v>0.17537</v>
      </c>
      <c r="AA1744" s="18">
        <v>0.25688</v>
      </c>
      <c r="AB1744" s="18">
        <v>0.45694999999999997</v>
      </c>
      <c r="AC1744" s="18">
        <v>0.14079</v>
      </c>
      <c r="AD1744" s="18">
        <v>0.74099999999999999</v>
      </c>
    </row>
    <row r="1745" spans="2:30" x14ac:dyDescent="0.25">
      <c r="B1745" t="s">
        <v>269</v>
      </c>
      <c r="C1745" t="s">
        <v>570</v>
      </c>
      <c r="D1745" t="s">
        <v>752</v>
      </c>
      <c r="E1745" s="35">
        <v>0.9</v>
      </c>
      <c r="F1745" s="35">
        <v>6.6</v>
      </c>
      <c r="G1745" s="36">
        <v>2.47E-3</v>
      </c>
      <c r="H1745" s="18">
        <v>4.4452980000000002</v>
      </c>
      <c r="I1745" s="16" t="s">
        <v>746</v>
      </c>
      <c r="J1745" s="16"/>
      <c r="K1745" s="16"/>
      <c r="L1745" s="37"/>
      <c r="M1745" s="37"/>
      <c r="N1745" s="37"/>
      <c r="O1745" s="37"/>
      <c r="P1745" s="37"/>
      <c r="Q1745" s="18">
        <v>2.717E-2</v>
      </c>
      <c r="R1745" s="18">
        <v>1.8525E-4</v>
      </c>
      <c r="S1745" s="18">
        <v>5.1869999999999999E-2</v>
      </c>
      <c r="T1745" s="18">
        <v>0.2223</v>
      </c>
      <c r="U1745" s="18">
        <v>0.11115</v>
      </c>
      <c r="V1745" s="18">
        <v>1.42272</v>
      </c>
      <c r="W1745" s="18">
        <v>1.3338000000000001</v>
      </c>
      <c r="X1745" s="18">
        <v>0.88919999999999999</v>
      </c>
      <c r="Y1745" s="18">
        <v>3.952E-2</v>
      </c>
      <c r="Z1745" s="18">
        <v>0.17537</v>
      </c>
      <c r="AA1745" s="18">
        <v>0.25688</v>
      </c>
      <c r="AB1745" s="18">
        <v>0.45694999999999997</v>
      </c>
      <c r="AC1745" s="18">
        <v>0.14079</v>
      </c>
      <c r="AD1745" s="18">
        <v>0.74099999999999999</v>
      </c>
    </row>
    <row r="1746" spans="2:30" x14ac:dyDescent="0.25">
      <c r="B1746" t="s">
        <v>269</v>
      </c>
      <c r="C1746" t="s">
        <v>570</v>
      </c>
      <c r="D1746" t="s">
        <v>752</v>
      </c>
      <c r="E1746" s="35">
        <v>0.9</v>
      </c>
      <c r="F1746" s="35">
        <v>6.6</v>
      </c>
      <c r="G1746" s="36">
        <v>2.47E-3</v>
      </c>
      <c r="H1746" s="18">
        <v>4.4452980000000002</v>
      </c>
      <c r="I1746" s="16" t="s">
        <v>746</v>
      </c>
      <c r="J1746" s="16"/>
      <c r="K1746" s="16"/>
      <c r="L1746" s="37"/>
      <c r="M1746" s="37"/>
      <c r="N1746" s="37"/>
      <c r="O1746" s="37"/>
      <c r="P1746" s="37"/>
      <c r="Q1746" s="18">
        <v>2.717E-2</v>
      </c>
      <c r="R1746" s="18">
        <v>1.8525E-4</v>
      </c>
      <c r="S1746" s="18">
        <v>5.1869999999999999E-2</v>
      </c>
      <c r="T1746" s="18">
        <v>0.2223</v>
      </c>
      <c r="U1746" s="18">
        <v>0.11115</v>
      </c>
      <c r="V1746" s="18">
        <v>1.42272</v>
      </c>
      <c r="W1746" s="18">
        <v>1.3338000000000001</v>
      </c>
      <c r="X1746" s="18">
        <v>0.88919999999999999</v>
      </c>
      <c r="Y1746" s="18">
        <v>3.952E-2</v>
      </c>
      <c r="Z1746" s="18">
        <v>0.17537</v>
      </c>
      <c r="AA1746" s="18">
        <v>0.25688</v>
      </c>
      <c r="AB1746" s="18">
        <v>0.45694999999999997</v>
      </c>
      <c r="AC1746" s="18">
        <v>0.14079</v>
      </c>
      <c r="AD1746" s="18">
        <v>0.74099999999999999</v>
      </c>
    </row>
    <row r="1747" spans="2:30" x14ac:dyDescent="0.25">
      <c r="B1747" t="s">
        <v>269</v>
      </c>
      <c r="C1747" t="s">
        <v>570</v>
      </c>
      <c r="D1747" t="s">
        <v>752</v>
      </c>
      <c r="E1747" s="35">
        <v>0.9</v>
      </c>
      <c r="F1747" s="35">
        <v>6.6</v>
      </c>
      <c r="G1747" s="36">
        <v>2.47E-3</v>
      </c>
      <c r="H1747" s="18">
        <v>4.4452980000000002</v>
      </c>
      <c r="I1747" s="16" t="s">
        <v>746</v>
      </c>
      <c r="J1747" s="16"/>
      <c r="K1747" s="16"/>
      <c r="L1747" s="37"/>
      <c r="M1747" s="37"/>
      <c r="N1747" s="37"/>
      <c r="O1747" s="37"/>
      <c r="P1747" s="37"/>
      <c r="Q1747" s="18">
        <v>2.717E-2</v>
      </c>
      <c r="R1747" s="18">
        <v>1.8525E-4</v>
      </c>
      <c r="S1747" s="18">
        <v>5.1869999999999999E-2</v>
      </c>
      <c r="T1747" s="18">
        <v>0.2223</v>
      </c>
      <c r="U1747" s="18">
        <v>0.11115</v>
      </c>
      <c r="V1747" s="18">
        <v>1.42272</v>
      </c>
      <c r="W1747" s="18">
        <v>1.3338000000000001</v>
      </c>
      <c r="X1747" s="18">
        <v>0.88919999999999999</v>
      </c>
      <c r="Y1747" s="18">
        <v>3.952E-2</v>
      </c>
      <c r="Z1747" s="18">
        <v>0.17537</v>
      </c>
      <c r="AA1747" s="18">
        <v>0.25688</v>
      </c>
      <c r="AB1747" s="18">
        <v>0.45694999999999997</v>
      </c>
      <c r="AC1747" s="18">
        <v>0.14079</v>
      </c>
      <c r="AD1747" s="18">
        <v>0.74099999999999999</v>
      </c>
    </row>
    <row r="1748" spans="2:30" x14ac:dyDescent="0.25">
      <c r="B1748" t="s">
        <v>269</v>
      </c>
      <c r="C1748" t="s">
        <v>570</v>
      </c>
      <c r="D1748" t="s">
        <v>752</v>
      </c>
      <c r="E1748" s="35">
        <v>0.9</v>
      </c>
      <c r="F1748" s="35">
        <v>6.6</v>
      </c>
      <c r="G1748" s="36">
        <v>2.47E-3</v>
      </c>
      <c r="H1748" s="18">
        <v>4.4452980000000002</v>
      </c>
      <c r="I1748" s="16" t="s">
        <v>746</v>
      </c>
      <c r="J1748" s="16"/>
      <c r="K1748" s="16"/>
      <c r="L1748" s="37"/>
      <c r="M1748" s="37"/>
      <c r="N1748" s="37"/>
      <c r="O1748" s="37"/>
      <c r="P1748" s="37"/>
      <c r="Q1748" s="18">
        <v>2.717E-2</v>
      </c>
      <c r="R1748" s="18">
        <v>1.8525E-4</v>
      </c>
      <c r="S1748" s="18">
        <v>5.1869999999999999E-2</v>
      </c>
      <c r="T1748" s="18">
        <v>0.2223</v>
      </c>
      <c r="U1748" s="18">
        <v>0.11115</v>
      </c>
      <c r="V1748" s="18">
        <v>1.42272</v>
      </c>
      <c r="W1748" s="18">
        <v>1.3338000000000001</v>
      </c>
      <c r="X1748" s="18">
        <v>0.88919999999999999</v>
      </c>
      <c r="Y1748" s="18">
        <v>3.952E-2</v>
      </c>
      <c r="Z1748" s="18">
        <v>0.17537</v>
      </c>
      <c r="AA1748" s="18">
        <v>0.25688</v>
      </c>
      <c r="AB1748" s="18">
        <v>0.45694999999999997</v>
      </c>
      <c r="AC1748" s="18">
        <v>0.14079</v>
      </c>
      <c r="AD1748" s="18">
        <v>0.74099999999999999</v>
      </c>
    </row>
    <row r="1749" spans="2:30" x14ac:dyDescent="0.25">
      <c r="B1749" t="s">
        <v>269</v>
      </c>
      <c r="C1749" t="s">
        <v>570</v>
      </c>
      <c r="D1749" t="s">
        <v>752</v>
      </c>
      <c r="E1749" s="35">
        <v>0.9</v>
      </c>
      <c r="F1749" s="35">
        <v>6.6</v>
      </c>
      <c r="G1749" s="36">
        <v>2.47E-3</v>
      </c>
      <c r="H1749" s="18">
        <v>4.4452980000000002</v>
      </c>
      <c r="I1749" s="16" t="s">
        <v>746</v>
      </c>
      <c r="J1749" s="16"/>
      <c r="K1749" s="16"/>
      <c r="L1749" s="37"/>
      <c r="M1749" s="37"/>
      <c r="N1749" s="37"/>
      <c r="O1749" s="37"/>
      <c r="P1749" s="37"/>
      <c r="Q1749" s="18">
        <v>2.717E-2</v>
      </c>
      <c r="R1749" s="18">
        <v>1.8525E-4</v>
      </c>
      <c r="S1749" s="18">
        <v>5.1869999999999999E-2</v>
      </c>
      <c r="T1749" s="18">
        <v>0.2223</v>
      </c>
      <c r="U1749" s="18">
        <v>0.11115</v>
      </c>
      <c r="V1749" s="18">
        <v>1.42272</v>
      </c>
      <c r="W1749" s="18">
        <v>1.3338000000000001</v>
      </c>
      <c r="X1749" s="18">
        <v>0.88919999999999999</v>
      </c>
      <c r="Y1749" s="18">
        <v>3.952E-2</v>
      </c>
      <c r="Z1749" s="18">
        <v>0.17537</v>
      </c>
      <c r="AA1749" s="18">
        <v>0.25688</v>
      </c>
      <c r="AB1749" s="18">
        <v>0.45694999999999997</v>
      </c>
      <c r="AC1749" s="18">
        <v>0.14079</v>
      </c>
      <c r="AD1749" s="18">
        <v>0.74099999999999999</v>
      </c>
    </row>
    <row r="1750" spans="2:30" x14ac:dyDescent="0.25">
      <c r="B1750" t="s">
        <v>269</v>
      </c>
      <c r="C1750" t="s">
        <v>570</v>
      </c>
      <c r="D1750" t="s">
        <v>752</v>
      </c>
      <c r="E1750" s="35">
        <v>0.9</v>
      </c>
      <c r="F1750" s="35">
        <v>6.6</v>
      </c>
      <c r="G1750" s="36">
        <v>2.47E-3</v>
      </c>
      <c r="H1750" s="18">
        <v>4.4452980000000002</v>
      </c>
      <c r="I1750" s="16" t="s">
        <v>746</v>
      </c>
      <c r="J1750" s="16"/>
      <c r="K1750" s="16"/>
      <c r="L1750" s="37"/>
      <c r="M1750" s="37"/>
      <c r="N1750" s="37"/>
      <c r="O1750" s="37"/>
      <c r="P1750" s="37"/>
      <c r="Q1750" s="18">
        <v>2.717E-2</v>
      </c>
      <c r="R1750" s="18">
        <v>1.8525E-4</v>
      </c>
      <c r="S1750" s="18">
        <v>5.1869999999999999E-2</v>
      </c>
      <c r="T1750" s="18">
        <v>0.2223</v>
      </c>
      <c r="U1750" s="18">
        <v>0.11115</v>
      </c>
      <c r="V1750" s="18">
        <v>1.42272</v>
      </c>
      <c r="W1750" s="18">
        <v>1.3338000000000001</v>
      </c>
      <c r="X1750" s="18">
        <v>0.88919999999999999</v>
      </c>
      <c r="Y1750" s="18">
        <v>3.952E-2</v>
      </c>
      <c r="Z1750" s="18">
        <v>0.17537</v>
      </c>
      <c r="AA1750" s="18">
        <v>0.25688</v>
      </c>
      <c r="AB1750" s="18">
        <v>0.45694999999999997</v>
      </c>
      <c r="AC1750" s="18">
        <v>0.14079</v>
      </c>
      <c r="AD1750" s="18">
        <v>0.74099999999999999</v>
      </c>
    </row>
    <row r="1751" spans="2:30" x14ac:dyDescent="0.25">
      <c r="B1751" t="s">
        <v>269</v>
      </c>
      <c r="C1751" t="s">
        <v>570</v>
      </c>
      <c r="D1751" t="s">
        <v>752</v>
      </c>
      <c r="E1751" s="35">
        <v>0.9</v>
      </c>
      <c r="F1751" s="35">
        <v>6.6</v>
      </c>
      <c r="G1751" s="36">
        <v>2.47E-3</v>
      </c>
      <c r="H1751" s="18">
        <v>4.4452980000000002</v>
      </c>
      <c r="I1751" s="16" t="s">
        <v>746</v>
      </c>
      <c r="J1751" s="16"/>
      <c r="K1751" s="16"/>
      <c r="L1751" s="37"/>
      <c r="M1751" s="37"/>
      <c r="N1751" s="37"/>
      <c r="O1751" s="37"/>
      <c r="P1751" s="37"/>
      <c r="Q1751" s="18">
        <v>2.717E-2</v>
      </c>
      <c r="R1751" s="18">
        <v>1.8525E-4</v>
      </c>
      <c r="S1751" s="18">
        <v>5.1869999999999999E-2</v>
      </c>
      <c r="T1751" s="18">
        <v>0.2223</v>
      </c>
      <c r="U1751" s="18">
        <v>0.11115</v>
      </c>
      <c r="V1751" s="18">
        <v>1.42272</v>
      </c>
      <c r="W1751" s="18">
        <v>1.3338000000000001</v>
      </c>
      <c r="X1751" s="18">
        <v>0.88919999999999999</v>
      </c>
      <c r="Y1751" s="18">
        <v>3.952E-2</v>
      </c>
      <c r="Z1751" s="18">
        <v>0.17537</v>
      </c>
      <c r="AA1751" s="18">
        <v>0.25688</v>
      </c>
      <c r="AB1751" s="18">
        <v>0.45694999999999997</v>
      </c>
      <c r="AC1751" s="18">
        <v>0.14079</v>
      </c>
      <c r="AD1751" s="18">
        <v>0.74099999999999999</v>
      </c>
    </row>
    <row r="1752" spans="2:30" x14ac:dyDescent="0.25">
      <c r="B1752" t="s">
        <v>269</v>
      </c>
      <c r="C1752" t="s">
        <v>570</v>
      </c>
      <c r="D1752" t="s">
        <v>752</v>
      </c>
      <c r="E1752" s="35">
        <v>0.9</v>
      </c>
      <c r="F1752" s="35">
        <v>6.6</v>
      </c>
      <c r="G1752" s="36">
        <v>2.47E-3</v>
      </c>
      <c r="H1752" s="18">
        <v>4.4452980000000002</v>
      </c>
      <c r="I1752" s="16" t="s">
        <v>746</v>
      </c>
      <c r="J1752" s="16"/>
      <c r="K1752" s="16"/>
      <c r="L1752" s="37"/>
      <c r="M1752" s="37"/>
      <c r="N1752" s="37"/>
      <c r="O1752" s="37"/>
      <c r="P1752" s="37"/>
      <c r="Q1752" s="18">
        <v>2.717E-2</v>
      </c>
      <c r="R1752" s="18">
        <v>1.8525E-4</v>
      </c>
      <c r="S1752" s="18">
        <v>5.1869999999999999E-2</v>
      </c>
      <c r="T1752" s="18">
        <v>0.2223</v>
      </c>
      <c r="U1752" s="18">
        <v>0.11115</v>
      </c>
      <c r="V1752" s="18">
        <v>1.42272</v>
      </c>
      <c r="W1752" s="18">
        <v>1.3338000000000001</v>
      </c>
      <c r="X1752" s="18">
        <v>0.88919999999999999</v>
      </c>
      <c r="Y1752" s="18">
        <v>3.952E-2</v>
      </c>
      <c r="Z1752" s="18">
        <v>0.17537</v>
      </c>
      <c r="AA1752" s="18">
        <v>0.25688</v>
      </c>
      <c r="AB1752" s="18">
        <v>0.45694999999999997</v>
      </c>
      <c r="AC1752" s="18">
        <v>0.14079</v>
      </c>
      <c r="AD1752" s="18">
        <v>0.74099999999999999</v>
      </c>
    </row>
    <row r="1753" spans="2:30" x14ac:dyDescent="0.25">
      <c r="B1753" t="s">
        <v>269</v>
      </c>
      <c r="C1753" t="s">
        <v>570</v>
      </c>
      <c r="D1753" t="s">
        <v>752</v>
      </c>
      <c r="E1753" s="35">
        <v>0.9</v>
      </c>
      <c r="F1753" s="35">
        <v>6.6</v>
      </c>
      <c r="G1753" s="36">
        <v>2.47E-3</v>
      </c>
      <c r="H1753" s="18">
        <v>4.4452980000000002</v>
      </c>
      <c r="I1753" s="16" t="s">
        <v>746</v>
      </c>
      <c r="J1753" s="16"/>
      <c r="K1753" s="16"/>
      <c r="L1753" s="37"/>
      <c r="M1753" s="37"/>
      <c r="N1753" s="37"/>
      <c r="O1753" s="37"/>
      <c r="P1753" s="37"/>
      <c r="Q1753" s="18">
        <v>2.717E-2</v>
      </c>
      <c r="R1753" s="18">
        <v>1.8525E-4</v>
      </c>
      <c r="S1753" s="18">
        <v>5.1869999999999999E-2</v>
      </c>
      <c r="T1753" s="18">
        <v>0.2223</v>
      </c>
      <c r="U1753" s="18">
        <v>0.11115</v>
      </c>
      <c r="V1753" s="18">
        <v>1.42272</v>
      </c>
      <c r="W1753" s="18">
        <v>1.3338000000000001</v>
      </c>
      <c r="X1753" s="18">
        <v>0.88919999999999999</v>
      </c>
      <c r="Y1753" s="18">
        <v>3.952E-2</v>
      </c>
      <c r="Z1753" s="18">
        <v>0.17537</v>
      </c>
      <c r="AA1753" s="18">
        <v>0.25688</v>
      </c>
      <c r="AB1753" s="18">
        <v>0.45694999999999997</v>
      </c>
      <c r="AC1753" s="18">
        <v>0.14079</v>
      </c>
      <c r="AD1753" s="18">
        <v>0.74099999999999999</v>
      </c>
    </row>
    <row r="1754" spans="2:30" x14ac:dyDescent="0.25">
      <c r="B1754" t="s">
        <v>269</v>
      </c>
      <c r="C1754" t="s">
        <v>570</v>
      </c>
      <c r="D1754" t="s">
        <v>752</v>
      </c>
      <c r="E1754" s="35">
        <v>0.9</v>
      </c>
      <c r="F1754" s="35">
        <v>6.6</v>
      </c>
      <c r="G1754" s="36">
        <v>2.47E-3</v>
      </c>
      <c r="H1754" s="18">
        <v>4.4452980000000002</v>
      </c>
      <c r="I1754" s="16" t="s">
        <v>746</v>
      </c>
      <c r="J1754" s="16"/>
      <c r="K1754" s="16"/>
      <c r="L1754" s="37"/>
      <c r="M1754" s="37"/>
      <c r="N1754" s="37"/>
      <c r="O1754" s="37"/>
      <c r="P1754" s="37"/>
      <c r="Q1754" s="18">
        <v>2.717E-2</v>
      </c>
      <c r="R1754" s="18">
        <v>1.8525E-4</v>
      </c>
      <c r="S1754" s="18">
        <v>5.1869999999999999E-2</v>
      </c>
      <c r="T1754" s="18">
        <v>0.2223</v>
      </c>
      <c r="U1754" s="18">
        <v>0.11115</v>
      </c>
      <c r="V1754" s="18">
        <v>1.42272</v>
      </c>
      <c r="W1754" s="18">
        <v>1.3338000000000001</v>
      </c>
      <c r="X1754" s="18">
        <v>0.88919999999999999</v>
      </c>
      <c r="Y1754" s="18">
        <v>3.952E-2</v>
      </c>
      <c r="Z1754" s="18">
        <v>0.17537</v>
      </c>
      <c r="AA1754" s="18">
        <v>0.25688</v>
      </c>
      <c r="AB1754" s="18">
        <v>0.45694999999999997</v>
      </c>
      <c r="AC1754" s="18">
        <v>0.14079</v>
      </c>
      <c r="AD1754" s="18">
        <v>0.74099999999999999</v>
      </c>
    </row>
    <row r="1755" spans="2:30" x14ac:dyDescent="0.25">
      <c r="B1755" t="s">
        <v>269</v>
      </c>
      <c r="C1755" t="s">
        <v>695</v>
      </c>
      <c r="D1755" t="s">
        <v>749</v>
      </c>
      <c r="E1755" s="35">
        <v>0.9</v>
      </c>
      <c r="F1755" s="35">
        <v>6.6</v>
      </c>
      <c r="G1755" s="36">
        <v>3.5699999999999998E-3</v>
      </c>
      <c r="H1755" s="18">
        <v>6.4252979999999997</v>
      </c>
      <c r="I1755" s="16" t="s">
        <v>746</v>
      </c>
      <c r="J1755" s="16"/>
      <c r="K1755" s="16"/>
      <c r="L1755" s="37"/>
      <c r="M1755" s="37"/>
      <c r="N1755" s="37"/>
      <c r="O1755" s="37"/>
      <c r="P1755" s="37"/>
      <c r="Q1755" s="18">
        <v>3.9269999999999999E-2</v>
      </c>
      <c r="R1755" s="18">
        <v>2.6774999999999998E-4</v>
      </c>
      <c r="S1755" s="18">
        <v>7.4969999999999995E-2</v>
      </c>
      <c r="T1755" s="18">
        <v>0.32129999999999997</v>
      </c>
      <c r="U1755" s="18">
        <v>0.16064999999999999</v>
      </c>
      <c r="V1755" s="18">
        <v>2.0563199999999999</v>
      </c>
      <c r="W1755" s="18">
        <v>1.9278</v>
      </c>
      <c r="X1755" s="18">
        <v>1.2851999999999999</v>
      </c>
      <c r="Y1755" s="18">
        <v>5.7119999999999997E-2</v>
      </c>
      <c r="Z1755" s="18">
        <v>0.25346999999999997</v>
      </c>
      <c r="AA1755" s="18">
        <v>0.37128</v>
      </c>
      <c r="AB1755" s="18">
        <v>0.66044999999999998</v>
      </c>
      <c r="AC1755" s="18">
        <v>0.20348999999999998</v>
      </c>
      <c r="AD1755" s="18">
        <v>1.071</v>
      </c>
    </row>
    <row r="1756" spans="2:30" x14ac:dyDescent="0.25">
      <c r="B1756" t="s">
        <v>269</v>
      </c>
      <c r="C1756" t="s">
        <v>695</v>
      </c>
      <c r="D1756" t="s">
        <v>749</v>
      </c>
      <c r="E1756" s="35">
        <v>0.9</v>
      </c>
      <c r="F1756" s="35">
        <v>6.6</v>
      </c>
      <c r="G1756" s="36">
        <v>3.5699999999999998E-3</v>
      </c>
      <c r="H1756" s="18">
        <v>6.4252979999999997</v>
      </c>
      <c r="I1756" s="16" t="s">
        <v>746</v>
      </c>
      <c r="J1756" s="16"/>
      <c r="K1756" s="16"/>
      <c r="L1756" s="37"/>
      <c r="M1756" s="37"/>
      <c r="N1756" s="37"/>
      <c r="O1756" s="37"/>
      <c r="P1756" s="37"/>
      <c r="Q1756" s="18">
        <v>3.9269999999999999E-2</v>
      </c>
      <c r="R1756" s="18">
        <v>2.6774999999999998E-4</v>
      </c>
      <c r="S1756" s="18">
        <v>7.4969999999999995E-2</v>
      </c>
      <c r="T1756" s="18">
        <v>0.32129999999999997</v>
      </c>
      <c r="U1756" s="18">
        <v>0.16064999999999999</v>
      </c>
      <c r="V1756" s="18">
        <v>2.0563199999999999</v>
      </c>
      <c r="W1756" s="18">
        <v>1.9278</v>
      </c>
      <c r="X1756" s="18">
        <v>1.2851999999999999</v>
      </c>
      <c r="Y1756" s="18">
        <v>5.7119999999999997E-2</v>
      </c>
      <c r="Z1756" s="18">
        <v>0.25346999999999997</v>
      </c>
      <c r="AA1756" s="18">
        <v>0.37128</v>
      </c>
      <c r="AB1756" s="18">
        <v>0.66044999999999998</v>
      </c>
      <c r="AC1756" s="18">
        <v>0.20348999999999998</v>
      </c>
      <c r="AD1756" s="18">
        <v>1.071</v>
      </c>
    </row>
    <row r="1757" spans="2:30" x14ac:dyDescent="0.25">
      <c r="E1757" s="38" t="s">
        <v>797</v>
      </c>
      <c r="F1757" s="38"/>
      <c r="G1757" s="39">
        <f>SUM(G7:G1756)</f>
        <v>6.2006179999999791</v>
      </c>
      <c r="H1757" s="40">
        <f>SUM(H7:H1756)</f>
        <v>11159.903872000014</v>
      </c>
      <c r="I1757" s="41"/>
      <c r="J1757" s="41"/>
      <c r="K1757" s="41"/>
      <c r="L1757" s="42"/>
      <c r="M1757" s="42"/>
      <c r="N1757" s="42"/>
      <c r="O1757" s="42"/>
      <c r="P1757" s="42"/>
      <c r="Q1757" s="40">
        <f>SUM(Q7:Q1756)</f>
        <v>68.206797999999097</v>
      </c>
      <c r="R1757" s="40">
        <f>SUM(R7:R1756)</f>
        <v>0.46504635000001104</v>
      </c>
      <c r="S1757" s="40">
        <f>SUM(S7:S1756)</f>
        <v>130.21297799999641</v>
      </c>
      <c r="T1757" s="40">
        <f>SUM(T7:T1756)</f>
        <v>558.05562000000032</v>
      </c>
      <c r="U1757" s="40">
        <f>SUM(U7:U1756)</f>
        <v>279.02781000000016</v>
      </c>
      <c r="V1757" s="40">
        <f>SUM(V7:V1756)</f>
        <v>3571.5559680000724</v>
      </c>
      <c r="W1757" s="40">
        <f>SUM(W7:W1756)</f>
        <v>3348.3337199999514</v>
      </c>
      <c r="X1757" s="40">
        <f>SUM(X7:X1756)</f>
        <v>2232.2224800000013</v>
      </c>
      <c r="Y1757" s="40">
        <f>SUM(Y7:Y1756)</f>
        <v>99.209887999999665</v>
      </c>
      <c r="Z1757" s="40">
        <f>SUM(Z7:Z1756)</f>
        <v>440.24387799999698</v>
      </c>
      <c r="AA1757" s="40">
        <f>SUM(AA7:AA1756)</f>
        <v>644.86427200000583</v>
      </c>
      <c r="AB1757" s="40">
        <f>SUM(AB7:AB1756)</f>
        <v>1147.1143300000056</v>
      </c>
      <c r="AC1757" s="40">
        <f>SUM(AC7:AC1756)</f>
        <v>353.43522599999898</v>
      </c>
      <c r="AD1757" s="40">
        <f>SUM(AD7:AD1756)</f>
        <v>1860.1853999999983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2:AD6"/>
  <sheetViews>
    <sheetView showGridLines="0" workbookViewId="0">
      <selection activeCell="K10" sqref="K10"/>
    </sheetView>
  </sheetViews>
  <sheetFormatPr defaultRowHeight="15" x14ac:dyDescent="0.25"/>
  <cols>
    <col min="2" max="2" width="12" bestFit="1" customWidth="1"/>
    <col min="7" max="8" width="9.140625" style="16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5" spans="2:30" x14ac:dyDescent="0.25">
      <c r="P5">
        <v>0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AD198"/>
  <sheetViews>
    <sheetView showGridLines="0" workbookViewId="0">
      <selection activeCell="F94" sqref="F94"/>
    </sheetView>
  </sheetViews>
  <sheetFormatPr defaultRowHeight="15" x14ac:dyDescent="0.25"/>
  <cols>
    <col min="2" max="2" width="12" bestFit="1" customWidth="1"/>
    <col min="3" max="3" width="13.140625" customWidth="1"/>
    <col min="6" max="6" width="9.5703125" customWidth="1"/>
    <col min="7" max="7" width="16.42578125" style="16" customWidth="1"/>
    <col min="8" max="8" width="14.28515625" style="16" customWidth="1"/>
    <col min="9" max="9" width="12.140625" customWidth="1"/>
    <col min="11" max="11" width="15.85546875" customWidth="1"/>
    <col min="12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759</v>
      </c>
      <c r="G4"/>
      <c r="H4"/>
    </row>
    <row r="5" spans="2:30" x14ac:dyDescent="0.25">
      <c r="B5" t="s">
        <v>32</v>
      </c>
      <c r="C5" t="s">
        <v>33</v>
      </c>
      <c r="D5" t="s">
        <v>35</v>
      </c>
      <c r="E5" t="s">
        <v>760</v>
      </c>
      <c r="F5" t="s">
        <v>36</v>
      </c>
      <c r="G5" t="s">
        <v>761</v>
      </c>
      <c r="H5" t="s">
        <v>38</v>
      </c>
      <c r="I5" t="s">
        <v>762</v>
      </c>
      <c r="J5" t="s">
        <v>39</v>
      </c>
      <c r="K5" t="s">
        <v>41</v>
      </c>
      <c r="L5" t="s">
        <v>798</v>
      </c>
      <c r="M5" t="s">
        <v>799</v>
      </c>
      <c r="N5" t="s">
        <v>800</v>
      </c>
      <c r="O5" t="s">
        <v>801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G6"/>
      <c r="H6"/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763</v>
      </c>
      <c r="C7" t="s">
        <v>43</v>
      </c>
      <c r="E7" s="35">
        <v>1.6622220000000001</v>
      </c>
      <c r="F7" s="35">
        <v>20.420000000000002</v>
      </c>
      <c r="G7" s="36">
        <v>1.6971E-2</v>
      </c>
      <c r="H7" s="18"/>
      <c r="I7" s="16" t="s">
        <v>764</v>
      </c>
      <c r="J7" s="16" t="s">
        <v>45</v>
      </c>
      <c r="K7" s="16"/>
      <c r="L7" s="37"/>
      <c r="M7" s="37"/>
      <c r="N7" s="37"/>
      <c r="O7" s="37"/>
      <c r="P7" s="37"/>
      <c r="Q7" s="18">
        <v>0.18668099999999999</v>
      </c>
      <c r="R7" s="18">
        <v>1.272825E-3</v>
      </c>
      <c r="S7" s="18">
        <v>0.35639100000000001</v>
      </c>
      <c r="T7" s="18">
        <v>1.52739</v>
      </c>
      <c r="U7" s="18">
        <v>0.76369500000000001</v>
      </c>
      <c r="V7" s="18">
        <v>9.7752960000000009</v>
      </c>
      <c r="W7" s="18">
        <v>9.1643399999999993</v>
      </c>
      <c r="X7" s="18">
        <v>6.1095600000000001</v>
      </c>
      <c r="Y7" s="18">
        <v>0.271536</v>
      </c>
      <c r="Z7" s="18">
        <v>1.204941</v>
      </c>
      <c r="AA7" s="18">
        <v>1.7649840000000001</v>
      </c>
      <c r="AB7" s="18">
        <v>3.1396350000000002</v>
      </c>
      <c r="AC7" s="18">
        <v>0.96734699999999996</v>
      </c>
      <c r="AD7" s="18">
        <v>5.0913000000000004</v>
      </c>
    </row>
    <row r="8" spans="2:30" x14ac:dyDescent="0.25">
      <c r="B8" t="s">
        <v>763</v>
      </c>
      <c r="C8" t="s">
        <v>43</v>
      </c>
      <c r="E8" s="35">
        <v>1.473333</v>
      </c>
      <c r="F8" s="35">
        <v>20.420000000000002</v>
      </c>
      <c r="G8" s="36">
        <v>1.5043000000000001E-2</v>
      </c>
      <c r="H8" s="18"/>
      <c r="I8" s="16" t="s">
        <v>764</v>
      </c>
      <c r="J8" s="16" t="s">
        <v>45</v>
      </c>
      <c r="K8" s="16"/>
      <c r="L8" s="37"/>
      <c r="M8" s="37"/>
      <c r="N8" s="37"/>
      <c r="O8" s="37"/>
      <c r="P8" s="37"/>
      <c r="Q8" s="18">
        <v>0.16547300000000001</v>
      </c>
      <c r="R8" s="18">
        <v>1.1282250000000001E-3</v>
      </c>
      <c r="S8" s="18">
        <v>0.31590300000000004</v>
      </c>
      <c r="T8" s="18">
        <v>1.3538700000000001</v>
      </c>
      <c r="U8" s="18">
        <v>0.67693500000000006</v>
      </c>
      <c r="V8" s="18">
        <v>8.6647680000000005</v>
      </c>
      <c r="W8" s="18">
        <v>8.1232199999999999</v>
      </c>
      <c r="X8" s="18">
        <v>5.4154800000000005</v>
      </c>
      <c r="Y8" s="18">
        <v>0.24068800000000001</v>
      </c>
      <c r="Z8" s="18">
        <v>1.0680530000000001</v>
      </c>
      <c r="AA8" s="18">
        <v>1.5644720000000001</v>
      </c>
      <c r="AB8" s="18">
        <v>2.7829550000000003</v>
      </c>
      <c r="AC8" s="18">
        <v>0.85745100000000007</v>
      </c>
      <c r="AD8" s="18">
        <v>4.5129000000000001</v>
      </c>
    </row>
    <row r="9" spans="2:30" x14ac:dyDescent="0.25">
      <c r="B9" t="s">
        <v>763</v>
      </c>
      <c r="C9" t="s">
        <v>43</v>
      </c>
      <c r="E9" s="35">
        <v>1.6622220000000001</v>
      </c>
      <c r="F9" s="35">
        <v>20.420000000000002</v>
      </c>
      <c r="G9" s="36">
        <v>1.6971E-2</v>
      </c>
      <c r="H9" s="18"/>
      <c r="I9" s="16" t="s">
        <v>764</v>
      </c>
      <c r="J9" s="16" t="s">
        <v>45</v>
      </c>
      <c r="K9" s="16"/>
      <c r="L9" s="37"/>
      <c r="M9" s="37"/>
      <c r="N9" s="37"/>
      <c r="O9" s="37"/>
      <c r="P9" s="37"/>
      <c r="Q9" s="18">
        <v>0.18668099999999999</v>
      </c>
      <c r="R9" s="18">
        <v>1.272825E-3</v>
      </c>
      <c r="S9" s="18">
        <v>0.35639100000000001</v>
      </c>
      <c r="T9" s="18">
        <v>1.52739</v>
      </c>
      <c r="U9" s="18">
        <v>0.76369500000000001</v>
      </c>
      <c r="V9" s="18">
        <v>9.7752960000000009</v>
      </c>
      <c r="W9" s="18">
        <v>9.1643399999999993</v>
      </c>
      <c r="X9" s="18">
        <v>6.1095600000000001</v>
      </c>
      <c r="Y9" s="18">
        <v>0.271536</v>
      </c>
      <c r="Z9" s="18">
        <v>1.204941</v>
      </c>
      <c r="AA9" s="18">
        <v>1.7649840000000001</v>
      </c>
      <c r="AB9" s="18">
        <v>3.1396350000000002</v>
      </c>
      <c r="AC9" s="18">
        <v>0.96734699999999996</v>
      </c>
      <c r="AD9" s="18">
        <v>5.0913000000000004</v>
      </c>
    </row>
    <row r="10" spans="2:30" x14ac:dyDescent="0.25">
      <c r="B10" t="s">
        <v>763</v>
      </c>
      <c r="C10" t="s">
        <v>43</v>
      </c>
      <c r="E10" s="35">
        <v>1.6622220000000001</v>
      </c>
      <c r="F10" s="35">
        <v>20.420000000000002</v>
      </c>
      <c r="G10" s="36">
        <v>1.6971E-2</v>
      </c>
      <c r="H10" s="18"/>
      <c r="I10" s="16" t="s">
        <v>764</v>
      </c>
      <c r="J10" s="16" t="s">
        <v>45</v>
      </c>
      <c r="K10" s="16"/>
      <c r="L10" s="37"/>
      <c r="M10" s="37"/>
      <c r="N10" s="37"/>
      <c r="O10" s="37"/>
      <c r="P10" s="37"/>
      <c r="Q10" s="18">
        <v>0.18668099999999999</v>
      </c>
      <c r="R10" s="18">
        <v>1.272825E-3</v>
      </c>
      <c r="S10" s="18">
        <v>0.35639100000000001</v>
      </c>
      <c r="T10" s="18">
        <v>1.52739</v>
      </c>
      <c r="U10" s="18">
        <v>0.76369500000000001</v>
      </c>
      <c r="V10" s="18">
        <v>9.7752960000000009</v>
      </c>
      <c r="W10" s="18">
        <v>9.1643399999999993</v>
      </c>
      <c r="X10" s="18">
        <v>6.1095600000000001</v>
      </c>
      <c r="Y10" s="18">
        <v>0.271536</v>
      </c>
      <c r="Z10" s="18">
        <v>1.204941</v>
      </c>
      <c r="AA10" s="18">
        <v>1.7649840000000001</v>
      </c>
      <c r="AB10" s="18">
        <v>3.1396350000000002</v>
      </c>
      <c r="AC10" s="18">
        <v>0.96734699999999996</v>
      </c>
      <c r="AD10" s="18">
        <v>5.0913000000000004</v>
      </c>
    </row>
    <row r="11" spans="2:30" x14ac:dyDescent="0.25">
      <c r="B11" t="s">
        <v>763</v>
      </c>
      <c r="C11" t="s">
        <v>43</v>
      </c>
      <c r="E11" s="35">
        <v>1.6622220000000001</v>
      </c>
      <c r="F11" s="35">
        <v>20.420000000000002</v>
      </c>
      <c r="G11" s="36">
        <v>1.6971E-2</v>
      </c>
      <c r="H11" s="18"/>
      <c r="I11" s="16" t="s">
        <v>764</v>
      </c>
      <c r="J11" s="16" t="s">
        <v>45</v>
      </c>
      <c r="K11" s="16"/>
      <c r="L11" s="37"/>
      <c r="M11" s="37"/>
      <c r="N11" s="37"/>
      <c r="O11" s="37"/>
      <c r="P11" s="37"/>
      <c r="Q11" s="18">
        <v>0.18668099999999999</v>
      </c>
      <c r="R11" s="18">
        <v>1.272825E-3</v>
      </c>
      <c r="S11" s="18">
        <v>0.35639100000000001</v>
      </c>
      <c r="T11" s="18">
        <v>1.52739</v>
      </c>
      <c r="U11" s="18">
        <v>0.76369500000000001</v>
      </c>
      <c r="V11" s="18">
        <v>9.7752960000000009</v>
      </c>
      <c r="W11" s="18">
        <v>9.1643399999999993</v>
      </c>
      <c r="X11" s="18">
        <v>6.1095600000000001</v>
      </c>
      <c r="Y11" s="18">
        <v>0.271536</v>
      </c>
      <c r="Z11" s="18">
        <v>1.204941</v>
      </c>
      <c r="AA11" s="18">
        <v>1.7649840000000001</v>
      </c>
      <c r="AB11" s="18">
        <v>3.1396350000000002</v>
      </c>
      <c r="AC11" s="18">
        <v>0.96734699999999996</v>
      </c>
      <c r="AD11" s="18">
        <v>5.0913000000000004</v>
      </c>
    </row>
    <row r="12" spans="2:30" x14ac:dyDescent="0.25">
      <c r="B12" t="s">
        <v>763</v>
      </c>
      <c r="C12" t="s">
        <v>43</v>
      </c>
      <c r="E12" s="35">
        <v>1.6622220000000001</v>
      </c>
      <c r="F12" s="35">
        <v>20.420000000000002</v>
      </c>
      <c r="G12" s="36">
        <v>1.6971E-2</v>
      </c>
      <c r="H12" s="18"/>
      <c r="I12" s="16" t="s">
        <v>764</v>
      </c>
      <c r="J12" s="16" t="s">
        <v>45</v>
      </c>
      <c r="K12" s="16"/>
      <c r="L12" s="37"/>
      <c r="M12" s="37"/>
      <c r="N12" s="37"/>
      <c r="O12" s="37"/>
      <c r="P12" s="37"/>
      <c r="Q12" s="18">
        <v>0.18668099999999999</v>
      </c>
      <c r="R12" s="18">
        <v>1.272825E-3</v>
      </c>
      <c r="S12" s="18">
        <v>0.35639100000000001</v>
      </c>
      <c r="T12" s="18">
        <v>1.52739</v>
      </c>
      <c r="U12" s="18">
        <v>0.76369500000000001</v>
      </c>
      <c r="V12" s="18">
        <v>9.7752960000000009</v>
      </c>
      <c r="W12" s="18">
        <v>9.1643399999999993</v>
      </c>
      <c r="X12" s="18">
        <v>6.1095600000000001</v>
      </c>
      <c r="Y12" s="18">
        <v>0.271536</v>
      </c>
      <c r="Z12" s="18">
        <v>1.204941</v>
      </c>
      <c r="AA12" s="18">
        <v>1.7649840000000001</v>
      </c>
      <c r="AB12" s="18">
        <v>3.1396350000000002</v>
      </c>
      <c r="AC12" s="18">
        <v>0.96734699999999996</v>
      </c>
      <c r="AD12" s="18">
        <v>5.0913000000000004</v>
      </c>
    </row>
    <row r="13" spans="2:30" x14ac:dyDescent="0.25">
      <c r="B13" t="s">
        <v>763</v>
      </c>
      <c r="C13" t="s">
        <v>43</v>
      </c>
      <c r="E13" s="35">
        <v>1.6622220000000001</v>
      </c>
      <c r="F13" s="35">
        <v>20.420000000000002</v>
      </c>
      <c r="G13" s="36">
        <v>1.6971E-2</v>
      </c>
      <c r="H13" s="18"/>
      <c r="I13" s="16" t="s">
        <v>764</v>
      </c>
      <c r="J13" s="16" t="s">
        <v>45</v>
      </c>
      <c r="K13" s="16"/>
      <c r="L13" s="37"/>
      <c r="M13" s="37"/>
      <c r="N13" s="37"/>
      <c r="O13" s="37"/>
      <c r="P13" s="37"/>
      <c r="Q13" s="18">
        <v>0.18668099999999999</v>
      </c>
      <c r="R13" s="18">
        <v>1.272825E-3</v>
      </c>
      <c r="S13" s="18">
        <v>0.35639100000000001</v>
      </c>
      <c r="T13" s="18">
        <v>1.52739</v>
      </c>
      <c r="U13" s="18">
        <v>0.76369500000000001</v>
      </c>
      <c r="V13" s="18">
        <v>9.7752960000000009</v>
      </c>
      <c r="W13" s="18">
        <v>9.1643399999999993</v>
      </c>
      <c r="X13" s="18">
        <v>6.1095600000000001</v>
      </c>
      <c r="Y13" s="18">
        <v>0.271536</v>
      </c>
      <c r="Z13" s="18">
        <v>1.204941</v>
      </c>
      <c r="AA13" s="18">
        <v>1.7649840000000001</v>
      </c>
      <c r="AB13" s="18">
        <v>3.1396350000000002</v>
      </c>
      <c r="AC13" s="18">
        <v>0.96734699999999996</v>
      </c>
      <c r="AD13" s="18">
        <v>5.0913000000000004</v>
      </c>
    </row>
    <row r="14" spans="2:30" x14ac:dyDescent="0.25">
      <c r="B14" t="s">
        <v>763</v>
      </c>
      <c r="C14" t="s">
        <v>43</v>
      </c>
      <c r="E14" s="35">
        <v>1.9066669999999999</v>
      </c>
      <c r="F14" s="35">
        <v>20.420000000000002</v>
      </c>
      <c r="G14" s="36">
        <v>1.9467000000000002E-2</v>
      </c>
      <c r="H14" s="18"/>
      <c r="I14" s="16" t="s">
        <v>764</v>
      </c>
      <c r="J14" s="16" t="s">
        <v>45</v>
      </c>
      <c r="K14" s="16"/>
      <c r="L14" s="37"/>
      <c r="M14" s="37"/>
      <c r="N14" s="37"/>
      <c r="O14" s="37"/>
      <c r="P14" s="37"/>
      <c r="Q14" s="18">
        <v>0.21413700000000002</v>
      </c>
      <c r="R14" s="18">
        <v>1.460025E-3</v>
      </c>
      <c r="S14" s="18">
        <v>0.40880700000000003</v>
      </c>
      <c r="T14" s="18">
        <v>1.7520300000000002</v>
      </c>
      <c r="U14" s="18">
        <v>0.8760150000000001</v>
      </c>
      <c r="V14" s="18">
        <v>11.212992000000002</v>
      </c>
      <c r="W14" s="18">
        <v>10.512180000000001</v>
      </c>
      <c r="X14" s="18">
        <v>7.0081200000000008</v>
      </c>
      <c r="Y14" s="18">
        <v>0.31147200000000003</v>
      </c>
      <c r="Z14" s="18">
        <v>1.3821570000000001</v>
      </c>
      <c r="AA14" s="18">
        <v>2.0245680000000004</v>
      </c>
      <c r="AB14" s="18">
        <v>3.6013950000000001</v>
      </c>
      <c r="AC14" s="18">
        <v>1.1096190000000001</v>
      </c>
      <c r="AD14" s="18">
        <v>5.8401000000000005</v>
      </c>
    </row>
    <row r="15" spans="2:30" x14ac:dyDescent="0.25">
      <c r="B15" t="s">
        <v>763</v>
      </c>
      <c r="C15" t="s">
        <v>50</v>
      </c>
      <c r="E15" s="35">
        <v>2.25</v>
      </c>
      <c r="F15" s="35">
        <v>61.26</v>
      </c>
      <c r="G15" s="36">
        <v>6.8917999999999993E-2</v>
      </c>
      <c r="H15" s="18"/>
      <c r="I15" s="16" t="s">
        <v>767</v>
      </c>
      <c r="J15" s="16" t="s">
        <v>52</v>
      </c>
      <c r="K15" s="16"/>
      <c r="L15" s="37"/>
      <c r="M15" s="37"/>
      <c r="N15" s="37"/>
      <c r="O15" s="37"/>
      <c r="P15" s="37"/>
      <c r="Q15" s="18">
        <v>0.75809799999999994</v>
      </c>
      <c r="R15" s="18">
        <v>5.1688499999999991E-3</v>
      </c>
      <c r="S15" s="18">
        <v>1.4472779999999998</v>
      </c>
      <c r="T15" s="18">
        <v>6.2026199999999996</v>
      </c>
      <c r="U15" s="18">
        <v>3.1013099999999998</v>
      </c>
      <c r="V15" s="18">
        <v>39.696767999999999</v>
      </c>
      <c r="W15" s="18">
        <v>37.215719999999997</v>
      </c>
      <c r="X15" s="18">
        <v>24.810479999999998</v>
      </c>
      <c r="Y15" s="18">
        <v>1.1026879999999999</v>
      </c>
      <c r="Z15" s="18">
        <v>4.8931779999999998</v>
      </c>
      <c r="AA15" s="18">
        <v>7.1674719999999992</v>
      </c>
      <c r="AB15" s="18">
        <v>12.749829999999999</v>
      </c>
      <c r="AC15" s="18">
        <v>3.9283259999999998</v>
      </c>
      <c r="AD15" s="18">
        <v>20.675399999999996</v>
      </c>
    </row>
    <row r="16" spans="2:30" x14ac:dyDescent="0.25">
      <c r="B16" t="s">
        <v>763</v>
      </c>
      <c r="C16" t="s">
        <v>50</v>
      </c>
      <c r="E16" s="35">
        <v>2.25</v>
      </c>
      <c r="F16" s="35">
        <v>61.26</v>
      </c>
      <c r="G16" s="36">
        <v>6.8917999999999993E-2</v>
      </c>
      <c r="H16" s="18"/>
      <c r="I16" s="16" t="s">
        <v>767</v>
      </c>
      <c r="J16" s="16" t="s">
        <v>52</v>
      </c>
      <c r="K16" s="16"/>
      <c r="L16" s="37"/>
      <c r="M16" s="37"/>
      <c r="N16" s="37"/>
      <c r="O16" s="37"/>
      <c r="P16" s="37"/>
      <c r="Q16" s="18">
        <v>0.75809799999999994</v>
      </c>
      <c r="R16" s="18">
        <v>5.1688499999999991E-3</v>
      </c>
      <c r="S16" s="18">
        <v>1.4472779999999998</v>
      </c>
      <c r="T16" s="18">
        <v>6.2026199999999996</v>
      </c>
      <c r="U16" s="18">
        <v>3.1013099999999998</v>
      </c>
      <c r="V16" s="18">
        <v>39.696767999999999</v>
      </c>
      <c r="W16" s="18">
        <v>37.215719999999997</v>
      </c>
      <c r="X16" s="18">
        <v>24.810479999999998</v>
      </c>
      <c r="Y16" s="18">
        <v>1.1026879999999999</v>
      </c>
      <c r="Z16" s="18">
        <v>4.8931779999999998</v>
      </c>
      <c r="AA16" s="18">
        <v>7.1674719999999992</v>
      </c>
      <c r="AB16" s="18">
        <v>12.749829999999999</v>
      </c>
      <c r="AC16" s="18">
        <v>3.9283259999999998</v>
      </c>
      <c r="AD16" s="18">
        <v>20.675399999999996</v>
      </c>
    </row>
    <row r="17" spans="2:30" x14ac:dyDescent="0.25">
      <c r="B17" t="s">
        <v>763</v>
      </c>
      <c r="C17" t="s">
        <v>50</v>
      </c>
      <c r="E17" s="35">
        <v>2.25</v>
      </c>
      <c r="F17" s="35">
        <v>51.05</v>
      </c>
      <c r="G17" s="36">
        <v>5.7431000000000003E-2</v>
      </c>
      <c r="H17" s="18"/>
      <c r="I17" s="16" t="s">
        <v>766</v>
      </c>
      <c r="J17" s="16" t="s">
        <v>52</v>
      </c>
      <c r="K17" s="16"/>
      <c r="L17" s="37"/>
      <c r="M17" s="37"/>
      <c r="N17" s="37"/>
      <c r="O17" s="37"/>
      <c r="P17" s="37"/>
      <c r="Q17" s="18">
        <v>0.631741</v>
      </c>
      <c r="R17" s="18">
        <v>4.3073249999999999E-3</v>
      </c>
      <c r="S17" s="18">
        <v>1.206051</v>
      </c>
      <c r="T17" s="18">
        <v>5.1687900000000004</v>
      </c>
      <c r="U17" s="18">
        <v>2.5843950000000002</v>
      </c>
      <c r="V17" s="18">
        <v>33.080255999999999</v>
      </c>
      <c r="W17" s="18">
        <v>31.012740000000001</v>
      </c>
      <c r="X17" s="18">
        <v>20.675160000000002</v>
      </c>
      <c r="Y17" s="18">
        <v>0.91889600000000005</v>
      </c>
      <c r="Z17" s="18">
        <v>4.0776010000000005</v>
      </c>
      <c r="AA17" s="18">
        <v>5.9728240000000001</v>
      </c>
      <c r="AB17" s="18">
        <v>10.624735000000001</v>
      </c>
      <c r="AC17" s="18">
        <v>3.2735670000000003</v>
      </c>
      <c r="AD17" s="18">
        <v>17.229300000000002</v>
      </c>
    </row>
    <row r="18" spans="2:30" x14ac:dyDescent="0.25">
      <c r="B18" t="s">
        <v>763</v>
      </c>
      <c r="C18" t="s">
        <v>50</v>
      </c>
      <c r="E18" s="35">
        <v>2.25</v>
      </c>
      <c r="F18" s="35">
        <v>51.05</v>
      </c>
      <c r="G18" s="36">
        <v>5.7431000000000003E-2</v>
      </c>
      <c r="H18" s="18"/>
      <c r="I18" s="16" t="s">
        <v>766</v>
      </c>
      <c r="J18" s="16" t="s">
        <v>52</v>
      </c>
      <c r="K18" s="16"/>
      <c r="L18" s="37"/>
      <c r="M18" s="37"/>
      <c r="N18" s="37"/>
      <c r="O18" s="37"/>
      <c r="P18" s="37"/>
      <c r="Q18" s="18">
        <v>0.631741</v>
      </c>
      <c r="R18" s="18">
        <v>4.3073249999999999E-3</v>
      </c>
      <c r="S18" s="18">
        <v>1.206051</v>
      </c>
      <c r="T18" s="18">
        <v>5.1687900000000004</v>
      </c>
      <c r="U18" s="18">
        <v>2.5843950000000002</v>
      </c>
      <c r="V18" s="18">
        <v>33.080255999999999</v>
      </c>
      <c r="W18" s="18">
        <v>31.012740000000001</v>
      </c>
      <c r="X18" s="18">
        <v>20.675160000000002</v>
      </c>
      <c r="Y18" s="18">
        <v>0.91889600000000005</v>
      </c>
      <c r="Z18" s="18">
        <v>4.0776010000000005</v>
      </c>
      <c r="AA18" s="18">
        <v>5.9728240000000001</v>
      </c>
      <c r="AB18" s="18">
        <v>10.624735000000001</v>
      </c>
      <c r="AC18" s="18">
        <v>3.2735670000000003</v>
      </c>
      <c r="AD18" s="18">
        <v>17.229300000000002</v>
      </c>
    </row>
    <row r="19" spans="2:30" x14ac:dyDescent="0.25">
      <c r="B19" t="s">
        <v>763</v>
      </c>
      <c r="C19" t="s">
        <v>50</v>
      </c>
      <c r="E19" s="35">
        <v>2.25</v>
      </c>
      <c r="F19" s="35">
        <v>40.840000000000003</v>
      </c>
      <c r="G19" s="36">
        <v>4.5945E-2</v>
      </c>
      <c r="H19" s="18"/>
      <c r="I19" s="16" t="s">
        <v>768</v>
      </c>
      <c r="J19" s="16" t="s">
        <v>52</v>
      </c>
      <c r="K19" s="16"/>
      <c r="L19" s="37"/>
      <c r="M19" s="37"/>
      <c r="N19" s="37"/>
      <c r="O19" s="37"/>
      <c r="P19" s="37"/>
      <c r="Q19" s="18">
        <v>0.50539500000000004</v>
      </c>
      <c r="R19" s="18">
        <v>3.4458749999999997E-3</v>
      </c>
      <c r="S19" s="18">
        <v>0.96484499999999995</v>
      </c>
      <c r="T19" s="18">
        <v>4.1350499999999997</v>
      </c>
      <c r="U19" s="18">
        <v>2.0675249999999998</v>
      </c>
      <c r="V19" s="18">
        <v>26.464320000000001</v>
      </c>
      <c r="W19" s="18">
        <v>24.810300000000002</v>
      </c>
      <c r="X19" s="18">
        <v>16.540199999999999</v>
      </c>
      <c r="Y19" s="18">
        <v>0.73512</v>
      </c>
      <c r="Z19" s="18">
        <v>3.262095</v>
      </c>
      <c r="AA19" s="18">
        <v>4.7782799999999996</v>
      </c>
      <c r="AB19" s="18">
        <v>8.4998249999999995</v>
      </c>
      <c r="AC19" s="18">
        <v>2.618865</v>
      </c>
      <c r="AD19" s="18">
        <v>13.7835</v>
      </c>
    </row>
    <row r="20" spans="2:30" x14ac:dyDescent="0.25">
      <c r="B20" t="s">
        <v>763</v>
      </c>
      <c r="C20" t="s">
        <v>50</v>
      </c>
      <c r="E20" s="35">
        <v>2.25</v>
      </c>
      <c r="F20" s="35">
        <v>40.840000000000003</v>
      </c>
      <c r="G20" s="36">
        <v>4.5945E-2</v>
      </c>
      <c r="H20" s="18"/>
      <c r="I20" s="16" t="s">
        <v>768</v>
      </c>
      <c r="J20" s="16" t="s">
        <v>52</v>
      </c>
      <c r="K20" s="16"/>
      <c r="L20" s="37"/>
      <c r="M20" s="37"/>
      <c r="N20" s="37"/>
      <c r="O20" s="37"/>
      <c r="P20" s="37"/>
      <c r="Q20" s="18">
        <v>0.50539500000000004</v>
      </c>
      <c r="R20" s="18">
        <v>3.4458749999999997E-3</v>
      </c>
      <c r="S20" s="18">
        <v>0.96484499999999995</v>
      </c>
      <c r="T20" s="18">
        <v>4.1350499999999997</v>
      </c>
      <c r="U20" s="18">
        <v>2.0675249999999998</v>
      </c>
      <c r="V20" s="18">
        <v>26.464320000000001</v>
      </c>
      <c r="W20" s="18">
        <v>24.810300000000002</v>
      </c>
      <c r="X20" s="18">
        <v>16.540199999999999</v>
      </c>
      <c r="Y20" s="18">
        <v>0.73512</v>
      </c>
      <c r="Z20" s="18">
        <v>3.262095</v>
      </c>
      <c r="AA20" s="18">
        <v>4.7782799999999996</v>
      </c>
      <c r="AB20" s="18">
        <v>8.4998249999999995</v>
      </c>
      <c r="AC20" s="18">
        <v>2.618865</v>
      </c>
      <c r="AD20" s="18">
        <v>13.7835</v>
      </c>
    </row>
    <row r="21" spans="2:30" x14ac:dyDescent="0.25">
      <c r="B21" t="s">
        <v>763</v>
      </c>
      <c r="C21" t="s">
        <v>50</v>
      </c>
      <c r="E21" s="35">
        <v>3.3611110000000002</v>
      </c>
      <c r="F21" s="35">
        <v>30.63</v>
      </c>
      <c r="G21" s="36">
        <v>5.1475E-2</v>
      </c>
      <c r="H21" s="18"/>
      <c r="I21" s="16" t="s">
        <v>765</v>
      </c>
      <c r="J21" s="16" t="s">
        <v>52</v>
      </c>
      <c r="K21" s="16"/>
      <c r="L21" s="37"/>
      <c r="M21" s="37"/>
      <c r="N21" s="37"/>
      <c r="O21" s="37"/>
      <c r="P21" s="37"/>
      <c r="Q21" s="18">
        <v>0.56622499999999998</v>
      </c>
      <c r="R21" s="18">
        <v>3.8606249999999999E-3</v>
      </c>
      <c r="S21" s="18">
        <v>1.080975</v>
      </c>
      <c r="T21" s="18">
        <v>4.6327499999999997</v>
      </c>
      <c r="U21" s="18">
        <v>2.3163749999999999</v>
      </c>
      <c r="V21" s="18">
        <v>29.6496</v>
      </c>
      <c r="W21" s="18">
        <v>27.796499999999998</v>
      </c>
      <c r="X21" s="18">
        <v>18.530999999999999</v>
      </c>
      <c r="Y21" s="18">
        <v>0.8236</v>
      </c>
      <c r="Z21" s="18">
        <v>3.654725</v>
      </c>
      <c r="AA21" s="18">
        <v>5.3533999999999997</v>
      </c>
      <c r="AB21" s="18">
        <v>9.5228750000000009</v>
      </c>
      <c r="AC21" s="18">
        <v>2.934075</v>
      </c>
      <c r="AD21" s="18">
        <v>15.442500000000001</v>
      </c>
    </row>
    <row r="22" spans="2:30" x14ac:dyDescent="0.25">
      <c r="B22" t="s">
        <v>763</v>
      </c>
      <c r="C22" t="s">
        <v>50</v>
      </c>
      <c r="E22" s="35">
        <v>2.25</v>
      </c>
      <c r="F22" s="35">
        <v>40.840000000000003</v>
      </c>
      <c r="G22" s="36">
        <v>4.5945E-2</v>
      </c>
      <c r="H22" s="18"/>
      <c r="I22" s="16" t="s">
        <v>768</v>
      </c>
      <c r="J22" s="16" t="s">
        <v>52</v>
      </c>
      <c r="K22" s="16"/>
      <c r="L22" s="37"/>
      <c r="M22" s="37"/>
      <c r="N22" s="37"/>
      <c r="O22" s="37"/>
      <c r="P22" s="37"/>
      <c r="Q22" s="18">
        <v>0.50539500000000004</v>
      </c>
      <c r="R22" s="18">
        <v>3.4458749999999997E-3</v>
      </c>
      <c r="S22" s="18">
        <v>0.96484499999999995</v>
      </c>
      <c r="T22" s="18">
        <v>4.1350499999999997</v>
      </c>
      <c r="U22" s="18">
        <v>2.0675249999999998</v>
      </c>
      <c r="V22" s="18">
        <v>26.464320000000001</v>
      </c>
      <c r="W22" s="18">
        <v>24.810300000000002</v>
      </c>
      <c r="X22" s="18">
        <v>16.540199999999999</v>
      </c>
      <c r="Y22" s="18">
        <v>0.73512</v>
      </c>
      <c r="Z22" s="18">
        <v>3.262095</v>
      </c>
      <c r="AA22" s="18">
        <v>4.7782799999999996</v>
      </c>
      <c r="AB22" s="18">
        <v>8.4998249999999995</v>
      </c>
      <c r="AC22" s="18">
        <v>2.618865</v>
      </c>
      <c r="AD22" s="18">
        <v>13.7835</v>
      </c>
    </row>
    <row r="23" spans="2:30" x14ac:dyDescent="0.25">
      <c r="B23" t="s">
        <v>763</v>
      </c>
      <c r="C23" t="s">
        <v>50</v>
      </c>
      <c r="E23" s="35">
        <v>2.25</v>
      </c>
      <c r="F23" s="35">
        <v>40.840000000000003</v>
      </c>
      <c r="G23" s="36">
        <v>4.5945E-2</v>
      </c>
      <c r="H23" s="18"/>
      <c r="I23" s="16" t="s">
        <v>768</v>
      </c>
      <c r="J23" s="16" t="s">
        <v>52</v>
      </c>
      <c r="K23" s="16"/>
      <c r="L23" s="37"/>
      <c r="M23" s="37"/>
      <c r="N23" s="37"/>
      <c r="O23" s="37"/>
      <c r="P23" s="37"/>
      <c r="Q23" s="18">
        <v>0.50539500000000004</v>
      </c>
      <c r="R23" s="18">
        <v>3.4458749999999997E-3</v>
      </c>
      <c r="S23" s="18">
        <v>0.96484499999999995</v>
      </c>
      <c r="T23" s="18">
        <v>4.1350499999999997</v>
      </c>
      <c r="U23" s="18">
        <v>2.0675249999999998</v>
      </c>
      <c r="V23" s="18">
        <v>26.464320000000001</v>
      </c>
      <c r="W23" s="18">
        <v>24.810300000000002</v>
      </c>
      <c r="X23" s="18">
        <v>16.540199999999999</v>
      </c>
      <c r="Y23" s="18">
        <v>0.73512</v>
      </c>
      <c r="Z23" s="18">
        <v>3.262095</v>
      </c>
      <c r="AA23" s="18">
        <v>4.7782799999999996</v>
      </c>
      <c r="AB23" s="18">
        <v>8.4998249999999995</v>
      </c>
      <c r="AC23" s="18">
        <v>2.618865</v>
      </c>
      <c r="AD23" s="18">
        <v>13.7835</v>
      </c>
    </row>
    <row r="24" spans="2:30" x14ac:dyDescent="0.25">
      <c r="B24" t="s">
        <v>763</v>
      </c>
      <c r="C24" t="s">
        <v>50</v>
      </c>
      <c r="E24" s="35">
        <v>3.3611110000000002</v>
      </c>
      <c r="F24" s="35">
        <v>30.63</v>
      </c>
      <c r="G24" s="36">
        <v>5.1475E-2</v>
      </c>
      <c r="H24" s="18"/>
      <c r="I24" s="16" t="s">
        <v>765</v>
      </c>
      <c r="J24" s="16" t="s">
        <v>52</v>
      </c>
      <c r="K24" s="16"/>
      <c r="L24" s="37"/>
      <c r="M24" s="37"/>
      <c r="N24" s="37"/>
      <c r="O24" s="37"/>
      <c r="P24" s="37"/>
      <c r="Q24" s="18">
        <v>0.56622499999999998</v>
      </c>
      <c r="R24" s="18">
        <v>3.8606249999999999E-3</v>
      </c>
      <c r="S24" s="18">
        <v>1.080975</v>
      </c>
      <c r="T24" s="18">
        <v>4.6327499999999997</v>
      </c>
      <c r="U24" s="18">
        <v>2.3163749999999999</v>
      </c>
      <c r="V24" s="18">
        <v>29.6496</v>
      </c>
      <c r="W24" s="18">
        <v>27.796499999999998</v>
      </c>
      <c r="X24" s="18">
        <v>18.530999999999999</v>
      </c>
      <c r="Y24" s="18">
        <v>0.8236</v>
      </c>
      <c r="Z24" s="18">
        <v>3.654725</v>
      </c>
      <c r="AA24" s="18">
        <v>5.3533999999999997</v>
      </c>
      <c r="AB24" s="18">
        <v>9.5228750000000009</v>
      </c>
      <c r="AC24" s="18">
        <v>2.934075</v>
      </c>
      <c r="AD24" s="18">
        <v>15.442500000000001</v>
      </c>
    </row>
    <row r="25" spans="2:30" x14ac:dyDescent="0.25">
      <c r="B25" t="s">
        <v>763</v>
      </c>
      <c r="C25" t="s">
        <v>50</v>
      </c>
      <c r="E25" s="35">
        <v>3.3611110000000002</v>
      </c>
      <c r="F25" s="35">
        <v>30.63</v>
      </c>
      <c r="G25" s="36">
        <v>5.1475E-2</v>
      </c>
      <c r="H25" s="18"/>
      <c r="I25" s="16" t="s">
        <v>765</v>
      </c>
      <c r="J25" s="16" t="s">
        <v>52</v>
      </c>
      <c r="K25" s="16"/>
      <c r="L25" s="37"/>
      <c r="M25" s="37"/>
      <c r="N25" s="37"/>
      <c r="O25" s="37"/>
      <c r="P25" s="37"/>
      <c r="Q25" s="18">
        <v>0.56622499999999998</v>
      </c>
      <c r="R25" s="18">
        <v>3.8606249999999999E-3</v>
      </c>
      <c r="S25" s="18">
        <v>1.080975</v>
      </c>
      <c r="T25" s="18">
        <v>4.6327499999999997</v>
      </c>
      <c r="U25" s="18">
        <v>2.3163749999999999</v>
      </c>
      <c r="V25" s="18">
        <v>29.6496</v>
      </c>
      <c r="W25" s="18">
        <v>27.796499999999998</v>
      </c>
      <c r="X25" s="18">
        <v>18.530999999999999</v>
      </c>
      <c r="Y25" s="18">
        <v>0.8236</v>
      </c>
      <c r="Z25" s="18">
        <v>3.654725</v>
      </c>
      <c r="AA25" s="18">
        <v>5.3533999999999997</v>
      </c>
      <c r="AB25" s="18">
        <v>9.5228750000000009</v>
      </c>
      <c r="AC25" s="18">
        <v>2.934075</v>
      </c>
      <c r="AD25" s="18">
        <v>15.442500000000001</v>
      </c>
    </row>
    <row r="26" spans="2:30" x14ac:dyDescent="0.25">
      <c r="B26" t="s">
        <v>763</v>
      </c>
      <c r="C26" t="s">
        <v>50</v>
      </c>
      <c r="E26" s="35">
        <v>3.3611110000000002</v>
      </c>
      <c r="F26" s="35">
        <v>30.63</v>
      </c>
      <c r="G26" s="36">
        <v>5.1475E-2</v>
      </c>
      <c r="H26" s="18"/>
      <c r="I26" s="16" t="s">
        <v>765</v>
      </c>
      <c r="J26" s="16" t="s">
        <v>52</v>
      </c>
      <c r="K26" s="16"/>
      <c r="L26" s="37"/>
      <c r="M26" s="37"/>
      <c r="N26" s="37"/>
      <c r="O26" s="37"/>
      <c r="P26" s="37"/>
      <c r="Q26" s="18">
        <v>0.56622499999999998</v>
      </c>
      <c r="R26" s="18">
        <v>3.8606249999999999E-3</v>
      </c>
      <c r="S26" s="18">
        <v>1.080975</v>
      </c>
      <c r="T26" s="18">
        <v>4.6327499999999997</v>
      </c>
      <c r="U26" s="18">
        <v>2.3163749999999999</v>
      </c>
      <c r="V26" s="18">
        <v>29.6496</v>
      </c>
      <c r="W26" s="18">
        <v>27.796499999999998</v>
      </c>
      <c r="X26" s="18">
        <v>18.530999999999999</v>
      </c>
      <c r="Y26" s="18">
        <v>0.8236</v>
      </c>
      <c r="Z26" s="18">
        <v>3.654725</v>
      </c>
      <c r="AA26" s="18">
        <v>5.3533999999999997</v>
      </c>
      <c r="AB26" s="18">
        <v>9.5228750000000009</v>
      </c>
      <c r="AC26" s="18">
        <v>2.934075</v>
      </c>
      <c r="AD26" s="18">
        <v>15.442500000000001</v>
      </c>
    </row>
    <row r="27" spans="2:30" x14ac:dyDescent="0.25">
      <c r="B27" t="s">
        <v>763</v>
      </c>
      <c r="C27" t="s">
        <v>50</v>
      </c>
      <c r="E27" s="35">
        <v>2.25</v>
      </c>
      <c r="F27" s="35">
        <v>51.05</v>
      </c>
      <c r="G27" s="36">
        <v>5.7431000000000003E-2</v>
      </c>
      <c r="H27" s="18"/>
      <c r="I27" s="16" t="s">
        <v>766</v>
      </c>
      <c r="J27" s="16" t="s">
        <v>52</v>
      </c>
      <c r="K27" s="16"/>
      <c r="L27" s="37"/>
      <c r="M27" s="37"/>
      <c r="N27" s="37"/>
      <c r="O27" s="37"/>
      <c r="P27" s="37"/>
      <c r="Q27" s="18">
        <v>0.631741</v>
      </c>
      <c r="R27" s="18">
        <v>4.3073249999999999E-3</v>
      </c>
      <c r="S27" s="18">
        <v>1.206051</v>
      </c>
      <c r="T27" s="18">
        <v>5.1687900000000004</v>
      </c>
      <c r="U27" s="18">
        <v>2.5843950000000002</v>
      </c>
      <c r="V27" s="18">
        <v>33.080255999999999</v>
      </c>
      <c r="W27" s="18">
        <v>31.012740000000001</v>
      </c>
      <c r="X27" s="18">
        <v>20.675160000000002</v>
      </c>
      <c r="Y27" s="18">
        <v>0.91889600000000005</v>
      </c>
      <c r="Z27" s="18">
        <v>4.0776010000000005</v>
      </c>
      <c r="AA27" s="18">
        <v>5.9728240000000001</v>
      </c>
      <c r="AB27" s="18">
        <v>10.624735000000001</v>
      </c>
      <c r="AC27" s="18">
        <v>3.2735670000000003</v>
      </c>
      <c r="AD27" s="18">
        <v>17.229300000000002</v>
      </c>
    </row>
    <row r="28" spans="2:30" x14ac:dyDescent="0.25">
      <c r="B28" t="s">
        <v>763</v>
      </c>
      <c r="C28" t="s">
        <v>50</v>
      </c>
      <c r="E28" s="35">
        <v>2.25</v>
      </c>
      <c r="F28" s="35">
        <v>51.05</v>
      </c>
      <c r="G28" s="36">
        <v>5.7431000000000003E-2</v>
      </c>
      <c r="H28" s="18"/>
      <c r="I28" s="16" t="s">
        <v>766</v>
      </c>
      <c r="J28" s="16" t="s">
        <v>52</v>
      </c>
      <c r="K28" s="16"/>
      <c r="L28" s="37"/>
      <c r="M28" s="37"/>
      <c r="N28" s="37"/>
      <c r="O28" s="37"/>
      <c r="P28" s="37"/>
      <c r="Q28" s="18">
        <v>0.631741</v>
      </c>
      <c r="R28" s="18">
        <v>4.3073249999999999E-3</v>
      </c>
      <c r="S28" s="18">
        <v>1.206051</v>
      </c>
      <c r="T28" s="18">
        <v>5.1687900000000004</v>
      </c>
      <c r="U28" s="18">
        <v>2.5843950000000002</v>
      </c>
      <c r="V28" s="18">
        <v>33.080255999999999</v>
      </c>
      <c r="W28" s="18">
        <v>31.012740000000001</v>
      </c>
      <c r="X28" s="18">
        <v>20.675160000000002</v>
      </c>
      <c r="Y28" s="18">
        <v>0.91889600000000005</v>
      </c>
      <c r="Z28" s="18">
        <v>4.0776010000000005</v>
      </c>
      <c r="AA28" s="18">
        <v>5.9728240000000001</v>
      </c>
      <c r="AB28" s="18">
        <v>10.624735000000001</v>
      </c>
      <c r="AC28" s="18">
        <v>3.2735670000000003</v>
      </c>
      <c r="AD28" s="18">
        <v>17.229300000000002</v>
      </c>
    </row>
    <row r="29" spans="2:30" x14ac:dyDescent="0.25">
      <c r="B29" t="s">
        <v>763</v>
      </c>
      <c r="C29" t="s">
        <v>50</v>
      </c>
      <c r="E29" s="35">
        <v>2.25</v>
      </c>
      <c r="F29" s="35">
        <v>40.840000000000003</v>
      </c>
      <c r="G29" s="36">
        <v>4.5945E-2</v>
      </c>
      <c r="H29" s="18"/>
      <c r="I29" s="16" t="s">
        <v>768</v>
      </c>
      <c r="J29" s="16" t="s">
        <v>52</v>
      </c>
      <c r="K29" s="16"/>
      <c r="L29" s="37"/>
      <c r="M29" s="37"/>
      <c r="N29" s="37"/>
      <c r="O29" s="37"/>
      <c r="P29" s="37"/>
      <c r="Q29" s="18">
        <v>0.50539500000000004</v>
      </c>
      <c r="R29" s="18">
        <v>3.4458749999999997E-3</v>
      </c>
      <c r="S29" s="18">
        <v>0.96484499999999995</v>
      </c>
      <c r="T29" s="18">
        <v>4.1350499999999997</v>
      </c>
      <c r="U29" s="18">
        <v>2.0675249999999998</v>
      </c>
      <c r="V29" s="18">
        <v>26.464320000000001</v>
      </c>
      <c r="W29" s="18">
        <v>24.810300000000002</v>
      </c>
      <c r="X29" s="18">
        <v>16.540199999999999</v>
      </c>
      <c r="Y29" s="18">
        <v>0.73512</v>
      </c>
      <c r="Z29" s="18">
        <v>3.262095</v>
      </c>
      <c r="AA29" s="18">
        <v>4.7782799999999996</v>
      </c>
      <c r="AB29" s="18">
        <v>8.4998249999999995</v>
      </c>
      <c r="AC29" s="18">
        <v>2.618865</v>
      </c>
      <c r="AD29" s="18">
        <v>13.7835</v>
      </c>
    </row>
    <row r="30" spans="2:30" x14ac:dyDescent="0.25">
      <c r="B30" t="s">
        <v>763</v>
      </c>
      <c r="C30" t="s">
        <v>50</v>
      </c>
      <c r="E30" s="35">
        <v>3.3611110000000002</v>
      </c>
      <c r="F30" s="35">
        <v>30.63</v>
      </c>
      <c r="G30" s="36">
        <v>5.1475E-2</v>
      </c>
      <c r="H30" s="18"/>
      <c r="I30" s="16" t="s">
        <v>765</v>
      </c>
      <c r="J30" s="16" t="s">
        <v>52</v>
      </c>
      <c r="K30" s="16"/>
      <c r="L30" s="37"/>
      <c r="M30" s="37"/>
      <c r="N30" s="37"/>
      <c r="O30" s="37"/>
      <c r="P30" s="37"/>
      <c r="Q30" s="18">
        <v>0.56622499999999998</v>
      </c>
      <c r="R30" s="18">
        <v>3.8606249999999999E-3</v>
      </c>
      <c r="S30" s="18">
        <v>1.080975</v>
      </c>
      <c r="T30" s="18">
        <v>4.6327499999999997</v>
      </c>
      <c r="U30" s="18">
        <v>2.3163749999999999</v>
      </c>
      <c r="V30" s="18">
        <v>29.6496</v>
      </c>
      <c r="W30" s="18">
        <v>27.796499999999998</v>
      </c>
      <c r="X30" s="18">
        <v>18.530999999999999</v>
      </c>
      <c r="Y30" s="18">
        <v>0.8236</v>
      </c>
      <c r="Z30" s="18">
        <v>3.654725</v>
      </c>
      <c r="AA30" s="18">
        <v>5.3533999999999997</v>
      </c>
      <c r="AB30" s="18">
        <v>9.5228750000000009</v>
      </c>
      <c r="AC30" s="18">
        <v>2.934075</v>
      </c>
      <c r="AD30" s="18">
        <v>15.442500000000001</v>
      </c>
    </row>
    <row r="31" spans="2:30" x14ac:dyDescent="0.25">
      <c r="B31" t="s">
        <v>763</v>
      </c>
      <c r="C31" t="s">
        <v>50</v>
      </c>
      <c r="E31" s="35">
        <v>2.25</v>
      </c>
      <c r="F31" s="35">
        <v>40.840000000000003</v>
      </c>
      <c r="G31" s="36">
        <v>4.5945E-2</v>
      </c>
      <c r="H31" s="18"/>
      <c r="I31" s="16" t="s">
        <v>768</v>
      </c>
      <c r="J31" s="16" t="s">
        <v>52</v>
      </c>
      <c r="K31" s="16"/>
      <c r="L31" s="37"/>
      <c r="M31" s="37"/>
      <c r="N31" s="37"/>
      <c r="O31" s="37"/>
      <c r="P31" s="37"/>
      <c r="Q31" s="18">
        <v>0.50539500000000004</v>
      </c>
      <c r="R31" s="18">
        <v>3.4458749999999997E-3</v>
      </c>
      <c r="S31" s="18">
        <v>0.96484499999999995</v>
      </c>
      <c r="T31" s="18">
        <v>4.1350499999999997</v>
      </c>
      <c r="U31" s="18">
        <v>2.0675249999999998</v>
      </c>
      <c r="V31" s="18">
        <v>26.464320000000001</v>
      </c>
      <c r="W31" s="18">
        <v>24.810300000000002</v>
      </c>
      <c r="X31" s="18">
        <v>16.540199999999999</v>
      </c>
      <c r="Y31" s="18">
        <v>0.73512</v>
      </c>
      <c r="Z31" s="18">
        <v>3.262095</v>
      </c>
      <c r="AA31" s="18">
        <v>4.7782799999999996</v>
      </c>
      <c r="AB31" s="18">
        <v>8.4998249999999995</v>
      </c>
      <c r="AC31" s="18">
        <v>2.618865</v>
      </c>
      <c r="AD31" s="18">
        <v>13.7835</v>
      </c>
    </row>
    <row r="32" spans="2:30" x14ac:dyDescent="0.25">
      <c r="B32" t="s">
        <v>763</v>
      </c>
      <c r="C32" t="s">
        <v>50</v>
      </c>
      <c r="E32" s="35">
        <v>2.25</v>
      </c>
      <c r="F32" s="35">
        <v>40.840000000000003</v>
      </c>
      <c r="G32" s="36">
        <v>4.5945E-2</v>
      </c>
      <c r="H32" s="18"/>
      <c r="I32" s="16" t="s">
        <v>768</v>
      </c>
      <c r="J32" s="16" t="s">
        <v>52</v>
      </c>
      <c r="K32" s="16"/>
      <c r="L32" s="37"/>
      <c r="M32" s="37"/>
      <c r="N32" s="37"/>
      <c r="O32" s="37"/>
      <c r="P32" s="37"/>
      <c r="Q32" s="18">
        <v>0.50539500000000004</v>
      </c>
      <c r="R32" s="18">
        <v>3.4458749999999997E-3</v>
      </c>
      <c r="S32" s="18">
        <v>0.96484499999999995</v>
      </c>
      <c r="T32" s="18">
        <v>4.1350499999999997</v>
      </c>
      <c r="U32" s="18">
        <v>2.0675249999999998</v>
      </c>
      <c r="V32" s="18">
        <v>26.464320000000001</v>
      </c>
      <c r="W32" s="18">
        <v>24.810300000000002</v>
      </c>
      <c r="X32" s="18">
        <v>16.540199999999999</v>
      </c>
      <c r="Y32" s="18">
        <v>0.73512</v>
      </c>
      <c r="Z32" s="18">
        <v>3.262095</v>
      </c>
      <c r="AA32" s="18">
        <v>4.7782799999999996</v>
      </c>
      <c r="AB32" s="18">
        <v>8.4998249999999995</v>
      </c>
      <c r="AC32" s="18">
        <v>2.618865</v>
      </c>
      <c r="AD32" s="18">
        <v>13.7835</v>
      </c>
    </row>
    <row r="33" spans="2:30" x14ac:dyDescent="0.25">
      <c r="B33" t="s">
        <v>763</v>
      </c>
      <c r="C33" t="s">
        <v>50</v>
      </c>
      <c r="E33" s="35">
        <v>2.25</v>
      </c>
      <c r="F33" s="35">
        <v>51.05</v>
      </c>
      <c r="G33" s="36">
        <v>5.7431000000000003E-2</v>
      </c>
      <c r="H33" s="18"/>
      <c r="I33" s="16" t="s">
        <v>766</v>
      </c>
      <c r="J33" s="16" t="s">
        <v>52</v>
      </c>
      <c r="K33" s="16"/>
      <c r="L33" s="37"/>
      <c r="M33" s="37"/>
      <c r="N33" s="37"/>
      <c r="O33" s="37"/>
      <c r="P33" s="37"/>
      <c r="Q33" s="18">
        <v>0.631741</v>
      </c>
      <c r="R33" s="18">
        <v>4.3073249999999999E-3</v>
      </c>
      <c r="S33" s="18">
        <v>1.206051</v>
      </c>
      <c r="T33" s="18">
        <v>5.1687900000000004</v>
      </c>
      <c r="U33" s="18">
        <v>2.5843950000000002</v>
      </c>
      <c r="V33" s="18">
        <v>33.080255999999999</v>
      </c>
      <c r="W33" s="18">
        <v>31.012740000000001</v>
      </c>
      <c r="X33" s="18">
        <v>20.675160000000002</v>
      </c>
      <c r="Y33" s="18">
        <v>0.91889600000000005</v>
      </c>
      <c r="Z33" s="18">
        <v>4.0776010000000005</v>
      </c>
      <c r="AA33" s="18">
        <v>5.9728240000000001</v>
      </c>
      <c r="AB33" s="18">
        <v>10.624735000000001</v>
      </c>
      <c r="AC33" s="18">
        <v>3.2735670000000003</v>
      </c>
      <c r="AD33" s="18">
        <v>17.229300000000002</v>
      </c>
    </row>
    <row r="34" spans="2:30" x14ac:dyDescent="0.25">
      <c r="B34" t="s">
        <v>763</v>
      </c>
      <c r="C34" t="s">
        <v>50</v>
      </c>
      <c r="E34" s="35">
        <v>2.25</v>
      </c>
      <c r="F34" s="35">
        <v>51.05</v>
      </c>
      <c r="G34" s="36">
        <v>5.7431000000000003E-2</v>
      </c>
      <c r="H34" s="18"/>
      <c r="I34" s="16" t="s">
        <v>766</v>
      </c>
      <c r="J34" s="16" t="s">
        <v>52</v>
      </c>
      <c r="K34" s="16"/>
      <c r="L34" s="37"/>
      <c r="M34" s="37"/>
      <c r="N34" s="37"/>
      <c r="O34" s="37"/>
      <c r="P34" s="37"/>
      <c r="Q34" s="18">
        <v>0.631741</v>
      </c>
      <c r="R34" s="18">
        <v>4.3073249999999999E-3</v>
      </c>
      <c r="S34" s="18">
        <v>1.206051</v>
      </c>
      <c r="T34" s="18">
        <v>5.1687900000000004</v>
      </c>
      <c r="U34" s="18">
        <v>2.5843950000000002</v>
      </c>
      <c r="V34" s="18">
        <v>33.080255999999999</v>
      </c>
      <c r="W34" s="18">
        <v>31.012740000000001</v>
      </c>
      <c r="X34" s="18">
        <v>20.675160000000002</v>
      </c>
      <c r="Y34" s="18">
        <v>0.91889600000000005</v>
      </c>
      <c r="Z34" s="18">
        <v>4.0776010000000005</v>
      </c>
      <c r="AA34" s="18">
        <v>5.9728240000000001</v>
      </c>
      <c r="AB34" s="18">
        <v>10.624735000000001</v>
      </c>
      <c r="AC34" s="18">
        <v>3.2735670000000003</v>
      </c>
      <c r="AD34" s="18">
        <v>17.229300000000002</v>
      </c>
    </row>
    <row r="35" spans="2:30" x14ac:dyDescent="0.25">
      <c r="B35" t="s">
        <v>763</v>
      </c>
      <c r="C35" t="s">
        <v>50</v>
      </c>
      <c r="E35" s="35">
        <v>2.25</v>
      </c>
      <c r="F35" s="35">
        <v>51.05</v>
      </c>
      <c r="G35" s="36">
        <v>5.7431000000000003E-2</v>
      </c>
      <c r="H35" s="18"/>
      <c r="I35" s="16" t="s">
        <v>766</v>
      </c>
      <c r="J35" s="16" t="s">
        <v>52</v>
      </c>
      <c r="K35" s="16"/>
      <c r="L35" s="37"/>
      <c r="M35" s="37"/>
      <c r="N35" s="37"/>
      <c r="O35" s="37"/>
      <c r="P35" s="37"/>
      <c r="Q35" s="18">
        <v>0.631741</v>
      </c>
      <c r="R35" s="18">
        <v>4.3073249999999999E-3</v>
      </c>
      <c r="S35" s="18">
        <v>1.206051</v>
      </c>
      <c r="T35" s="18">
        <v>5.1687900000000004</v>
      </c>
      <c r="U35" s="18">
        <v>2.5843950000000002</v>
      </c>
      <c r="V35" s="18">
        <v>33.080255999999999</v>
      </c>
      <c r="W35" s="18">
        <v>31.012740000000001</v>
      </c>
      <c r="X35" s="18">
        <v>20.675160000000002</v>
      </c>
      <c r="Y35" s="18">
        <v>0.91889600000000005</v>
      </c>
      <c r="Z35" s="18">
        <v>4.0776010000000005</v>
      </c>
      <c r="AA35" s="18">
        <v>5.9728240000000001</v>
      </c>
      <c r="AB35" s="18">
        <v>10.624735000000001</v>
      </c>
      <c r="AC35" s="18">
        <v>3.2735670000000003</v>
      </c>
      <c r="AD35" s="18">
        <v>17.229300000000002</v>
      </c>
    </row>
    <row r="36" spans="2:30" x14ac:dyDescent="0.25">
      <c r="B36" t="s">
        <v>763</v>
      </c>
      <c r="C36" t="s">
        <v>50</v>
      </c>
      <c r="E36" s="35">
        <v>2.25</v>
      </c>
      <c r="F36" s="35">
        <v>61.26</v>
      </c>
      <c r="G36" s="36">
        <v>6.8917999999999993E-2</v>
      </c>
      <c r="H36" s="18"/>
      <c r="I36" s="16" t="s">
        <v>767</v>
      </c>
      <c r="J36" s="16" t="s">
        <v>52</v>
      </c>
      <c r="K36" s="16"/>
      <c r="L36" s="37"/>
      <c r="M36" s="37"/>
      <c r="N36" s="37"/>
      <c r="O36" s="37"/>
      <c r="P36" s="37"/>
      <c r="Q36" s="18">
        <v>0.75809799999999994</v>
      </c>
      <c r="R36" s="18">
        <v>5.1688499999999991E-3</v>
      </c>
      <c r="S36" s="18">
        <v>1.4472779999999998</v>
      </c>
      <c r="T36" s="18">
        <v>6.2026199999999996</v>
      </c>
      <c r="U36" s="18">
        <v>3.1013099999999998</v>
      </c>
      <c r="V36" s="18">
        <v>39.696767999999999</v>
      </c>
      <c r="W36" s="18">
        <v>37.215719999999997</v>
      </c>
      <c r="X36" s="18">
        <v>24.810479999999998</v>
      </c>
      <c r="Y36" s="18">
        <v>1.1026879999999999</v>
      </c>
      <c r="Z36" s="18">
        <v>4.8931779999999998</v>
      </c>
      <c r="AA36" s="18">
        <v>7.1674719999999992</v>
      </c>
      <c r="AB36" s="18">
        <v>12.749829999999999</v>
      </c>
      <c r="AC36" s="18">
        <v>3.9283259999999998</v>
      </c>
      <c r="AD36" s="18">
        <v>20.675399999999996</v>
      </c>
    </row>
    <row r="37" spans="2:30" x14ac:dyDescent="0.25">
      <c r="B37" t="s">
        <v>763</v>
      </c>
      <c r="C37" t="s">
        <v>50</v>
      </c>
      <c r="E37" s="35">
        <v>2.25</v>
      </c>
      <c r="F37" s="35">
        <v>61.26</v>
      </c>
      <c r="G37" s="36">
        <v>6.8917999999999993E-2</v>
      </c>
      <c r="H37" s="18"/>
      <c r="I37" s="16" t="s">
        <v>767</v>
      </c>
      <c r="J37" s="16" t="s">
        <v>52</v>
      </c>
      <c r="K37" s="16"/>
      <c r="L37" s="37"/>
      <c r="M37" s="37"/>
      <c r="N37" s="37"/>
      <c r="O37" s="37"/>
      <c r="P37" s="37"/>
      <c r="Q37" s="18">
        <v>0.75809799999999994</v>
      </c>
      <c r="R37" s="18">
        <v>5.1688499999999991E-3</v>
      </c>
      <c r="S37" s="18">
        <v>1.4472779999999998</v>
      </c>
      <c r="T37" s="18">
        <v>6.2026199999999996</v>
      </c>
      <c r="U37" s="18">
        <v>3.1013099999999998</v>
      </c>
      <c r="V37" s="18">
        <v>39.696767999999999</v>
      </c>
      <c r="W37" s="18">
        <v>37.215719999999997</v>
      </c>
      <c r="X37" s="18">
        <v>24.810479999999998</v>
      </c>
      <c r="Y37" s="18">
        <v>1.1026879999999999</v>
      </c>
      <c r="Z37" s="18">
        <v>4.8931779999999998</v>
      </c>
      <c r="AA37" s="18">
        <v>7.1674719999999992</v>
      </c>
      <c r="AB37" s="18">
        <v>12.749829999999999</v>
      </c>
      <c r="AC37" s="18">
        <v>3.9283259999999998</v>
      </c>
      <c r="AD37" s="18">
        <v>20.675399999999996</v>
      </c>
    </row>
    <row r="38" spans="2:30" x14ac:dyDescent="0.25">
      <c r="B38" t="s">
        <v>763</v>
      </c>
      <c r="C38" t="s">
        <v>50</v>
      </c>
      <c r="E38" s="35">
        <v>2.25</v>
      </c>
      <c r="F38" s="35">
        <v>51.05</v>
      </c>
      <c r="G38" s="36">
        <v>5.7431000000000003E-2</v>
      </c>
      <c r="H38" s="18"/>
      <c r="I38" s="16" t="s">
        <v>766</v>
      </c>
      <c r="J38" s="16" t="s">
        <v>52</v>
      </c>
      <c r="K38" s="16"/>
      <c r="L38" s="37"/>
      <c r="M38" s="37"/>
      <c r="N38" s="37"/>
      <c r="O38" s="37"/>
      <c r="P38" s="37"/>
      <c r="Q38" s="18">
        <v>0.631741</v>
      </c>
      <c r="R38" s="18">
        <v>4.3073249999999999E-3</v>
      </c>
      <c r="S38" s="18">
        <v>1.206051</v>
      </c>
      <c r="T38" s="18">
        <v>5.1687900000000004</v>
      </c>
      <c r="U38" s="18">
        <v>2.5843950000000002</v>
      </c>
      <c r="V38" s="18">
        <v>33.080255999999999</v>
      </c>
      <c r="W38" s="18">
        <v>31.012740000000001</v>
      </c>
      <c r="X38" s="18">
        <v>20.675160000000002</v>
      </c>
      <c r="Y38" s="18">
        <v>0.91889600000000005</v>
      </c>
      <c r="Z38" s="18">
        <v>4.0776010000000005</v>
      </c>
      <c r="AA38" s="18">
        <v>5.9728240000000001</v>
      </c>
      <c r="AB38" s="18">
        <v>10.624735000000001</v>
      </c>
      <c r="AC38" s="18">
        <v>3.2735670000000003</v>
      </c>
      <c r="AD38" s="18">
        <v>17.229300000000002</v>
      </c>
    </row>
    <row r="39" spans="2:30" x14ac:dyDescent="0.25">
      <c r="B39" t="s">
        <v>763</v>
      </c>
      <c r="C39" t="s">
        <v>50</v>
      </c>
      <c r="E39" s="35">
        <v>2.25</v>
      </c>
      <c r="F39" s="35">
        <v>40.840000000000003</v>
      </c>
      <c r="G39" s="36">
        <v>4.5945E-2</v>
      </c>
      <c r="H39" s="18"/>
      <c r="I39" s="16" t="s">
        <v>768</v>
      </c>
      <c r="J39" s="16" t="s">
        <v>52</v>
      </c>
      <c r="K39" s="16"/>
      <c r="L39" s="37"/>
      <c r="M39" s="37"/>
      <c r="N39" s="37"/>
      <c r="O39" s="37"/>
      <c r="P39" s="37"/>
      <c r="Q39" s="18">
        <v>0.50539500000000004</v>
      </c>
      <c r="R39" s="18">
        <v>3.4458749999999997E-3</v>
      </c>
      <c r="S39" s="18">
        <v>0.96484499999999995</v>
      </c>
      <c r="T39" s="18">
        <v>4.1350499999999997</v>
      </c>
      <c r="U39" s="18">
        <v>2.0675249999999998</v>
      </c>
      <c r="V39" s="18">
        <v>26.464320000000001</v>
      </c>
      <c r="W39" s="18">
        <v>24.810300000000002</v>
      </c>
      <c r="X39" s="18">
        <v>16.540199999999999</v>
      </c>
      <c r="Y39" s="18">
        <v>0.73512</v>
      </c>
      <c r="Z39" s="18">
        <v>3.262095</v>
      </c>
      <c r="AA39" s="18">
        <v>4.7782799999999996</v>
      </c>
      <c r="AB39" s="18">
        <v>8.4998249999999995</v>
      </c>
      <c r="AC39" s="18">
        <v>2.618865</v>
      </c>
      <c r="AD39" s="18">
        <v>13.7835</v>
      </c>
    </row>
    <row r="40" spans="2:30" x14ac:dyDescent="0.25">
      <c r="B40" t="s">
        <v>763</v>
      </c>
      <c r="C40" t="s">
        <v>50</v>
      </c>
      <c r="E40" s="35">
        <v>2.25</v>
      </c>
      <c r="F40" s="35">
        <v>40.840000000000003</v>
      </c>
      <c r="G40" s="36">
        <v>4.5945E-2</v>
      </c>
      <c r="H40" s="18"/>
      <c r="I40" s="16" t="s">
        <v>768</v>
      </c>
      <c r="J40" s="16" t="s">
        <v>52</v>
      </c>
      <c r="K40" s="16"/>
      <c r="L40" s="37"/>
      <c r="M40" s="37"/>
      <c r="N40" s="37"/>
      <c r="O40" s="37"/>
      <c r="P40" s="37"/>
      <c r="Q40" s="18">
        <v>0.50539500000000004</v>
      </c>
      <c r="R40" s="18">
        <v>3.4458749999999997E-3</v>
      </c>
      <c r="S40" s="18">
        <v>0.96484499999999995</v>
      </c>
      <c r="T40" s="18">
        <v>4.1350499999999997</v>
      </c>
      <c r="U40" s="18">
        <v>2.0675249999999998</v>
      </c>
      <c r="V40" s="18">
        <v>26.464320000000001</v>
      </c>
      <c r="W40" s="18">
        <v>24.810300000000002</v>
      </c>
      <c r="X40" s="18">
        <v>16.540199999999999</v>
      </c>
      <c r="Y40" s="18">
        <v>0.73512</v>
      </c>
      <c r="Z40" s="18">
        <v>3.262095</v>
      </c>
      <c r="AA40" s="18">
        <v>4.7782799999999996</v>
      </c>
      <c r="AB40" s="18">
        <v>8.4998249999999995</v>
      </c>
      <c r="AC40" s="18">
        <v>2.618865</v>
      </c>
      <c r="AD40" s="18">
        <v>13.7835</v>
      </c>
    </row>
    <row r="41" spans="2:30" x14ac:dyDescent="0.25">
      <c r="B41" t="s">
        <v>763</v>
      </c>
      <c r="C41" t="s">
        <v>50</v>
      </c>
      <c r="E41" s="35">
        <v>2.25</v>
      </c>
      <c r="F41" s="35">
        <v>40.840000000000003</v>
      </c>
      <c r="G41" s="36">
        <v>4.5945E-2</v>
      </c>
      <c r="H41" s="18"/>
      <c r="I41" s="16" t="s">
        <v>768</v>
      </c>
      <c r="J41" s="16" t="s">
        <v>52</v>
      </c>
      <c r="K41" s="16"/>
      <c r="L41" s="37"/>
      <c r="M41" s="37"/>
      <c r="N41" s="37"/>
      <c r="O41" s="37"/>
      <c r="P41" s="37"/>
      <c r="Q41" s="18">
        <v>0.50539500000000004</v>
      </c>
      <c r="R41" s="18">
        <v>3.4458749999999997E-3</v>
      </c>
      <c r="S41" s="18">
        <v>0.96484499999999995</v>
      </c>
      <c r="T41" s="18">
        <v>4.1350499999999997</v>
      </c>
      <c r="U41" s="18">
        <v>2.0675249999999998</v>
      </c>
      <c r="V41" s="18">
        <v>26.464320000000001</v>
      </c>
      <c r="W41" s="18">
        <v>24.810300000000002</v>
      </c>
      <c r="X41" s="18">
        <v>16.540199999999999</v>
      </c>
      <c r="Y41" s="18">
        <v>0.73512</v>
      </c>
      <c r="Z41" s="18">
        <v>3.262095</v>
      </c>
      <c r="AA41" s="18">
        <v>4.7782799999999996</v>
      </c>
      <c r="AB41" s="18">
        <v>8.4998249999999995</v>
      </c>
      <c r="AC41" s="18">
        <v>2.618865</v>
      </c>
      <c r="AD41" s="18">
        <v>13.7835</v>
      </c>
    </row>
    <row r="42" spans="2:30" x14ac:dyDescent="0.25">
      <c r="B42" t="s">
        <v>763</v>
      </c>
      <c r="C42" t="s">
        <v>50</v>
      </c>
      <c r="E42" s="35">
        <v>2.25</v>
      </c>
      <c r="F42" s="35">
        <v>51.05</v>
      </c>
      <c r="G42" s="36">
        <v>5.7431000000000003E-2</v>
      </c>
      <c r="H42" s="18"/>
      <c r="I42" s="16" t="s">
        <v>766</v>
      </c>
      <c r="J42" s="16" t="s">
        <v>52</v>
      </c>
      <c r="K42" s="16"/>
      <c r="L42" s="37"/>
      <c r="M42" s="37"/>
      <c r="N42" s="37"/>
      <c r="O42" s="37"/>
      <c r="P42" s="37"/>
      <c r="Q42" s="18">
        <v>0.631741</v>
      </c>
      <c r="R42" s="18">
        <v>4.3073249999999999E-3</v>
      </c>
      <c r="S42" s="18">
        <v>1.206051</v>
      </c>
      <c r="T42" s="18">
        <v>5.1687900000000004</v>
      </c>
      <c r="U42" s="18">
        <v>2.5843950000000002</v>
      </c>
      <c r="V42" s="18">
        <v>33.080255999999999</v>
      </c>
      <c r="W42" s="18">
        <v>31.012740000000001</v>
      </c>
      <c r="X42" s="18">
        <v>20.675160000000002</v>
      </c>
      <c r="Y42" s="18">
        <v>0.91889600000000005</v>
      </c>
      <c r="Z42" s="18">
        <v>4.0776010000000005</v>
      </c>
      <c r="AA42" s="18">
        <v>5.9728240000000001</v>
      </c>
      <c r="AB42" s="18">
        <v>10.624735000000001</v>
      </c>
      <c r="AC42" s="18">
        <v>3.2735670000000003</v>
      </c>
      <c r="AD42" s="18">
        <v>17.229300000000002</v>
      </c>
    </row>
    <row r="43" spans="2:30" x14ac:dyDescent="0.25">
      <c r="B43" t="s">
        <v>763</v>
      </c>
      <c r="C43" t="s">
        <v>50</v>
      </c>
      <c r="E43" s="35">
        <v>2.25</v>
      </c>
      <c r="F43" s="35">
        <v>51.05</v>
      </c>
      <c r="G43" s="36">
        <v>5.7431000000000003E-2</v>
      </c>
      <c r="H43" s="18"/>
      <c r="I43" s="16" t="s">
        <v>766</v>
      </c>
      <c r="J43" s="16" t="s">
        <v>52</v>
      </c>
      <c r="K43" s="16"/>
      <c r="L43" s="37"/>
      <c r="M43" s="37"/>
      <c r="N43" s="37"/>
      <c r="O43" s="37"/>
      <c r="P43" s="37"/>
      <c r="Q43" s="18">
        <v>0.631741</v>
      </c>
      <c r="R43" s="18">
        <v>4.3073249999999999E-3</v>
      </c>
      <c r="S43" s="18">
        <v>1.206051</v>
      </c>
      <c r="T43" s="18">
        <v>5.1687900000000004</v>
      </c>
      <c r="U43" s="18">
        <v>2.5843950000000002</v>
      </c>
      <c r="V43" s="18">
        <v>33.080255999999999</v>
      </c>
      <c r="W43" s="18">
        <v>31.012740000000001</v>
      </c>
      <c r="X43" s="18">
        <v>20.675160000000002</v>
      </c>
      <c r="Y43" s="18">
        <v>0.91889600000000005</v>
      </c>
      <c r="Z43" s="18">
        <v>4.0776010000000005</v>
      </c>
      <c r="AA43" s="18">
        <v>5.9728240000000001</v>
      </c>
      <c r="AB43" s="18">
        <v>10.624735000000001</v>
      </c>
      <c r="AC43" s="18">
        <v>3.2735670000000003</v>
      </c>
      <c r="AD43" s="18">
        <v>17.229300000000002</v>
      </c>
    </row>
    <row r="44" spans="2:30" x14ac:dyDescent="0.25">
      <c r="B44" t="s">
        <v>763</v>
      </c>
      <c r="C44" t="s">
        <v>50</v>
      </c>
      <c r="E44" s="35">
        <v>2.25</v>
      </c>
      <c r="F44" s="35">
        <v>40.840000000000003</v>
      </c>
      <c r="G44" s="36">
        <v>4.5945E-2</v>
      </c>
      <c r="H44" s="18"/>
      <c r="I44" s="16" t="s">
        <v>768</v>
      </c>
      <c r="J44" s="16" t="s">
        <v>52</v>
      </c>
      <c r="K44" s="16"/>
      <c r="L44" s="37"/>
      <c r="M44" s="37"/>
      <c r="N44" s="37"/>
      <c r="O44" s="37"/>
      <c r="P44" s="37"/>
      <c r="Q44" s="18">
        <v>0.50539500000000004</v>
      </c>
      <c r="R44" s="18">
        <v>3.4458749999999997E-3</v>
      </c>
      <c r="S44" s="18">
        <v>0.96484499999999995</v>
      </c>
      <c r="T44" s="18">
        <v>4.1350499999999997</v>
      </c>
      <c r="U44" s="18">
        <v>2.0675249999999998</v>
      </c>
      <c r="V44" s="18">
        <v>26.464320000000001</v>
      </c>
      <c r="W44" s="18">
        <v>24.810300000000002</v>
      </c>
      <c r="X44" s="18">
        <v>16.540199999999999</v>
      </c>
      <c r="Y44" s="18">
        <v>0.73512</v>
      </c>
      <c r="Z44" s="18">
        <v>3.262095</v>
      </c>
      <c r="AA44" s="18">
        <v>4.7782799999999996</v>
      </c>
      <c r="AB44" s="18">
        <v>8.4998249999999995</v>
      </c>
      <c r="AC44" s="18">
        <v>2.618865</v>
      </c>
      <c r="AD44" s="18">
        <v>13.7835</v>
      </c>
    </row>
    <row r="45" spans="2:30" x14ac:dyDescent="0.25">
      <c r="B45" t="s">
        <v>763</v>
      </c>
      <c r="C45" t="s">
        <v>50</v>
      </c>
      <c r="E45" s="35">
        <v>2.25</v>
      </c>
      <c r="F45" s="35">
        <v>51.05</v>
      </c>
      <c r="G45" s="36">
        <v>5.7431000000000003E-2</v>
      </c>
      <c r="H45" s="18"/>
      <c r="I45" s="16" t="s">
        <v>766</v>
      </c>
      <c r="J45" s="16" t="s">
        <v>52</v>
      </c>
      <c r="K45" s="16"/>
      <c r="L45" s="37"/>
      <c r="M45" s="37"/>
      <c r="N45" s="37"/>
      <c r="O45" s="37"/>
      <c r="P45" s="37"/>
      <c r="Q45" s="18">
        <v>0.631741</v>
      </c>
      <c r="R45" s="18">
        <v>4.3073249999999999E-3</v>
      </c>
      <c r="S45" s="18">
        <v>1.206051</v>
      </c>
      <c r="T45" s="18">
        <v>5.1687900000000004</v>
      </c>
      <c r="U45" s="18">
        <v>2.5843950000000002</v>
      </c>
      <c r="V45" s="18">
        <v>33.080255999999999</v>
      </c>
      <c r="W45" s="18">
        <v>31.012740000000001</v>
      </c>
      <c r="X45" s="18">
        <v>20.675160000000002</v>
      </c>
      <c r="Y45" s="18">
        <v>0.91889600000000005</v>
      </c>
      <c r="Z45" s="18">
        <v>4.0776010000000005</v>
      </c>
      <c r="AA45" s="18">
        <v>5.9728240000000001</v>
      </c>
      <c r="AB45" s="18">
        <v>10.624735000000001</v>
      </c>
      <c r="AC45" s="18">
        <v>3.2735670000000003</v>
      </c>
      <c r="AD45" s="18">
        <v>17.229300000000002</v>
      </c>
    </row>
    <row r="46" spans="2:30" x14ac:dyDescent="0.25">
      <c r="B46" t="s">
        <v>763</v>
      </c>
      <c r="C46" t="s">
        <v>50</v>
      </c>
      <c r="E46" s="35">
        <v>2.25</v>
      </c>
      <c r="F46" s="35">
        <v>40.840000000000003</v>
      </c>
      <c r="G46" s="36">
        <v>4.5945E-2</v>
      </c>
      <c r="H46" s="18"/>
      <c r="I46" s="16" t="s">
        <v>768</v>
      </c>
      <c r="J46" s="16" t="s">
        <v>52</v>
      </c>
      <c r="K46" s="16"/>
      <c r="L46" s="37"/>
      <c r="M46" s="37"/>
      <c r="N46" s="37"/>
      <c r="O46" s="37"/>
      <c r="P46" s="37"/>
      <c r="Q46" s="18">
        <v>0.50539500000000004</v>
      </c>
      <c r="R46" s="18">
        <v>3.4458749999999997E-3</v>
      </c>
      <c r="S46" s="18">
        <v>0.96484499999999995</v>
      </c>
      <c r="T46" s="18">
        <v>4.1350499999999997</v>
      </c>
      <c r="U46" s="18">
        <v>2.0675249999999998</v>
      </c>
      <c r="V46" s="18">
        <v>26.464320000000001</v>
      </c>
      <c r="W46" s="18">
        <v>24.810300000000002</v>
      </c>
      <c r="X46" s="18">
        <v>16.540199999999999</v>
      </c>
      <c r="Y46" s="18">
        <v>0.73512</v>
      </c>
      <c r="Z46" s="18">
        <v>3.262095</v>
      </c>
      <c r="AA46" s="18">
        <v>4.7782799999999996</v>
      </c>
      <c r="AB46" s="18">
        <v>8.4998249999999995</v>
      </c>
      <c r="AC46" s="18">
        <v>2.618865</v>
      </c>
      <c r="AD46" s="18">
        <v>13.7835</v>
      </c>
    </row>
    <row r="47" spans="2:30" x14ac:dyDescent="0.25">
      <c r="B47" t="s">
        <v>763</v>
      </c>
      <c r="C47" t="s">
        <v>84</v>
      </c>
      <c r="E47" s="35">
        <v>2.25</v>
      </c>
      <c r="F47" s="35">
        <v>51.05</v>
      </c>
      <c r="G47" s="36">
        <v>5.7431000000000003E-2</v>
      </c>
      <c r="H47" s="18"/>
      <c r="I47" s="16" t="s">
        <v>766</v>
      </c>
      <c r="J47" s="16" t="s">
        <v>52</v>
      </c>
      <c r="K47" s="16"/>
      <c r="L47" s="37"/>
      <c r="M47" s="37"/>
      <c r="N47" s="37"/>
      <c r="O47" s="37"/>
      <c r="P47" s="37"/>
      <c r="Q47" s="18">
        <v>0.631741</v>
      </c>
      <c r="R47" s="18">
        <v>4.3073249999999999E-3</v>
      </c>
      <c r="S47" s="18">
        <v>1.206051</v>
      </c>
      <c r="T47" s="18">
        <v>5.1687900000000004</v>
      </c>
      <c r="U47" s="18">
        <v>2.5843950000000002</v>
      </c>
      <c r="V47" s="18">
        <v>33.080255999999999</v>
      </c>
      <c r="W47" s="18">
        <v>31.012740000000001</v>
      </c>
      <c r="X47" s="18">
        <v>20.675160000000002</v>
      </c>
      <c r="Y47" s="18">
        <v>0.91889600000000005</v>
      </c>
      <c r="Z47" s="18">
        <v>4.0776010000000005</v>
      </c>
      <c r="AA47" s="18">
        <v>5.9728240000000001</v>
      </c>
      <c r="AB47" s="18">
        <v>10.624735000000001</v>
      </c>
      <c r="AC47" s="18">
        <v>3.2735670000000003</v>
      </c>
      <c r="AD47" s="18">
        <v>17.229300000000002</v>
      </c>
    </row>
    <row r="48" spans="2:30" x14ac:dyDescent="0.25">
      <c r="B48" t="s">
        <v>763</v>
      </c>
      <c r="C48" t="s">
        <v>84</v>
      </c>
      <c r="E48" s="35">
        <v>2.25</v>
      </c>
      <c r="F48" s="35">
        <v>51.05</v>
      </c>
      <c r="G48" s="36">
        <v>5.7431000000000003E-2</v>
      </c>
      <c r="H48" s="18"/>
      <c r="I48" s="16" t="s">
        <v>766</v>
      </c>
      <c r="J48" s="16" t="s">
        <v>52</v>
      </c>
      <c r="K48" s="16"/>
      <c r="L48" s="37"/>
      <c r="M48" s="37"/>
      <c r="N48" s="37"/>
      <c r="O48" s="37"/>
      <c r="P48" s="37"/>
      <c r="Q48" s="18">
        <v>0.631741</v>
      </c>
      <c r="R48" s="18">
        <v>4.3073249999999999E-3</v>
      </c>
      <c r="S48" s="18">
        <v>1.206051</v>
      </c>
      <c r="T48" s="18">
        <v>5.1687900000000004</v>
      </c>
      <c r="U48" s="18">
        <v>2.5843950000000002</v>
      </c>
      <c r="V48" s="18">
        <v>33.080255999999999</v>
      </c>
      <c r="W48" s="18">
        <v>31.012740000000001</v>
      </c>
      <c r="X48" s="18">
        <v>20.675160000000002</v>
      </c>
      <c r="Y48" s="18">
        <v>0.91889600000000005</v>
      </c>
      <c r="Z48" s="18">
        <v>4.0776010000000005</v>
      </c>
      <c r="AA48" s="18">
        <v>5.9728240000000001</v>
      </c>
      <c r="AB48" s="18">
        <v>10.624735000000001</v>
      </c>
      <c r="AC48" s="18">
        <v>3.2735670000000003</v>
      </c>
      <c r="AD48" s="18">
        <v>17.229300000000002</v>
      </c>
    </row>
    <row r="49" spans="2:30" x14ac:dyDescent="0.25">
      <c r="B49" t="s">
        <v>763</v>
      </c>
      <c r="C49" t="s">
        <v>84</v>
      </c>
      <c r="E49" s="35">
        <v>2.25</v>
      </c>
      <c r="F49" s="35">
        <v>51.05</v>
      </c>
      <c r="G49" s="36">
        <v>5.7431000000000003E-2</v>
      </c>
      <c r="H49" s="18"/>
      <c r="I49" s="16" t="s">
        <v>766</v>
      </c>
      <c r="J49" s="16" t="s">
        <v>52</v>
      </c>
      <c r="K49" s="16"/>
      <c r="L49" s="37"/>
      <c r="M49" s="37"/>
      <c r="N49" s="37"/>
      <c r="O49" s="37"/>
      <c r="P49" s="37"/>
      <c r="Q49" s="18">
        <v>0.631741</v>
      </c>
      <c r="R49" s="18">
        <v>4.3073249999999999E-3</v>
      </c>
      <c r="S49" s="18">
        <v>1.206051</v>
      </c>
      <c r="T49" s="18">
        <v>5.1687900000000004</v>
      </c>
      <c r="U49" s="18">
        <v>2.5843950000000002</v>
      </c>
      <c r="V49" s="18">
        <v>33.080255999999999</v>
      </c>
      <c r="W49" s="18">
        <v>31.012740000000001</v>
      </c>
      <c r="X49" s="18">
        <v>20.675160000000002</v>
      </c>
      <c r="Y49" s="18">
        <v>0.91889600000000005</v>
      </c>
      <c r="Z49" s="18">
        <v>4.0776010000000005</v>
      </c>
      <c r="AA49" s="18">
        <v>5.9728240000000001</v>
      </c>
      <c r="AB49" s="18">
        <v>10.624735000000001</v>
      </c>
      <c r="AC49" s="18">
        <v>3.2735670000000003</v>
      </c>
      <c r="AD49" s="18">
        <v>17.229300000000002</v>
      </c>
    </row>
    <row r="50" spans="2:30" x14ac:dyDescent="0.25">
      <c r="B50" t="s">
        <v>763</v>
      </c>
      <c r="C50" t="s">
        <v>84</v>
      </c>
      <c r="E50" s="35">
        <v>2.25</v>
      </c>
      <c r="F50" s="35">
        <v>51.05</v>
      </c>
      <c r="G50" s="36">
        <v>5.7431000000000003E-2</v>
      </c>
      <c r="H50" s="18"/>
      <c r="I50" s="16" t="s">
        <v>766</v>
      </c>
      <c r="J50" s="16" t="s">
        <v>52</v>
      </c>
      <c r="K50" s="16"/>
      <c r="L50" s="37"/>
      <c r="M50" s="37"/>
      <c r="N50" s="37"/>
      <c r="O50" s="37"/>
      <c r="P50" s="37"/>
      <c r="Q50" s="18">
        <v>0.631741</v>
      </c>
      <c r="R50" s="18">
        <v>4.3073249999999999E-3</v>
      </c>
      <c r="S50" s="18">
        <v>1.206051</v>
      </c>
      <c r="T50" s="18">
        <v>5.1687900000000004</v>
      </c>
      <c r="U50" s="18">
        <v>2.5843950000000002</v>
      </c>
      <c r="V50" s="18">
        <v>33.080255999999999</v>
      </c>
      <c r="W50" s="18">
        <v>31.012740000000001</v>
      </c>
      <c r="X50" s="18">
        <v>20.675160000000002</v>
      </c>
      <c r="Y50" s="18">
        <v>0.91889600000000005</v>
      </c>
      <c r="Z50" s="18">
        <v>4.0776010000000005</v>
      </c>
      <c r="AA50" s="18">
        <v>5.9728240000000001</v>
      </c>
      <c r="AB50" s="18">
        <v>10.624735000000001</v>
      </c>
      <c r="AC50" s="18">
        <v>3.2735670000000003</v>
      </c>
      <c r="AD50" s="18">
        <v>17.229300000000002</v>
      </c>
    </row>
    <row r="51" spans="2:30" x14ac:dyDescent="0.25">
      <c r="B51" t="s">
        <v>763</v>
      </c>
      <c r="C51" t="s">
        <v>84</v>
      </c>
      <c r="E51" s="35">
        <v>2.25</v>
      </c>
      <c r="F51" s="35">
        <v>51.05</v>
      </c>
      <c r="G51" s="36">
        <v>5.7431000000000003E-2</v>
      </c>
      <c r="H51" s="18"/>
      <c r="I51" s="16" t="s">
        <v>766</v>
      </c>
      <c r="J51" s="16" t="s">
        <v>52</v>
      </c>
      <c r="K51" s="16"/>
      <c r="L51" s="37"/>
      <c r="M51" s="37"/>
      <c r="N51" s="37"/>
      <c r="O51" s="37"/>
      <c r="P51" s="37"/>
      <c r="Q51" s="18">
        <v>0.631741</v>
      </c>
      <c r="R51" s="18">
        <v>4.3073249999999999E-3</v>
      </c>
      <c r="S51" s="18">
        <v>1.206051</v>
      </c>
      <c r="T51" s="18">
        <v>5.1687900000000004</v>
      </c>
      <c r="U51" s="18">
        <v>2.5843950000000002</v>
      </c>
      <c r="V51" s="18">
        <v>33.080255999999999</v>
      </c>
      <c r="W51" s="18">
        <v>31.012740000000001</v>
      </c>
      <c r="X51" s="18">
        <v>20.675160000000002</v>
      </c>
      <c r="Y51" s="18">
        <v>0.91889600000000005</v>
      </c>
      <c r="Z51" s="18">
        <v>4.0776010000000005</v>
      </c>
      <c r="AA51" s="18">
        <v>5.9728240000000001</v>
      </c>
      <c r="AB51" s="18">
        <v>10.624735000000001</v>
      </c>
      <c r="AC51" s="18">
        <v>3.2735670000000003</v>
      </c>
      <c r="AD51" s="18">
        <v>17.229300000000002</v>
      </c>
    </row>
    <row r="52" spans="2:30" x14ac:dyDescent="0.25">
      <c r="B52" t="s">
        <v>763</v>
      </c>
      <c r="C52" t="s">
        <v>84</v>
      </c>
      <c r="E52" s="35">
        <v>2.25</v>
      </c>
      <c r="F52" s="35">
        <v>51.05</v>
      </c>
      <c r="G52" s="36">
        <v>5.7431000000000003E-2</v>
      </c>
      <c r="H52" s="18"/>
      <c r="I52" s="16" t="s">
        <v>766</v>
      </c>
      <c r="J52" s="16" t="s">
        <v>52</v>
      </c>
      <c r="K52" s="16"/>
      <c r="L52" s="37"/>
      <c r="M52" s="37"/>
      <c r="N52" s="37"/>
      <c r="O52" s="37"/>
      <c r="P52" s="37"/>
      <c r="Q52" s="18">
        <v>0.631741</v>
      </c>
      <c r="R52" s="18">
        <v>4.3073249999999999E-3</v>
      </c>
      <c r="S52" s="18">
        <v>1.206051</v>
      </c>
      <c r="T52" s="18">
        <v>5.1687900000000004</v>
      </c>
      <c r="U52" s="18">
        <v>2.5843950000000002</v>
      </c>
      <c r="V52" s="18">
        <v>33.080255999999999</v>
      </c>
      <c r="W52" s="18">
        <v>31.012740000000001</v>
      </c>
      <c r="X52" s="18">
        <v>20.675160000000002</v>
      </c>
      <c r="Y52" s="18">
        <v>0.91889600000000005</v>
      </c>
      <c r="Z52" s="18">
        <v>4.0776010000000005</v>
      </c>
      <c r="AA52" s="18">
        <v>5.9728240000000001</v>
      </c>
      <c r="AB52" s="18">
        <v>10.624735000000001</v>
      </c>
      <c r="AC52" s="18">
        <v>3.2735670000000003</v>
      </c>
      <c r="AD52" s="18">
        <v>17.229300000000002</v>
      </c>
    </row>
    <row r="53" spans="2:30" x14ac:dyDescent="0.25">
      <c r="B53" t="s">
        <v>763</v>
      </c>
      <c r="C53" t="s">
        <v>84</v>
      </c>
      <c r="E53" s="35">
        <v>2.25</v>
      </c>
      <c r="F53" s="35">
        <v>51.05</v>
      </c>
      <c r="G53" s="36">
        <v>5.7431000000000003E-2</v>
      </c>
      <c r="H53" s="18"/>
      <c r="I53" s="16" t="s">
        <v>766</v>
      </c>
      <c r="J53" s="16" t="s">
        <v>52</v>
      </c>
      <c r="K53" s="16"/>
      <c r="L53" s="37"/>
      <c r="M53" s="37"/>
      <c r="N53" s="37"/>
      <c r="O53" s="37"/>
      <c r="P53" s="37"/>
      <c r="Q53" s="18">
        <v>0.631741</v>
      </c>
      <c r="R53" s="18">
        <v>4.3073249999999999E-3</v>
      </c>
      <c r="S53" s="18">
        <v>1.206051</v>
      </c>
      <c r="T53" s="18">
        <v>5.1687900000000004</v>
      </c>
      <c r="U53" s="18">
        <v>2.5843950000000002</v>
      </c>
      <c r="V53" s="18">
        <v>33.080255999999999</v>
      </c>
      <c r="W53" s="18">
        <v>31.012740000000001</v>
      </c>
      <c r="X53" s="18">
        <v>20.675160000000002</v>
      </c>
      <c r="Y53" s="18">
        <v>0.91889600000000005</v>
      </c>
      <c r="Z53" s="18">
        <v>4.0776010000000005</v>
      </c>
      <c r="AA53" s="18">
        <v>5.9728240000000001</v>
      </c>
      <c r="AB53" s="18">
        <v>10.624735000000001</v>
      </c>
      <c r="AC53" s="18">
        <v>3.2735670000000003</v>
      </c>
      <c r="AD53" s="18">
        <v>17.229300000000002</v>
      </c>
    </row>
    <row r="54" spans="2:30" x14ac:dyDescent="0.25">
      <c r="B54" t="s">
        <v>763</v>
      </c>
      <c r="C54" t="s">
        <v>84</v>
      </c>
      <c r="E54" s="35">
        <v>2.25</v>
      </c>
      <c r="F54" s="35">
        <v>51.05</v>
      </c>
      <c r="G54" s="36">
        <v>5.7431000000000003E-2</v>
      </c>
      <c r="H54" s="18"/>
      <c r="I54" s="16" t="s">
        <v>766</v>
      </c>
      <c r="J54" s="16" t="s">
        <v>52</v>
      </c>
      <c r="K54" s="16"/>
      <c r="L54" s="37"/>
      <c r="M54" s="37"/>
      <c r="N54" s="37"/>
      <c r="O54" s="37"/>
      <c r="P54" s="37"/>
      <c r="Q54" s="18">
        <v>0.631741</v>
      </c>
      <c r="R54" s="18">
        <v>4.3073249999999999E-3</v>
      </c>
      <c r="S54" s="18">
        <v>1.206051</v>
      </c>
      <c r="T54" s="18">
        <v>5.1687900000000004</v>
      </c>
      <c r="U54" s="18">
        <v>2.5843950000000002</v>
      </c>
      <c r="V54" s="18">
        <v>33.080255999999999</v>
      </c>
      <c r="W54" s="18">
        <v>31.012740000000001</v>
      </c>
      <c r="X54" s="18">
        <v>20.675160000000002</v>
      </c>
      <c r="Y54" s="18">
        <v>0.91889600000000005</v>
      </c>
      <c r="Z54" s="18">
        <v>4.0776010000000005</v>
      </c>
      <c r="AA54" s="18">
        <v>5.9728240000000001</v>
      </c>
      <c r="AB54" s="18">
        <v>10.624735000000001</v>
      </c>
      <c r="AC54" s="18">
        <v>3.2735670000000003</v>
      </c>
      <c r="AD54" s="18">
        <v>17.229300000000002</v>
      </c>
    </row>
    <row r="55" spans="2:30" x14ac:dyDescent="0.25">
      <c r="B55" t="s">
        <v>763</v>
      </c>
      <c r="C55" t="s">
        <v>84</v>
      </c>
      <c r="E55" s="35">
        <v>2.25</v>
      </c>
      <c r="F55" s="35">
        <v>51.05</v>
      </c>
      <c r="G55" s="36">
        <v>5.7431000000000003E-2</v>
      </c>
      <c r="H55" s="18"/>
      <c r="I55" s="16" t="s">
        <v>766</v>
      </c>
      <c r="J55" s="16" t="s">
        <v>52</v>
      </c>
      <c r="K55" s="16"/>
      <c r="L55" s="37"/>
      <c r="M55" s="37"/>
      <c r="N55" s="37"/>
      <c r="O55" s="37"/>
      <c r="P55" s="37"/>
      <c r="Q55" s="18">
        <v>0.631741</v>
      </c>
      <c r="R55" s="18">
        <v>4.3073249999999999E-3</v>
      </c>
      <c r="S55" s="18">
        <v>1.206051</v>
      </c>
      <c r="T55" s="18">
        <v>5.1687900000000004</v>
      </c>
      <c r="U55" s="18">
        <v>2.5843950000000002</v>
      </c>
      <c r="V55" s="18">
        <v>33.080255999999999</v>
      </c>
      <c r="W55" s="18">
        <v>31.012740000000001</v>
      </c>
      <c r="X55" s="18">
        <v>20.675160000000002</v>
      </c>
      <c r="Y55" s="18">
        <v>0.91889600000000005</v>
      </c>
      <c r="Z55" s="18">
        <v>4.0776010000000005</v>
      </c>
      <c r="AA55" s="18">
        <v>5.9728240000000001</v>
      </c>
      <c r="AB55" s="18">
        <v>10.624735000000001</v>
      </c>
      <c r="AC55" s="18">
        <v>3.2735670000000003</v>
      </c>
      <c r="AD55" s="18">
        <v>17.229300000000002</v>
      </c>
    </row>
    <row r="56" spans="2:30" x14ac:dyDescent="0.25">
      <c r="B56" t="s">
        <v>763</v>
      </c>
      <c r="C56" t="s">
        <v>84</v>
      </c>
      <c r="E56" s="35">
        <v>2.25</v>
      </c>
      <c r="F56" s="35">
        <v>51.05</v>
      </c>
      <c r="G56" s="36">
        <v>5.7431000000000003E-2</v>
      </c>
      <c r="H56" s="18"/>
      <c r="I56" s="16" t="s">
        <v>766</v>
      </c>
      <c r="J56" s="16" t="s">
        <v>52</v>
      </c>
      <c r="K56" s="16"/>
      <c r="L56" s="37"/>
      <c r="M56" s="37"/>
      <c r="N56" s="37"/>
      <c r="O56" s="37"/>
      <c r="P56" s="37"/>
      <c r="Q56" s="18">
        <v>0.631741</v>
      </c>
      <c r="R56" s="18">
        <v>4.3073249999999999E-3</v>
      </c>
      <c r="S56" s="18">
        <v>1.206051</v>
      </c>
      <c r="T56" s="18">
        <v>5.1687900000000004</v>
      </c>
      <c r="U56" s="18">
        <v>2.5843950000000002</v>
      </c>
      <c r="V56" s="18">
        <v>33.080255999999999</v>
      </c>
      <c r="W56" s="18">
        <v>31.012740000000001</v>
      </c>
      <c r="X56" s="18">
        <v>20.675160000000002</v>
      </c>
      <c r="Y56" s="18">
        <v>0.91889600000000005</v>
      </c>
      <c r="Z56" s="18">
        <v>4.0776010000000005</v>
      </c>
      <c r="AA56" s="18">
        <v>5.9728240000000001</v>
      </c>
      <c r="AB56" s="18">
        <v>10.624735000000001</v>
      </c>
      <c r="AC56" s="18">
        <v>3.2735670000000003</v>
      </c>
      <c r="AD56" s="18">
        <v>17.229300000000002</v>
      </c>
    </row>
    <row r="57" spans="2:30" x14ac:dyDescent="0.25">
      <c r="B57" t="s">
        <v>763</v>
      </c>
      <c r="C57" t="s">
        <v>84</v>
      </c>
      <c r="E57" s="35">
        <v>2.25</v>
      </c>
      <c r="F57" s="35">
        <v>51.05</v>
      </c>
      <c r="G57" s="36">
        <v>5.7431000000000003E-2</v>
      </c>
      <c r="H57" s="18"/>
      <c r="I57" s="16" t="s">
        <v>766</v>
      </c>
      <c r="J57" s="16" t="s">
        <v>52</v>
      </c>
      <c r="K57" s="16"/>
      <c r="L57" s="37"/>
      <c r="M57" s="37"/>
      <c r="N57" s="37"/>
      <c r="O57" s="37"/>
      <c r="P57" s="37"/>
      <c r="Q57" s="18">
        <v>0.631741</v>
      </c>
      <c r="R57" s="18">
        <v>4.3073249999999999E-3</v>
      </c>
      <c r="S57" s="18">
        <v>1.206051</v>
      </c>
      <c r="T57" s="18">
        <v>5.1687900000000004</v>
      </c>
      <c r="U57" s="18">
        <v>2.5843950000000002</v>
      </c>
      <c r="V57" s="18">
        <v>33.080255999999999</v>
      </c>
      <c r="W57" s="18">
        <v>31.012740000000001</v>
      </c>
      <c r="X57" s="18">
        <v>20.675160000000002</v>
      </c>
      <c r="Y57" s="18">
        <v>0.91889600000000005</v>
      </c>
      <c r="Z57" s="18">
        <v>4.0776010000000005</v>
      </c>
      <c r="AA57" s="18">
        <v>5.9728240000000001</v>
      </c>
      <c r="AB57" s="18">
        <v>10.624735000000001</v>
      </c>
      <c r="AC57" s="18">
        <v>3.2735670000000003</v>
      </c>
      <c r="AD57" s="18">
        <v>17.229300000000002</v>
      </c>
    </row>
    <row r="58" spans="2:30" x14ac:dyDescent="0.25">
      <c r="B58" t="s">
        <v>763</v>
      </c>
      <c r="C58" t="s">
        <v>84</v>
      </c>
      <c r="E58" s="35">
        <v>2.25</v>
      </c>
      <c r="F58" s="35">
        <v>51.05</v>
      </c>
      <c r="G58" s="36">
        <v>5.7431000000000003E-2</v>
      </c>
      <c r="H58" s="18"/>
      <c r="I58" s="16" t="s">
        <v>766</v>
      </c>
      <c r="J58" s="16" t="s">
        <v>52</v>
      </c>
      <c r="K58" s="16"/>
      <c r="L58" s="37"/>
      <c r="M58" s="37"/>
      <c r="N58" s="37"/>
      <c r="O58" s="37"/>
      <c r="P58" s="37"/>
      <c r="Q58" s="18">
        <v>0.631741</v>
      </c>
      <c r="R58" s="18">
        <v>4.3073249999999999E-3</v>
      </c>
      <c r="S58" s="18">
        <v>1.206051</v>
      </c>
      <c r="T58" s="18">
        <v>5.1687900000000004</v>
      </c>
      <c r="U58" s="18">
        <v>2.5843950000000002</v>
      </c>
      <c r="V58" s="18">
        <v>33.080255999999999</v>
      </c>
      <c r="W58" s="18">
        <v>31.012740000000001</v>
      </c>
      <c r="X58" s="18">
        <v>20.675160000000002</v>
      </c>
      <c r="Y58" s="18">
        <v>0.91889600000000005</v>
      </c>
      <c r="Z58" s="18">
        <v>4.0776010000000005</v>
      </c>
      <c r="AA58" s="18">
        <v>5.9728240000000001</v>
      </c>
      <c r="AB58" s="18">
        <v>10.624735000000001</v>
      </c>
      <c r="AC58" s="18">
        <v>3.2735670000000003</v>
      </c>
      <c r="AD58" s="18">
        <v>17.229300000000002</v>
      </c>
    </row>
    <row r="59" spans="2:30" x14ac:dyDescent="0.25">
      <c r="B59" t="s">
        <v>763</v>
      </c>
      <c r="C59" t="s">
        <v>50</v>
      </c>
      <c r="E59" s="35">
        <v>2.25</v>
      </c>
      <c r="F59" s="35">
        <v>51.05</v>
      </c>
      <c r="G59" s="36">
        <v>5.7431000000000003E-2</v>
      </c>
      <c r="H59" s="18"/>
      <c r="I59" s="16" t="s">
        <v>766</v>
      </c>
      <c r="J59" s="16" t="s">
        <v>52</v>
      </c>
      <c r="K59" s="16"/>
      <c r="L59" s="37"/>
      <c r="M59" s="37"/>
      <c r="N59" s="37"/>
      <c r="O59" s="37"/>
      <c r="P59" s="37"/>
      <c r="Q59" s="18">
        <v>0.631741</v>
      </c>
      <c r="R59" s="18">
        <v>4.3073249999999999E-3</v>
      </c>
      <c r="S59" s="18">
        <v>1.206051</v>
      </c>
      <c r="T59" s="18">
        <v>5.1687900000000004</v>
      </c>
      <c r="U59" s="18">
        <v>2.5843950000000002</v>
      </c>
      <c r="V59" s="18">
        <v>33.080255999999999</v>
      </c>
      <c r="W59" s="18">
        <v>31.012740000000001</v>
      </c>
      <c r="X59" s="18">
        <v>20.675160000000002</v>
      </c>
      <c r="Y59" s="18">
        <v>0.91889600000000005</v>
      </c>
      <c r="Z59" s="18">
        <v>4.0776010000000005</v>
      </c>
      <c r="AA59" s="18">
        <v>5.9728240000000001</v>
      </c>
      <c r="AB59" s="18">
        <v>10.624735000000001</v>
      </c>
      <c r="AC59" s="18">
        <v>3.2735670000000003</v>
      </c>
      <c r="AD59" s="18">
        <v>17.229300000000002</v>
      </c>
    </row>
    <row r="60" spans="2:30" x14ac:dyDescent="0.25">
      <c r="B60" t="s">
        <v>763</v>
      </c>
      <c r="C60" t="s">
        <v>50</v>
      </c>
      <c r="E60" s="35">
        <v>2.25</v>
      </c>
      <c r="F60" s="35">
        <v>51.05</v>
      </c>
      <c r="G60" s="36">
        <v>5.7431000000000003E-2</v>
      </c>
      <c r="H60" s="18"/>
      <c r="I60" s="16" t="s">
        <v>766</v>
      </c>
      <c r="J60" s="16" t="s">
        <v>52</v>
      </c>
      <c r="K60" s="16"/>
      <c r="L60" s="37"/>
      <c r="M60" s="37"/>
      <c r="N60" s="37"/>
      <c r="O60" s="37"/>
      <c r="P60" s="37"/>
      <c r="Q60" s="18">
        <v>0.631741</v>
      </c>
      <c r="R60" s="18">
        <v>4.3073249999999999E-3</v>
      </c>
      <c r="S60" s="18">
        <v>1.206051</v>
      </c>
      <c r="T60" s="18">
        <v>5.1687900000000004</v>
      </c>
      <c r="U60" s="18">
        <v>2.5843950000000002</v>
      </c>
      <c r="V60" s="18">
        <v>33.080255999999999</v>
      </c>
      <c r="W60" s="18">
        <v>31.012740000000001</v>
      </c>
      <c r="X60" s="18">
        <v>20.675160000000002</v>
      </c>
      <c r="Y60" s="18">
        <v>0.91889600000000005</v>
      </c>
      <c r="Z60" s="18">
        <v>4.0776010000000005</v>
      </c>
      <c r="AA60" s="18">
        <v>5.9728240000000001</v>
      </c>
      <c r="AB60" s="18">
        <v>10.624735000000001</v>
      </c>
      <c r="AC60" s="18">
        <v>3.2735670000000003</v>
      </c>
      <c r="AD60" s="18">
        <v>17.229300000000002</v>
      </c>
    </row>
    <row r="61" spans="2:30" x14ac:dyDescent="0.25">
      <c r="B61" t="s">
        <v>763</v>
      </c>
      <c r="C61" t="s">
        <v>50</v>
      </c>
      <c r="E61" s="35">
        <v>2.25</v>
      </c>
      <c r="F61" s="35">
        <v>51.05</v>
      </c>
      <c r="G61" s="36">
        <v>5.7431000000000003E-2</v>
      </c>
      <c r="H61" s="18"/>
      <c r="I61" s="16" t="s">
        <v>766</v>
      </c>
      <c r="J61" s="16" t="s">
        <v>52</v>
      </c>
      <c r="K61" s="16"/>
      <c r="L61" s="37"/>
      <c r="M61" s="37"/>
      <c r="N61" s="37"/>
      <c r="O61" s="37"/>
      <c r="P61" s="37"/>
      <c r="Q61" s="18">
        <v>0.631741</v>
      </c>
      <c r="R61" s="18">
        <v>4.3073249999999999E-3</v>
      </c>
      <c r="S61" s="18">
        <v>1.206051</v>
      </c>
      <c r="T61" s="18">
        <v>5.1687900000000004</v>
      </c>
      <c r="U61" s="18">
        <v>2.5843950000000002</v>
      </c>
      <c r="V61" s="18">
        <v>33.080255999999999</v>
      </c>
      <c r="W61" s="18">
        <v>31.012740000000001</v>
      </c>
      <c r="X61" s="18">
        <v>20.675160000000002</v>
      </c>
      <c r="Y61" s="18">
        <v>0.91889600000000005</v>
      </c>
      <c r="Z61" s="18">
        <v>4.0776010000000005</v>
      </c>
      <c r="AA61" s="18">
        <v>5.9728240000000001</v>
      </c>
      <c r="AB61" s="18">
        <v>10.624735000000001</v>
      </c>
      <c r="AC61" s="18">
        <v>3.2735670000000003</v>
      </c>
      <c r="AD61" s="18">
        <v>17.229300000000002</v>
      </c>
    </row>
    <row r="62" spans="2:30" x14ac:dyDescent="0.25">
      <c r="B62" t="s">
        <v>763</v>
      </c>
      <c r="C62" t="s">
        <v>50</v>
      </c>
      <c r="E62" s="35">
        <v>2.25</v>
      </c>
      <c r="F62" s="35">
        <v>51.05</v>
      </c>
      <c r="G62" s="36">
        <v>5.7431000000000003E-2</v>
      </c>
      <c r="H62" s="18"/>
      <c r="I62" s="16" t="s">
        <v>766</v>
      </c>
      <c r="J62" s="16" t="s">
        <v>52</v>
      </c>
      <c r="K62" s="16"/>
      <c r="L62" s="37"/>
      <c r="M62" s="37"/>
      <c r="N62" s="37"/>
      <c r="O62" s="37"/>
      <c r="P62" s="37"/>
      <c r="Q62" s="18">
        <v>0.631741</v>
      </c>
      <c r="R62" s="18">
        <v>4.3073249999999999E-3</v>
      </c>
      <c r="S62" s="18">
        <v>1.206051</v>
      </c>
      <c r="T62" s="18">
        <v>5.1687900000000004</v>
      </c>
      <c r="U62" s="18">
        <v>2.5843950000000002</v>
      </c>
      <c r="V62" s="18">
        <v>33.080255999999999</v>
      </c>
      <c r="W62" s="18">
        <v>31.012740000000001</v>
      </c>
      <c r="X62" s="18">
        <v>20.675160000000002</v>
      </c>
      <c r="Y62" s="18">
        <v>0.91889600000000005</v>
      </c>
      <c r="Z62" s="18">
        <v>4.0776010000000005</v>
      </c>
      <c r="AA62" s="18">
        <v>5.9728240000000001</v>
      </c>
      <c r="AB62" s="18">
        <v>10.624735000000001</v>
      </c>
      <c r="AC62" s="18">
        <v>3.2735670000000003</v>
      </c>
      <c r="AD62" s="18">
        <v>17.229300000000002</v>
      </c>
    </row>
    <row r="63" spans="2:30" x14ac:dyDescent="0.25">
      <c r="B63" t="s">
        <v>763</v>
      </c>
      <c r="C63" t="s">
        <v>50</v>
      </c>
      <c r="E63" s="35">
        <v>2.7777780000000001</v>
      </c>
      <c r="F63" s="35">
        <v>30.63</v>
      </c>
      <c r="G63" s="36">
        <v>4.2542000000000003E-2</v>
      </c>
      <c r="H63" s="18"/>
      <c r="I63" s="16" t="s">
        <v>765</v>
      </c>
      <c r="J63" s="16" t="s">
        <v>52</v>
      </c>
      <c r="K63" s="16"/>
      <c r="L63" s="37"/>
      <c r="M63" s="37"/>
      <c r="N63" s="37"/>
      <c r="O63" s="37"/>
      <c r="P63" s="37"/>
      <c r="Q63" s="18">
        <v>0.46796200000000004</v>
      </c>
      <c r="R63" s="18">
        <v>3.1906500000000002E-3</v>
      </c>
      <c r="S63" s="18">
        <v>0.89338200000000012</v>
      </c>
      <c r="T63" s="18">
        <v>3.8287800000000005</v>
      </c>
      <c r="U63" s="18">
        <v>1.9143900000000003</v>
      </c>
      <c r="V63" s="18">
        <v>24.504192000000003</v>
      </c>
      <c r="W63" s="18">
        <v>22.97268</v>
      </c>
      <c r="X63" s="18">
        <v>15.315120000000002</v>
      </c>
      <c r="Y63" s="18">
        <v>0.68067200000000005</v>
      </c>
      <c r="Z63" s="18">
        <v>3.0204820000000003</v>
      </c>
      <c r="AA63" s="18">
        <v>4.4243680000000003</v>
      </c>
      <c r="AB63" s="18">
        <v>7.8702700000000005</v>
      </c>
      <c r="AC63" s="18">
        <v>2.4248940000000001</v>
      </c>
      <c r="AD63" s="18">
        <v>12.762600000000001</v>
      </c>
    </row>
    <row r="64" spans="2:30" x14ac:dyDescent="0.25">
      <c r="B64" t="s">
        <v>763</v>
      </c>
      <c r="C64" t="s">
        <v>50</v>
      </c>
      <c r="E64" s="35">
        <v>2.25</v>
      </c>
      <c r="F64" s="35">
        <v>30.63</v>
      </c>
      <c r="G64" s="36">
        <v>3.4458999999999997E-2</v>
      </c>
      <c r="H64" s="18"/>
      <c r="I64" s="16" t="s">
        <v>765</v>
      </c>
      <c r="J64" s="16" t="s">
        <v>52</v>
      </c>
      <c r="K64" s="16"/>
      <c r="L64" s="37"/>
      <c r="M64" s="37"/>
      <c r="N64" s="37"/>
      <c r="O64" s="37"/>
      <c r="P64" s="37"/>
      <c r="Q64" s="18">
        <v>0.37904899999999997</v>
      </c>
      <c r="R64" s="18">
        <v>2.5844249999999996E-3</v>
      </c>
      <c r="S64" s="18">
        <v>0.72363899999999992</v>
      </c>
      <c r="T64" s="18">
        <v>3.1013099999999998</v>
      </c>
      <c r="U64" s="18">
        <v>1.5506549999999999</v>
      </c>
      <c r="V64" s="18">
        <v>19.848383999999999</v>
      </c>
      <c r="W64" s="18">
        <v>18.607859999999999</v>
      </c>
      <c r="X64" s="18">
        <v>12.405239999999999</v>
      </c>
      <c r="Y64" s="18">
        <v>0.55134399999999995</v>
      </c>
      <c r="Z64" s="18">
        <v>2.4465889999999999</v>
      </c>
      <c r="AA64" s="18">
        <v>3.5837359999999996</v>
      </c>
      <c r="AB64" s="18">
        <v>6.3749149999999997</v>
      </c>
      <c r="AC64" s="18">
        <v>1.9641629999999999</v>
      </c>
      <c r="AD64" s="18">
        <v>10.337699999999998</v>
      </c>
    </row>
    <row r="65" spans="2:30" x14ac:dyDescent="0.25">
      <c r="B65" t="s">
        <v>763</v>
      </c>
      <c r="C65" t="s">
        <v>50</v>
      </c>
      <c r="E65" s="35">
        <v>2.25</v>
      </c>
      <c r="F65" s="35">
        <v>30.63</v>
      </c>
      <c r="G65" s="36">
        <v>3.4458999999999997E-2</v>
      </c>
      <c r="H65" s="18"/>
      <c r="I65" s="16" t="s">
        <v>765</v>
      </c>
      <c r="J65" s="16" t="s">
        <v>52</v>
      </c>
      <c r="K65" s="16"/>
      <c r="L65" s="37"/>
      <c r="M65" s="37"/>
      <c r="N65" s="37"/>
      <c r="O65" s="37"/>
      <c r="P65" s="37"/>
      <c r="Q65" s="18">
        <v>0.37904899999999997</v>
      </c>
      <c r="R65" s="18">
        <v>2.5844249999999996E-3</v>
      </c>
      <c r="S65" s="18">
        <v>0.72363899999999992</v>
      </c>
      <c r="T65" s="18">
        <v>3.1013099999999998</v>
      </c>
      <c r="U65" s="18">
        <v>1.5506549999999999</v>
      </c>
      <c r="V65" s="18">
        <v>19.848383999999999</v>
      </c>
      <c r="W65" s="18">
        <v>18.607859999999999</v>
      </c>
      <c r="X65" s="18">
        <v>12.405239999999999</v>
      </c>
      <c r="Y65" s="18">
        <v>0.55134399999999995</v>
      </c>
      <c r="Z65" s="18">
        <v>2.4465889999999999</v>
      </c>
      <c r="AA65" s="18">
        <v>3.5837359999999996</v>
      </c>
      <c r="AB65" s="18">
        <v>6.3749149999999997</v>
      </c>
      <c r="AC65" s="18">
        <v>1.9641629999999999</v>
      </c>
      <c r="AD65" s="18">
        <v>10.337699999999998</v>
      </c>
    </row>
    <row r="66" spans="2:30" x14ac:dyDescent="0.25">
      <c r="B66" t="s">
        <v>763</v>
      </c>
      <c r="C66" t="s">
        <v>50</v>
      </c>
      <c r="E66" s="35">
        <v>2.25</v>
      </c>
      <c r="F66" s="35">
        <v>30.63</v>
      </c>
      <c r="G66" s="36">
        <v>3.4458999999999997E-2</v>
      </c>
      <c r="H66" s="18"/>
      <c r="I66" s="16" t="s">
        <v>765</v>
      </c>
      <c r="J66" s="16" t="s">
        <v>52</v>
      </c>
      <c r="K66" s="16"/>
      <c r="L66" s="37"/>
      <c r="M66" s="37"/>
      <c r="N66" s="37"/>
      <c r="O66" s="37"/>
      <c r="P66" s="37"/>
      <c r="Q66" s="18">
        <v>0.37904899999999997</v>
      </c>
      <c r="R66" s="18">
        <v>2.5844249999999996E-3</v>
      </c>
      <c r="S66" s="18">
        <v>0.72363899999999992</v>
      </c>
      <c r="T66" s="18">
        <v>3.1013099999999998</v>
      </c>
      <c r="U66" s="18">
        <v>1.5506549999999999</v>
      </c>
      <c r="V66" s="18">
        <v>19.848383999999999</v>
      </c>
      <c r="W66" s="18">
        <v>18.607859999999999</v>
      </c>
      <c r="X66" s="18">
        <v>12.405239999999999</v>
      </c>
      <c r="Y66" s="18">
        <v>0.55134399999999995</v>
      </c>
      <c r="Z66" s="18">
        <v>2.4465889999999999</v>
      </c>
      <c r="AA66" s="18">
        <v>3.5837359999999996</v>
      </c>
      <c r="AB66" s="18">
        <v>6.3749149999999997</v>
      </c>
      <c r="AC66" s="18">
        <v>1.9641629999999999</v>
      </c>
      <c r="AD66" s="18">
        <v>10.337699999999998</v>
      </c>
    </row>
    <row r="67" spans="2:30" x14ac:dyDescent="0.25">
      <c r="B67" t="s">
        <v>763</v>
      </c>
      <c r="C67" t="s">
        <v>50</v>
      </c>
      <c r="E67" s="35">
        <v>2.25</v>
      </c>
      <c r="F67" s="35">
        <v>30.63</v>
      </c>
      <c r="G67" s="36">
        <v>3.4458999999999997E-2</v>
      </c>
      <c r="H67" s="18"/>
      <c r="I67" s="16" t="s">
        <v>765</v>
      </c>
      <c r="J67" s="16" t="s">
        <v>52</v>
      </c>
      <c r="K67" s="16"/>
      <c r="L67" s="37"/>
      <c r="M67" s="37"/>
      <c r="N67" s="37"/>
      <c r="O67" s="37"/>
      <c r="P67" s="37"/>
      <c r="Q67" s="18">
        <v>0.37904899999999997</v>
      </c>
      <c r="R67" s="18">
        <v>2.5844249999999996E-3</v>
      </c>
      <c r="S67" s="18">
        <v>0.72363899999999992</v>
      </c>
      <c r="T67" s="18">
        <v>3.1013099999999998</v>
      </c>
      <c r="U67" s="18">
        <v>1.5506549999999999</v>
      </c>
      <c r="V67" s="18">
        <v>19.848383999999999</v>
      </c>
      <c r="W67" s="18">
        <v>18.607859999999999</v>
      </c>
      <c r="X67" s="18">
        <v>12.405239999999999</v>
      </c>
      <c r="Y67" s="18">
        <v>0.55134399999999995</v>
      </c>
      <c r="Z67" s="18">
        <v>2.4465889999999999</v>
      </c>
      <c r="AA67" s="18">
        <v>3.5837359999999996</v>
      </c>
      <c r="AB67" s="18">
        <v>6.3749149999999997</v>
      </c>
      <c r="AC67" s="18">
        <v>1.9641629999999999</v>
      </c>
      <c r="AD67" s="18">
        <v>10.337699999999998</v>
      </c>
    </row>
    <row r="68" spans="2:30" x14ac:dyDescent="0.25">
      <c r="B68" t="s">
        <v>763</v>
      </c>
      <c r="C68" t="s">
        <v>50</v>
      </c>
      <c r="E68" s="35">
        <v>2.25</v>
      </c>
      <c r="F68" s="35">
        <v>51.05</v>
      </c>
      <c r="G68" s="36">
        <v>5.7431000000000003E-2</v>
      </c>
      <c r="H68" s="18"/>
      <c r="I68" s="16" t="s">
        <v>766</v>
      </c>
      <c r="J68" s="16" t="s">
        <v>52</v>
      </c>
      <c r="K68" s="16"/>
      <c r="L68" s="37"/>
      <c r="M68" s="37"/>
      <c r="N68" s="37"/>
      <c r="O68" s="37"/>
      <c r="P68" s="37"/>
      <c r="Q68" s="18">
        <v>0.631741</v>
      </c>
      <c r="R68" s="18">
        <v>4.3073249999999999E-3</v>
      </c>
      <c r="S68" s="18">
        <v>1.206051</v>
      </c>
      <c r="T68" s="18">
        <v>5.1687900000000004</v>
      </c>
      <c r="U68" s="18">
        <v>2.5843950000000002</v>
      </c>
      <c r="V68" s="18">
        <v>33.080255999999999</v>
      </c>
      <c r="W68" s="18">
        <v>31.012740000000001</v>
      </c>
      <c r="X68" s="18">
        <v>20.675160000000002</v>
      </c>
      <c r="Y68" s="18">
        <v>0.91889600000000005</v>
      </c>
      <c r="Z68" s="18">
        <v>4.0776010000000005</v>
      </c>
      <c r="AA68" s="18">
        <v>5.9728240000000001</v>
      </c>
      <c r="AB68" s="18">
        <v>10.624735000000001</v>
      </c>
      <c r="AC68" s="18">
        <v>3.2735670000000003</v>
      </c>
      <c r="AD68" s="18">
        <v>17.229300000000002</v>
      </c>
    </row>
    <row r="69" spans="2:30" x14ac:dyDescent="0.25">
      <c r="B69" t="s">
        <v>763</v>
      </c>
      <c r="C69" t="s">
        <v>50</v>
      </c>
      <c r="E69" s="35">
        <v>2.25</v>
      </c>
      <c r="F69" s="35">
        <v>30.63</v>
      </c>
      <c r="G69" s="36">
        <v>3.4458999999999997E-2</v>
      </c>
      <c r="H69" s="18"/>
      <c r="I69" s="16" t="s">
        <v>765</v>
      </c>
      <c r="J69" s="16" t="s">
        <v>52</v>
      </c>
      <c r="K69" s="16"/>
      <c r="L69" s="37"/>
      <c r="M69" s="37"/>
      <c r="N69" s="37"/>
      <c r="O69" s="37"/>
      <c r="P69" s="37"/>
      <c r="Q69" s="18">
        <v>0.37904899999999997</v>
      </c>
      <c r="R69" s="18">
        <v>2.5844249999999996E-3</v>
      </c>
      <c r="S69" s="18">
        <v>0.72363899999999992</v>
      </c>
      <c r="T69" s="18">
        <v>3.1013099999999998</v>
      </c>
      <c r="U69" s="18">
        <v>1.5506549999999999</v>
      </c>
      <c r="V69" s="18">
        <v>19.848383999999999</v>
      </c>
      <c r="W69" s="18">
        <v>18.607859999999999</v>
      </c>
      <c r="X69" s="18">
        <v>12.405239999999999</v>
      </c>
      <c r="Y69" s="18">
        <v>0.55134399999999995</v>
      </c>
      <c r="Z69" s="18">
        <v>2.4465889999999999</v>
      </c>
      <c r="AA69" s="18">
        <v>3.5837359999999996</v>
      </c>
      <c r="AB69" s="18">
        <v>6.3749149999999997</v>
      </c>
      <c r="AC69" s="18">
        <v>1.9641629999999999</v>
      </c>
      <c r="AD69" s="18">
        <v>10.337699999999998</v>
      </c>
    </row>
    <row r="70" spans="2:30" x14ac:dyDescent="0.25">
      <c r="B70" t="s">
        <v>763</v>
      </c>
      <c r="C70" t="s">
        <v>50</v>
      </c>
      <c r="E70" s="35">
        <v>2.25</v>
      </c>
      <c r="F70" s="35">
        <v>30.63</v>
      </c>
      <c r="G70" s="36">
        <v>3.4458999999999997E-2</v>
      </c>
      <c r="H70" s="18"/>
      <c r="I70" s="16" t="s">
        <v>765</v>
      </c>
      <c r="J70" s="16" t="s">
        <v>52</v>
      </c>
      <c r="K70" s="16"/>
      <c r="L70" s="37"/>
      <c r="M70" s="37"/>
      <c r="N70" s="37"/>
      <c r="O70" s="37"/>
      <c r="P70" s="37"/>
      <c r="Q70" s="18">
        <v>0.37904899999999997</v>
      </c>
      <c r="R70" s="18">
        <v>2.5844249999999996E-3</v>
      </c>
      <c r="S70" s="18">
        <v>0.72363899999999992</v>
      </c>
      <c r="T70" s="18">
        <v>3.1013099999999998</v>
      </c>
      <c r="U70" s="18">
        <v>1.5506549999999999</v>
      </c>
      <c r="V70" s="18">
        <v>19.848383999999999</v>
      </c>
      <c r="W70" s="18">
        <v>18.607859999999999</v>
      </c>
      <c r="X70" s="18">
        <v>12.405239999999999</v>
      </c>
      <c r="Y70" s="18">
        <v>0.55134399999999995</v>
      </c>
      <c r="Z70" s="18">
        <v>2.4465889999999999</v>
      </c>
      <c r="AA70" s="18">
        <v>3.5837359999999996</v>
      </c>
      <c r="AB70" s="18">
        <v>6.3749149999999997</v>
      </c>
      <c r="AC70" s="18">
        <v>1.9641629999999999</v>
      </c>
      <c r="AD70" s="18">
        <v>10.337699999999998</v>
      </c>
    </row>
    <row r="71" spans="2:30" x14ac:dyDescent="0.25">
      <c r="B71" t="s">
        <v>763</v>
      </c>
      <c r="C71" t="s">
        <v>50</v>
      </c>
      <c r="E71" s="35">
        <v>2.25</v>
      </c>
      <c r="F71" s="35">
        <v>30.63</v>
      </c>
      <c r="G71" s="36">
        <v>3.4458999999999997E-2</v>
      </c>
      <c r="H71" s="18"/>
      <c r="I71" s="16" t="s">
        <v>765</v>
      </c>
      <c r="J71" s="16" t="s">
        <v>52</v>
      </c>
      <c r="K71" s="16"/>
      <c r="L71" s="37"/>
      <c r="M71" s="37"/>
      <c r="N71" s="37"/>
      <c r="O71" s="37"/>
      <c r="P71" s="37"/>
      <c r="Q71" s="18">
        <v>0.37904899999999997</v>
      </c>
      <c r="R71" s="18">
        <v>2.5844249999999996E-3</v>
      </c>
      <c r="S71" s="18">
        <v>0.72363899999999992</v>
      </c>
      <c r="T71" s="18">
        <v>3.1013099999999998</v>
      </c>
      <c r="U71" s="18">
        <v>1.5506549999999999</v>
      </c>
      <c r="V71" s="18">
        <v>19.848383999999999</v>
      </c>
      <c r="W71" s="18">
        <v>18.607859999999999</v>
      </c>
      <c r="X71" s="18">
        <v>12.405239999999999</v>
      </c>
      <c r="Y71" s="18">
        <v>0.55134399999999995</v>
      </c>
      <c r="Z71" s="18">
        <v>2.4465889999999999</v>
      </c>
      <c r="AA71" s="18">
        <v>3.5837359999999996</v>
      </c>
      <c r="AB71" s="18">
        <v>6.3749149999999997</v>
      </c>
      <c r="AC71" s="18">
        <v>1.9641629999999999</v>
      </c>
      <c r="AD71" s="18">
        <v>10.337699999999998</v>
      </c>
    </row>
    <row r="72" spans="2:30" x14ac:dyDescent="0.25">
      <c r="B72" t="s">
        <v>763</v>
      </c>
      <c r="C72" t="s">
        <v>50</v>
      </c>
      <c r="E72" s="35">
        <v>2.25</v>
      </c>
      <c r="F72" s="35">
        <v>30.63</v>
      </c>
      <c r="G72" s="36">
        <v>3.4458999999999997E-2</v>
      </c>
      <c r="H72" s="18"/>
      <c r="I72" s="16" t="s">
        <v>765</v>
      </c>
      <c r="J72" s="16" t="s">
        <v>52</v>
      </c>
      <c r="K72" s="16"/>
      <c r="L72" s="37"/>
      <c r="M72" s="37"/>
      <c r="N72" s="37"/>
      <c r="O72" s="37"/>
      <c r="P72" s="37"/>
      <c r="Q72" s="18">
        <v>0.37904899999999997</v>
      </c>
      <c r="R72" s="18">
        <v>2.5844249999999996E-3</v>
      </c>
      <c r="S72" s="18">
        <v>0.72363899999999992</v>
      </c>
      <c r="T72" s="18">
        <v>3.1013099999999998</v>
      </c>
      <c r="U72" s="18">
        <v>1.5506549999999999</v>
      </c>
      <c r="V72" s="18">
        <v>19.848383999999999</v>
      </c>
      <c r="W72" s="18">
        <v>18.607859999999999</v>
      </c>
      <c r="X72" s="18">
        <v>12.405239999999999</v>
      </c>
      <c r="Y72" s="18">
        <v>0.55134399999999995</v>
      </c>
      <c r="Z72" s="18">
        <v>2.4465889999999999</v>
      </c>
      <c r="AA72" s="18">
        <v>3.5837359999999996</v>
      </c>
      <c r="AB72" s="18">
        <v>6.3749149999999997</v>
      </c>
      <c r="AC72" s="18">
        <v>1.9641629999999999</v>
      </c>
      <c r="AD72" s="18">
        <v>10.337699999999998</v>
      </c>
    </row>
    <row r="73" spans="2:30" x14ac:dyDescent="0.25">
      <c r="B73" t="s">
        <v>763</v>
      </c>
      <c r="C73" t="s">
        <v>50</v>
      </c>
      <c r="E73" s="35">
        <v>2.25</v>
      </c>
      <c r="F73" s="35">
        <v>51.05</v>
      </c>
      <c r="G73" s="36">
        <v>5.7431000000000003E-2</v>
      </c>
      <c r="H73" s="18"/>
      <c r="I73" s="16" t="s">
        <v>766</v>
      </c>
      <c r="J73" s="16" t="s">
        <v>52</v>
      </c>
      <c r="K73" s="16"/>
      <c r="L73" s="37"/>
      <c r="M73" s="37"/>
      <c r="N73" s="37"/>
      <c r="O73" s="37"/>
      <c r="P73" s="37"/>
      <c r="Q73" s="18">
        <v>0.631741</v>
      </c>
      <c r="R73" s="18">
        <v>4.3073249999999999E-3</v>
      </c>
      <c r="S73" s="18">
        <v>1.206051</v>
      </c>
      <c r="T73" s="18">
        <v>5.1687900000000004</v>
      </c>
      <c r="U73" s="18">
        <v>2.5843950000000002</v>
      </c>
      <c r="V73" s="18">
        <v>33.080255999999999</v>
      </c>
      <c r="W73" s="18">
        <v>31.012740000000001</v>
      </c>
      <c r="X73" s="18">
        <v>20.675160000000002</v>
      </c>
      <c r="Y73" s="18">
        <v>0.91889600000000005</v>
      </c>
      <c r="Z73" s="18">
        <v>4.0776010000000005</v>
      </c>
      <c r="AA73" s="18">
        <v>5.9728240000000001</v>
      </c>
      <c r="AB73" s="18">
        <v>10.624735000000001</v>
      </c>
      <c r="AC73" s="18">
        <v>3.2735670000000003</v>
      </c>
      <c r="AD73" s="18">
        <v>17.229300000000002</v>
      </c>
    </row>
    <row r="74" spans="2:30" x14ac:dyDescent="0.25">
      <c r="B74" t="s">
        <v>763</v>
      </c>
      <c r="C74" t="s">
        <v>50</v>
      </c>
      <c r="E74" s="35">
        <v>2.25</v>
      </c>
      <c r="F74" s="35">
        <v>51.05</v>
      </c>
      <c r="G74" s="36">
        <v>5.7431000000000003E-2</v>
      </c>
      <c r="H74" s="18"/>
      <c r="I74" s="16" t="s">
        <v>766</v>
      </c>
      <c r="J74" s="16" t="s">
        <v>52</v>
      </c>
      <c r="K74" s="16"/>
      <c r="L74" s="37"/>
      <c r="M74" s="37"/>
      <c r="N74" s="37"/>
      <c r="O74" s="37"/>
      <c r="P74" s="37"/>
      <c r="Q74" s="18">
        <v>0.631741</v>
      </c>
      <c r="R74" s="18">
        <v>4.3073249999999999E-3</v>
      </c>
      <c r="S74" s="18">
        <v>1.206051</v>
      </c>
      <c r="T74" s="18">
        <v>5.1687900000000004</v>
      </c>
      <c r="U74" s="18">
        <v>2.5843950000000002</v>
      </c>
      <c r="V74" s="18">
        <v>33.080255999999999</v>
      </c>
      <c r="W74" s="18">
        <v>31.012740000000001</v>
      </c>
      <c r="X74" s="18">
        <v>20.675160000000002</v>
      </c>
      <c r="Y74" s="18">
        <v>0.91889600000000005</v>
      </c>
      <c r="Z74" s="18">
        <v>4.0776010000000005</v>
      </c>
      <c r="AA74" s="18">
        <v>5.9728240000000001</v>
      </c>
      <c r="AB74" s="18">
        <v>10.624735000000001</v>
      </c>
      <c r="AC74" s="18">
        <v>3.2735670000000003</v>
      </c>
      <c r="AD74" s="18">
        <v>17.229300000000002</v>
      </c>
    </row>
    <row r="75" spans="2:30" x14ac:dyDescent="0.25">
      <c r="B75" t="s">
        <v>763</v>
      </c>
      <c r="C75" t="s">
        <v>50</v>
      </c>
      <c r="E75" s="35">
        <v>2.25</v>
      </c>
      <c r="F75" s="35">
        <v>51.05</v>
      </c>
      <c r="G75" s="36">
        <v>5.7431000000000003E-2</v>
      </c>
      <c r="H75" s="18"/>
      <c r="I75" s="16" t="s">
        <v>766</v>
      </c>
      <c r="J75" s="16" t="s">
        <v>52</v>
      </c>
      <c r="K75" s="16"/>
      <c r="L75" s="37"/>
      <c r="M75" s="37"/>
      <c r="N75" s="37"/>
      <c r="O75" s="37"/>
      <c r="P75" s="37"/>
      <c r="Q75" s="18">
        <v>0.631741</v>
      </c>
      <c r="R75" s="18">
        <v>4.3073249999999999E-3</v>
      </c>
      <c r="S75" s="18">
        <v>1.206051</v>
      </c>
      <c r="T75" s="18">
        <v>5.1687900000000004</v>
      </c>
      <c r="U75" s="18">
        <v>2.5843950000000002</v>
      </c>
      <c r="V75" s="18">
        <v>33.080255999999999</v>
      </c>
      <c r="W75" s="18">
        <v>31.012740000000001</v>
      </c>
      <c r="X75" s="18">
        <v>20.675160000000002</v>
      </c>
      <c r="Y75" s="18">
        <v>0.91889600000000005</v>
      </c>
      <c r="Z75" s="18">
        <v>4.0776010000000005</v>
      </c>
      <c r="AA75" s="18">
        <v>5.9728240000000001</v>
      </c>
      <c r="AB75" s="18">
        <v>10.624735000000001</v>
      </c>
      <c r="AC75" s="18">
        <v>3.2735670000000003</v>
      </c>
      <c r="AD75" s="18">
        <v>17.229300000000002</v>
      </c>
    </row>
    <row r="76" spans="2:30" x14ac:dyDescent="0.25">
      <c r="B76" t="s">
        <v>763</v>
      </c>
      <c r="C76" t="s">
        <v>50</v>
      </c>
      <c r="E76" s="35">
        <v>2.25</v>
      </c>
      <c r="F76" s="35">
        <v>51.05</v>
      </c>
      <c r="G76" s="36">
        <v>5.7431000000000003E-2</v>
      </c>
      <c r="H76" s="18"/>
      <c r="I76" s="16" t="s">
        <v>766</v>
      </c>
      <c r="J76" s="16" t="s">
        <v>52</v>
      </c>
      <c r="K76" s="16"/>
      <c r="L76" s="37"/>
      <c r="M76" s="37"/>
      <c r="N76" s="37"/>
      <c r="O76" s="37"/>
      <c r="P76" s="37"/>
      <c r="Q76" s="18">
        <v>0.631741</v>
      </c>
      <c r="R76" s="18">
        <v>4.3073249999999999E-3</v>
      </c>
      <c r="S76" s="18">
        <v>1.206051</v>
      </c>
      <c r="T76" s="18">
        <v>5.1687900000000004</v>
      </c>
      <c r="U76" s="18">
        <v>2.5843950000000002</v>
      </c>
      <c r="V76" s="18">
        <v>33.080255999999999</v>
      </c>
      <c r="W76" s="18">
        <v>31.012740000000001</v>
      </c>
      <c r="X76" s="18">
        <v>20.675160000000002</v>
      </c>
      <c r="Y76" s="18">
        <v>0.91889600000000005</v>
      </c>
      <c r="Z76" s="18">
        <v>4.0776010000000005</v>
      </c>
      <c r="AA76" s="18">
        <v>5.9728240000000001</v>
      </c>
      <c r="AB76" s="18">
        <v>10.624735000000001</v>
      </c>
      <c r="AC76" s="18">
        <v>3.2735670000000003</v>
      </c>
      <c r="AD76" s="18">
        <v>17.229300000000002</v>
      </c>
    </row>
    <row r="77" spans="2:30" x14ac:dyDescent="0.25">
      <c r="B77" t="s">
        <v>763</v>
      </c>
      <c r="C77" t="s">
        <v>50</v>
      </c>
      <c r="E77" s="35">
        <v>2.7777780000000001</v>
      </c>
      <c r="F77" s="35">
        <v>30.63</v>
      </c>
      <c r="G77" s="36">
        <v>4.2542000000000003E-2</v>
      </c>
      <c r="H77" s="18"/>
      <c r="I77" s="16" t="s">
        <v>765</v>
      </c>
      <c r="J77" s="16" t="s">
        <v>52</v>
      </c>
      <c r="K77" s="16"/>
      <c r="L77" s="37"/>
      <c r="M77" s="37"/>
      <c r="N77" s="37"/>
      <c r="O77" s="37"/>
      <c r="P77" s="37"/>
      <c r="Q77" s="18">
        <v>0.46796200000000004</v>
      </c>
      <c r="R77" s="18">
        <v>3.1906500000000002E-3</v>
      </c>
      <c r="S77" s="18">
        <v>0.89338200000000012</v>
      </c>
      <c r="T77" s="18">
        <v>3.8287800000000005</v>
      </c>
      <c r="U77" s="18">
        <v>1.9143900000000003</v>
      </c>
      <c r="V77" s="18">
        <v>24.504192000000003</v>
      </c>
      <c r="W77" s="18">
        <v>22.97268</v>
      </c>
      <c r="X77" s="18">
        <v>15.315120000000002</v>
      </c>
      <c r="Y77" s="18">
        <v>0.68067200000000005</v>
      </c>
      <c r="Z77" s="18">
        <v>3.0204820000000003</v>
      </c>
      <c r="AA77" s="18">
        <v>4.4243680000000003</v>
      </c>
      <c r="AB77" s="18">
        <v>7.8702700000000005</v>
      </c>
      <c r="AC77" s="18">
        <v>2.4248940000000001</v>
      </c>
      <c r="AD77" s="18">
        <v>12.762600000000001</v>
      </c>
    </row>
    <row r="78" spans="2:30" x14ac:dyDescent="0.25">
      <c r="B78" t="s">
        <v>763</v>
      </c>
      <c r="C78" t="s">
        <v>50</v>
      </c>
      <c r="E78" s="35">
        <v>2.7777780000000001</v>
      </c>
      <c r="F78" s="35">
        <v>30.63</v>
      </c>
      <c r="G78" s="36">
        <v>4.2542000000000003E-2</v>
      </c>
      <c r="H78" s="18"/>
      <c r="I78" s="16" t="s">
        <v>765</v>
      </c>
      <c r="J78" s="16" t="s">
        <v>52</v>
      </c>
      <c r="K78" s="16"/>
      <c r="L78" s="37"/>
      <c r="M78" s="37"/>
      <c r="N78" s="37"/>
      <c r="O78" s="37"/>
      <c r="P78" s="37"/>
      <c r="Q78" s="18">
        <v>0.46796200000000004</v>
      </c>
      <c r="R78" s="18">
        <v>3.1906500000000002E-3</v>
      </c>
      <c r="S78" s="18">
        <v>0.89338200000000012</v>
      </c>
      <c r="T78" s="18">
        <v>3.8287800000000005</v>
      </c>
      <c r="U78" s="18">
        <v>1.9143900000000003</v>
      </c>
      <c r="V78" s="18">
        <v>24.504192000000003</v>
      </c>
      <c r="W78" s="18">
        <v>22.97268</v>
      </c>
      <c r="X78" s="18">
        <v>15.315120000000002</v>
      </c>
      <c r="Y78" s="18">
        <v>0.68067200000000005</v>
      </c>
      <c r="Z78" s="18">
        <v>3.0204820000000003</v>
      </c>
      <c r="AA78" s="18">
        <v>4.4243680000000003</v>
      </c>
      <c r="AB78" s="18">
        <v>7.8702700000000005</v>
      </c>
      <c r="AC78" s="18">
        <v>2.4248940000000001</v>
      </c>
      <c r="AD78" s="18">
        <v>12.762600000000001</v>
      </c>
    </row>
    <row r="79" spans="2:30" x14ac:dyDescent="0.25">
      <c r="B79" t="s">
        <v>763</v>
      </c>
      <c r="C79" t="s">
        <v>50</v>
      </c>
      <c r="E79" s="35">
        <v>2.25</v>
      </c>
      <c r="F79" s="35">
        <v>51.05</v>
      </c>
      <c r="G79" s="36">
        <v>5.7431000000000003E-2</v>
      </c>
      <c r="H79" s="18"/>
      <c r="I79" s="16" t="s">
        <v>766</v>
      </c>
      <c r="J79" s="16" t="s">
        <v>52</v>
      </c>
      <c r="K79" s="16"/>
      <c r="L79" s="37"/>
      <c r="M79" s="37"/>
      <c r="N79" s="37"/>
      <c r="O79" s="37"/>
      <c r="P79" s="37"/>
      <c r="Q79" s="18">
        <v>0.631741</v>
      </c>
      <c r="R79" s="18">
        <v>4.3073249999999999E-3</v>
      </c>
      <c r="S79" s="18">
        <v>1.206051</v>
      </c>
      <c r="T79" s="18">
        <v>5.1687900000000004</v>
      </c>
      <c r="U79" s="18">
        <v>2.5843950000000002</v>
      </c>
      <c r="V79" s="18">
        <v>33.080255999999999</v>
      </c>
      <c r="W79" s="18">
        <v>31.012740000000001</v>
      </c>
      <c r="X79" s="18">
        <v>20.675160000000002</v>
      </c>
      <c r="Y79" s="18">
        <v>0.91889600000000005</v>
      </c>
      <c r="Z79" s="18">
        <v>4.0776010000000005</v>
      </c>
      <c r="AA79" s="18">
        <v>5.9728240000000001</v>
      </c>
      <c r="AB79" s="18">
        <v>10.624735000000001</v>
      </c>
      <c r="AC79" s="18">
        <v>3.2735670000000003</v>
      </c>
      <c r="AD79" s="18">
        <v>17.229300000000002</v>
      </c>
    </row>
    <row r="80" spans="2:30" x14ac:dyDescent="0.25">
      <c r="B80" t="s">
        <v>763</v>
      </c>
      <c r="C80" t="s">
        <v>50</v>
      </c>
      <c r="E80" s="35">
        <v>2.5</v>
      </c>
      <c r="F80" s="35">
        <v>40.840000000000003</v>
      </c>
      <c r="G80" s="36">
        <v>5.1049999999999998E-2</v>
      </c>
      <c r="H80" s="18"/>
      <c r="I80" s="16" t="s">
        <v>766</v>
      </c>
      <c r="J80" s="16" t="s">
        <v>52</v>
      </c>
      <c r="K80" s="16"/>
      <c r="L80" s="37"/>
      <c r="M80" s="37"/>
      <c r="N80" s="37"/>
      <c r="O80" s="37"/>
      <c r="P80" s="37"/>
      <c r="Q80" s="18">
        <v>0.56154999999999999</v>
      </c>
      <c r="R80" s="18">
        <v>3.8287499999999997E-3</v>
      </c>
      <c r="S80" s="18">
        <v>1.0720499999999999</v>
      </c>
      <c r="T80" s="18">
        <v>4.5945</v>
      </c>
      <c r="U80" s="18">
        <v>2.29725</v>
      </c>
      <c r="V80" s="18">
        <v>29.404799999999998</v>
      </c>
      <c r="W80" s="18">
        <v>27.567</v>
      </c>
      <c r="X80" s="18">
        <v>18.378</v>
      </c>
      <c r="Y80" s="18">
        <v>0.81679999999999997</v>
      </c>
      <c r="Z80" s="18">
        <v>3.6245499999999997</v>
      </c>
      <c r="AA80" s="18">
        <v>5.3091999999999997</v>
      </c>
      <c r="AB80" s="18">
        <v>9.4442500000000003</v>
      </c>
      <c r="AC80" s="18">
        <v>2.90985</v>
      </c>
      <c r="AD80" s="18">
        <v>15.315</v>
      </c>
    </row>
    <row r="81" spans="2:30" x14ac:dyDescent="0.25">
      <c r="B81" t="s">
        <v>763</v>
      </c>
      <c r="C81" t="s">
        <v>50</v>
      </c>
      <c r="E81" s="35">
        <v>2.7777780000000001</v>
      </c>
      <c r="F81" s="35">
        <v>30.63</v>
      </c>
      <c r="G81" s="36">
        <v>4.2542000000000003E-2</v>
      </c>
      <c r="H81" s="18"/>
      <c r="I81" s="16" t="s">
        <v>765</v>
      </c>
      <c r="J81" s="16" t="s">
        <v>52</v>
      </c>
      <c r="K81" s="16"/>
      <c r="L81" s="37"/>
      <c r="M81" s="37"/>
      <c r="N81" s="37"/>
      <c r="O81" s="37"/>
      <c r="P81" s="37"/>
      <c r="Q81" s="18">
        <v>0.46796200000000004</v>
      </c>
      <c r="R81" s="18">
        <v>3.1906500000000002E-3</v>
      </c>
      <c r="S81" s="18">
        <v>0.89338200000000012</v>
      </c>
      <c r="T81" s="18">
        <v>3.8287800000000005</v>
      </c>
      <c r="U81" s="18">
        <v>1.9143900000000003</v>
      </c>
      <c r="V81" s="18">
        <v>24.504192000000003</v>
      </c>
      <c r="W81" s="18">
        <v>22.97268</v>
      </c>
      <c r="X81" s="18">
        <v>15.315120000000002</v>
      </c>
      <c r="Y81" s="18">
        <v>0.68067200000000005</v>
      </c>
      <c r="Z81" s="18">
        <v>3.0204820000000003</v>
      </c>
      <c r="AA81" s="18">
        <v>4.4243680000000003</v>
      </c>
      <c r="AB81" s="18">
        <v>7.8702700000000005</v>
      </c>
      <c r="AC81" s="18">
        <v>2.4248940000000001</v>
      </c>
      <c r="AD81" s="18">
        <v>12.762600000000001</v>
      </c>
    </row>
    <row r="82" spans="2:30" x14ac:dyDescent="0.25">
      <c r="B82" t="s">
        <v>763</v>
      </c>
      <c r="C82" t="s">
        <v>50</v>
      </c>
      <c r="E82" s="35">
        <v>2.7777780000000001</v>
      </c>
      <c r="F82" s="35">
        <v>30.63</v>
      </c>
      <c r="G82" s="36">
        <v>4.2542000000000003E-2</v>
      </c>
      <c r="H82" s="18"/>
      <c r="I82" s="16" t="s">
        <v>765</v>
      </c>
      <c r="J82" s="16" t="s">
        <v>52</v>
      </c>
      <c r="K82" s="16"/>
      <c r="L82" s="37"/>
      <c r="M82" s="37"/>
      <c r="N82" s="37"/>
      <c r="O82" s="37"/>
      <c r="P82" s="37"/>
      <c r="Q82" s="18">
        <v>0.46796200000000004</v>
      </c>
      <c r="R82" s="18">
        <v>3.1906500000000002E-3</v>
      </c>
      <c r="S82" s="18">
        <v>0.89338200000000012</v>
      </c>
      <c r="T82" s="18">
        <v>3.8287800000000005</v>
      </c>
      <c r="U82" s="18">
        <v>1.9143900000000003</v>
      </c>
      <c r="V82" s="18">
        <v>24.504192000000003</v>
      </c>
      <c r="W82" s="18">
        <v>22.97268</v>
      </c>
      <c r="X82" s="18">
        <v>15.315120000000002</v>
      </c>
      <c r="Y82" s="18">
        <v>0.68067200000000005</v>
      </c>
      <c r="Z82" s="18">
        <v>3.0204820000000003</v>
      </c>
      <c r="AA82" s="18">
        <v>4.4243680000000003</v>
      </c>
      <c r="AB82" s="18">
        <v>7.8702700000000005</v>
      </c>
      <c r="AC82" s="18">
        <v>2.4248940000000001</v>
      </c>
      <c r="AD82" s="18">
        <v>12.762600000000001</v>
      </c>
    </row>
    <row r="83" spans="2:30" x14ac:dyDescent="0.25">
      <c r="B83" t="s">
        <v>763</v>
      </c>
      <c r="C83" t="s">
        <v>50</v>
      </c>
      <c r="E83" s="35">
        <v>2.25</v>
      </c>
      <c r="F83" s="35">
        <v>30.63</v>
      </c>
      <c r="G83" s="36">
        <v>3.4458999999999997E-2</v>
      </c>
      <c r="H83" s="18"/>
      <c r="I83" s="16" t="s">
        <v>765</v>
      </c>
      <c r="J83" s="16" t="s">
        <v>52</v>
      </c>
      <c r="K83" s="16"/>
      <c r="L83" s="37"/>
      <c r="M83" s="37"/>
      <c r="N83" s="37"/>
      <c r="O83" s="37"/>
      <c r="P83" s="37"/>
      <c r="Q83" s="18">
        <v>0.37904899999999997</v>
      </c>
      <c r="R83" s="18">
        <v>2.5844249999999996E-3</v>
      </c>
      <c r="S83" s="18">
        <v>0.72363899999999992</v>
      </c>
      <c r="T83" s="18">
        <v>3.1013099999999998</v>
      </c>
      <c r="U83" s="18">
        <v>1.5506549999999999</v>
      </c>
      <c r="V83" s="18">
        <v>19.848383999999999</v>
      </c>
      <c r="W83" s="18">
        <v>18.607859999999999</v>
      </c>
      <c r="X83" s="18">
        <v>12.405239999999999</v>
      </c>
      <c r="Y83" s="18">
        <v>0.55134399999999995</v>
      </c>
      <c r="Z83" s="18">
        <v>2.4465889999999999</v>
      </c>
      <c r="AA83" s="18">
        <v>3.5837359999999996</v>
      </c>
      <c r="AB83" s="18">
        <v>6.3749149999999997</v>
      </c>
      <c r="AC83" s="18">
        <v>1.9641629999999999</v>
      </c>
      <c r="AD83" s="18">
        <v>10.337699999999998</v>
      </c>
    </row>
    <row r="84" spans="2:30" x14ac:dyDescent="0.25">
      <c r="B84" t="s">
        <v>763</v>
      </c>
      <c r="C84" t="s">
        <v>50</v>
      </c>
      <c r="E84" s="35">
        <v>2.25</v>
      </c>
      <c r="F84" s="35">
        <v>30.63</v>
      </c>
      <c r="G84" s="36">
        <v>3.4458999999999997E-2</v>
      </c>
      <c r="H84" s="18"/>
      <c r="I84" s="16" t="s">
        <v>765</v>
      </c>
      <c r="J84" s="16" t="s">
        <v>52</v>
      </c>
      <c r="K84" s="16"/>
      <c r="L84" s="37"/>
      <c r="M84" s="37"/>
      <c r="N84" s="37"/>
      <c r="O84" s="37"/>
      <c r="P84" s="37"/>
      <c r="Q84" s="18">
        <v>0.37904899999999997</v>
      </c>
      <c r="R84" s="18">
        <v>2.5844249999999996E-3</v>
      </c>
      <c r="S84" s="18">
        <v>0.72363899999999992</v>
      </c>
      <c r="T84" s="18">
        <v>3.1013099999999998</v>
      </c>
      <c r="U84" s="18">
        <v>1.5506549999999999</v>
      </c>
      <c r="V84" s="18">
        <v>19.848383999999999</v>
      </c>
      <c r="W84" s="18">
        <v>18.607859999999999</v>
      </c>
      <c r="X84" s="18">
        <v>12.405239999999999</v>
      </c>
      <c r="Y84" s="18">
        <v>0.55134399999999995</v>
      </c>
      <c r="Z84" s="18">
        <v>2.4465889999999999</v>
      </c>
      <c r="AA84" s="18">
        <v>3.5837359999999996</v>
      </c>
      <c r="AB84" s="18">
        <v>6.3749149999999997</v>
      </c>
      <c r="AC84" s="18">
        <v>1.9641629999999999</v>
      </c>
      <c r="AD84" s="18">
        <v>10.337699999999998</v>
      </c>
    </row>
    <row r="85" spans="2:30" x14ac:dyDescent="0.25">
      <c r="B85" t="s">
        <v>763</v>
      </c>
      <c r="C85" t="s">
        <v>50</v>
      </c>
      <c r="E85" s="35">
        <v>2.25</v>
      </c>
      <c r="F85" s="35">
        <v>30.63</v>
      </c>
      <c r="G85" s="36">
        <v>3.4458999999999997E-2</v>
      </c>
      <c r="H85" s="18"/>
      <c r="I85" s="16" t="s">
        <v>765</v>
      </c>
      <c r="J85" s="16" t="s">
        <v>52</v>
      </c>
      <c r="K85" s="16"/>
      <c r="L85" s="37"/>
      <c r="M85" s="37"/>
      <c r="N85" s="37"/>
      <c r="O85" s="37"/>
      <c r="P85" s="37"/>
      <c r="Q85" s="18">
        <v>0.37904899999999997</v>
      </c>
      <c r="R85" s="18">
        <v>2.5844249999999996E-3</v>
      </c>
      <c r="S85" s="18">
        <v>0.72363899999999992</v>
      </c>
      <c r="T85" s="18">
        <v>3.1013099999999998</v>
      </c>
      <c r="U85" s="18">
        <v>1.5506549999999999</v>
      </c>
      <c r="V85" s="18">
        <v>19.848383999999999</v>
      </c>
      <c r="W85" s="18">
        <v>18.607859999999999</v>
      </c>
      <c r="X85" s="18">
        <v>12.405239999999999</v>
      </c>
      <c r="Y85" s="18">
        <v>0.55134399999999995</v>
      </c>
      <c r="Z85" s="18">
        <v>2.4465889999999999</v>
      </c>
      <c r="AA85" s="18">
        <v>3.5837359999999996</v>
      </c>
      <c r="AB85" s="18">
        <v>6.3749149999999997</v>
      </c>
      <c r="AC85" s="18">
        <v>1.9641629999999999</v>
      </c>
      <c r="AD85" s="18">
        <v>10.337699999999998</v>
      </c>
    </row>
    <row r="86" spans="2:30" x14ac:dyDescent="0.25">
      <c r="B86" t="s">
        <v>763</v>
      </c>
      <c r="C86" t="s">
        <v>50</v>
      </c>
      <c r="E86" s="35">
        <v>2.7777780000000001</v>
      </c>
      <c r="F86" s="35">
        <v>30.63</v>
      </c>
      <c r="G86" s="36">
        <v>4.2542000000000003E-2</v>
      </c>
      <c r="H86" s="18"/>
      <c r="I86" s="16" t="s">
        <v>765</v>
      </c>
      <c r="J86" s="16" t="s">
        <v>52</v>
      </c>
      <c r="K86" s="16"/>
      <c r="L86" s="37"/>
      <c r="M86" s="37"/>
      <c r="N86" s="37"/>
      <c r="O86" s="37"/>
      <c r="P86" s="37"/>
      <c r="Q86" s="18">
        <v>0.46796200000000004</v>
      </c>
      <c r="R86" s="18">
        <v>3.1906500000000002E-3</v>
      </c>
      <c r="S86" s="18">
        <v>0.89338200000000012</v>
      </c>
      <c r="T86" s="18">
        <v>3.8287800000000005</v>
      </c>
      <c r="U86" s="18">
        <v>1.9143900000000003</v>
      </c>
      <c r="V86" s="18">
        <v>24.504192000000003</v>
      </c>
      <c r="W86" s="18">
        <v>22.97268</v>
      </c>
      <c r="X86" s="18">
        <v>15.315120000000002</v>
      </c>
      <c r="Y86" s="18">
        <v>0.68067200000000005</v>
      </c>
      <c r="Z86" s="18">
        <v>3.0204820000000003</v>
      </c>
      <c r="AA86" s="18">
        <v>4.4243680000000003</v>
      </c>
      <c r="AB86" s="18">
        <v>7.8702700000000005</v>
      </c>
      <c r="AC86" s="18">
        <v>2.4248940000000001</v>
      </c>
      <c r="AD86" s="18">
        <v>12.762600000000001</v>
      </c>
    </row>
    <row r="87" spans="2:30" x14ac:dyDescent="0.25">
      <c r="B87" t="s">
        <v>763</v>
      </c>
      <c r="C87" t="s">
        <v>50</v>
      </c>
      <c r="E87" s="35">
        <v>2.7777780000000001</v>
      </c>
      <c r="F87" s="35">
        <v>30.63</v>
      </c>
      <c r="G87" s="36">
        <v>4.2542000000000003E-2</v>
      </c>
      <c r="H87" s="18"/>
      <c r="I87" s="16" t="s">
        <v>765</v>
      </c>
      <c r="J87" s="16" t="s">
        <v>52</v>
      </c>
      <c r="K87" s="16"/>
      <c r="L87" s="37"/>
      <c r="M87" s="37"/>
      <c r="N87" s="37"/>
      <c r="O87" s="37"/>
      <c r="P87" s="37"/>
      <c r="Q87" s="18">
        <v>0.46796200000000004</v>
      </c>
      <c r="R87" s="18">
        <v>3.1906500000000002E-3</v>
      </c>
      <c r="S87" s="18">
        <v>0.89338200000000012</v>
      </c>
      <c r="T87" s="18">
        <v>3.8287800000000005</v>
      </c>
      <c r="U87" s="18">
        <v>1.9143900000000003</v>
      </c>
      <c r="V87" s="18">
        <v>24.504192000000003</v>
      </c>
      <c r="W87" s="18">
        <v>22.97268</v>
      </c>
      <c r="X87" s="18">
        <v>15.315120000000002</v>
      </c>
      <c r="Y87" s="18">
        <v>0.68067200000000005</v>
      </c>
      <c r="Z87" s="18">
        <v>3.0204820000000003</v>
      </c>
      <c r="AA87" s="18">
        <v>4.4243680000000003</v>
      </c>
      <c r="AB87" s="18">
        <v>7.8702700000000005</v>
      </c>
      <c r="AC87" s="18">
        <v>2.4248940000000001</v>
      </c>
      <c r="AD87" s="18">
        <v>12.762600000000001</v>
      </c>
    </row>
    <row r="88" spans="2:30" x14ac:dyDescent="0.25">
      <c r="B88" t="s">
        <v>763</v>
      </c>
      <c r="C88" t="s">
        <v>50</v>
      </c>
      <c r="E88" s="35">
        <v>2.7777780000000001</v>
      </c>
      <c r="F88" s="35">
        <v>30.63</v>
      </c>
      <c r="G88" s="36">
        <v>4.2542000000000003E-2</v>
      </c>
      <c r="H88" s="18"/>
      <c r="I88" s="16" t="s">
        <v>765</v>
      </c>
      <c r="J88" s="16" t="s">
        <v>52</v>
      </c>
      <c r="K88" s="16"/>
      <c r="L88" s="37"/>
      <c r="M88" s="37"/>
      <c r="N88" s="37"/>
      <c r="O88" s="37"/>
      <c r="P88" s="37"/>
      <c r="Q88" s="18">
        <v>0.46796200000000004</v>
      </c>
      <c r="R88" s="18">
        <v>3.1906500000000002E-3</v>
      </c>
      <c r="S88" s="18">
        <v>0.89338200000000012</v>
      </c>
      <c r="T88" s="18">
        <v>3.8287800000000005</v>
      </c>
      <c r="U88" s="18">
        <v>1.9143900000000003</v>
      </c>
      <c r="V88" s="18">
        <v>24.504192000000003</v>
      </c>
      <c r="W88" s="18">
        <v>22.97268</v>
      </c>
      <c r="X88" s="18">
        <v>15.315120000000002</v>
      </c>
      <c r="Y88" s="18">
        <v>0.68067200000000005</v>
      </c>
      <c r="Z88" s="18">
        <v>3.0204820000000003</v>
      </c>
      <c r="AA88" s="18">
        <v>4.4243680000000003</v>
      </c>
      <c r="AB88" s="18">
        <v>7.8702700000000005</v>
      </c>
      <c r="AC88" s="18">
        <v>2.4248940000000001</v>
      </c>
      <c r="AD88" s="18">
        <v>12.762600000000001</v>
      </c>
    </row>
    <row r="89" spans="2:30" x14ac:dyDescent="0.25">
      <c r="B89" t="s">
        <v>763</v>
      </c>
      <c r="C89" t="s">
        <v>50</v>
      </c>
      <c r="E89" s="35">
        <v>2.7777780000000001</v>
      </c>
      <c r="F89" s="35">
        <v>30.63</v>
      </c>
      <c r="G89" s="36">
        <v>4.2542000000000003E-2</v>
      </c>
      <c r="H89" s="18"/>
      <c r="I89" s="16" t="s">
        <v>765</v>
      </c>
      <c r="J89" s="16" t="s">
        <v>52</v>
      </c>
      <c r="K89" s="16"/>
      <c r="L89" s="37"/>
      <c r="M89" s="37"/>
      <c r="N89" s="37"/>
      <c r="O89" s="37"/>
      <c r="P89" s="37"/>
      <c r="Q89" s="18">
        <v>0.46796200000000004</v>
      </c>
      <c r="R89" s="18">
        <v>3.1906500000000002E-3</v>
      </c>
      <c r="S89" s="18">
        <v>0.89338200000000012</v>
      </c>
      <c r="T89" s="18">
        <v>3.8287800000000005</v>
      </c>
      <c r="U89" s="18">
        <v>1.9143900000000003</v>
      </c>
      <c r="V89" s="18">
        <v>24.504192000000003</v>
      </c>
      <c r="W89" s="18">
        <v>22.97268</v>
      </c>
      <c r="X89" s="18">
        <v>15.315120000000002</v>
      </c>
      <c r="Y89" s="18">
        <v>0.68067200000000005</v>
      </c>
      <c r="Z89" s="18">
        <v>3.0204820000000003</v>
      </c>
      <c r="AA89" s="18">
        <v>4.4243680000000003</v>
      </c>
      <c r="AB89" s="18">
        <v>7.8702700000000005</v>
      </c>
      <c r="AC89" s="18">
        <v>2.4248940000000001</v>
      </c>
      <c r="AD89" s="18">
        <v>12.762600000000001</v>
      </c>
    </row>
    <row r="90" spans="2:30" x14ac:dyDescent="0.25">
      <c r="B90" t="s">
        <v>763</v>
      </c>
      <c r="C90" t="s">
        <v>50</v>
      </c>
      <c r="E90" s="35">
        <v>2.7777780000000001</v>
      </c>
      <c r="F90" s="35">
        <v>30.63</v>
      </c>
      <c r="G90" s="36">
        <v>4.2542000000000003E-2</v>
      </c>
      <c r="H90" s="18"/>
      <c r="I90" s="16" t="s">
        <v>765</v>
      </c>
      <c r="J90" s="16" t="s">
        <v>52</v>
      </c>
      <c r="K90" s="16"/>
      <c r="L90" s="37"/>
      <c r="M90" s="37"/>
      <c r="N90" s="37"/>
      <c r="O90" s="37"/>
      <c r="P90" s="37"/>
      <c r="Q90" s="18">
        <v>0.46796200000000004</v>
      </c>
      <c r="R90" s="18">
        <v>3.1906500000000002E-3</v>
      </c>
      <c r="S90" s="18">
        <v>0.89338200000000012</v>
      </c>
      <c r="T90" s="18">
        <v>3.8287800000000005</v>
      </c>
      <c r="U90" s="18">
        <v>1.9143900000000003</v>
      </c>
      <c r="V90" s="18">
        <v>24.504192000000003</v>
      </c>
      <c r="W90" s="18">
        <v>22.97268</v>
      </c>
      <c r="X90" s="18">
        <v>15.315120000000002</v>
      </c>
      <c r="Y90" s="18">
        <v>0.68067200000000005</v>
      </c>
      <c r="Z90" s="18">
        <v>3.0204820000000003</v>
      </c>
      <c r="AA90" s="18">
        <v>4.4243680000000003</v>
      </c>
      <c r="AB90" s="18">
        <v>7.8702700000000005</v>
      </c>
      <c r="AC90" s="18">
        <v>2.4248940000000001</v>
      </c>
      <c r="AD90" s="18">
        <v>12.762600000000001</v>
      </c>
    </row>
    <row r="91" spans="2:30" x14ac:dyDescent="0.25">
      <c r="B91" t="s">
        <v>763</v>
      </c>
      <c r="C91" t="s">
        <v>84</v>
      </c>
      <c r="E91" s="35">
        <v>2.25</v>
      </c>
      <c r="F91" s="35">
        <v>40.840000000000003</v>
      </c>
      <c r="G91" s="36">
        <v>4.5945E-2</v>
      </c>
      <c r="H91" s="18"/>
      <c r="I91" s="16" t="s">
        <v>768</v>
      </c>
      <c r="J91" s="16" t="s">
        <v>52</v>
      </c>
      <c r="K91" s="16"/>
      <c r="L91" s="37"/>
      <c r="M91" s="37"/>
      <c r="N91" s="37"/>
      <c r="O91" s="37"/>
      <c r="P91" s="37"/>
      <c r="Q91" s="18">
        <v>0.50539500000000004</v>
      </c>
      <c r="R91" s="18">
        <v>3.4458749999999997E-3</v>
      </c>
      <c r="S91" s="18">
        <v>0.96484499999999995</v>
      </c>
      <c r="T91" s="18">
        <v>4.1350499999999997</v>
      </c>
      <c r="U91" s="18">
        <v>2.0675249999999998</v>
      </c>
      <c r="V91" s="18">
        <v>26.464320000000001</v>
      </c>
      <c r="W91" s="18">
        <v>24.810300000000002</v>
      </c>
      <c r="X91" s="18">
        <v>16.540199999999999</v>
      </c>
      <c r="Y91" s="18">
        <v>0.73512</v>
      </c>
      <c r="Z91" s="18">
        <v>3.262095</v>
      </c>
      <c r="AA91" s="18">
        <v>4.7782799999999996</v>
      </c>
      <c r="AB91" s="18">
        <v>8.4998249999999995</v>
      </c>
      <c r="AC91" s="18">
        <v>2.618865</v>
      </c>
      <c r="AD91" s="18">
        <v>13.7835</v>
      </c>
    </row>
    <row r="92" spans="2:30" x14ac:dyDescent="0.25">
      <c r="B92" t="s">
        <v>763</v>
      </c>
      <c r="C92" t="s">
        <v>84</v>
      </c>
      <c r="E92" s="35">
        <v>2.25</v>
      </c>
      <c r="F92" s="35">
        <v>40.840000000000003</v>
      </c>
      <c r="G92" s="36">
        <v>4.5945E-2</v>
      </c>
      <c r="H92" s="18"/>
      <c r="I92" s="16" t="s">
        <v>768</v>
      </c>
      <c r="J92" s="16" t="s">
        <v>52</v>
      </c>
      <c r="K92" s="16"/>
      <c r="L92" s="37"/>
      <c r="M92" s="37"/>
      <c r="N92" s="37"/>
      <c r="O92" s="37"/>
      <c r="P92" s="37"/>
      <c r="Q92" s="18">
        <v>0.50539500000000004</v>
      </c>
      <c r="R92" s="18">
        <v>3.4458749999999997E-3</v>
      </c>
      <c r="S92" s="18">
        <v>0.96484499999999995</v>
      </c>
      <c r="T92" s="18">
        <v>4.1350499999999997</v>
      </c>
      <c r="U92" s="18">
        <v>2.0675249999999998</v>
      </c>
      <c r="V92" s="18">
        <v>26.464320000000001</v>
      </c>
      <c r="W92" s="18">
        <v>24.810300000000002</v>
      </c>
      <c r="X92" s="18">
        <v>16.540199999999999</v>
      </c>
      <c r="Y92" s="18">
        <v>0.73512</v>
      </c>
      <c r="Z92" s="18">
        <v>3.262095</v>
      </c>
      <c r="AA92" s="18">
        <v>4.7782799999999996</v>
      </c>
      <c r="AB92" s="18">
        <v>8.4998249999999995</v>
      </c>
      <c r="AC92" s="18">
        <v>2.618865</v>
      </c>
      <c r="AD92" s="18">
        <v>13.7835</v>
      </c>
    </row>
    <row r="93" spans="2:30" x14ac:dyDescent="0.25">
      <c r="B93" t="s">
        <v>763</v>
      </c>
      <c r="C93" t="s">
        <v>84</v>
      </c>
      <c r="E93" s="35">
        <v>2.25</v>
      </c>
      <c r="F93" s="35">
        <v>40.840000000000003</v>
      </c>
      <c r="G93" s="36">
        <v>4.5945E-2</v>
      </c>
      <c r="H93" s="18"/>
      <c r="I93" s="16" t="s">
        <v>768</v>
      </c>
      <c r="J93" s="16" t="s">
        <v>52</v>
      </c>
      <c r="K93" s="16"/>
      <c r="L93" s="37"/>
      <c r="M93" s="37"/>
      <c r="N93" s="37"/>
      <c r="O93" s="37"/>
      <c r="P93" s="37"/>
      <c r="Q93" s="18">
        <v>0.50539500000000004</v>
      </c>
      <c r="R93" s="18">
        <v>3.4458749999999997E-3</v>
      </c>
      <c r="S93" s="18">
        <v>0.96484499999999995</v>
      </c>
      <c r="T93" s="18">
        <v>4.1350499999999997</v>
      </c>
      <c r="U93" s="18">
        <v>2.0675249999999998</v>
      </c>
      <c r="V93" s="18">
        <v>26.464320000000001</v>
      </c>
      <c r="W93" s="18">
        <v>24.810300000000002</v>
      </c>
      <c r="X93" s="18">
        <v>16.540199999999999</v>
      </c>
      <c r="Y93" s="18">
        <v>0.73512</v>
      </c>
      <c r="Z93" s="18">
        <v>3.262095</v>
      </c>
      <c r="AA93" s="18">
        <v>4.7782799999999996</v>
      </c>
      <c r="AB93" s="18">
        <v>8.4998249999999995</v>
      </c>
      <c r="AC93" s="18">
        <v>2.618865</v>
      </c>
      <c r="AD93" s="18">
        <v>13.7835</v>
      </c>
    </row>
    <row r="94" spans="2:30" x14ac:dyDescent="0.25">
      <c r="B94" t="s">
        <v>763</v>
      </c>
      <c r="C94" t="s">
        <v>84</v>
      </c>
      <c r="E94" s="35">
        <v>2.25</v>
      </c>
      <c r="F94" s="35">
        <v>40.840000000000003</v>
      </c>
      <c r="G94" s="36">
        <v>4.5945E-2</v>
      </c>
      <c r="H94" s="18"/>
      <c r="I94" s="16" t="s">
        <v>768</v>
      </c>
      <c r="J94" s="16" t="s">
        <v>52</v>
      </c>
      <c r="K94" s="16"/>
      <c r="L94" s="37"/>
      <c r="M94" s="37"/>
      <c r="N94" s="37"/>
      <c r="O94" s="37"/>
      <c r="P94" s="37"/>
      <c r="Q94" s="18">
        <v>0.50539500000000004</v>
      </c>
      <c r="R94" s="18">
        <v>3.4458749999999997E-3</v>
      </c>
      <c r="S94" s="18">
        <v>0.96484499999999995</v>
      </c>
      <c r="T94" s="18">
        <v>4.1350499999999997</v>
      </c>
      <c r="U94" s="18">
        <v>2.0675249999999998</v>
      </c>
      <c r="V94" s="18">
        <v>26.464320000000001</v>
      </c>
      <c r="W94" s="18">
        <v>24.810300000000002</v>
      </c>
      <c r="X94" s="18">
        <v>16.540199999999999</v>
      </c>
      <c r="Y94" s="18">
        <v>0.73512</v>
      </c>
      <c r="Z94" s="18">
        <v>3.262095</v>
      </c>
      <c r="AA94" s="18">
        <v>4.7782799999999996</v>
      </c>
      <c r="AB94" s="18">
        <v>8.4998249999999995</v>
      </c>
      <c r="AC94" s="18">
        <v>2.618865</v>
      </c>
      <c r="AD94" s="18">
        <v>13.7835</v>
      </c>
    </row>
    <row r="95" spans="2:30" x14ac:dyDescent="0.25">
      <c r="B95" t="s">
        <v>763</v>
      </c>
      <c r="C95" t="s">
        <v>84</v>
      </c>
      <c r="E95" s="35">
        <v>2.25</v>
      </c>
      <c r="F95" s="35">
        <v>40.840000000000003</v>
      </c>
      <c r="G95" s="36">
        <v>4.5945E-2</v>
      </c>
      <c r="H95" s="18"/>
      <c r="I95" s="16" t="s">
        <v>768</v>
      </c>
      <c r="J95" s="16" t="s">
        <v>52</v>
      </c>
      <c r="K95" s="16"/>
      <c r="L95" s="37"/>
      <c r="M95" s="37"/>
      <c r="N95" s="37"/>
      <c r="O95" s="37"/>
      <c r="P95" s="37"/>
      <c r="Q95" s="18">
        <v>0.50539500000000004</v>
      </c>
      <c r="R95" s="18">
        <v>3.4458749999999997E-3</v>
      </c>
      <c r="S95" s="18">
        <v>0.96484499999999995</v>
      </c>
      <c r="T95" s="18">
        <v>4.1350499999999997</v>
      </c>
      <c r="U95" s="18">
        <v>2.0675249999999998</v>
      </c>
      <c r="V95" s="18">
        <v>26.464320000000001</v>
      </c>
      <c r="W95" s="18">
        <v>24.810300000000002</v>
      </c>
      <c r="X95" s="18">
        <v>16.540199999999999</v>
      </c>
      <c r="Y95" s="18">
        <v>0.73512</v>
      </c>
      <c r="Z95" s="18">
        <v>3.262095</v>
      </c>
      <c r="AA95" s="18">
        <v>4.7782799999999996</v>
      </c>
      <c r="AB95" s="18">
        <v>8.4998249999999995</v>
      </c>
      <c r="AC95" s="18">
        <v>2.618865</v>
      </c>
      <c r="AD95" s="18">
        <v>13.7835</v>
      </c>
    </row>
    <row r="96" spans="2:30" x14ac:dyDescent="0.25">
      <c r="B96" t="s">
        <v>763</v>
      </c>
      <c r="C96" t="s">
        <v>84</v>
      </c>
      <c r="E96" s="35">
        <v>2.25</v>
      </c>
      <c r="F96" s="35">
        <v>40.840000000000003</v>
      </c>
      <c r="G96" s="36">
        <v>4.5945E-2</v>
      </c>
      <c r="H96" s="18"/>
      <c r="I96" s="16" t="s">
        <v>768</v>
      </c>
      <c r="J96" s="16" t="s">
        <v>52</v>
      </c>
      <c r="K96" s="16"/>
      <c r="L96" s="37"/>
      <c r="M96" s="37"/>
      <c r="N96" s="37"/>
      <c r="O96" s="37"/>
      <c r="P96" s="37"/>
      <c r="Q96" s="18">
        <v>0.50539500000000004</v>
      </c>
      <c r="R96" s="18">
        <v>3.4458749999999997E-3</v>
      </c>
      <c r="S96" s="18">
        <v>0.96484499999999995</v>
      </c>
      <c r="T96" s="18">
        <v>4.1350499999999997</v>
      </c>
      <c r="U96" s="18">
        <v>2.0675249999999998</v>
      </c>
      <c r="V96" s="18">
        <v>26.464320000000001</v>
      </c>
      <c r="W96" s="18">
        <v>24.810300000000002</v>
      </c>
      <c r="X96" s="18">
        <v>16.540199999999999</v>
      </c>
      <c r="Y96" s="18">
        <v>0.73512</v>
      </c>
      <c r="Z96" s="18">
        <v>3.262095</v>
      </c>
      <c r="AA96" s="18">
        <v>4.7782799999999996</v>
      </c>
      <c r="AB96" s="18">
        <v>8.4998249999999995</v>
      </c>
      <c r="AC96" s="18">
        <v>2.618865</v>
      </c>
      <c r="AD96" s="18">
        <v>13.7835</v>
      </c>
    </row>
    <row r="97" spans="2:30" x14ac:dyDescent="0.25">
      <c r="B97" t="s">
        <v>763</v>
      </c>
      <c r="C97" t="s">
        <v>84</v>
      </c>
      <c r="E97" s="35">
        <v>2.25</v>
      </c>
      <c r="F97" s="35">
        <v>40.840000000000003</v>
      </c>
      <c r="G97" s="36">
        <v>4.5945E-2</v>
      </c>
      <c r="H97" s="18"/>
      <c r="I97" s="16" t="s">
        <v>768</v>
      </c>
      <c r="J97" s="16" t="s">
        <v>52</v>
      </c>
      <c r="K97" s="16"/>
      <c r="L97" s="37"/>
      <c r="M97" s="37"/>
      <c r="N97" s="37"/>
      <c r="O97" s="37"/>
      <c r="P97" s="37"/>
      <c r="Q97" s="18">
        <v>0.50539500000000004</v>
      </c>
      <c r="R97" s="18">
        <v>3.4458749999999997E-3</v>
      </c>
      <c r="S97" s="18">
        <v>0.96484499999999995</v>
      </c>
      <c r="T97" s="18">
        <v>4.1350499999999997</v>
      </c>
      <c r="U97" s="18">
        <v>2.0675249999999998</v>
      </c>
      <c r="V97" s="18">
        <v>26.464320000000001</v>
      </c>
      <c r="W97" s="18">
        <v>24.810300000000002</v>
      </c>
      <c r="X97" s="18">
        <v>16.540199999999999</v>
      </c>
      <c r="Y97" s="18">
        <v>0.73512</v>
      </c>
      <c r="Z97" s="18">
        <v>3.262095</v>
      </c>
      <c r="AA97" s="18">
        <v>4.7782799999999996</v>
      </c>
      <c r="AB97" s="18">
        <v>8.4998249999999995</v>
      </c>
      <c r="AC97" s="18">
        <v>2.618865</v>
      </c>
      <c r="AD97" s="18">
        <v>13.7835</v>
      </c>
    </row>
    <row r="98" spans="2:30" x14ac:dyDescent="0.25">
      <c r="B98" t="s">
        <v>763</v>
      </c>
      <c r="C98" t="s">
        <v>84</v>
      </c>
      <c r="E98" s="35">
        <v>2.25</v>
      </c>
      <c r="F98" s="35">
        <v>51.05</v>
      </c>
      <c r="G98" s="36">
        <v>5.7431000000000003E-2</v>
      </c>
      <c r="H98" s="18"/>
      <c r="I98" s="16" t="s">
        <v>766</v>
      </c>
      <c r="J98" s="16" t="s">
        <v>52</v>
      </c>
      <c r="K98" s="16"/>
      <c r="L98" s="37"/>
      <c r="M98" s="37"/>
      <c r="N98" s="37"/>
      <c r="O98" s="37"/>
      <c r="P98" s="37"/>
      <c r="Q98" s="18">
        <v>0.631741</v>
      </c>
      <c r="R98" s="18">
        <v>4.3073249999999999E-3</v>
      </c>
      <c r="S98" s="18">
        <v>1.206051</v>
      </c>
      <c r="T98" s="18">
        <v>5.1687900000000004</v>
      </c>
      <c r="U98" s="18">
        <v>2.5843950000000002</v>
      </c>
      <c r="V98" s="18">
        <v>33.080255999999999</v>
      </c>
      <c r="W98" s="18">
        <v>31.012740000000001</v>
      </c>
      <c r="X98" s="18">
        <v>20.675160000000002</v>
      </c>
      <c r="Y98" s="18">
        <v>0.91889600000000005</v>
      </c>
      <c r="Z98" s="18">
        <v>4.0776010000000005</v>
      </c>
      <c r="AA98" s="18">
        <v>5.9728240000000001</v>
      </c>
      <c r="AB98" s="18">
        <v>10.624735000000001</v>
      </c>
      <c r="AC98" s="18">
        <v>3.2735670000000003</v>
      </c>
      <c r="AD98" s="18">
        <v>17.229300000000002</v>
      </c>
    </row>
    <row r="99" spans="2:30" x14ac:dyDescent="0.25">
      <c r="B99" t="s">
        <v>763</v>
      </c>
      <c r="C99" t="s">
        <v>84</v>
      </c>
      <c r="E99" s="35">
        <v>2.25</v>
      </c>
      <c r="F99" s="35">
        <v>40.840000000000003</v>
      </c>
      <c r="G99" s="36">
        <v>4.5945E-2</v>
      </c>
      <c r="H99" s="18"/>
      <c r="I99" s="16" t="s">
        <v>768</v>
      </c>
      <c r="J99" s="16" t="s">
        <v>52</v>
      </c>
      <c r="K99" s="16"/>
      <c r="L99" s="37"/>
      <c r="M99" s="37"/>
      <c r="N99" s="37"/>
      <c r="O99" s="37"/>
      <c r="P99" s="37"/>
      <c r="Q99" s="18">
        <v>0.50539500000000004</v>
      </c>
      <c r="R99" s="18">
        <v>3.4458749999999997E-3</v>
      </c>
      <c r="S99" s="18">
        <v>0.96484499999999995</v>
      </c>
      <c r="T99" s="18">
        <v>4.1350499999999997</v>
      </c>
      <c r="U99" s="18">
        <v>2.0675249999999998</v>
      </c>
      <c r="V99" s="18">
        <v>26.464320000000001</v>
      </c>
      <c r="W99" s="18">
        <v>24.810300000000002</v>
      </c>
      <c r="X99" s="18">
        <v>16.540199999999999</v>
      </c>
      <c r="Y99" s="18">
        <v>0.73512</v>
      </c>
      <c r="Z99" s="18">
        <v>3.262095</v>
      </c>
      <c r="AA99" s="18">
        <v>4.7782799999999996</v>
      </c>
      <c r="AB99" s="18">
        <v>8.4998249999999995</v>
      </c>
      <c r="AC99" s="18">
        <v>2.618865</v>
      </c>
      <c r="AD99" s="18">
        <v>13.7835</v>
      </c>
    </row>
    <row r="100" spans="2:30" x14ac:dyDescent="0.25">
      <c r="B100" t="s">
        <v>763</v>
      </c>
      <c r="C100" t="s">
        <v>84</v>
      </c>
      <c r="E100" s="35">
        <v>2.25</v>
      </c>
      <c r="F100" s="35">
        <v>40.840000000000003</v>
      </c>
      <c r="G100" s="36">
        <v>4.5945E-2</v>
      </c>
      <c r="H100" s="18"/>
      <c r="I100" s="16" t="s">
        <v>768</v>
      </c>
      <c r="J100" s="16" t="s">
        <v>52</v>
      </c>
      <c r="K100" s="16"/>
      <c r="L100" s="37"/>
      <c r="M100" s="37"/>
      <c r="N100" s="37"/>
      <c r="O100" s="37"/>
      <c r="P100" s="37"/>
      <c r="Q100" s="18">
        <v>0.50539500000000004</v>
      </c>
      <c r="R100" s="18">
        <v>3.4458749999999997E-3</v>
      </c>
      <c r="S100" s="18">
        <v>0.96484499999999995</v>
      </c>
      <c r="T100" s="18">
        <v>4.1350499999999997</v>
      </c>
      <c r="U100" s="18">
        <v>2.0675249999999998</v>
      </c>
      <c r="V100" s="18">
        <v>26.464320000000001</v>
      </c>
      <c r="W100" s="18">
        <v>24.810300000000002</v>
      </c>
      <c r="X100" s="18">
        <v>16.540199999999999</v>
      </c>
      <c r="Y100" s="18">
        <v>0.73512</v>
      </c>
      <c r="Z100" s="18">
        <v>3.262095</v>
      </c>
      <c r="AA100" s="18">
        <v>4.7782799999999996</v>
      </c>
      <c r="AB100" s="18">
        <v>8.4998249999999995</v>
      </c>
      <c r="AC100" s="18">
        <v>2.618865</v>
      </c>
      <c r="AD100" s="18">
        <v>13.7835</v>
      </c>
    </row>
    <row r="101" spans="2:30" x14ac:dyDescent="0.25">
      <c r="B101" t="s">
        <v>763</v>
      </c>
      <c r="C101" t="s">
        <v>84</v>
      </c>
      <c r="E101" s="35">
        <v>2.25</v>
      </c>
      <c r="F101" s="35">
        <v>51.05</v>
      </c>
      <c r="G101" s="36">
        <v>5.7431000000000003E-2</v>
      </c>
      <c r="H101" s="18"/>
      <c r="I101" s="16" t="s">
        <v>766</v>
      </c>
      <c r="J101" s="16" t="s">
        <v>52</v>
      </c>
      <c r="K101" s="16"/>
      <c r="L101" s="37"/>
      <c r="M101" s="37"/>
      <c r="N101" s="37"/>
      <c r="O101" s="37"/>
      <c r="P101" s="37"/>
      <c r="Q101" s="18">
        <v>0.631741</v>
      </c>
      <c r="R101" s="18">
        <v>4.3073249999999999E-3</v>
      </c>
      <c r="S101" s="18">
        <v>1.206051</v>
      </c>
      <c r="T101" s="18">
        <v>5.1687900000000004</v>
      </c>
      <c r="U101" s="18">
        <v>2.5843950000000002</v>
      </c>
      <c r="V101" s="18">
        <v>33.080255999999999</v>
      </c>
      <c r="W101" s="18">
        <v>31.012740000000001</v>
      </c>
      <c r="X101" s="18">
        <v>20.675160000000002</v>
      </c>
      <c r="Y101" s="18">
        <v>0.91889600000000005</v>
      </c>
      <c r="Z101" s="18">
        <v>4.0776010000000005</v>
      </c>
      <c r="AA101" s="18">
        <v>5.9728240000000001</v>
      </c>
      <c r="AB101" s="18">
        <v>10.624735000000001</v>
      </c>
      <c r="AC101" s="18">
        <v>3.2735670000000003</v>
      </c>
      <c r="AD101" s="18">
        <v>17.229300000000002</v>
      </c>
    </row>
    <row r="102" spans="2:30" x14ac:dyDescent="0.25">
      <c r="B102" t="s">
        <v>763</v>
      </c>
      <c r="C102" t="s">
        <v>84</v>
      </c>
      <c r="E102" s="35">
        <v>2.25</v>
      </c>
      <c r="F102" s="35">
        <v>51.05</v>
      </c>
      <c r="G102" s="36">
        <v>5.7431000000000003E-2</v>
      </c>
      <c r="H102" s="18"/>
      <c r="I102" s="16" t="s">
        <v>766</v>
      </c>
      <c r="J102" s="16" t="s">
        <v>52</v>
      </c>
      <c r="K102" s="16"/>
      <c r="L102" s="37"/>
      <c r="M102" s="37"/>
      <c r="N102" s="37"/>
      <c r="O102" s="37"/>
      <c r="P102" s="37"/>
      <c r="Q102" s="18">
        <v>0.631741</v>
      </c>
      <c r="R102" s="18">
        <v>4.3073249999999999E-3</v>
      </c>
      <c r="S102" s="18">
        <v>1.206051</v>
      </c>
      <c r="T102" s="18">
        <v>5.1687900000000004</v>
      </c>
      <c r="U102" s="18">
        <v>2.5843950000000002</v>
      </c>
      <c r="V102" s="18">
        <v>33.080255999999999</v>
      </c>
      <c r="W102" s="18">
        <v>31.012740000000001</v>
      </c>
      <c r="X102" s="18">
        <v>20.675160000000002</v>
      </c>
      <c r="Y102" s="18">
        <v>0.91889600000000005</v>
      </c>
      <c r="Z102" s="18">
        <v>4.0776010000000005</v>
      </c>
      <c r="AA102" s="18">
        <v>5.9728240000000001</v>
      </c>
      <c r="AB102" s="18">
        <v>10.624735000000001</v>
      </c>
      <c r="AC102" s="18">
        <v>3.2735670000000003</v>
      </c>
      <c r="AD102" s="18">
        <v>17.229300000000002</v>
      </c>
    </row>
    <row r="103" spans="2:30" x14ac:dyDescent="0.25">
      <c r="B103" t="s">
        <v>763</v>
      </c>
      <c r="C103" t="s">
        <v>84</v>
      </c>
      <c r="E103" s="35">
        <v>2.25</v>
      </c>
      <c r="F103" s="35">
        <v>51.05</v>
      </c>
      <c r="G103" s="36">
        <v>5.7431000000000003E-2</v>
      </c>
      <c r="H103" s="18"/>
      <c r="I103" s="16" t="s">
        <v>766</v>
      </c>
      <c r="J103" s="16" t="s">
        <v>52</v>
      </c>
      <c r="K103" s="16"/>
      <c r="L103" s="37"/>
      <c r="M103" s="37"/>
      <c r="N103" s="37"/>
      <c r="O103" s="37"/>
      <c r="P103" s="37"/>
      <c r="Q103" s="18">
        <v>0.631741</v>
      </c>
      <c r="R103" s="18">
        <v>4.3073249999999999E-3</v>
      </c>
      <c r="S103" s="18">
        <v>1.206051</v>
      </c>
      <c r="T103" s="18">
        <v>5.1687900000000004</v>
      </c>
      <c r="U103" s="18">
        <v>2.5843950000000002</v>
      </c>
      <c r="V103" s="18">
        <v>33.080255999999999</v>
      </c>
      <c r="W103" s="18">
        <v>31.012740000000001</v>
      </c>
      <c r="X103" s="18">
        <v>20.675160000000002</v>
      </c>
      <c r="Y103" s="18">
        <v>0.91889600000000005</v>
      </c>
      <c r="Z103" s="18">
        <v>4.0776010000000005</v>
      </c>
      <c r="AA103" s="18">
        <v>5.9728240000000001</v>
      </c>
      <c r="AB103" s="18">
        <v>10.624735000000001</v>
      </c>
      <c r="AC103" s="18">
        <v>3.2735670000000003</v>
      </c>
      <c r="AD103" s="18">
        <v>17.229300000000002</v>
      </c>
    </row>
    <row r="104" spans="2:30" x14ac:dyDescent="0.25">
      <c r="B104" t="s">
        <v>763</v>
      </c>
      <c r="C104" t="s">
        <v>84</v>
      </c>
      <c r="E104" s="35">
        <v>2.25</v>
      </c>
      <c r="F104" s="35">
        <v>40.840000000000003</v>
      </c>
      <c r="G104" s="36">
        <v>4.5945E-2</v>
      </c>
      <c r="H104" s="18"/>
      <c r="I104" s="16" t="s">
        <v>768</v>
      </c>
      <c r="J104" s="16" t="s">
        <v>52</v>
      </c>
      <c r="K104" s="16"/>
      <c r="L104" s="37"/>
      <c r="M104" s="37"/>
      <c r="N104" s="37"/>
      <c r="O104" s="37"/>
      <c r="P104" s="37"/>
      <c r="Q104" s="18">
        <v>0.50539500000000004</v>
      </c>
      <c r="R104" s="18">
        <v>3.4458749999999997E-3</v>
      </c>
      <c r="S104" s="18">
        <v>0.96484499999999995</v>
      </c>
      <c r="T104" s="18">
        <v>4.1350499999999997</v>
      </c>
      <c r="U104" s="18">
        <v>2.0675249999999998</v>
      </c>
      <c r="V104" s="18">
        <v>26.464320000000001</v>
      </c>
      <c r="W104" s="18">
        <v>24.810300000000002</v>
      </c>
      <c r="X104" s="18">
        <v>16.540199999999999</v>
      </c>
      <c r="Y104" s="18">
        <v>0.73512</v>
      </c>
      <c r="Z104" s="18">
        <v>3.262095</v>
      </c>
      <c r="AA104" s="18">
        <v>4.7782799999999996</v>
      </c>
      <c r="AB104" s="18">
        <v>8.4998249999999995</v>
      </c>
      <c r="AC104" s="18">
        <v>2.618865</v>
      </c>
      <c r="AD104" s="18">
        <v>13.7835</v>
      </c>
    </row>
    <row r="105" spans="2:30" x14ac:dyDescent="0.25">
      <c r="B105" t="s">
        <v>763</v>
      </c>
      <c r="C105" t="s">
        <v>84</v>
      </c>
      <c r="E105" s="35">
        <v>2.25</v>
      </c>
      <c r="F105" s="35">
        <v>51.05</v>
      </c>
      <c r="G105" s="36">
        <v>5.7431000000000003E-2</v>
      </c>
      <c r="H105" s="18"/>
      <c r="I105" s="16" t="s">
        <v>766</v>
      </c>
      <c r="J105" s="16" t="s">
        <v>52</v>
      </c>
      <c r="K105" s="16"/>
      <c r="L105" s="37"/>
      <c r="M105" s="37"/>
      <c r="N105" s="37"/>
      <c r="O105" s="37"/>
      <c r="P105" s="37"/>
      <c r="Q105" s="18">
        <v>0.631741</v>
      </c>
      <c r="R105" s="18">
        <v>4.3073249999999999E-3</v>
      </c>
      <c r="S105" s="18">
        <v>1.206051</v>
      </c>
      <c r="T105" s="18">
        <v>5.1687900000000004</v>
      </c>
      <c r="U105" s="18">
        <v>2.5843950000000002</v>
      </c>
      <c r="V105" s="18">
        <v>33.080255999999999</v>
      </c>
      <c r="W105" s="18">
        <v>31.012740000000001</v>
      </c>
      <c r="X105" s="18">
        <v>20.675160000000002</v>
      </c>
      <c r="Y105" s="18">
        <v>0.91889600000000005</v>
      </c>
      <c r="Z105" s="18">
        <v>4.0776010000000005</v>
      </c>
      <c r="AA105" s="18">
        <v>5.9728240000000001</v>
      </c>
      <c r="AB105" s="18">
        <v>10.624735000000001</v>
      </c>
      <c r="AC105" s="18">
        <v>3.2735670000000003</v>
      </c>
      <c r="AD105" s="18">
        <v>17.229300000000002</v>
      </c>
    </row>
    <row r="106" spans="2:30" x14ac:dyDescent="0.25">
      <c r="B106" t="s">
        <v>763</v>
      </c>
      <c r="C106" t="s">
        <v>84</v>
      </c>
      <c r="E106" s="35">
        <v>2.25</v>
      </c>
      <c r="F106" s="35">
        <v>51.05</v>
      </c>
      <c r="G106" s="36">
        <v>5.7431000000000003E-2</v>
      </c>
      <c r="H106" s="18"/>
      <c r="I106" s="16" t="s">
        <v>766</v>
      </c>
      <c r="J106" s="16" t="s">
        <v>52</v>
      </c>
      <c r="K106" s="16"/>
      <c r="L106" s="37"/>
      <c r="M106" s="37"/>
      <c r="N106" s="37"/>
      <c r="O106" s="37"/>
      <c r="P106" s="37"/>
      <c r="Q106" s="18">
        <v>0.631741</v>
      </c>
      <c r="R106" s="18">
        <v>4.3073249999999999E-3</v>
      </c>
      <c r="S106" s="18">
        <v>1.206051</v>
      </c>
      <c r="T106" s="18">
        <v>5.1687900000000004</v>
      </c>
      <c r="U106" s="18">
        <v>2.5843950000000002</v>
      </c>
      <c r="V106" s="18">
        <v>33.080255999999999</v>
      </c>
      <c r="W106" s="18">
        <v>31.012740000000001</v>
      </c>
      <c r="X106" s="18">
        <v>20.675160000000002</v>
      </c>
      <c r="Y106" s="18">
        <v>0.91889600000000005</v>
      </c>
      <c r="Z106" s="18">
        <v>4.0776010000000005</v>
      </c>
      <c r="AA106" s="18">
        <v>5.9728240000000001</v>
      </c>
      <c r="AB106" s="18">
        <v>10.624735000000001</v>
      </c>
      <c r="AC106" s="18">
        <v>3.2735670000000003</v>
      </c>
      <c r="AD106" s="18">
        <v>17.229300000000002</v>
      </c>
    </row>
    <row r="107" spans="2:30" x14ac:dyDescent="0.25">
      <c r="B107" t="s">
        <v>763</v>
      </c>
      <c r="C107" t="s">
        <v>84</v>
      </c>
      <c r="E107" s="35">
        <v>2.25</v>
      </c>
      <c r="F107" s="35">
        <v>51.05</v>
      </c>
      <c r="G107" s="36">
        <v>5.7431000000000003E-2</v>
      </c>
      <c r="H107" s="18"/>
      <c r="I107" s="16" t="s">
        <v>766</v>
      </c>
      <c r="J107" s="16" t="s">
        <v>52</v>
      </c>
      <c r="K107" s="16"/>
      <c r="L107" s="37"/>
      <c r="M107" s="37"/>
      <c r="N107" s="37"/>
      <c r="O107" s="37"/>
      <c r="P107" s="37"/>
      <c r="Q107" s="18">
        <v>0.631741</v>
      </c>
      <c r="R107" s="18">
        <v>4.3073249999999999E-3</v>
      </c>
      <c r="S107" s="18">
        <v>1.206051</v>
      </c>
      <c r="T107" s="18">
        <v>5.1687900000000004</v>
      </c>
      <c r="U107" s="18">
        <v>2.5843950000000002</v>
      </c>
      <c r="V107" s="18">
        <v>33.080255999999999</v>
      </c>
      <c r="W107" s="18">
        <v>31.012740000000001</v>
      </c>
      <c r="X107" s="18">
        <v>20.675160000000002</v>
      </c>
      <c r="Y107" s="18">
        <v>0.91889600000000005</v>
      </c>
      <c r="Z107" s="18">
        <v>4.0776010000000005</v>
      </c>
      <c r="AA107" s="18">
        <v>5.9728240000000001</v>
      </c>
      <c r="AB107" s="18">
        <v>10.624735000000001</v>
      </c>
      <c r="AC107" s="18">
        <v>3.2735670000000003</v>
      </c>
      <c r="AD107" s="18">
        <v>17.229300000000002</v>
      </c>
    </row>
    <row r="108" spans="2:30" x14ac:dyDescent="0.25">
      <c r="B108" t="s">
        <v>763</v>
      </c>
      <c r="C108" t="s">
        <v>84</v>
      </c>
      <c r="E108" s="35">
        <v>2.25</v>
      </c>
      <c r="F108" s="35">
        <v>51.05</v>
      </c>
      <c r="G108" s="36">
        <v>5.7431000000000003E-2</v>
      </c>
      <c r="H108" s="18"/>
      <c r="I108" s="16" t="s">
        <v>766</v>
      </c>
      <c r="J108" s="16" t="s">
        <v>52</v>
      </c>
      <c r="K108" s="16"/>
      <c r="L108" s="37"/>
      <c r="M108" s="37"/>
      <c r="N108" s="37"/>
      <c r="O108" s="37"/>
      <c r="P108" s="37"/>
      <c r="Q108" s="18">
        <v>0.631741</v>
      </c>
      <c r="R108" s="18">
        <v>4.3073249999999999E-3</v>
      </c>
      <c r="S108" s="18">
        <v>1.206051</v>
      </c>
      <c r="T108" s="18">
        <v>5.1687900000000004</v>
      </c>
      <c r="U108" s="18">
        <v>2.5843950000000002</v>
      </c>
      <c r="V108" s="18">
        <v>33.080255999999999</v>
      </c>
      <c r="W108" s="18">
        <v>31.012740000000001</v>
      </c>
      <c r="X108" s="18">
        <v>20.675160000000002</v>
      </c>
      <c r="Y108" s="18">
        <v>0.91889600000000005</v>
      </c>
      <c r="Z108" s="18">
        <v>4.0776010000000005</v>
      </c>
      <c r="AA108" s="18">
        <v>5.9728240000000001</v>
      </c>
      <c r="AB108" s="18">
        <v>10.624735000000001</v>
      </c>
      <c r="AC108" s="18">
        <v>3.2735670000000003</v>
      </c>
      <c r="AD108" s="18">
        <v>17.229300000000002</v>
      </c>
    </row>
    <row r="109" spans="2:30" x14ac:dyDescent="0.25">
      <c r="B109" t="s">
        <v>763</v>
      </c>
      <c r="C109" t="s">
        <v>84</v>
      </c>
      <c r="E109" s="35">
        <v>2.25</v>
      </c>
      <c r="F109" s="35">
        <v>51.05</v>
      </c>
      <c r="G109" s="36">
        <v>5.7431000000000003E-2</v>
      </c>
      <c r="H109" s="18"/>
      <c r="I109" s="16" t="s">
        <v>766</v>
      </c>
      <c r="J109" s="16" t="s">
        <v>52</v>
      </c>
      <c r="K109" s="16"/>
      <c r="L109" s="37"/>
      <c r="M109" s="37"/>
      <c r="N109" s="37"/>
      <c r="O109" s="37"/>
      <c r="P109" s="37"/>
      <c r="Q109" s="18">
        <v>0.631741</v>
      </c>
      <c r="R109" s="18">
        <v>4.3073249999999999E-3</v>
      </c>
      <c r="S109" s="18">
        <v>1.206051</v>
      </c>
      <c r="T109" s="18">
        <v>5.1687900000000004</v>
      </c>
      <c r="U109" s="18">
        <v>2.5843950000000002</v>
      </c>
      <c r="V109" s="18">
        <v>33.080255999999999</v>
      </c>
      <c r="W109" s="18">
        <v>31.012740000000001</v>
      </c>
      <c r="X109" s="18">
        <v>20.675160000000002</v>
      </c>
      <c r="Y109" s="18">
        <v>0.91889600000000005</v>
      </c>
      <c r="Z109" s="18">
        <v>4.0776010000000005</v>
      </c>
      <c r="AA109" s="18">
        <v>5.9728240000000001</v>
      </c>
      <c r="AB109" s="18">
        <v>10.624735000000001</v>
      </c>
      <c r="AC109" s="18">
        <v>3.2735670000000003</v>
      </c>
      <c r="AD109" s="18">
        <v>17.229300000000002</v>
      </c>
    </row>
    <row r="110" spans="2:30" x14ac:dyDescent="0.25">
      <c r="B110" t="s">
        <v>763</v>
      </c>
      <c r="C110" t="s">
        <v>84</v>
      </c>
      <c r="E110" s="35">
        <v>2.25</v>
      </c>
      <c r="F110" s="35">
        <v>40.840000000000003</v>
      </c>
      <c r="G110" s="36">
        <v>4.5945E-2</v>
      </c>
      <c r="H110" s="18"/>
      <c r="I110" s="16" t="s">
        <v>768</v>
      </c>
      <c r="J110" s="16" t="s">
        <v>52</v>
      </c>
      <c r="K110" s="16"/>
      <c r="L110" s="37"/>
      <c r="M110" s="37"/>
      <c r="N110" s="37"/>
      <c r="O110" s="37"/>
      <c r="P110" s="37"/>
      <c r="Q110" s="18">
        <v>0.50539500000000004</v>
      </c>
      <c r="R110" s="18">
        <v>3.4458749999999997E-3</v>
      </c>
      <c r="S110" s="18">
        <v>0.96484499999999995</v>
      </c>
      <c r="T110" s="18">
        <v>4.1350499999999997</v>
      </c>
      <c r="U110" s="18">
        <v>2.0675249999999998</v>
      </c>
      <c r="V110" s="18">
        <v>26.464320000000001</v>
      </c>
      <c r="W110" s="18">
        <v>24.810300000000002</v>
      </c>
      <c r="X110" s="18">
        <v>16.540199999999999</v>
      </c>
      <c r="Y110" s="18">
        <v>0.73512</v>
      </c>
      <c r="Z110" s="18">
        <v>3.262095</v>
      </c>
      <c r="AA110" s="18">
        <v>4.7782799999999996</v>
      </c>
      <c r="AB110" s="18">
        <v>8.4998249999999995</v>
      </c>
      <c r="AC110" s="18">
        <v>2.618865</v>
      </c>
      <c r="AD110" s="18">
        <v>13.7835</v>
      </c>
    </row>
    <row r="111" spans="2:30" x14ac:dyDescent="0.25">
      <c r="B111" t="s">
        <v>763</v>
      </c>
      <c r="C111" t="s">
        <v>84</v>
      </c>
      <c r="E111" s="35">
        <v>2.25</v>
      </c>
      <c r="F111" s="35">
        <v>51.05</v>
      </c>
      <c r="G111" s="36">
        <v>5.7431000000000003E-2</v>
      </c>
      <c r="H111" s="18"/>
      <c r="I111" s="16" t="s">
        <v>766</v>
      </c>
      <c r="J111" s="16" t="s">
        <v>52</v>
      </c>
      <c r="K111" s="16"/>
      <c r="L111" s="37"/>
      <c r="M111" s="37"/>
      <c r="N111" s="37"/>
      <c r="O111" s="37"/>
      <c r="P111" s="37"/>
      <c r="Q111" s="18">
        <v>0.631741</v>
      </c>
      <c r="R111" s="18">
        <v>4.3073249999999999E-3</v>
      </c>
      <c r="S111" s="18">
        <v>1.206051</v>
      </c>
      <c r="T111" s="18">
        <v>5.1687900000000004</v>
      </c>
      <c r="U111" s="18">
        <v>2.5843950000000002</v>
      </c>
      <c r="V111" s="18">
        <v>33.080255999999999</v>
      </c>
      <c r="W111" s="18">
        <v>31.012740000000001</v>
      </c>
      <c r="X111" s="18">
        <v>20.675160000000002</v>
      </c>
      <c r="Y111" s="18">
        <v>0.91889600000000005</v>
      </c>
      <c r="Z111" s="18">
        <v>4.0776010000000005</v>
      </c>
      <c r="AA111" s="18">
        <v>5.9728240000000001</v>
      </c>
      <c r="AB111" s="18">
        <v>10.624735000000001</v>
      </c>
      <c r="AC111" s="18">
        <v>3.2735670000000003</v>
      </c>
      <c r="AD111" s="18">
        <v>17.229300000000002</v>
      </c>
    </row>
    <row r="112" spans="2:30" x14ac:dyDescent="0.25">
      <c r="B112" t="s">
        <v>763</v>
      </c>
      <c r="C112" t="s">
        <v>84</v>
      </c>
      <c r="E112" s="35">
        <v>2.25</v>
      </c>
      <c r="F112" s="35">
        <v>40.840000000000003</v>
      </c>
      <c r="G112" s="36">
        <v>4.5945E-2</v>
      </c>
      <c r="H112" s="18"/>
      <c r="I112" s="16" t="s">
        <v>768</v>
      </c>
      <c r="J112" s="16" t="s">
        <v>52</v>
      </c>
      <c r="K112" s="16"/>
      <c r="L112" s="37"/>
      <c r="M112" s="37"/>
      <c r="N112" s="37"/>
      <c r="O112" s="37"/>
      <c r="P112" s="37"/>
      <c r="Q112" s="18">
        <v>0.50539500000000004</v>
      </c>
      <c r="R112" s="18">
        <v>3.4458749999999997E-3</v>
      </c>
      <c r="S112" s="18">
        <v>0.96484499999999995</v>
      </c>
      <c r="T112" s="18">
        <v>4.1350499999999997</v>
      </c>
      <c r="U112" s="18">
        <v>2.0675249999999998</v>
      </c>
      <c r="V112" s="18">
        <v>26.464320000000001</v>
      </c>
      <c r="W112" s="18">
        <v>24.810300000000002</v>
      </c>
      <c r="X112" s="18">
        <v>16.540199999999999</v>
      </c>
      <c r="Y112" s="18">
        <v>0.73512</v>
      </c>
      <c r="Z112" s="18">
        <v>3.262095</v>
      </c>
      <c r="AA112" s="18">
        <v>4.7782799999999996</v>
      </c>
      <c r="AB112" s="18">
        <v>8.4998249999999995</v>
      </c>
      <c r="AC112" s="18">
        <v>2.618865</v>
      </c>
      <c r="AD112" s="18">
        <v>13.7835</v>
      </c>
    </row>
    <row r="113" spans="2:30" x14ac:dyDescent="0.25">
      <c r="B113" t="s">
        <v>763</v>
      </c>
      <c r="C113" t="s">
        <v>84</v>
      </c>
      <c r="E113" s="35">
        <v>2.25</v>
      </c>
      <c r="F113" s="35">
        <v>40.840000000000003</v>
      </c>
      <c r="G113" s="36">
        <v>4.5945E-2</v>
      </c>
      <c r="H113" s="18"/>
      <c r="I113" s="16" t="s">
        <v>768</v>
      </c>
      <c r="J113" s="16" t="s">
        <v>52</v>
      </c>
      <c r="K113" s="16"/>
      <c r="L113" s="37"/>
      <c r="M113" s="37"/>
      <c r="N113" s="37"/>
      <c r="O113" s="37"/>
      <c r="P113" s="37"/>
      <c r="Q113" s="18">
        <v>0.50539500000000004</v>
      </c>
      <c r="R113" s="18">
        <v>3.4458749999999997E-3</v>
      </c>
      <c r="S113" s="18">
        <v>0.96484499999999995</v>
      </c>
      <c r="T113" s="18">
        <v>4.1350499999999997</v>
      </c>
      <c r="U113" s="18">
        <v>2.0675249999999998</v>
      </c>
      <c r="V113" s="18">
        <v>26.464320000000001</v>
      </c>
      <c r="W113" s="18">
        <v>24.810300000000002</v>
      </c>
      <c r="X113" s="18">
        <v>16.540199999999999</v>
      </c>
      <c r="Y113" s="18">
        <v>0.73512</v>
      </c>
      <c r="Z113" s="18">
        <v>3.262095</v>
      </c>
      <c r="AA113" s="18">
        <v>4.7782799999999996</v>
      </c>
      <c r="AB113" s="18">
        <v>8.4998249999999995</v>
      </c>
      <c r="AC113" s="18">
        <v>2.618865</v>
      </c>
      <c r="AD113" s="18">
        <v>13.7835</v>
      </c>
    </row>
    <row r="114" spans="2:30" x14ac:dyDescent="0.25">
      <c r="B114" t="s">
        <v>763</v>
      </c>
      <c r="C114" t="s">
        <v>84</v>
      </c>
      <c r="E114" s="35">
        <v>2.25</v>
      </c>
      <c r="F114" s="35">
        <v>40.840000000000003</v>
      </c>
      <c r="G114" s="36">
        <v>4.5945E-2</v>
      </c>
      <c r="H114" s="18"/>
      <c r="I114" s="16" t="s">
        <v>768</v>
      </c>
      <c r="J114" s="16" t="s">
        <v>52</v>
      </c>
      <c r="K114" s="16"/>
      <c r="L114" s="37"/>
      <c r="M114" s="37"/>
      <c r="N114" s="37"/>
      <c r="O114" s="37"/>
      <c r="P114" s="37"/>
      <c r="Q114" s="18">
        <v>0.50539500000000004</v>
      </c>
      <c r="R114" s="18">
        <v>3.4458749999999997E-3</v>
      </c>
      <c r="S114" s="18">
        <v>0.96484499999999995</v>
      </c>
      <c r="T114" s="18">
        <v>4.1350499999999997</v>
      </c>
      <c r="U114" s="18">
        <v>2.0675249999999998</v>
      </c>
      <c r="V114" s="18">
        <v>26.464320000000001</v>
      </c>
      <c r="W114" s="18">
        <v>24.810300000000002</v>
      </c>
      <c r="X114" s="18">
        <v>16.540199999999999</v>
      </c>
      <c r="Y114" s="18">
        <v>0.73512</v>
      </c>
      <c r="Z114" s="18">
        <v>3.262095</v>
      </c>
      <c r="AA114" s="18">
        <v>4.7782799999999996</v>
      </c>
      <c r="AB114" s="18">
        <v>8.4998249999999995</v>
      </c>
      <c r="AC114" s="18">
        <v>2.618865</v>
      </c>
      <c r="AD114" s="18">
        <v>13.7835</v>
      </c>
    </row>
    <row r="115" spans="2:30" x14ac:dyDescent="0.25">
      <c r="B115" t="s">
        <v>763</v>
      </c>
      <c r="C115" t="s">
        <v>84</v>
      </c>
      <c r="E115" s="35">
        <v>2.25</v>
      </c>
      <c r="F115" s="35">
        <v>40.840000000000003</v>
      </c>
      <c r="G115" s="36">
        <v>4.5945E-2</v>
      </c>
      <c r="H115" s="18"/>
      <c r="I115" s="16" t="s">
        <v>768</v>
      </c>
      <c r="J115" s="16" t="s">
        <v>52</v>
      </c>
      <c r="K115" s="16"/>
      <c r="L115" s="37"/>
      <c r="M115" s="37"/>
      <c r="N115" s="37"/>
      <c r="O115" s="37"/>
      <c r="P115" s="37"/>
      <c r="Q115" s="18">
        <v>0.50539500000000004</v>
      </c>
      <c r="R115" s="18">
        <v>3.4458749999999997E-3</v>
      </c>
      <c r="S115" s="18">
        <v>0.96484499999999995</v>
      </c>
      <c r="T115" s="18">
        <v>4.1350499999999997</v>
      </c>
      <c r="U115" s="18">
        <v>2.0675249999999998</v>
      </c>
      <c r="V115" s="18">
        <v>26.464320000000001</v>
      </c>
      <c r="W115" s="18">
        <v>24.810300000000002</v>
      </c>
      <c r="X115" s="18">
        <v>16.540199999999999</v>
      </c>
      <c r="Y115" s="18">
        <v>0.73512</v>
      </c>
      <c r="Z115" s="18">
        <v>3.262095</v>
      </c>
      <c r="AA115" s="18">
        <v>4.7782799999999996</v>
      </c>
      <c r="AB115" s="18">
        <v>8.4998249999999995</v>
      </c>
      <c r="AC115" s="18">
        <v>2.618865</v>
      </c>
      <c r="AD115" s="18">
        <v>13.7835</v>
      </c>
    </row>
    <row r="116" spans="2:30" x14ac:dyDescent="0.25">
      <c r="B116" t="s">
        <v>763</v>
      </c>
      <c r="C116" t="s">
        <v>84</v>
      </c>
      <c r="E116" s="35">
        <v>2.25</v>
      </c>
      <c r="F116" s="35">
        <v>51.05</v>
      </c>
      <c r="G116" s="36">
        <v>5.7431000000000003E-2</v>
      </c>
      <c r="H116" s="18"/>
      <c r="I116" s="16" t="s">
        <v>766</v>
      </c>
      <c r="J116" s="16" t="s">
        <v>52</v>
      </c>
      <c r="K116" s="16"/>
      <c r="L116" s="37"/>
      <c r="M116" s="37"/>
      <c r="N116" s="37"/>
      <c r="O116" s="37"/>
      <c r="P116" s="37"/>
      <c r="Q116" s="18">
        <v>0.631741</v>
      </c>
      <c r="R116" s="18">
        <v>4.3073249999999999E-3</v>
      </c>
      <c r="S116" s="18">
        <v>1.206051</v>
      </c>
      <c r="T116" s="18">
        <v>5.1687900000000004</v>
      </c>
      <c r="U116" s="18">
        <v>2.5843950000000002</v>
      </c>
      <c r="V116" s="18">
        <v>33.080255999999999</v>
      </c>
      <c r="W116" s="18">
        <v>31.012740000000001</v>
      </c>
      <c r="X116" s="18">
        <v>20.675160000000002</v>
      </c>
      <c r="Y116" s="18">
        <v>0.91889600000000005</v>
      </c>
      <c r="Z116" s="18">
        <v>4.0776010000000005</v>
      </c>
      <c r="AA116" s="18">
        <v>5.9728240000000001</v>
      </c>
      <c r="AB116" s="18">
        <v>10.624735000000001</v>
      </c>
      <c r="AC116" s="18">
        <v>3.2735670000000003</v>
      </c>
      <c r="AD116" s="18">
        <v>17.229300000000002</v>
      </c>
    </row>
    <row r="117" spans="2:30" x14ac:dyDescent="0.25">
      <c r="B117" t="s">
        <v>763</v>
      </c>
      <c r="C117" t="s">
        <v>84</v>
      </c>
      <c r="E117" s="35">
        <v>2.25</v>
      </c>
      <c r="F117" s="35">
        <v>51.05</v>
      </c>
      <c r="G117" s="36">
        <v>5.7431000000000003E-2</v>
      </c>
      <c r="H117" s="18"/>
      <c r="I117" s="16" t="s">
        <v>766</v>
      </c>
      <c r="J117" s="16" t="s">
        <v>52</v>
      </c>
      <c r="K117" s="16"/>
      <c r="L117" s="37"/>
      <c r="M117" s="37"/>
      <c r="N117" s="37"/>
      <c r="O117" s="37"/>
      <c r="P117" s="37"/>
      <c r="Q117" s="18">
        <v>0.631741</v>
      </c>
      <c r="R117" s="18">
        <v>4.3073249999999999E-3</v>
      </c>
      <c r="S117" s="18">
        <v>1.206051</v>
      </c>
      <c r="T117" s="18">
        <v>5.1687900000000004</v>
      </c>
      <c r="U117" s="18">
        <v>2.5843950000000002</v>
      </c>
      <c r="V117" s="18">
        <v>33.080255999999999</v>
      </c>
      <c r="W117" s="18">
        <v>31.012740000000001</v>
      </c>
      <c r="X117" s="18">
        <v>20.675160000000002</v>
      </c>
      <c r="Y117" s="18">
        <v>0.91889600000000005</v>
      </c>
      <c r="Z117" s="18">
        <v>4.0776010000000005</v>
      </c>
      <c r="AA117" s="18">
        <v>5.9728240000000001</v>
      </c>
      <c r="AB117" s="18">
        <v>10.624735000000001</v>
      </c>
      <c r="AC117" s="18">
        <v>3.2735670000000003</v>
      </c>
      <c r="AD117" s="18">
        <v>17.229300000000002</v>
      </c>
    </row>
    <row r="118" spans="2:30" x14ac:dyDescent="0.25">
      <c r="B118" t="s">
        <v>763</v>
      </c>
      <c r="C118" t="s">
        <v>84</v>
      </c>
      <c r="E118" s="35">
        <v>2.25</v>
      </c>
      <c r="F118" s="35">
        <v>51.05</v>
      </c>
      <c r="G118" s="36">
        <v>5.7431000000000003E-2</v>
      </c>
      <c r="H118" s="18"/>
      <c r="I118" s="16" t="s">
        <v>766</v>
      </c>
      <c r="J118" s="16" t="s">
        <v>52</v>
      </c>
      <c r="K118" s="16"/>
      <c r="L118" s="37"/>
      <c r="M118" s="37"/>
      <c r="N118" s="37"/>
      <c r="O118" s="37"/>
      <c r="P118" s="37"/>
      <c r="Q118" s="18">
        <v>0.631741</v>
      </c>
      <c r="R118" s="18">
        <v>4.3073249999999999E-3</v>
      </c>
      <c r="S118" s="18">
        <v>1.206051</v>
      </c>
      <c r="T118" s="18">
        <v>5.1687900000000004</v>
      </c>
      <c r="U118" s="18">
        <v>2.5843950000000002</v>
      </c>
      <c r="V118" s="18">
        <v>33.080255999999999</v>
      </c>
      <c r="W118" s="18">
        <v>31.012740000000001</v>
      </c>
      <c r="X118" s="18">
        <v>20.675160000000002</v>
      </c>
      <c r="Y118" s="18">
        <v>0.91889600000000005</v>
      </c>
      <c r="Z118" s="18">
        <v>4.0776010000000005</v>
      </c>
      <c r="AA118" s="18">
        <v>5.9728240000000001</v>
      </c>
      <c r="AB118" s="18">
        <v>10.624735000000001</v>
      </c>
      <c r="AC118" s="18">
        <v>3.2735670000000003</v>
      </c>
      <c r="AD118" s="18">
        <v>17.229300000000002</v>
      </c>
    </row>
    <row r="119" spans="2:30" x14ac:dyDescent="0.25">
      <c r="B119" t="s">
        <v>763</v>
      </c>
      <c r="C119" t="s">
        <v>84</v>
      </c>
      <c r="E119" s="35">
        <v>2.25</v>
      </c>
      <c r="F119" s="35">
        <v>51.05</v>
      </c>
      <c r="G119" s="36">
        <v>5.7431000000000003E-2</v>
      </c>
      <c r="H119" s="18"/>
      <c r="I119" s="16" t="s">
        <v>766</v>
      </c>
      <c r="J119" s="16" t="s">
        <v>52</v>
      </c>
      <c r="K119" s="16"/>
      <c r="L119" s="37"/>
      <c r="M119" s="37"/>
      <c r="N119" s="37"/>
      <c r="O119" s="37"/>
      <c r="P119" s="37"/>
      <c r="Q119" s="18">
        <v>0.631741</v>
      </c>
      <c r="R119" s="18">
        <v>4.3073249999999999E-3</v>
      </c>
      <c r="S119" s="18">
        <v>1.206051</v>
      </c>
      <c r="T119" s="18">
        <v>5.1687900000000004</v>
      </c>
      <c r="U119" s="18">
        <v>2.5843950000000002</v>
      </c>
      <c r="V119" s="18">
        <v>33.080255999999999</v>
      </c>
      <c r="W119" s="18">
        <v>31.012740000000001</v>
      </c>
      <c r="X119" s="18">
        <v>20.675160000000002</v>
      </c>
      <c r="Y119" s="18">
        <v>0.91889600000000005</v>
      </c>
      <c r="Z119" s="18">
        <v>4.0776010000000005</v>
      </c>
      <c r="AA119" s="18">
        <v>5.9728240000000001</v>
      </c>
      <c r="AB119" s="18">
        <v>10.624735000000001</v>
      </c>
      <c r="AC119" s="18">
        <v>3.2735670000000003</v>
      </c>
      <c r="AD119" s="18">
        <v>17.229300000000002</v>
      </c>
    </row>
    <row r="120" spans="2:30" x14ac:dyDescent="0.25">
      <c r="B120" t="s">
        <v>763</v>
      </c>
      <c r="C120" t="s">
        <v>84</v>
      </c>
      <c r="E120" s="35">
        <v>2.25</v>
      </c>
      <c r="F120" s="35">
        <v>40.840000000000003</v>
      </c>
      <c r="G120" s="36">
        <v>4.5945E-2</v>
      </c>
      <c r="H120" s="18"/>
      <c r="I120" s="16" t="s">
        <v>768</v>
      </c>
      <c r="J120" s="16" t="s">
        <v>52</v>
      </c>
      <c r="K120" s="16"/>
      <c r="L120" s="37"/>
      <c r="M120" s="37"/>
      <c r="N120" s="37"/>
      <c r="O120" s="37"/>
      <c r="P120" s="37"/>
      <c r="Q120" s="18">
        <v>0.50539500000000004</v>
      </c>
      <c r="R120" s="18">
        <v>3.4458749999999997E-3</v>
      </c>
      <c r="S120" s="18">
        <v>0.96484499999999995</v>
      </c>
      <c r="T120" s="18">
        <v>4.1350499999999997</v>
      </c>
      <c r="U120" s="18">
        <v>2.0675249999999998</v>
      </c>
      <c r="V120" s="18">
        <v>26.464320000000001</v>
      </c>
      <c r="W120" s="18">
        <v>24.810300000000002</v>
      </c>
      <c r="X120" s="18">
        <v>16.540199999999999</v>
      </c>
      <c r="Y120" s="18">
        <v>0.73512</v>
      </c>
      <c r="Z120" s="18">
        <v>3.262095</v>
      </c>
      <c r="AA120" s="18">
        <v>4.7782799999999996</v>
      </c>
      <c r="AB120" s="18">
        <v>8.4998249999999995</v>
      </c>
      <c r="AC120" s="18">
        <v>2.618865</v>
      </c>
      <c r="AD120" s="18">
        <v>13.7835</v>
      </c>
    </row>
    <row r="121" spans="2:30" x14ac:dyDescent="0.25">
      <c r="B121" t="s">
        <v>763</v>
      </c>
      <c r="C121" t="s">
        <v>84</v>
      </c>
      <c r="E121" s="35">
        <v>2.25</v>
      </c>
      <c r="F121" s="35">
        <v>51.05</v>
      </c>
      <c r="G121" s="36">
        <v>5.7431000000000003E-2</v>
      </c>
      <c r="H121" s="18"/>
      <c r="I121" s="16" t="s">
        <v>766</v>
      </c>
      <c r="J121" s="16" t="s">
        <v>52</v>
      </c>
      <c r="K121" s="16"/>
      <c r="L121" s="37"/>
      <c r="M121" s="37"/>
      <c r="N121" s="37"/>
      <c r="O121" s="37"/>
      <c r="P121" s="37"/>
      <c r="Q121" s="18">
        <v>0.631741</v>
      </c>
      <c r="R121" s="18">
        <v>4.3073249999999999E-3</v>
      </c>
      <c r="S121" s="18">
        <v>1.206051</v>
      </c>
      <c r="T121" s="18">
        <v>5.1687900000000004</v>
      </c>
      <c r="U121" s="18">
        <v>2.5843950000000002</v>
      </c>
      <c r="V121" s="18">
        <v>33.080255999999999</v>
      </c>
      <c r="W121" s="18">
        <v>31.012740000000001</v>
      </c>
      <c r="X121" s="18">
        <v>20.675160000000002</v>
      </c>
      <c r="Y121" s="18">
        <v>0.91889600000000005</v>
      </c>
      <c r="Z121" s="18">
        <v>4.0776010000000005</v>
      </c>
      <c r="AA121" s="18">
        <v>5.9728240000000001</v>
      </c>
      <c r="AB121" s="18">
        <v>10.624735000000001</v>
      </c>
      <c r="AC121" s="18">
        <v>3.2735670000000003</v>
      </c>
      <c r="AD121" s="18">
        <v>17.229300000000002</v>
      </c>
    </row>
    <row r="122" spans="2:30" x14ac:dyDescent="0.25">
      <c r="B122" t="s">
        <v>763</v>
      </c>
      <c r="C122" t="s">
        <v>84</v>
      </c>
      <c r="E122" s="35">
        <v>2.25</v>
      </c>
      <c r="F122" s="35">
        <v>51.05</v>
      </c>
      <c r="G122" s="36">
        <v>5.7431000000000003E-2</v>
      </c>
      <c r="H122" s="18"/>
      <c r="I122" s="16" t="s">
        <v>766</v>
      </c>
      <c r="J122" s="16" t="s">
        <v>52</v>
      </c>
      <c r="K122" s="16"/>
      <c r="L122" s="37"/>
      <c r="M122" s="37"/>
      <c r="N122" s="37"/>
      <c r="O122" s="37"/>
      <c r="P122" s="37"/>
      <c r="Q122" s="18">
        <v>0.631741</v>
      </c>
      <c r="R122" s="18">
        <v>4.3073249999999999E-3</v>
      </c>
      <c r="S122" s="18">
        <v>1.206051</v>
      </c>
      <c r="T122" s="18">
        <v>5.1687900000000004</v>
      </c>
      <c r="U122" s="18">
        <v>2.5843950000000002</v>
      </c>
      <c r="V122" s="18">
        <v>33.080255999999999</v>
      </c>
      <c r="W122" s="18">
        <v>31.012740000000001</v>
      </c>
      <c r="X122" s="18">
        <v>20.675160000000002</v>
      </c>
      <c r="Y122" s="18">
        <v>0.91889600000000005</v>
      </c>
      <c r="Z122" s="18">
        <v>4.0776010000000005</v>
      </c>
      <c r="AA122" s="18">
        <v>5.9728240000000001</v>
      </c>
      <c r="AB122" s="18">
        <v>10.624735000000001</v>
      </c>
      <c r="AC122" s="18">
        <v>3.2735670000000003</v>
      </c>
      <c r="AD122" s="18">
        <v>17.229300000000002</v>
      </c>
    </row>
    <row r="123" spans="2:30" x14ac:dyDescent="0.25">
      <c r="B123" t="s">
        <v>763</v>
      </c>
      <c r="C123" t="s">
        <v>84</v>
      </c>
      <c r="E123" s="35">
        <v>2.25</v>
      </c>
      <c r="F123" s="35">
        <v>51.05</v>
      </c>
      <c r="G123" s="36">
        <v>5.7431000000000003E-2</v>
      </c>
      <c r="H123" s="18"/>
      <c r="I123" s="16" t="s">
        <v>766</v>
      </c>
      <c r="J123" s="16" t="s">
        <v>52</v>
      </c>
      <c r="K123" s="16"/>
      <c r="L123" s="37"/>
      <c r="M123" s="37"/>
      <c r="N123" s="37"/>
      <c r="O123" s="37"/>
      <c r="P123" s="37"/>
      <c r="Q123" s="18">
        <v>0.631741</v>
      </c>
      <c r="R123" s="18">
        <v>4.3073249999999999E-3</v>
      </c>
      <c r="S123" s="18">
        <v>1.206051</v>
      </c>
      <c r="T123" s="18">
        <v>5.1687900000000004</v>
      </c>
      <c r="U123" s="18">
        <v>2.5843950000000002</v>
      </c>
      <c r="V123" s="18">
        <v>33.080255999999999</v>
      </c>
      <c r="W123" s="18">
        <v>31.012740000000001</v>
      </c>
      <c r="X123" s="18">
        <v>20.675160000000002</v>
      </c>
      <c r="Y123" s="18">
        <v>0.91889600000000005</v>
      </c>
      <c r="Z123" s="18">
        <v>4.0776010000000005</v>
      </c>
      <c r="AA123" s="18">
        <v>5.9728240000000001</v>
      </c>
      <c r="AB123" s="18">
        <v>10.624735000000001</v>
      </c>
      <c r="AC123" s="18">
        <v>3.2735670000000003</v>
      </c>
      <c r="AD123" s="18">
        <v>17.229300000000002</v>
      </c>
    </row>
    <row r="124" spans="2:30" x14ac:dyDescent="0.25">
      <c r="B124" t="s">
        <v>763</v>
      </c>
      <c r="C124" t="s">
        <v>84</v>
      </c>
      <c r="E124" s="35">
        <v>2.25</v>
      </c>
      <c r="F124" s="35">
        <v>30.63</v>
      </c>
      <c r="G124" s="36">
        <v>3.4458999999999997E-2</v>
      </c>
      <c r="H124" s="18"/>
      <c r="I124" s="16" t="s">
        <v>765</v>
      </c>
      <c r="J124" s="16" t="s">
        <v>52</v>
      </c>
      <c r="K124" s="16"/>
      <c r="L124" s="37"/>
      <c r="M124" s="37"/>
      <c r="N124" s="37"/>
      <c r="O124" s="37"/>
      <c r="P124" s="37"/>
      <c r="Q124" s="18">
        <v>0.37904899999999997</v>
      </c>
      <c r="R124" s="18">
        <v>2.5844249999999996E-3</v>
      </c>
      <c r="S124" s="18">
        <v>0.72363899999999992</v>
      </c>
      <c r="T124" s="18">
        <v>3.1013099999999998</v>
      </c>
      <c r="U124" s="18">
        <v>1.5506549999999999</v>
      </c>
      <c r="V124" s="18">
        <v>19.848383999999999</v>
      </c>
      <c r="W124" s="18">
        <v>18.607859999999999</v>
      </c>
      <c r="X124" s="18">
        <v>12.405239999999999</v>
      </c>
      <c r="Y124" s="18">
        <v>0.55134399999999995</v>
      </c>
      <c r="Z124" s="18">
        <v>2.4465889999999999</v>
      </c>
      <c r="AA124" s="18">
        <v>3.5837359999999996</v>
      </c>
      <c r="AB124" s="18">
        <v>6.3749149999999997</v>
      </c>
      <c r="AC124" s="18">
        <v>1.9641629999999999</v>
      </c>
      <c r="AD124" s="18">
        <v>10.337699999999998</v>
      </c>
    </row>
    <row r="125" spans="2:30" x14ac:dyDescent="0.25">
      <c r="B125" t="s">
        <v>763</v>
      </c>
      <c r="C125" t="s">
        <v>84</v>
      </c>
      <c r="E125" s="35">
        <v>2.25</v>
      </c>
      <c r="F125" s="35">
        <v>61.26</v>
      </c>
      <c r="G125" s="36">
        <v>6.8917999999999993E-2</v>
      </c>
      <c r="H125" s="18"/>
      <c r="I125" s="16" t="s">
        <v>767</v>
      </c>
      <c r="J125" s="16" t="s">
        <v>52</v>
      </c>
      <c r="K125" s="16"/>
      <c r="L125" s="37"/>
      <c r="M125" s="37"/>
      <c r="N125" s="37"/>
      <c r="O125" s="37"/>
      <c r="P125" s="37"/>
      <c r="Q125" s="18">
        <v>0.75809799999999994</v>
      </c>
      <c r="R125" s="18">
        <v>5.1688499999999991E-3</v>
      </c>
      <c r="S125" s="18">
        <v>1.4472779999999998</v>
      </c>
      <c r="T125" s="18">
        <v>6.2026199999999996</v>
      </c>
      <c r="U125" s="18">
        <v>3.1013099999999998</v>
      </c>
      <c r="V125" s="18">
        <v>39.696767999999999</v>
      </c>
      <c r="W125" s="18">
        <v>37.215719999999997</v>
      </c>
      <c r="X125" s="18">
        <v>24.810479999999998</v>
      </c>
      <c r="Y125" s="18">
        <v>1.1026879999999999</v>
      </c>
      <c r="Z125" s="18">
        <v>4.8931779999999998</v>
      </c>
      <c r="AA125" s="18">
        <v>7.1674719999999992</v>
      </c>
      <c r="AB125" s="18">
        <v>12.749829999999999</v>
      </c>
      <c r="AC125" s="18">
        <v>3.9283259999999998</v>
      </c>
      <c r="AD125" s="18">
        <v>20.675399999999996</v>
      </c>
    </row>
    <row r="126" spans="2:30" x14ac:dyDescent="0.25">
      <c r="B126" t="s">
        <v>763</v>
      </c>
      <c r="C126" t="s">
        <v>84</v>
      </c>
      <c r="E126" s="35">
        <v>2.25</v>
      </c>
      <c r="F126" s="35">
        <v>30.63</v>
      </c>
      <c r="G126" s="36">
        <v>3.4458999999999997E-2</v>
      </c>
      <c r="H126" s="18"/>
      <c r="I126" s="16" t="s">
        <v>765</v>
      </c>
      <c r="J126" s="16" t="s">
        <v>52</v>
      </c>
      <c r="K126" s="16"/>
      <c r="L126" s="37"/>
      <c r="M126" s="37"/>
      <c r="N126" s="37"/>
      <c r="O126" s="37"/>
      <c r="P126" s="37"/>
      <c r="Q126" s="18">
        <v>0.37904899999999997</v>
      </c>
      <c r="R126" s="18">
        <v>2.5844249999999996E-3</v>
      </c>
      <c r="S126" s="18">
        <v>0.72363899999999992</v>
      </c>
      <c r="T126" s="18">
        <v>3.1013099999999998</v>
      </c>
      <c r="U126" s="18">
        <v>1.5506549999999999</v>
      </c>
      <c r="V126" s="18">
        <v>19.848383999999999</v>
      </c>
      <c r="W126" s="18">
        <v>18.607859999999999</v>
      </c>
      <c r="X126" s="18">
        <v>12.405239999999999</v>
      </c>
      <c r="Y126" s="18">
        <v>0.55134399999999995</v>
      </c>
      <c r="Z126" s="18">
        <v>2.4465889999999999</v>
      </c>
      <c r="AA126" s="18">
        <v>3.5837359999999996</v>
      </c>
      <c r="AB126" s="18">
        <v>6.3749149999999997</v>
      </c>
      <c r="AC126" s="18">
        <v>1.9641629999999999</v>
      </c>
      <c r="AD126" s="18">
        <v>10.337699999999998</v>
      </c>
    </row>
    <row r="127" spans="2:30" x14ac:dyDescent="0.25">
      <c r="B127" t="s">
        <v>763</v>
      </c>
      <c r="C127" t="s">
        <v>84</v>
      </c>
      <c r="E127" s="35">
        <v>2.25</v>
      </c>
      <c r="F127" s="35">
        <v>30.63</v>
      </c>
      <c r="G127" s="36">
        <v>3.4458999999999997E-2</v>
      </c>
      <c r="H127" s="18"/>
      <c r="I127" s="16" t="s">
        <v>765</v>
      </c>
      <c r="J127" s="16" t="s">
        <v>52</v>
      </c>
      <c r="K127" s="16"/>
      <c r="L127" s="37"/>
      <c r="M127" s="37"/>
      <c r="N127" s="37"/>
      <c r="O127" s="37"/>
      <c r="P127" s="37"/>
      <c r="Q127" s="18">
        <v>0.37904899999999997</v>
      </c>
      <c r="R127" s="18">
        <v>2.5844249999999996E-3</v>
      </c>
      <c r="S127" s="18">
        <v>0.72363899999999992</v>
      </c>
      <c r="T127" s="18">
        <v>3.1013099999999998</v>
      </c>
      <c r="U127" s="18">
        <v>1.5506549999999999</v>
      </c>
      <c r="V127" s="18">
        <v>19.848383999999999</v>
      </c>
      <c r="W127" s="18">
        <v>18.607859999999999</v>
      </c>
      <c r="X127" s="18">
        <v>12.405239999999999</v>
      </c>
      <c r="Y127" s="18">
        <v>0.55134399999999995</v>
      </c>
      <c r="Z127" s="18">
        <v>2.4465889999999999</v>
      </c>
      <c r="AA127" s="18">
        <v>3.5837359999999996</v>
      </c>
      <c r="AB127" s="18">
        <v>6.3749149999999997</v>
      </c>
      <c r="AC127" s="18">
        <v>1.9641629999999999</v>
      </c>
      <c r="AD127" s="18">
        <v>10.337699999999998</v>
      </c>
    </row>
    <row r="128" spans="2:30" x14ac:dyDescent="0.25">
      <c r="B128" t="s">
        <v>763</v>
      </c>
      <c r="C128" t="s">
        <v>84</v>
      </c>
      <c r="E128" s="35">
        <v>2.25</v>
      </c>
      <c r="F128" s="35">
        <v>30.63</v>
      </c>
      <c r="G128" s="36">
        <v>3.4458999999999997E-2</v>
      </c>
      <c r="H128" s="18"/>
      <c r="I128" s="16" t="s">
        <v>765</v>
      </c>
      <c r="J128" s="16" t="s">
        <v>52</v>
      </c>
      <c r="K128" s="16"/>
      <c r="L128" s="37"/>
      <c r="M128" s="37"/>
      <c r="N128" s="37"/>
      <c r="O128" s="37"/>
      <c r="P128" s="37"/>
      <c r="Q128" s="18">
        <v>0.37904899999999997</v>
      </c>
      <c r="R128" s="18">
        <v>2.5844249999999996E-3</v>
      </c>
      <c r="S128" s="18">
        <v>0.72363899999999992</v>
      </c>
      <c r="T128" s="18">
        <v>3.1013099999999998</v>
      </c>
      <c r="U128" s="18">
        <v>1.5506549999999999</v>
      </c>
      <c r="V128" s="18">
        <v>19.848383999999999</v>
      </c>
      <c r="W128" s="18">
        <v>18.607859999999999</v>
      </c>
      <c r="X128" s="18">
        <v>12.405239999999999</v>
      </c>
      <c r="Y128" s="18">
        <v>0.55134399999999995</v>
      </c>
      <c r="Z128" s="18">
        <v>2.4465889999999999</v>
      </c>
      <c r="AA128" s="18">
        <v>3.5837359999999996</v>
      </c>
      <c r="AB128" s="18">
        <v>6.3749149999999997</v>
      </c>
      <c r="AC128" s="18">
        <v>1.9641629999999999</v>
      </c>
      <c r="AD128" s="18">
        <v>10.337699999999998</v>
      </c>
    </row>
    <row r="129" spans="2:30" x14ac:dyDescent="0.25">
      <c r="B129" t="s">
        <v>763</v>
      </c>
      <c r="C129" t="s">
        <v>84</v>
      </c>
      <c r="E129" s="35">
        <v>2.25</v>
      </c>
      <c r="F129" s="35">
        <v>30.63</v>
      </c>
      <c r="G129" s="36">
        <v>3.4458999999999997E-2</v>
      </c>
      <c r="H129" s="18"/>
      <c r="I129" s="16" t="s">
        <v>765</v>
      </c>
      <c r="J129" s="16" t="s">
        <v>52</v>
      </c>
      <c r="K129" s="16"/>
      <c r="L129" s="37"/>
      <c r="M129" s="37"/>
      <c r="N129" s="37"/>
      <c r="O129" s="37"/>
      <c r="P129" s="37"/>
      <c r="Q129" s="18">
        <v>0.37904899999999997</v>
      </c>
      <c r="R129" s="18">
        <v>2.5844249999999996E-3</v>
      </c>
      <c r="S129" s="18">
        <v>0.72363899999999992</v>
      </c>
      <c r="T129" s="18">
        <v>3.1013099999999998</v>
      </c>
      <c r="U129" s="18">
        <v>1.5506549999999999</v>
      </c>
      <c r="V129" s="18">
        <v>19.848383999999999</v>
      </c>
      <c r="W129" s="18">
        <v>18.607859999999999</v>
      </c>
      <c r="X129" s="18">
        <v>12.405239999999999</v>
      </c>
      <c r="Y129" s="18">
        <v>0.55134399999999995</v>
      </c>
      <c r="Z129" s="18">
        <v>2.4465889999999999</v>
      </c>
      <c r="AA129" s="18">
        <v>3.5837359999999996</v>
      </c>
      <c r="AB129" s="18">
        <v>6.3749149999999997</v>
      </c>
      <c r="AC129" s="18">
        <v>1.9641629999999999</v>
      </c>
      <c r="AD129" s="18">
        <v>10.337699999999998</v>
      </c>
    </row>
    <row r="130" spans="2:30" x14ac:dyDescent="0.25">
      <c r="B130" t="s">
        <v>763</v>
      </c>
      <c r="C130" t="s">
        <v>84</v>
      </c>
      <c r="E130" s="35">
        <v>2.25</v>
      </c>
      <c r="F130" s="35">
        <v>30.63</v>
      </c>
      <c r="G130" s="36">
        <v>3.4458999999999997E-2</v>
      </c>
      <c r="H130" s="18"/>
      <c r="I130" s="16" t="s">
        <v>765</v>
      </c>
      <c r="J130" s="16" t="s">
        <v>52</v>
      </c>
      <c r="K130" s="16"/>
      <c r="L130" s="37"/>
      <c r="M130" s="37"/>
      <c r="N130" s="37"/>
      <c r="O130" s="37"/>
      <c r="P130" s="37"/>
      <c r="Q130" s="18">
        <v>0.37904899999999997</v>
      </c>
      <c r="R130" s="18">
        <v>2.5844249999999996E-3</v>
      </c>
      <c r="S130" s="18">
        <v>0.72363899999999992</v>
      </c>
      <c r="T130" s="18">
        <v>3.1013099999999998</v>
      </c>
      <c r="U130" s="18">
        <v>1.5506549999999999</v>
      </c>
      <c r="V130" s="18">
        <v>19.848383999999999</v>
      </c>
      <c r="W130" s="18">
        <v>18.607859999999999</v>
      </c>
      <c r="X130" s="18">
        <v>12.405239999999999</v>
      </c>
      <c r="Y130" s="18">
        <v>0.55134399999999995</v>
      </c>
      <c r="Z130" s="18">
        <v>2.4465889999999999</v>
      </c>
      <c r="AA130" s="18">
        <v>3.5837359999999996</v>
      </c>
      <c r="AB130" s="18">
        <v>6.3749149999999997</v>
      </c>
      <c r="AC130" s="18">
        <v>1.9641629999999999</v>
      </c>
      <c r="AD130" s="18">
        <v>10.337699999999998</v>
      </c>
    </row>
    <row r="131" spans="2:30" x14ac:dyDescent="0.25">
      <c r="B131" t="s">
        <v>763</v>
      </c>
      <c r="C131" t="s">
        <v>84</v>
      </c>
      <c r="E131" s="35">
        <v>2.25</v>
      </c>
      <c r="F131" s="35">
        <v>30.63</v>
      </c>
      <c r="G131" s="36">
        <v>3.4458999999999997E-2</v>
      </c>
      <c r="H131" s="18"/>
      <c r="I131" s="16" t="s">
        <v>765</v>
      </c>
      <c r="J131" s="16" t="s">
        <v>52</v>
      </c>
      <c r="K131" s="16"/>
      <c r="L131" s="37"/>
      <c r="M131" s="37"/>
      <c r="N131" s="37"/>
      <c r="O131" s="37"/>
      <c r="P131" s="37"/>
      <c r="Q131" s="18">
        <v>0.37904899999999997</v>
      </c>
      <c r="R131" s="18">
        <v>2.5844249999999996E-3</v>
      </c>
      <c r="S131" s="18">
        <v>0.72363899999999992</v>
      </c>
      <c r="T131" s="18">
        <v>3.1013099999999998</v>
      </c>
      <c r="U131" s="18">
        <v>1.5506549999999999</v>
      </c>
      <c r="V131" s="18">
        <v>19.848383999999999</v>
      </c>
      <c r="W131" s="18">
        <v>18.607859999999999</v>
      </c>
      <c r="X131" s="18">
        <v>12.405239999999999</v>
      </c>
      <c r="Y131" s="18">
        <v>0.55134399999999995</v>
      </c>
      <c r="Z131" s="18">
        <v>2.4465889999999999</v>
      </c>
      <c r="AA131" s="18">
        <v>3.5837359999999996</v>
      </c>
      <c r="AB131" s="18">
        <v>6.3749149999999997</v>
      </c>
      <c r="AC131" s="18">
        <v>1.9641629999999999</v>
      </c>
      <c r="AD131" s="18">
        <v>10.337699999999998</v>
      </c>
    </row>
    <row r="132" spans="2:30" x14ac:dyDescent="0.25">
      <c r="B132" t="s">
        <v>763</v>
      </c>
      <c r="C132" t="s">
        <v>84</v>
      </c>
      <c r="E132" s="35">
        <v>2.25</v>
      </c>
      <c r="F132" s="35">
        <v>30.63</v>
      </c>
      <c r="G132" s="36">
        <v>3.4458999999999997E-2</v>
      </c>
      <c r="H132" s="18"/>
      <c r="I132" s="16" t="s">
        <v>765</v>
      </c>
      <c r="J132" s="16" t="s">
        <v>52</v>
      </c>
      <c r="K132" s="16"/>
      <c r="L132" s="37"/>
      <c r="M132" s="37"/>
      <c r="N132" s="37"/>
      <c r="O132" s="37"/>
      <c r="P132" s="37"/>
      <c r="Q132" s="18">
        <v>0.37904899999999997</v>
      </c>
      <c r="R132" s="18">
        <v>2.5844249999999996E-3</v>
      </c>
      <c r="S132" s="18">
        <v>0.72363899999999992</v>
      </c>
      <c r="T132" s="18">
        <v>3.1013099999999998</v>
      </c>
      <c r="U132" s="18">
        <v>1.5506549999999999</v>
      </c>
      <c r="V132" s="18">
        <v>19.848383999999999</v>
      </c>
      <c r="W132" s="18">
        <v>18.607859999999999</v>
      </c>
      <c r="X132" s="18">
        <v>12.405239999999999</v>
      </c>
      <c r="Y132" s="18">
        <v>0.55134399999999995</v>
      </c>
      <c r="Z132" s="18">
        <v>2.4465889999999999</v>
      </c>
      <c r="AA132" s="18">
        <v>3.5837359999999996</v>
      </c>
      <c r="AB132" s="18">
        <v>6.3749149999999997</v>
      </c>
      <c r="AC132" s="18">
        <v>1.9641629999999999</v>
      </c>
      <c r="AD132" s="18">
        <v>10.337699999999998</v>
      </c>
    </row>
    <row r="133" spans="2:30" x14ac:dyDescent="0.25">
      <c r="B133" t="s">
        <v>763</v>
      </c>
      <c r="C133" t="s">
        <v>84</v>
      </c>
      <c r="E133" s="35">
        <v>2.25</v>
      </c>
      <c r="F133" s="35">
        <v>30.63</v>
      </c>
      <c r="G133" s="36">
        <v>3.4458999999999997E-2</v>
      </c>
      <c r="H133" s="18"/>
      <c r="I133" s="16" t="s">
        <v>765</v>
      </c>
      <c r="J133" s="16" t="s">
        <v>52</v>
      </c>
      <c r="K133" s="16"/>
      <c r="L133" s="37"/>
      <c r="M133" s="37"/>
      <c r="N133" s="37"/>
      <c r="O133" s="37"/>
      <c r="P133" s="37"/>
      <c r="Q133" s="18">
        <v>0.37904899999999997</v>
      </c>
      <c r="R133" s="18">
        <v>2.5844249999999996E-3</v>
      </c>
      <c r="S133" s="18">
        <v>0.72363899999999992</v>
      </c>
      <c r="T133" s="18">
        <v>3.1013099999999998</v>
      </c>
      <c r="U133" s="18">
        <v>1.5506549999999999</v>
      </c>
      <c r="V133" s="18">
        <v>19.848383999999999</v>
      </c>
      <c r="W133" s="18">
        <v>18.607859999999999</v>
      </c>
      <c r="X133" s="18">
        <v>12.405239999999999</v>
      </c>
      <c r="Y133" s="18">
        <v>0.55134399999999995</v>
      </c>
      <c r="Z133" s="18">
        <v>2.4465889999999999</v>
      </c>
      <c r="AA133" s="18">
        <v>3.5837359999999996</v>
      </c>
      <c r="AB133" s="18">
        <v>6.3749149999999997</v>
      </c>
      <c r="AC133" s="18">
        <v>1.9641629999999999</v>
      </c>
      <c r="AD133" s="18">
        <v>10.337699999999998</v>
      </c>
    </row>
    <row r="134" spans="2:30" x14ac:dyDescent="0.25">
      <c r="B134" t="s">
        <v>763</v>
      </c>
      <c r="C134" t="s">
        <v>84</v>
      </c>
      <c r="E134" s="35">
        <v>2.25</v>
      </c>
      <c r="F134" s="35">
        <v>30.63</v>
      </c>
      <c r="G134" s="36">
        <v>3.4458999999999997E-2</v>
      </c>
      <c r="H134" s="18"/>
      <c r="I134" s="16" t="s">
        <v>765</v>
      </c>
      <c r="J134" s="16" t="s">
        <v>52</v>
      </c>
      <c r="K134" s="16"/>
      <c r="L134" s="37"/>
      <c r="M134" s="37"/>
      <c r="N134" s="37"/>
      <c r="O134" s="37"/>
      <c r="P134" s="37"/>
      <c r="Q134" s="18">
        <v>0.37904899999999997</v>
      </c>
      <c r="R134" s="18">
        <v>2.5844249999999996E-3</v>
      </c>
      <c r="S134" s="18">
        <v>0.72363899999999992</v>
      </c>
      <c r="T134" s="18">
        <v>3.1013099999999998</v>
      </c>
      <c r="U134" s="18">
        <v>1.5506549999999999</v>
      </c>
      <c r="V134" s="18">
        <v>19.848383999999999</v>
      </c>
      <c r="W134" s="18">
        <v>18.607859999999999</v>
      </c>
      <c r="X134" s="18">
        <v>12.405239999999999</v>
      </c>
      <c r="Y134" s="18">
        <v>0.55134399999999995</v>
      </c>
      <c r="Z134" s="18">
        <v>2.4465889999999999</v>
      </c>
      <c r="AA134" s="18">
        <v>3.5837359999999996</v>
      </c>
      <c r="AB134" s="18">
        <v>6.3749149999999997</v>
      </c>
      <c r="AC134" s="18">
        <v>1.9641629999999999</v>
      </c>
      <c r="AD134" s="18">
        <v>10.337699999999998</v>
      </c>
    </row>
    <row r="135" spans="2:30" x14ac:dyDescent="0.25">
      <c r="B135" t="s">
        <v>781</v>
      </c>
      <c r="E135" s="38" t="s">
        <v>797</v>
      </c>
      <c r="F135" s="38"/>
      <c r="G135" s="39">
        <f>SUM(G7:G134)</f>
        <v>6.0964199999999957</v>
      </c>
      <c r="H135" s="40"/>
      <c r="I135" s="41"/>
      <c r="J135" s="41"/>
      <c r="K135" s="41"/>
      <c r="L135" s="42"/>
      <c r="M135" s="42"/>
      <c r="N135" s="42"/>
      <c r="O135" s="42"/>
      <c r="P135" s="42"/>
      <c r="Q135" s="40">
        <f>SUM(Q7:Q134)</f>
        <v>67.060619999999957</v>
      </c>
      <c r="R135" s="40">
        <f>SUM(R7:R134)</f>
        <v>0.45723149999999946</v>
      </c>
      <c r="S135" s="40">
        <f>SUM(S7:S134)</f>
        <v>128.02482000000012</v>
      </c>
      <c r="T135" s="40">
        <f>SUM(T7:T134)</f>
        <v>548.67779999999993</v>
      </c>
      <c r="U135" s="40">
        <f>SUM(U7:U134)</f>
        <v>274.33889999999997</v>
      </c>
      <c r="V135" s="40">
        <f>SUM(V7:V134)</f>
        <v>3511.5379200000002</v>
      </c>
      <c r="W135" s="40">
        <f>SUM(W7:W134)</f>
        <v>3292.0668000000028</v>
      </c>
      <c r="X135" s="40">
        <f>SUM(X7:X134)</f>
        <v>2194.7111999999997</v>
      </c>
      <c r="Y135" s="40">
        <f>SUM(Y7:Y134)</f>
        <v>97.542719999999932</v>
      </c>
      <c r="Z135" s="40">
        <f>SUM(Z7:Z134)</f>
        <v>432.84581999999995</v>
      </c>
      <c r="AA135" s="40">
        <f>SUM(AA7:AA134)</f>
        <v>634.02767999999992</v>
      </c>
      <c r="AB135" s="40">
        <f>SUM(AB7:AB134)</f>
        <v>1127.8377000000003</v>
      </c>
      <c r="AC135" s="40">
        <f>SUM(AC7:AC134)</f>
        <v>347.49594000000059</v>
      </c>
      <c r="AD135" s="40">
        <f>SUM(AD7:AD134)</f>
        <v>1828.9259999999999</v>
      </c>
    </row>
    <row r="136" spans="2:30" x14ac:dyDescent="0.25">
      <c r="G136"/>
      <c r="H136"/>
    </row>
    <row r="137" spans="2:30" x14ac:dyDescent="0.25">
      <c r="G137"/>
      <c r="H137"/>
    </row>
    <row r="138" spans="2:30" x14ac:dyDescent="0.25">
      <c r="G138"/>
      <c r="H138"/>
    </row>
    <row r="139" spans="2:30" x14ac:dyDescent="0.25">
      <c r="G139"/>
      <c r="H139"/>
    </row>
    <row r="140" spans="2:30" x14ac:dyDescent="0.25">
      <c r="G140"/>
      <c r="H140"/>
    </row>
    <row r="141" spans="2:30" x14ac:dyDescent="0.25">
      <c r="G141"/>
      <c r="H141"/>
    </row>
    <row r="142" spans="2:30" x14ac:dyDescent="0.25">
      <c r="G142"/>
      <c r="H142"/>
    </row>
    <row r="143" spans="2:30" x14ac:dyDescent="0.25">
      <c r="G143"/>
      <c r="H143"/>
    </row>
    <row r="144" spans="2:30" x14ac:dyDescent="0.25">
      <c r="G144"/>
      <c r="H144"/>
    </row>
    <row r="145" spans="7:8" x14ac:dyDescent="0.25">
      <c r="G145"/>
      <c r="H145"/>
    </row>
    <row r="146" spans="7:8" x14ac:dyDescent="0.25">
      <c r="G146"/>
      <c r="H146"/>
    </row>
    <row r="147" spans="7:8" x14ac:dyDescent="0.25">
      <c r="G147"/>
      <c r="H147"/>
    </row>
    <row r="148" spans="7:8" x14ac:dyDescent="0.25">
      <c r="G148"/>
      <c r="H148"/>
    </row>
    <row r="149" spans="7:8" x14ac:dyDescent="0.25">
      <c r="G149"/>
      <c r="H149"/>
    </row>
    <row r="150" spans="7:8" x14ac:dyDescent="0.25">
      <c r="G150"/>
      <c r="H150"/>
    </row>
    <row r="151" spans="7:8" x14ac:dyDescent="0.25">
      <c r="G151"/>
      <c r="H151"/>
    </row>
    <row r="152" spans="7:8" x14ac:dyDescent="0.25">
      <c r="G152"/>
      <c r="H152"/>
    </row>
    <row r="153" spans="7:8" x14ac:dyDescent="0.25">
      <c r="G153"/>
      <c r="H153"/>
    </row>
    <row r="154" spans="7:8" x14ac:dyDescent="0.25">
      <c r="G154"/>
      <c r="H154"/>
    </row>
    <row r="155" spans="7:8" x14ac:dyDescent="0.25">
      <c r="G155"/>
      <c r="H155"/>
    </row>
    <row r="156" spans="7:8" x14ac:dyDescent="0.25">
      <c r="G156"/>
      <c r="H156"/>
    </row>
    <row r="157" spans="7:8" x14ac:dyDescent="0.25">
      <c r="G157"/>
      <c r="H157"/>
    </row>
    <row r="158" spans="7:8" x14ac:dyDescent="0.25">
      <c r="G158"/>
      <c r="H158"/>
    </row>
    <row r="159" spans="7:8" x14ac:dyDescent="0.25">
      <c r="G159"/>
      <c r="H159"/>
    </row>
    <row r="160" spans="7:8" x14ac:dyDescent="0.25">
      <c r="G160"/>
      <c r="H160"/>
    </row>
    <row r="161" spans="7:8" x14ac:dyDescent="0.25">
      <c r="G161"/>
      <c r="H161"/>
    </row>
    <row r="162" spans="7:8" x14ac:dyDescent="0.25">
      <c r="G162"/>
      <c r="H162"/>
    </row>
    <row r="163" spans="7:8" x14ac:dyDescent="0.25">
      <c r="G163"/>
      <c r="H163"/>
    </row>
    <row r="164" spans="7:8" x14ac:dyDescent="0.25">
      <c r="G164"/>
      <c r="H164"/>
    </row>
    <row r="165" spans="7:8" x14ac:dyDescent="0.25">
      <c r="G165"/>
      <c r="H165"/>
    </row>
    <row r="166" spans="7:8" x14ac:dyDescent="0.25">
      <c r="G166"/>
      <c r="H166"/>
    </row>
    <row r="167" spans="7:8" x14ac:dyDescent="0.25">
      <c r="G167"/>
      <c r="H167"/>
    </row>
    <row r="168" spans="7:8" x14ac:dyDescent="0.25">
      <c r="G168"/>
      <c r="H168"/>
    </row>
    <row r="169" spans="7:8" x14ac:dyDescent="0.25">
      <c r="G169"/>
      <c r="H169"/>
    </row>
    <row r="170" spans="7:8" x14ac:dyDescent="0.25">
      <c r="G170"/>
      <c r="H170"/>
    </row>
    <row r="171" spans="7:8" x14ac:dyDescent="0.25">
      <c r="G171"/>
      <c r="H171"/>
    </row>
    <row r="172" spans="7:8" x14ac:dyDescent="0.25">
      <c r="G172"/>
      <c r="H172"/>
    </row>
    <row r="173" spans="7:8" x14ac:dyDescent="0.25">
      <c r="G173"/>
      <c r="H173"/>
    </row>
    <row r="174" spans="7:8" x14ac:dyDescent="0.25">
      <c r="G174"/>
      <c r="H174"/>
    </row>
    <row r="175" spans="7:8" x14ac:dyDescent="0.25">
      <c r="G175"/>
      <c r="H175"/>
    </row>
    <row r="176" spans="7:8" x14ac:dyDescent="0.25">
      <c r="G176"/>
      <c r="H176"/>
    </row>
    <row r="177" spans="7:8" x14ac:dyDescent="0.25">
      <c r="G177"/>
      <c r="H177"/>
    </row>
    <row r="178" spans="7:8" x14ac:dyDescent="0.25">
      <c r="G178"/>
      <c r="H178"/>
    </row>
    <row r="179" spans="7:8" x14ac:dyDescent="0.25">
      <c r="G179"/>
      <c r="H179"/>
    </row>
    <row r="180" spans="7:8" x14ac:dyDescent="0.25">
      <c r="G180"/>
      <c r="H180"/>
    </row>
    <row r="181" spans="7:8" x14ac:dyDescent="0.25">
      <c r="G181"/>
      <c r="H181"/>
    </row>
    <row r="182" spans="7:8" x14ac:dyDescent="0.25">
      <c r="G182"/>
      <c r="H182"/>
    </row>
    <row r="183" spans="7:8" x14ac:dyDescent="0.25">
      <c r="G183"/>
      <c r="H183"/>
    </row>
    <row r="184" spans="7:8" x14ac:dyDescent="0.25">
      <c r="G184"/>
      <c r="H184"/>
    </row>
    <row r="185" spans="7:8" x14ac:dyDescent="0.25">
      <c r="G185"/>
      <c r="H185"/>
    </row>
    <row r="186" spans="7:8" x14ac:dyDescent="0.25">
      <c r="G186"/>
      <c r="H186"/>
    </row>
    <row r="187" spans="7:8" x14ac:dyDescent="0.25">
      <c r="G187"/>
      <c r="H187"/>
    </row>
    <row r="188" spans="7:8" x14ac:dyDescent="0.25">
      <c r="G188"/>
      <c r="H188"/>
    </row>
    <row r="189" spans="7:8" x14ac:dyDescent="0.25">
      <c r="G189"/>
      <c r="H189"/>
    </row>
    <row r="190" spans="7:8" x14ac:dyDescent="0.25">
      <c r="G190"/>
      <c r="H190"/>
    </row>
    <row r="191" spans="7:8" x14ac:dyDescent="0.25">
      <c r="G191"/>
      <c r="H191"/>
    </row>
    <row r="192" spans="7:8" x14ac:dyDescent="0.25">
      <c r="G192"/>
      <c r="H192"/>
    </row>
    <row r="193" spans="7:8" x14ac:dyDescent="0.25">
      <c r="G193"/>
      <c r="H193"/>
    </row>
    <row r="194" spans="7:8" x14ac:dyDescent="0.25">
      <c r="G194"/>
      <c r="H194"/>
    </row>
    <row r="195" spans="7:8" x14ac:dyDescent="0.25">
      <c r="G195"/>
      <c r="H195"/>
    </row>
    <row r="196" spans="7:8" x14ac:dyDescent="0.25">
      <c r="G196"/>
      <c r="H196"/>
    </row>
    <row r="197" spans="7:8" x14ac:dyDescent="0.25">
      <c r="G197"/>
      <c r="H197"/>
    </row>
    <row r="198" spans="7:8" x14ac:dyDescent="0.25">
      <c r="G198"/>
      <c r="H19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AD163"/>
  <sheetViews>
    <sheetView showGridLines="0" workbookViewId="0">
      <selection activeCell="R7" sqref="R7"/>
    </sheetView>
  </sheetViews>
  <sheetFormatPr defaultRowHeight="15" x14ac:dyDescent="0.25"/>
  <cols>
    <col min="2" max="2" width="12" bestFit="1" customWidth="1"/>
    <col min="3" max="3" width="13.140625" customWidth="1"/>
    <col min="6" max="6" width="9.5703125" customWidth="1"/>
    <col min="7" max="7" width="16.42578125" style="16" customWidth="1"/>
    <col min="8" max="8" width="14.28515625" style="16" customWidth="1"/>
    <col min="9" max="9" width="12.140625" customWidth="1"/>
    <col min="10" max="10" width="15.85546875" customWidth="1"/>
    <col min="12" max="15" width="11.28515625" customWidth="1"/>
    <col min="18" max="18" width="15.5703125" customWidth="1"/>
    <col min="19" max="19" width="11.5703125" customWidth="1"/>
    <col min="20" max="20" width="13.42578125" customWidth="1"/>
    <col min="21" max="22" width="13.140625" customWidth="1"/>
    <col min="23" max="24" width="20.140625" customWidth="1"/>
    <col min="25" max="25" width="21.85546875" customWidth="1"/>
    <col min="26" max="26" width="10.7109375" customWidth="1"/>
    <col min="29" max="29" width="14.140625" customWidth="1"/>
    <col min="30" max="30" width="14" customWidth="1"/>
  </cols>
  <sheetData>
    <row r="2" spans="2:30" ht="24" customHeight="1" x14ac:dyDescent="0.4">
      <c r="B2" s="6" t="s">
        <v>0</v>
      </c>
      <c r="C2" s="8" t="str">
        <f>ProjectHome!C3</f>
        <v>23 - Springhill ES</v>
      </c>
    </row>
    <row r="4" spans="2:30" x14ac:dyDescent="0.25">
      <c r="B4" t="s">
        <v>769</v>
      </c>
      <c r="G4"/>
      <c r="H4"/>
    </row>
    <row r="5" spans="2:30" x14ac:dyDescent="0.25">
      <c r="B5" t="s">
        <v>32</v>
      </c>
      <c r="C5" t="s">
        <v>33</v>
      </c>
      <c r="D5" t="s">
        <v>35</v>
      </c>
      <c r="E5" t="s">
        <v>760</v>
      </c>
      <c r="F5" t="s">
        <v>36</v>
      </c>
      <c r="G5" t="s">
        <v>761</v>
      </c>
      <c r="H5" t="s">
        <v>38</v>
      </c>
      <c r="I5" t="s">
        <v>762</v>
      </c>
      <c r="J5" t="s">
        <v>41</v>
      </c>
      <c r="K5" t="s">
        <v>39</v>
      </c>
      <c r="L5" t="s">
        <v>798</v>
      </c>
      <c r="M5" t="s">
        <v>799</v>
      </c>
      <c r="N5" t="s">
        <v>800</v>
      </c>
      <c r="O5" t="s">
        <v>801</v>
      </c>
      <c r="P5" t="s">
        <v>46</v>
      </c>
      <c r="Q5" t="s">
        <v>782</v>
      </c>
      <c r="R5" t="s">
        <v>783</v>
      </c>
      <c r="S5" t="s">
        <v>784</v>
      </c>
      <c r="T5" t="s">
        <v>785</v>
      </c>
      <c r="U5" t="s">
        <v>786</v>
      </c>
      <c r="V5" t="s">
        <v>787</v>
      </c>
      <c r="W5" t="s">
        <v>788</v>
      </c>
      <c r="X5" t="s">
        <v>789</v>
      </c>
      <c r="Y5" t="s">
        <v>790</v>
      </c>
      <c r="Z5" t="s">
        <v>791</v>
      </c>
      <c r="AA5" t="s">
        <v>792</v>
      </c>
      <c r="AB5" t="s">
        <v>793</v>
      </c>
      <c r="AC5" t="s">
        <v>794</v>
      </c>
      <c r="AD5" t="s">
        <v>795</v>
      </c>
    </row>
    <row r="6" spans="2:30" x14ac:dyDescent="0.25">
      <c r="G6"/>
      <c r="H6"/>
      <c r="P6" t="s">
        <v>796</v>
      </c>
      <c r="Q6">
        <v>11</v>
      </c>
      <c r="R6">
        <v>7.4999999999999997E-2</v>
      </c>
      <c r="S6">
        <v>21</v>
      </c>
      <c r="T6">
        <v>90</v>
      </c>
      <c r="U6">
        <v>45</v>
      </c>
      <c r="V6">
        <v>576</v>
      </c>
      <c r="W6">
        <v>540</v>
      </c>
      <c r="X6">
        <v>360</v>
      </c>
      <c r="Y6">
        <v>16</v>
      </c>
      <c r="Z6">
        <v>71</v>
      </c>
      <c r="AA6">
        <v>104</v>
      </c>
      <c r="AB6">
        <v>185</v>
      </c>
      <c r="AC6">
        <v>57</v>
      </c>
      <c r="AD6">
        <v>300</v>
      </c>
    </row>
    <row r="7" spans="2:30" x14ac:dyDescent="0.25">
      <c r="B7" t="s">
        <v>770</v>
      </c>
      <c r="C7" t="s">
        <v>105</v>
      </c>
      <c r="D7">
        <v>1.3</v>
      </c>
      <c r="E7" s="35">
        <v>0.743614</v>
      </c>
      <c r="F7" s="35">
        <v>40.840000000000003</v>
      </c>
      <c r="G7" s="36">
        <v>1.5185000000000001E-2</v>
      </c>
      <c r="H7" s="18">
        <v>39.479964000000002</v>
      </c>
      <c r="I7" s="16" t="s">
        <v>768</v>
      </c>
      <c r="J7" s="16"/>
      <c r="K7" s="16" t="s">
        <v>101</v>
      </c>
      <c r="L7" s="37"/>
      <c r="M7" s="37"/>
      <c r="N7" s="37"/>
      <c r="O7" s="37"/>
      <c r="P7" s="37"/>
      <c r="Q7" s="18">
        <v>0.16703500000000002</v>
      </c>
      <c r="R7" s="18">
        <v>1.1388749999999999E-3</v>
      </c>
      <c r="S7" s="18">
        <v>0.31888500000000003</v>
      </c>
      <c r="T7" s="18">
        <v>1.3666500000000001</v>
      </c>
      <c r="U7" s="18">
        <v>0.68332500000000007</v>
      </c>
      <c r="V7" s="18">
        <v>8.7465600000000006</v>
      </c>
      <c r="W7" s="18">
        <v>8.1998999999999995</v>
      </c>
      <c r="X7" s="18">
        <v>5.4666000000000006</v>
      </c>
      <c r="Y7" s="18">
        <v>0.24296000000000001</v>
      </c>
      <c r="Z7" s="18">
        <v>1.0781350000000001</v>
      </c>
      <c r="AA7" s="18">
        <v>1.57924</v>
      </c>
      <c r="AB7" s="18">
        <v>2.8092250000000001</v>
      </c>
      <c r="AC7" s="18">
        <v>0.86554500000000001</v>
      </c>
      <c r="AD7" s="18">
        <v>4.5555000000000003</v>
      </c>
    </row>
    <row r="8" spans="2:30" x14ac:dyDescent="0.25">
      <c r="B8" t="s">
        <v>770</v>
      </c>
      <c r="C8" t="s">
        <v>105</v>
      </c>
      <c r="D8">
        <v>1.3</v>
      </c>
      <c r="E8" s="35">
        <v>0.39553899999999997</v>
      </c>
      <c r="F8" s="35">
        <v>40.840000000000003</v>
      </c>
      <c r="G8" s="36">
        <v>8.0770000000000008E-3</v>
      </c>
      <c r="H8" s="18">
        <v>20.999980999999998</v>
      </c>
      <c r="I8" s="16" t="s">
        <v>768</v>
      </c>
      <c r="J8" s="16"/>
      <c r="K8" s="16" t="s">
        <v>101</v>
      </c>
      <c r="L8" s="37"/>
      <c r="M8" s="37"/>
      <c r="N8" s="37"/>
      <c r="O8" s="37"/>
      <c r="P8" s="37"/>
      <c r="Q8" s="18">
        <v>8.8847000000000009E-2</v>
      </c>
      <c r="R8" s="18">
        <v>6.0577500000000002E-4</v>
      </c>
      <c r="S8" s="18">
        <v>0.16961700000000002</v>
      </c>
      <c r="T8" s="18">
        <v>0.72693000000000008</v>
      </c>
      <c r="U8" s="18">
        <v>0.36346500000000004</v>
      </c>
      <c r="V8" s="18">
        <v>4.6523520000000005</v>
      </c>
      <c r="W8" s="18">
        <v>4.36158</v>
      </c>
      <c r="X8" s="18">
        <v>2.9077200000000003</v>
      </c>
      <c r="Y8" s="18">
        <v>0.12923200000000001</v>
      </c>
      <c r="Z8" s="18">
        <v>0.57346700000000006</v>
      </c>
      <c r="AA8" s="18">
        <v>0.84000800000000009</v>
      </c>
      <c r="AB8" s="18">
        <v>1.4942450000000003</v>
      </c>
      <c r="AC8" s="18">
        <v>0.46038900000000005</v>
      </c>
      <c r="AD8" s="18">
        <v>2.4231000000000003</v>
      </c>
    </row>
    <row r="9" spans="2:30" x14ac:dyDescent="0.25">
      <c r="B9" t="s">
        <v>770</v>
      </c>
      <c r="C9" t="s">
        <v>326</v>
      </c>
      <c r="D9">
        <v>1.3</v>
      </c>
      <c r="E9" s="35">
        <v>0.54537800000000003</v>
      </c>
      <c r="F9" s="35">
        <v>40.840000000000003</v>
      </c>
      <c r="G9" s="36">
        <v>1.1136999999999999E-2</v>
      </c>
      <c r="H9" s="18">
        <v>28.955199</v>
      </c>
      <c r="I9" s="16" t="s">
        <v>768</v>
      </c>
      <c r="J9" s="16"/>
      <c r="K9" s="16" t="s">
        <v>101</v>
      </c>
      <c r="L9" s="37"/>
      <c r="M9" s="37"/>
      <c r="N9" s="37"/>
      <c r="O9" s="37"/>
      <c r="P9" s="37"/>
      <c r="Q9" s="18">
        <v>0.12250699999999999</v>
      </c>
      <c r="R9" s="18">
        <v>8.3527499999999991E-4</v>
      </c>
      <c r="S9" s="18">
        <v>0.23387699999999997</v>
      </c>
      <c r="T9" s="18">
        <v>1.0023299999999999</v>
      </c>
      <c r="U9" s="18">
        <v>0.50116499999999997</v>
      </c>
      <c r="V9" s="18">
        <v>6.4149119999999993</v>
      </c>
      <c r="W9" s="18">
        <v>6.0139799999999992</v>
      </c>
      <c r="X9" s="18">
        <v>4.0093199999999998</v>
      </c>
      <c r="Y9" s="18">
        <v>0.17819199999999999</v>
      </c>
      <c r="Z9" s="18">
        <v>0.79072699999999996</v>
      </c>
      <c r="AA9" s="18">
        <v>1.1582479999999999</v>
      </c>
      <c r="AB9" s="18">
        <v>2.0603449999999999</v>
      </c>
      <c r="AC9" s="18">
        <v>0.63480899999999996</v>
      </c>
      <c r="AD9" s="18">
        <v>3.3411</v>
      </c>
    </row>
    <row r="10" spans="2:30" x14ac:dyDescent="0.25">
      <c r="B10" t="s">
        <v>770</v>
      </c>
      <c r="C10" t="s">
        <v>326</v>
      </c>
      <c r="D10">
        <v>1.3</v>
      </c>
      <c r="E10" s="35">
        <v>0.80726699999999996</v>
      </c>
      <c r="F10" s="35">
        <v>40.840000000000003</v>
      </c>
      <c r="G10" s="36">
        <v>1.6483999999999999E-2</v>
      </c>
      <c r="H10" s="18">
        <v>42.859428000000001</v>
      </c>
      <c r="I10" s="16" t="s">
        <v>768</v>
      </c>
      <c r="J10" s="16"/>
      <c r="K10" s="16" t="s">
        <v>101</v>
      </c>
      <c r="L10" s="37"/>
      <c r="M10" s="37"/>
      <c r="N10" s="37"/>
      <c r="O10" s="37"/>
      <c r="P10" s="37"/>
      <c r="Q10" s="18">
        <v>0.18132399999999999</v>
      </c>
      <c r="R10" s="18">
        <v>1.2362999999999999E-3</v>
      </c>
      <c r="S10" s="18">
        <v>0.34616399999999997</v>
      </c>
      <c r="T10" s="18">
        <v>1.4835599999999998</v>
      </c>
      <c r="U10" s="18">
        <v>0.74177999999999988</v>
      </c>
      <c r="V10" s="18">
        <v>9.4947839999999992</v>
      </c>
      <c r="W10" s="18">
        <v>8.9013599999999986</v>
      </c>
      <c r="X10" s="18">
        <v>5.9342399999999991</v>
      </c>
      <c r="Y10" s="18">
        <v>0.26374399999999998</v>
      </c>
      <c r="Z10" s="18">
        <v>1.170364</v>
      </c>
      <c r="AA10" s="18">
        <v>1.7143359999999999</v>
      </c>
      <c r="AB10" s="18">
        <v>3.0495399999999999</v>
      </c>
      <c r="AC10" s="18">
        <v>0.93958799999999987</v>
      </c>
      <c r="AD10" s="18">
        <v>4.9451999999999998</v>
      </c>
    </row>
    <row r="11" spans="2:30" x14ac:dyDescent="0.25">
      <c r="B11" t="s">
        <v>770</v>
      </c>
      <c r="C11" t="s">
        <v>326</v>
      </c>
      <c r="D11">
        <v>1.3</v>
      </c>
      <c r="E11" s="35">
        <v>0.80726699999999996</v>
      </c>
      <c r="F11" s="35">
        <v>40.840000000000003</v>
      </c>
      <c r="G11" s="36">
        <v>1.6483999999999999E-2</v>
      </c>
      <c r="H11" s="18">
        <v>42.859428000000001</v>
      </c>
      <c r="I11" s="16" t="s">
        <v>768</v>
      </c>
      <c r="J11" s="16"/>
      <c r="K11" s="16" t="s">
        <v>101</v>
      </c>
      <c r="L11" s="37"/>
      <c r="M11" s="37"/>
      <c r="N11" s="37"/>
      <c r="O11" s="37"/>
      <c r="P11" s="37"/>
      <c r="Q11" s="18">
        <v>0.18132399999999999</v>
      </c>
      <c r="R11" s="18">
        <v>1.2362999999999999E-3</v>
      </c>
      <c r="S11" s="18">
        <v>0.34616399999999997</v>
      </c>
      <c r="T11" s="18">
        <v>1.4835599999999998</v>
      </c>
      <c r="U11" s="18">
        <v>0.74177999999999988</v>
      </c>
      <c r="V11" s="18">
        <v>9.4947839999999992</v>
      </c>
      <c r="W11" s="18">
        <v>8.9013599999999986</v>
      </c>
      <c r="X11" s="18">
        <v>5.9342399999999991</v>
      </c>
      <c r="Y11" s="18">
        <v>0.26374399999999998</v>
      </c>
      <c r="Z11" s="18">
        <v>1.170364</v>
      </c>
      <c r="AA11" s="18">
        <v>1.7143359999999999</v>
      </c>
      <c r="AB11" s="18">
        <v>3.0495399999999999</v>
      </c>
      <c r="AC11" s="18">
        <v>0.93958799999999987</v>
      </c>
      <c r="AD11" s="18">
        <v>4.9451999999999998</v>
      </c>
    </row>
    <row r="12" spans="2:30" x14ac:dyDescent="0.25">
      <c r="B12" t="s">
        <v>770</v>
      </c>
      <c r="C12" t="s">
        <v>326</v>
      </c>
      <c r="D12">
        <v>1.3</v>
      </c>
      <c r="E12" s="35">
        <v>0.84836500000000004</v>
      </c>
      <c r="F12" s="35">
        <v>40.840000000000003</v>
      </c>
      <c r="G12" s="36">
        <v>1.7323999999999999E-2</v>
      </c>
      <c r="H12" s="18">
        <v>45.041420000000002</v>
      </c>
      <c r="I12" s="16" t="s">
        <v>768</v>
      </c>
      <c r="J12" s="16"/>
      <c r="K12" s="16" t="s">
        <v>101</v>
      </c>
      <c r="L12" s="37"/>
      <c r="M12" s="37"/>
      <c r="N12" s="37"/>
      <c r="O12" s="37"/>
      <c r="P12" s="37"/>
      <c r="Q12" s="18">
        <v>0.19056399999999998</v>
      </c>
      <c r="R12" s="18">
        <v>1.2993E-3</v>
      </c>
      <c r="S12" s="18">
        <v>0.36380399999999996</v>
      </c>
      <c r="T12" s="18">
        <v>1.5591599999999999</v>
      </c>
      <c r="U12" s="18">
        <v>0.77957999999999994</v>
      </c>
      <c r="V12" s="18">
        <v>9.9786239999999999</v>
      </c>
      <c r="W12" s="18">
        <v>9.3549600000000002</v>
      </c>
      <c r="X12" s="18">
        <v>6.2366399999999995</v>
      </c>
      <c r="Y12" s="18">
        <v>0.27718399999999999</v>
      </c>
      <c r="Z12" s="18">
        <v>1.2300039999999999</v>
      </c>
      <c r="AA12" s="18">
        <v>1.801696</v>
      </c>
      <c r="AB12" s="18">
        <v>3.2049399999999997</v>
      </c>
      <c r="AC12" s="18">
        <v>0.9874679999999999</v>
      </c>
      <c r="AD12" s="18">
        <v>5.1971999999999996</v>
      </c>
    </row>
    <row r="13" spans="2:30" x14ac:dyDescent="0.25">
      <c r="B13" t="s">
        <v>770</v>
      </c>
      <c r="C13" t="s">
        <v>326</v>
      </c>
      <c r="D13">
        <v>1.3</v>
      </c>
      <c r="E13" s="35">
        <v>1.255749</v>
      </c>
      <c r="F13" s="35">
        <v>40.840000000000003</v>
      </c>
      <c r="G13" s="36">
        <v>2.5642000000000002E-2</v>
      </c>
      <c r="H13" s="18">
        <v>66.670220999999998</v>
      </c>
      <c r="I13" s="16" t="s">
        <v>768</v>
      </c>
      <c r="J13" s="16"/>
      <c r="K13" s="16" t="s">
        <v>101</v>
      </c>
      <c r="L13" s="37"/>
      <c r="M13" s="37"/>
      <c r="N13" s="37"/>
      <c r="O13" s="37"/>
      <c r="P13" s="37"/>
      <c r="Q13" s="18">
        <v>0.28206200000000003</v>
      </c>
      <c r="R13" s="18">
        <v>1.92315E-3</v>
      </c>
      <c r="S13" s="18">
        <v>0.53848200000000002</v>
      </c>
      <c r="T13" s="18">
        <v>2.3077800000000002</v>
      </c>
      <c r="U13" s="18">
        <v>1.1538900000000001</v>
      </c>
      <c r="V13" s="18">
        <v>14.769792000000001</v>
      </c>
      <c r="W13" s="18">
        <v>13.846680000000001</v>
      </c>
      <c r="X13" s="18">
        <v>9.2311200000000007</v>
      </c>
      <c r="Y13" s="18">
        <v>0.41027200000000003</v>
      </c>
      <c r="Z13" s="18">
        <v>1.8205820000000001</v>
      </c>
      <c r="AA13" s="18">
        <v>2.6667680000000002</v>
      </c>
      <c r="AB13" s="18">
        <v>4.7437700000000005</v>
      </c>
      <c r="AC13" s="18">
        <v>1.4615940000000001</v>
      </c>
      <c r="AD13" s="18">
        <v>7.6926000000000005</v>
      </c>
    </row>
    <row r="14" spans="2:30" x14ac:dyDescent="0.25">
      <c r="B14" t="s">
        <v>770</v>
      </c>
      <c r="C14" t="s">
        <v>326</v>
      </c>
      <c r="D14">
        <v>1.3</v>
      </c>
      <c r="E14" s="35">
        <v>1.255749</v>
      </c>
      <c r="F14" s="35">
        <v>40.840000000000003</v>
      </c>
      <c r="G14" s="36">
        <v>2.5642000000000002E-2</v>
      </c>
      <c r="H14" s="18">
        <v>66.670220999999998</v>
      </c>
      <c r="I14" s="16" t="s">
        <v>768</v>
      </c>
      <c r="J14" s="16"/>
      <c r="K14" s="16" t="s">
        <v>101</v>
      </c>
      <c r="L14" s="37"/>
      <c r="M14" s="37"/>
      <c r="N14" s="37"/>
      <c r="O14" s="37"/>
      <c r="P14" s="37"/>
      <c r="Q14" s="18">
        <v>0.28206200000000003</v>
      </c>
      <c r="R14" s="18">
        <v>1.92315E-3</v>
      </c>
      <c r="S14" s="18">
        <v>0.53848200000000002</v>
      </c>
      <c r="T14" s="18">
        <v>2.3077800000000002</v>
      </c>
      <c r="U14" s="18">
        <v>1.1538900000000001</v>
      </c>
      <c r="V14" s="18">
        <v>14.769792000000001</v>
      </c>
      <c r="W14" s="18">
        <v>13.846680000000001</v>
      </c>
      <c r="X14" s="18">
        <v>9.2311200000000007</v>
      </c>
      <c r="Y14" s="18">
        <v>0.41027200000000003</v>
      </c>
      <c r="Z14" s="18">
        <v>1.8205820000000001</v>
      </c>
      <c r="AA14" s="18">
        <v>2.6667680000000002</v>
      </c>
      <c r="AB14" s="18">
        <v>4.7437700000000005</v>
      </c>
      <c r="AC14" s="18">
        <v>1.4615940000000001</v>
      </c>
      <c r="AD14" s="18">
        <v>7.6926000000000005</v>
      </c>
    </row>
    <row r="15" spans="2:30" x14ac:dyDescent="0.25">
      <c r="B15" t="s">
        <v>770</v>
      </c>
      <c r="C15" t="s">
        <v>105</v>
      </c>
      <c r="D15">
        <v>1.3</v>
      </c>
      <c r="E15" s="35">
        <v>0.70397100000000001</v>
      </c>
      <c r="F15" s="35">
        <v>40.840000000000003</v>
      </c>
      <c r="G15" s="36">
        <v>1.4375000000000001E-2</v>
      </c>
      <c r="H15" s="18">
        <v>37.375247000000002</v>
      </c>
      <c r="I15" s="16" t="s">
        <v>768</v>
      </c>
      <c r="J15" s="16"/>
      <c r="K15" s="16" t="s">
        <v>101</v>
      </c>
      <c r="L15" s="37"/>
      <c r="M15" s="37"/>
      <c r="N15" s="37"/>
      <c r="O15" s="37"/>
      <c r="P15" s="37"/>
      <c r="Q15" s="18">
        <v>0.15812500000000002</v>
      </c>
      <c r="R15" s="18">
        <v>1.0781250000000001E-3</v>
      </c>
      <c r="S15" s="18">
        <v>0.301875</v>
      </c>
      <c r="T15" s="18">
        <v>1.29375</v>
      </c>
      <c r="U15" s="18">
        <v>0.64687499999999998</v>
      </c>
      <c r="V15" s="18">
        <v>8.2800000000000011</v>
      </c>
      <c r="W15" s="18">
        <v>7.7625000000000002</v>
      </c>
      <c r="X15" s="18">
        <v>5.1749999999999998</v>
      </c>
      <c r="Y15" s="18">
        <v>0.23</v>
      </c>
      <c r="Z15" s="18">
        <v>1.0206250000000001</v>
      </c>
      <c r="AA15" s="18">
        <v>1.4950000000000001</v>
      </c>
      <c r="AB15" s="18">
        <v>2.6593750000000003</v>
      </c>
      <c r="AC15" s="18">
        <v>0.81937500000000008</v>
      </c>
      <c r="AD15" s="18">
        <v>4.3125</v>
      </c>
    </row>
    <row r="16" spans="2:30" x14ac:dyDescent="0.25">
      <c r="B16" t="s">
        <v>770</v>
      </c>
      <c r="C16" t="s">
        <v>105</v>
      </c>
      <c r="D16">
        <v>1.3</v>
      </c>
      <c r="E16" s="35">
        <v>0.55750299999999997</v>
      </c>
      <c r="F16" s="35">
        <v>40.840000000000003</v>
      </c>
      <c r="G16" s="36">
        <v>1.1384E-2</v>
      </c>
      <c r="H16" s="18">
        <v>29.598970000000001</v>
      </c>
      <c r="I16" s="16" t="s">
        <v>768</v>
      </c>
      <c r="J16" s="16"/>
      <c r="K16" s="16" t="s">
        <v>101</v>
      </c>
      <c r="L16" s="37"/>
      <c r="M16" s="37"/>
      <c r="N16" s="37"/>
      <c r="O16" s="37"/>
      <c r="P16" s="37"/>
      <c r="Q16" s="18">
        <v>0.125224</v>
      </c>
      <c r="R16" s="18">
        <v>8.5379999999999994E-4</v>
      </c>
      <c r="S16" s="18">
        <v>0.239064</v>
      </c>
      <c r="T16" s="18">
        <v>1.0245599999999999</v>
      </c>
      <c r="U16" s="18">
        <v>0.51227999999999996</v>
      </c>
      <c r="V16" s="18">
        <v>6.5571840000000003</v>
      </c>
      <c r="W16" s="18">
        <v>6.1473599999999999</v>
      </c>
      <c r="X16" s="18">
        <v>4.0982399999999997</v>
      </c>
      <c r="Y16" s="18">
        <v>0.182144</v>
      </c>
      <c r="Z16" s="18">
        <v>0.80826399999999998</v>
      </c>
      <c r="AA16" s="18">
        <v>1.1839360000000001</v>
      </c>
      <c r="AB16" s="18">
        <v>2.1060400000000001</v>
      </c>
      <c r="AC16" s="18">
        <v>0.64888800000000002</v>
      </c>
      <c r="AD16" s="18">
        <v>3.4152</v>
      </c>
    </row>
    <row r="17" spans="2:30" x14ac:dyDescent="0.25">
      <c r="B17" t="s">
        <v>770</v>
      </c>
      <c r="C17" t="s">
        <v>105</v>
      </c>
      <c r="D17">
        <v>1.3</v>
      </c>
      <c r="E17" s="35">
        <v>1.4433119999999999</v>
      </c>
      <c r="F17" s="35">
        <v>40.840000000000003</v>
      </c>
      <c r="G17" s="36">
        <v>2.9472000000000002E-2</v>
      </c>
      <c r="H17" s="18">
        <v>76.628316999999996</v>
      </c>
      <c r="I17" s="16" t="s">
        <v>768</v>
      </c>
      <c r="J17" s="16"/>
      <c r="K17" s="16" t="s">
        <v>101</v>
      </c>
      <c r="L17" s="37"/>
      <c r="M17" s="37"/>
      <c r="N17" s="37"/>
      <c r="O17" s="37"/>
      <c r="P17" s="37"/>
      <c r="Q17" s="18">
        <v>0.32419200000000004</v>
      </c>
      <c r="R17" s="18">
        <v>2.2104E-3</v>
      </c>
      <c r="S17" s="18">
        <v>0.61891200000000002</v>
      </c>
      <c r="T17" s="18">
        <v>2.6524800000000002</v>
      </c>
      <c r="U17" s="18">
        <v>1.3262400000000001</v>
      </c>
      <c r="V17" s="18">
        <v>16.975872000000003</v>
      </c>
      <c r="W17" s="18">
        <v>15.91488</v>
      </c>
      <c r="X17" s="18">
        <v>10.609920000000001</v>
      </c>
      <c r="Y17" s="18">
        <v>0.47155200000000003</v>
      </c>
      <c r="Z17" s="18">
        <v>2.0925120000000001</v>
      </c>
      <c r="AA17" s="18">
        <v>3.0650880000000003</v>
      </c>
      <c r="AB17" s="18">
        <v>5.4523200000000003</v>
      </c>
      <c r="AC17" s="18">
        <v>1.6799040000000001</v>
      </c>
      <c r="AD17" s="18">
        <v>8.8415999999999997</v>
      </c>
    </row>
    <row r="18" spans="2:30" x14ac:dyDescent="0.25">
      <c r="B18" t="s">
        <v>770</v>
      </c>
      <c r="C18" t="s">
        <v>105</v>
      </c>
      <c r="D18">
        <v>1.3</v>
      </c>
      <c r="E18" s="35">
        <v>1.8303259999999999</v>
      </c>
      <c r="F18" s="35">
        <v>40.840000000000003</v>
      </c>
      <c r="G18" s="36">
        <v>3.7374999999999999E-2</v>
      </c>
      <c r="H18" s="18">
        <v>97.175642999999994</v>
      </c>
      <c r="I18" s="16" t="s">
        <v>768</v>
      </c>
      <c r="J18" s="16"/>
      <c r="K18" s="16" t="s">
        <v>101</v>
      </c>
      <c r="L18" s="37"/>
      <c r="M18" s="37"/>
      <c r="N18" s="37"/>
      <c r="O18" s="37"/>
      <c r="P18" s="37"/>
      <c r="Q18" s="18">
        <v>0.41112499999999996</v>
      </c>
      <c r="R18" s="18">
        <v>2.8031249999999996E-3</v>
      </c>
      <c r="S18" s="18">
        <v>0.78487499999999999</v>
      </c>
      <c r="T18" s="18">
        <v>3.36375</v>
      </c>
      <c r="U18" s="18">
        <v>1.681875</v>
      </c>
      <c r="V18" s="18">
        <v>21.527999999999999</v>
      </c>
      <c r="W18" s="18">
        <v>20.182499999999997</v>
      </c>
      <c r="X18" s="18">
        <v>13.455</v>
      </c>
      <c r="Y18" s="18">
        <v>0.59799999999999998</v>
      </c>
      <c r="Z18" s="18">
        <v>2.6536249999999999</v>
      </c>
      <c r="AA18" s="18">
        <v>3.887</v>
      </c>
      <c r="AB18" s="18">
        <v>6.9143749999999997</v>
      </c>
      <c r="AC18" s="18">
        <v>2.1303749999999999</v>
      </c>
      <c r="AD18" s="18">
        <v>11.2125</v>
      </c>
    </row>
    <row r="19" spans="2:30" x14ac:dyDescent="0.25">
      <c r="B19" t="s">
        <v>770</v>
      </c>
      <c r="C19" t="s">
        <v>105</v>
      </c>
      <c r="D19">
        <v>1.3</v>
      </c>
      <c r="E19" s="35">
        <v>0.70697100000000002</v>
      </c>
      <c r="F19" s="35">
        <v>40.840000000000003</v>
      </c>
      <c r="G19" s="36">
        <v>1.4435999999999999E-2</v>
      </c>
      <c r="H19" s="18">
        <v>37.534517000000001</v>
      </c>
      <c r="I19" s="16" t="s">
        <v>768</v>
      </c>
      <c r="J19" s="16"/>
      <c r="K19" s="16" t="s">
        <v>101</v>
      </c>
      <c r="L19" s="37"/>
      <c r="M19" s="37"/>
      <c r="N19" s="37"/>
      <c r="O19" s="37"/>
      <c r="P19" s="37"/>
      <c r="Q19" s="18">
        <v>0.15879599999999999</v>
      </c>
      <c r="R19" s="18">
        <v>1.0826999999999998E-3</v>
      </c>
      <c r="S19" s="18">
        <v>0.30315599999999998</v>
      </c>
      <c r="T19" s="18">
        <v>1.29924</v>
      </c>
      <c r="U19" s="18">
        <v>0.64961999999999998</v>
      </c>
      <c r="V19" s="18">
        <v>8.315135999999999</v>
      </c>
      <c r="W19" s="18">
        <v>7.7954399999999993</v>
      </c>
      <c r="X19" s="18">
        <v>5.1969599999999998</v>
      </c>
      <c r="Y19" s="18">
        <v>0.23097599999999999</v>
      </c>
      <c r="Z19" s="18">
        <v>1.024956</v>
      </c>
      <c r="AA19" s="18">
        <v>1.501344</v>
      </c>
      <c r="AB19" s="18">
        <v>2.6706599999999998</v>
      </c>
      <c r="AC19" s="18">
        <v>0.82285199999999992</v>
      </c>
      <c r="AD19" s="18">
        <v>4.3308</v>
      </c>
    </row>
    <row r="20" spans="2:30" x14ac:dyDescent="0.25">
      <c r="B20" t="s">
        <v>770</v>
      </c>
      <c r="C20" t="s">
        <v>105</v>
      </c>
      <c r="D20">
        <v>1.3</v>
      </c>
      <c r="E20" s="35">
        <v>1.838125</v>
      </c>
      <c r="F20" s="35">
        <v>40.840000000000003</v>
      </c>
      <c r="G20" s="36">
        <v>3.7534999999999999E-2</v>
      </c>
      <c r="H20" s="18">
        <v>97.589742999999999</v>
      </c>
      <c r="I20" s="16" t="s">
        <v>768</v>
      </c>
      <c r="J20" s="16"/>
      <c r="K20" s="16" t="s">
        <v>101</v>
      </c>
      <c r="L20" s="37"/>
      <c r="M20" s="37"/>
      <c r="N20" s="37"/>
      <c r="O20" s="37"/>
      <c r="P20" s="37"/>
      <c r="Q20" s="18">
        <v>0.412885</v>
      </c>
      <c r="R20" s="18">
        <v>2.8151249999999999E-3</v>
      </c>
      <c r="S20" s="18">
        <v>0.78823500000000002</v>
      </c>
      <c r="T20" s="18">
        <v>3.3781499999999998</v>
      </c>
      <c r="U20" s="18">
        <v>1.6890749999999999</v>
      </c>
      <c r="V20" s="18">
        <v>21.620159999999998</v>
      </c>
      <c r="W20" s="18">
        <v>20.268899999999999</v>
      </c>
      <c r="X20" s="18">
        <v>13.512599999999999</v>
      </c>
      <c r="Y20" s="18">
        <v>0.60055999999999998</v>
      </c>
      <c r="Z20" s="18">
        <v>2.6649849999999997</v>
      </c>
      <c r="AA20" s="18">
        <v>3.9036399999999998</v>
      </c>
      <c r="AB20" s="18">
        <v>6.943975</v>
      </c>
      <c r="AC20" s="18">
        <v>2.1394950000000001</v>
      </c>
      <c r="AD20" s="18">
        <v>11.2605</v>
      </c>
    </row>
    <row r="21" spans="2:30" x14ac:dyDescent="0.25">
      <c r="B21" t="s">
        <v>770</v>
      </c>
      <c r="C21" t="s">
        <v>326</v>
      </c>
      <c r="D21">
        <v>1.3</v>
      </c>
      <c r="E21" s="35">
        <v>1.2925720000000001</v>
      </c>
      <c r="F21" s="35">
        <v>40.840000000000003</v>
      </c>
      <c r="G21" s="36">
        <v>2.6394000000000001E-2</v>
      </c>
      <c r="H21" s="18">
        <v>68.625225</v>
      </c>
      <c r="I21" s="16" t="s">
        <v>768</v>
      </c>
      <c r="J21" s="16"/>
      <c r="K21" s="16" t="s">
        <v>101</v>
      </c>
      <c r="L21" s="37"/>
      <c r="M21" s="37"/>
      <c r="N21" s="37"/>
      <c r="O21" s="37"/>
      <c r="P21" s="37"/>
      <c r="Q21" s="18">
        <v>0.29033399999999998</v>
      </c>
      <c r="R21" s="18">
        <v>1.9795500000000001E-3</v>
      </c>
      <c r="S21" s="18">
        <v>0.55427400000000004</v>
      </c>
      <c r="T21" s="18">
        <v>2.3754599999999999</v>
      </c>
      <c r="U21" s="18">
        <v>1.18773</v>
      </c>
      <c r="V21" s="18">
        <v>15.202944</v>
      </c>
      <c r="W21" s="18">
        <v>14.25276</v>
      </c>
      <c r="X21" s="18">
        <v>9.5018399999999996</v>
      </c>
      <c r="Y21" s="18">
        <v>0.42230400000000001</v>
      </c>
      <c r="Z21" s="18">
        <v>1.873974</v>
      </c>
      <c r="AA21" s="18">
        <v>2.7449760000000003</v>
      </c>
      <c r="AB21" s="18">
        <v>4.8828899999999997</v>
      </c>
      <c r="AC21" s="18">
        <v>1.5044580000000001</v>
      </c>
      <c r="AD21" s="18">
        <v>7.9182000000000006</v>
      </c>
    </row>
    <row r="22" spans="2:30" x14ac:dyDescent="0.25">
      <c r="B22" t="s">
        <v>770</v>
      </c>
      <c r="C22" t="s">
        <v>326</v>
      </c>
      <c r="D22">
        <v>1.3</v>
      </c>
      <c r="E22" s="35">
        <v>2.91317</v>
      </c>
      <c r="F22" s="35">
        <v>40.840000000000003</v>
      </c>
      <c r="G22" s="36">
        <v>5.9486999999999998E-2</v>
      </c>
      <c r="H22" s="18">
        <v>154.66604000000001</v>
      </c>
      <c r="I22" s="16" t="s">
        <v>768</v>
      </c>
      <c r="J22" s="16"/>
      <c r="K22" s="16" t="s">
        <v>101</v>
      </c>
      <c r="L22" s="37"/>
      <c r="M22" s="37"/>
      <c r="N22" s="37"/>
      <c r="O22" s="37"/>
      <c r="P22" s="37"/>
      <c r="Q22" s="18">
        <v>0.65435699999999997</v>
      </c>
      <c r="R22" s="18">
        <v>4.461525E-3</v>
      </c>
      <c r="S22" s="18">
        <v>1.2492269999999999</v>
      </c>
      <c r="T22" s="18">
        <v>5.3538299999999994</v>
      </c>
      <c r="U22" s="18">
        <v>2.6769149999999997</v>
      </c>
      <c r="V22" s="18">
        <v>34.264511999999996</v>
      </c>
      <c r="W22" s="18">
        <v>32.122979999999998</v>
      </c>
      <c r="X22" s="18">
        <v>21.415319999999998</v>
      </c>
      <c r="Y22" s="18">
        <v>0.95179199999999997</v>
      </c>
      <c r="Z22" s="18">
        <v>4.2235769999999997</v>
      </c>
      <c r="AA22" s="18">
        <v>6.1866479999999999</v>
      </c>
      <c r="AB22" s="18">
        <v>11.005094999999999</v>
      </c>
      <c r="AC22" s="18">
        <v>3.3907590000000001</v>
      </c>
      <c r="AD22" s="18">
        <v>17.8461</v>
      </c>
    </row>
    <row r="23" spans="2:30" x14ac:dyDescent="0.25">
      <c r="B23" t="s">
        <v>770</v>
      </c>
      <c r="C23" t="s">
        <v>326</v>
      </c>
      <c r="D23">
        <v>1.3</v>
      </c>
      <c r="E23" s="35">
        <v>1.867602</v>
      </c>
      <c r="F23" s="35">
        <v>40.840000000000003</v>
      </c>
      <c r="G23" s="36">
        <v>3.8136000000000003E-2</v>
      </c>
      <c r="H23" s="18">
        <v>99.154713999999998</v>
      </c>
      <c r="I23" s="16" t="s">
        <v>768</v>
      </c>
      <c r="J23" s="16"/>
      <c r="K23" s="16" t="s">
        <v>101</v>
      </c>
      <c r="L23" s="37"/>
      <c r="M23" s="37"/>
      <c r="N23" s="37"/>
      <c r="O23" s="37"/>
      <c r="P23" s="37"/>
      <c r="Q23" s="18">
        <v>0.41949600000000004</v>
      </c>
      <c r="R23" s="18">
        <v>2.8602000000000002E-3</v>
      </c>
      <c r="S23" s="18">
        <v>0.80085600000000001</v>
      </c>
      <c r="T23" s="18">
        <v>3.4322400000000002</v>
      </c>
      <c r="U23" s="18">
        <v>1.7161200000000001</v>
      </c>
      <c r="V23" s="18">
        <v>21.966336000000002</v>
      </c>
      <c r="W23" s="18">
        <v>20.593440000000001</v>
      </c>
      <c r="X23" s="18">
        <v>13.728960000000001</v>
      </c>
      <c r="Y23" s="18">
        <v>0.61017600000000005</v>
      </c>
      <c r="Z23" s="18">
        <v>2.7076560000000001</v>
      </c>
      <c r="AA23" s="18">
        <v>3.9661440000000003</v>
      </c>
      <c r="AB23" s="18">
        <v>7.0551600000000008</v>
      </c>
      <c r="AC23" s="18">
        <v>2.1737520000000004</v>
      </c>
      <c r="AD23" s="18">
        <v>11.440800000000001</v>
      </c>
    </row>
    <row r="24" spans="2:30" x14ac:dyDescent="0.25">
      <c r="B24" t="s">
        <v>770</v>
      </c>
      <c r="C24" t="s">
        <v>326</v>
      </c>
      <c r="D24">
        <v>1.3</v>
      </c>
      <c r="E24" s="35">
        <v>0.36237599999999998</v>
      </c>
      <c r="F24" s="35">
        <v>40.840000000000003</v>
      </c>
      <c r="G24" s="36">
        <v>7.4000000000000003E-3</v>
      </c>
      <c r="H24" s="18">
        <v>19.239286</v>
      </c>
      <c r="I24" s="16" t="s">
        <v>768</v>
      </c>
      <c r="J24" s="16"/>
      <c r="K24" s="16" t="s">
        <v>101</v>
      </c>
      <c r="L24" s="37"/>
      <c r="M24" s="37"/>
      <c r="N24" s="37"/>
      <c r="O24" s="37"/>
      <c r="P24" s="37"/>
      <c r="Q24" s="18">
        <v>8.14E-2</v>
      </c>
      <c r="R24" s="18">
        <v>5.5500000000000005E-4</v>
      </c>
      <c r="S24" s="18">
        <v>0.15540000000000001</v>
      </c>
      <c r="T24" s="18">
        <v>0.66600000000000004</v>
      </c>
      <c r="U24" s="18">
        <v>0.33300000000000002</v>
      </c>
      <c r="V24" s="18">
        <v>4.2624000000000004</v>
      </c>
      <c r="W24" s="18">
        <v>3.996</v>
      </c>
      <c r="X24" s="18">
        <v>2.6640000000000001</v>
      </c>
      <c r="Y24" s="18">
        <v>0.11840000000000001</v>
      </c>
      <c r="Z24" s="18">
        <v>0.52539999999999998</v>
      </c>
      <c r="AA24" s="18">
        <v>0.76960000000000006</v>
      </c>
      <c r="AB24" s="18">
        <v>1.369</v>
      </c>
      <c r="AC24" s="18">
        <v>0.42180000000000001</v>
      </c>
      <c r="AD24" s="18">
        <v>2.2200000000000002</v>
      </c>
    </row>
    <row r="25" spans="2:30" x14ac:dyDescent="0.25">
      <c r="B25" t="s">
        <v>770</v>
      </c>
      <c r="C25" t="s">
        <v>326</v>
      </c>
      <c r="D25">
        <v>1.3</v>
      </c>
      <c r="E25" s="35">
        <v>0.31425399999999998</v>
      </c>
      <c r="F25" s="35">
        <v>40.840000000000003</v>
      </c>
      <c r="G25" s="36">
        <v>6.417E-3</v>
      </c>
      <c r="H25" s="18">
        <v>16.684350999999999</v>
      </c>
      <c r="I25" s="16" t="s">
        <v>768</v>
      </c>
      <c r="J25" s="16"/>
      <c r="K25" s="16" t="s">
        <v>101</v>
      </c>
      <c r="L25" s="37"/>
      <c r="M25" s="37"/>
      <c r="N25" s="37"/>
      <c r="O25" s="37"/>
      <c r="P25" s="37"/>
      <c r="Q25" s="18">
        <v>7.0586999999999997E-2</v>
      </c>
      <c r="R25" s="18">
        <v>4.8127499999999998E-4</v>
      </c>
      <c r="S25" s="18">
        <v>0.13475699999999999</v>
      </c>
      <c r="T25" s="18">
        <v>0.57752999999999999</v>
      </c>
      <c r="U25" s="18">
        <v>0.28876499999999999</v>
      </c>
      <c r="V25" s="18">
        <v>3.6961919999999999</v>
      </c>
      <c r="W25" s="18">
        <v>3.4651800000000001</v>
      </c>
      <c r="X25" s="18">
        <v>2.31012</v>
      </c>
      <c r="Y25" s="18">
        <v>0.102672</v>
      </c>
      <c r="Z25" s="18">
        <v>0.45560699999999998</v>
      </c>
      <c r="AA25" s="18">
        <v>0.66736799999999996</v>
      </c>
      <c r="AB25" s="18">
        <v>1.1871449999999999</v>
      </c>
      <c r="AC25" s="18">
        <v>0.36576900000000001</v>
      </c>
      <c r="AD25" s="18">
        <v>1.9251</v>
      </c>
    </row>
    <row r="26" spans="2:30" x14ac:dyDescent="0.25">
      <c r="B26" t="s">
        <v>770</v>
      </c>
      <c r="C26" t="s">
        <v>326</v>
      </c>
      <c r="D26">
        <v>1.3</v>
      </c>
      <c r="E26" s="35">
        <v>0.664636</v>
      </c>
      <c r="F26" s="35">
        <v>40.840000000000003</v>
      </c>
      <c r="G26" s="36">
        <v>1.3572000000000001E-2</v>
      </c>
      <c r="H26" s="18">
        <v>35.286828999999997</v>
      </c>
      <c r="I26" s="16" t="s">
        <v>768</v>
      </c>
      <c r="J26" s="16"/>
      <c r="K26" s="16" t="s">
        <v>101</v>
      </c>
      <c r="L26" s="37"/>
      <c r="M26" s="37"/>
      <c r="N26" s="37"/>
      <c r="O26" s="37"/>
      <c r="P26" s="37"/>
      <c r="Q26" s="18">
        <v>0.14929200000000001</v>
      </c>
      <c r="R26" s="18">
        <v>1.0179E-3</v>
      </c>
      <c r="S26" s="18">
        <v>0.28501200000000004</v>
      </c>
      <c r="T26" s="18">
        <v>1.2214800000000001</v>
      </c>
      <c r="U26" s="18">
        <v>0.61074000000000006</v>
      </c>
      <c r="V26" s="18">
        <v>7.8174720000000004</v>
      </c>
      <c r="W26" s="18">
        <v>7.3288800000000007</v>
      </c>
      <c r="X26" s="18">
        <v>4.8859200000000005</v>
      </c>
      <c r="Y26" s="18">
        <v>0.21715200000000001</v>
      </c>
      <c r="Z26" s="18">
        <v>0.96361200000000002</v>
      </c>
      <c r="AA26" s="18">
        <v>1.4114880000000001</v>
      </c>
      <c r="AB26" s="18">
        <v>2.5108200000000003</v>
      </c>
      <c r="AC26" s="18">
        <v>0.77360400000000007</v>
      </c>
      <c r="AD26" s="18">
        <v>4.0716000000000001</v>
      </c>
    </row>
    <row r="27" spans="2:30" x14ac:dyDescent="0.25">
      <c r="B27" t="s">
        <v>770</v>
      </c>
      <c r="C27" t="s">
        <v>105</v>
      </c>
      <c r="D27">
        <v>1.3</v>
      </c>
      <c r="E27" s="35">
        <v>0.743614</v>
      </c>
      <c r="F27" s="35">
        <v>40.840000000000003</v>
      </c>
      <c r="G27" s="36">
        <v>1.5185000000000001E-2</v>
      </c>
      <c r="H27" s="18">
        <v>39.479964000000002</v>
      </c>
      <c r="I27" s="16" t="s">
        <v>768</v>
      </c>
      <c r="J27" s="16"/>
      <c r="K27" s="16" t="s">
        <v>101</v>
      </c>
      <c r="L27" s="37"/>
      <c r="M27" s="37"/>
      <c r="N27" s="37"/>
      <c r="O27" s="37"/>
      <c r="P27" s="37"/>
      <c r="Q27" s="18">
        <v>0.16703500000000002</v>
      </c>
      <c r="R27" s="18">
        <v>1.1388749999999999E-3</v>
      </c>
      <c r="S27" s="18">
        <v>0.31888500000000003</v>
      </c>
      <c r="T27" s="18">
        <v>1.3666500000000001</v>
      </c>
      <c r="U27" s="18">
        <v>0.68332500000000007</v>
      </c>
      <c r="V27" s="18">
        <v>8.7465600000000006</v>
      </c>
      <c r="W27" s="18">
        <v>8.1998999999999995</v>
      </c>
      <c r="X27" s="18">
        <v>5.4666000000000006</v>
      </c>
      <c r="Y27" s="18">
        <v>0.24296000000000001</v>
      </c>
      <c r="Z27" s="18">
        <v>1.0781350000000001</v>
      </c>
      <c r="AA27" s="18">
        <v>1.57924</v>
      </c>
      <c r="AB27" s="18">
        <v>2.8092250000000001</v>
      </c>
      <c r="AC27" s="18">
        <v>0.86554500000000001</v>
      </c>
      <c r="AD27" s="18">
        <v>4.5555000000000003</v>
      </c>
    </row>
    <row r="28" spans="2:30" x14ac:dyDescent="0.25">
      <c r="B28" t="s">
        <v>770</v>
      </c>
      <c r="C28" t="s">
        <v>105</v>
      </c>
      <c r="D28">
        <v>1.3</v>
      </c>
      <c r="E28" s="35">
        <v>0.39553899999999997</v>
      </c>
      <c r="F28" s="35">
        <v>40.840000000000003</v>
      </c>
      <c r="G28" s="36">
        <v>8.0770000000000008E-3</v>
      </c>
      <c r="H28" s="18">
        <v>20.999980999999998</v>
      </c>
      <c r="I28" s="16" t="s">
        <v>768</v>
      </c>
      <c r="J28" s="16"/>
      <c r="K28" s="16" t="s">
        <v>101</v>
      </c>
      <c r="L28" s="37"/>
      <c r="M28" s="37"/>
      <c r="N28" s="37"/>
      <c r="O28" s="37"/>
      <c r="P28" s="37"/>
      <c r="Q28" s="18">
        <v>8.8847000000000009E-2</v>
      </c>
      <c r="R28" s="18">
        <v>6.0577500000000002E-4</v>
      </c>
      <c r="S28" s="18">
        <v>0.16961700000000002</v>
      </c>
      <c r="T28" s="18">
        <v>0.72693000000000008</v>
      </c>
      <c r="U28" s="18">
        <v>0.36346500000000004</v>
      </c>
      <c r="V28" s="18">
        <v>4.6523520000000005</v>
      </c>
      <c r="W28" s="18">
        <v>4.36158</v>
      </c>
      <c r="X28" s="18">
        <v>2.9077200000000003</v>
      </c>
      <c r="Y28" s="18">
        <v>0.12923200000000001</v>
      </c>
      <c r="Z28" s="18">
        <v>0.57346700000000006</v>
      </c>
      <c r="AA28" s="18">
        <v>0.84000800000000009</v>
      </c>
      <c r="AB28" s="18">
        <v>1.4942450000000003</v>
      </c>
      <c r="AC28" s="18">
        <v>0.46038900000000005</v>
      </c>
      <c r="AD28" s="18">
        <v>2.4231000000000003</v>
      </c>
    </row>
    <row r="29" spans="2:30" x14ac:dyDescent="0.25">
      <c r="B29" t="s">
        <v>770</v>
      </c>
      <c r="C29" t="s">
        <v>326</v>
      </c>
      <c r="D29">
        <v>1.3</v>
      </c>
      <c r="E29" s="35">
        <v>0.54537800000000003</v>
      </c>
      <c r="F29" s="35">
        <v>40.840000000000003</v>
      </c>
      <c r="G29" s="36">
        <v>1.1136999999999999E-2</v>
      </c>
      <c r="H29" s="18">
        <v>28.955199</v>
      </c>
      <c r="I29" s="16" t="s">
        <v>768</v>
      </c>
      <c r="J29" s="16"/>
      <c r="K29" s="16" t="s">
        <v>101</v>
      </c>
      <c r="L29" s="37"/>
      <c r="M29" s="37"/>
      <c r="N29" s="37"/>
      <c r="O29" s="37"/>
      <c r="P29" s="37"/>
      <c r="Q29" s="18">
        <v>0.12250699999999999</v>
      </c>
      <c r="R29" s="18">
        <v>8.3527499999999991E-4</v>
      </c>
      <c r="S29" s="18">
        <v>0.23387699999999997</v>
      </c>
      <c r="T29" s="18">
        <v>1.0023299999999999</v>
      </c>
      <c r="U29" s="18">
        <v>0.50116499999999997</v>
      </c>
      <c r="V29" s="18">
        <v>6.4149119999999993</v>
      </c>
      <c r="W29" s="18">
        <v>6.0139799999999992</v>
      </c>
      <c r="X29" s="18">
        <v>4.0093199999999998</v>
      </c>
      <c r="Y29" s="18">
        <v>0.17819199999999999</v>
      </c>
      <c r="Z29" s="18">
        <v>0.79072699999999996</v>
      </c>
      <c r="AA29" s="18">
        <v>1.1582479999999999</v>
      </c>
      <c r="AB29" s="18">
        <v>2.0603449999999999</v>
      </c>
      <c r="AC29" s="18">
        <v>0.63480899999999996</v>
      </c>
      <c r="AD29" s="18">
        <v>3.3411</v>
      </c>
    </row>
    <row r="30" spans="2:30" x14ac:dyDescent="0.25">
      <c r="B30" t="s">
        <v>770</v>
      </c>
      <c r="C30" t="s">
        <v>326</v>
      </c>
      <c r="D30">
        <v>1.3</v>
      </c>
      <c r="E30" s="35">
        <v>0.80726699999999996</v>
      </c>
      <c r="F30" s="35">
        <v>40.840000000000003</v>
      </c>
      <c r="G30" s="36">
        <v>1.6483999999999999E-2</v>
      </c>
      <c r="H30" s="18">
        <v>42.859428000000001</v>
      </c>
      <c r="I30" s="16" t="s">
        <v>768</v>
      </c>
      <c r="J30" s="16"/>
      <c r="K30" s="16" t="s">
        <v>101</v>
      </c>
      <c r="L30" s="37"/>
      <c r="M30" s="37"/>
      <c r="N30" s="37"/>
      <c r="O30" s="37"/>
      <c r="P30" s="37"/>
      <c r="Q30" s="18">
        <v>0.18132399999999999</v>
      </c>
      <c r="R30" s="18">
        <v>1.2362999999999999E-3</v>
      </c>
      <c r="S30" s="18">
        <v>0.34616399999999997</v>
      </c>
      <c r="T30" s="18">
        <v>1.4835599999999998</v>
      </c>
      <c r="U30" s="18">
        <v>0.74177999999999988</v>
      </c>
      <c r="V30" s="18">
        <v>9.4947839999999992</v>
      </c>
      <c r="W30" s="18">
        <v>8.9013599999999986</v>
      </c>
      <c r="X30" s="18">
        <v>5.9342399999999991</v>
      </c>
      <c r="Y30" s="18">
        <v>0.26374399999999998</v>
      </c>
      <c r="Z30" s="18">
        <v>1.170364</v>
      </c>
      <c r="AA30" s="18">
        <v>1.7143359999999999</v>
      </c>
      <c r="AB30" s="18">
        <v>3.0495399999999999</v>
      </c>
      <c r="AC30" s="18">
        <v>0.93958799999999987</v>
      </c>
      <c r="AD30" s="18">
        <v>4.9451999999999998</v>
      </c>
    </row>
    <row r="31" spans="2:30" x14ac:dyDescent="0.25">
      <c r="B31" t="s">
        <v>770</v>
      </c>
      <c r="C31" t="s">
        <v>326</v>
      </c>
      <c r="D31">
        <v>1.3</v>
      </c>
      <c r="E31" s="35">
        <v>0.80726699999999996</v>
      </c>
      <c r="F31" s="35">
        <v>40.840000000000003</v>
      </c>
      <c r="G31" s="36">
        <v>1.6483999999999999E-2</v>
      </c>
      <c r="H31" s="18">
        <v>42.859428000000001</v>
      </c>
      <c r="I31" s="16" t="s">
        <v>768</v>
      </c>
      <c r="J31" s="16"/>
      <c r="K31" s="16" t="s">
        <v>101</v>
      </c>
      <c r="L31" s="37"/>
      <c r="M31" s="37"/>
      <c r="N31" s="37"/>
      <c r="O31" s="37"/>
      <c r="P31" s="37"/>
      <c r="Q31" s="18">
        <v>0.18132399999999999</v>
      </c>
      <c r="R31" s="18">
        <v>1.2362999999999999E-3</v>
      </c>
      <c r="S31" s="18">
        <v>0.34616399999999997</v>
      </c>
      <c r="T31" s="18">
        <v>1.4835599999999998</v>
      </c>
      <c r="U31" s="18">
        <v>0.74177999999999988</v>
      </c>
      <c r="V31" s="18">
        <v>9.4947839999999992</v>
      </c>
      <c r="W31" s="18">
        <v>8.9013599999999986</v>
      </c>
      <c r="X31" s="18">
        <v>5.9342399999999991</v>
      </c>
      <c r="Y31" s="18">
        <v>0.26374399999999998</v>
      </c>
      <c r="Z31" s="18">
        <v>1.170364</v>
      </c>
      <c r="AA31" s="18">
        <v>1.7143359999999999</v>
      </c>
      <c r="AB31" s="18">
        <v>3.0495399999999999</v>
      </c>
      <c r="AC31" s="18">
        <v>0.93958799999999987</v>
      </c>
      <c r="AD31" s="18">
        <v>4.9451999999999998</v>
      </c>
    </row>
    <row r="32" spans="2:30" x14ac:dyDescent="0.25">
      <c r="B32" t="s">
        <v>770</v>
      </c>
      <c r="C32" t="s">
        <v>326</v>
      </c>
      <c r="D32">
        <v>1.3</v>
      </c>
      <c r="E32" s="35">
        <v>0.84836500000000004</v>
      </c>
      <c r="F32" s="35">
        <v>40.840000000000003</v>
      </c>
      <c r="G32" s="36">
        <v>1.7323999999999999E-2</v>
      </c>
      <c r="H32" s="18">
        <v>45.041420000000002</v>
      </c>
      <c r="I32" s="16" t="s">
        <v>768</v>
      </c>
      <c r="J32" s="16"/>
      <c r="K32" s="16" t="s">
        <v>101</v>
      </c>
      <c r="L32" s="37"/>
      <c r="M32" s="37"/>
      <c r="N32" s="37"/>
      <c r="O32" s="37"/>
      <c r="P32" s="37"/>
      <c r="Q32" s="18">
        <v>0.19056399999999998</v>
      </c>
      <c r="R32" s="18">
        <v>1.2993E-3</v>
      </c>
      <c r="S32" s="18">
        <v>0.36380399999999996</v>
      </c>
      <c r="T32" s="18">
        <v>1.5591599999999999</v>
      </c>
      <c r="U32" s="18">
        <v>0.77957999999999994</v>
      </c>
      <c r="V32" s="18">
        <v>9.9786239999999999</v>
      </c>
      <c r="W32" s="18">
        <v>9.3549600000000002</v>
      </c>
      <c r="X32" s="18">
        <v>6.2366399999999995</v>
      </c>
      <c r="Y32" s="18">
        <v>0.27718399999999999</v>
      </c>
      <c r="Z32" s="18">
        <v>1.2300039999999999</v>
      </c>
      <c r="AA32" s="18">
        <v>1.801696</v>
      </c>
      <c r="AB32" s="18">
        <v>3.2049399999999997</v>
      </c>
      <c r="AC32" s="18">
        <v>0.9874679999999999</v>
      </c>
      <c r="AD32" s="18">
        <v>5.1971999999999996</v>
      </c>
    </row>
    <row r="33" spans="2:30" x14ac:dyDescent="0.25">
      <c r="B33" t="s">
        <v>770</v>
      </c>
      <c r="C33" t="s">
        <v>326</v>
      </c>
      <c r="D33">
        <v>1.3</v>
      </c>
      <c r="E33" s="35">
        <v>1.255749</v>
      </c>
      <c r="F33" s="35">
        <v>40.840000000000003</v>
      </c>
      <c r="G33" s="36">
        <v>2.5642000000000002E-2</v>
      </c>
      <c r="H33" s="18">
        <v>66.670220999999998</v>
      </c>
      <c r="I33" s="16" t="s">
        <v>768</v>
      </c>
      <c r="J33" s="16"/>
      <c r="K33" s="16" t="s">
        <v>101</v>
      </c>
      <c r="L33" s="37"/>
      <c r="M33" s="37"/>
      <c r="N33" s="37"/>
      <c r="O33" s="37"/>
      <c r="P33" s="37"/>
      <c r="Q33" s="18">
        <v>0.28206200000000003</v>
      </c>
      <c r="R33" s="18">
        <v>1.92315E-3</v>
      </c>
      <c r="S33" s="18">
        <v>0.53848200000000002</v>
      </c>
      <c r="T33" s="18">
        <v>2.3077800000000002</v>
      </c>
      <c r="U33" s="18">
        <v>1.1538900000000001</v>
      </c>
      <c r="V33" s="18">
        <v>14.769792000000001</v>
      </c>
      <c r="W33" s="18">
        <v>13.846680000000001</v>
      </c>
      <c r="X33" s="18">
        <v>9.2311200000000007</v>
      </c>
      <c r="Y33" s="18">
        <v>0.41027200000000003</v>
      </c>
      <c r="Z33" s="18">
        <v>1.8205820000000001</v>
      </c>
      <c r="AA33" s="18">
        <v>2.6667680000000002</v>
      </c>
      <c r="AB33" s="18">
        <v>4.7437700000000005</v>
      </c>
      <c r="AC33" s="18">
        <v>1.4615940000000001</v>
      </c>
      <c r="AD33" s="18">
        <v>7.6926000000000005</v>
      </c>
    </row>
    <row r="34" spans="2:30" x14ac:dyDescent="0.25">
      <c r="B34" t="s">
        <v>770</v>
      </c>
      <c r="C34" t="s">
        <v>326</v>
      </c>
      <c r="D34">
        <v>1.3</v>
      </c>
      <c r="E34" s="35">
        <v>1.255749</v>
      </c>
      <c r="F34" s="35">
        <v>40.840000000000003</v>
      </c>
      <c r="G34" s="36">
        <v>2.5642000000000002E-2</v>
      </c>
      <c r="H34" s="18">
        <v>66.670220999999998</v>
      </c>
      <c r="I34" s="16" t="s">
        <v>768</v>
      </c>
      <c r="J34" s="16"/>
      <c r="K34" s="16" t="s">
        <v>101</v>
      </c>
      <c r="L34" s="37"/>
      <c r="M34" s="37"/>
      <c r="N34" s="37"/>
      <c r="O34" s="37"/>
      <c r="P34" s="37"/>
      <c r="Q34" s="18">
        <v>0.28206200000000003</v>
      </c>
      <c r="R34" s="18">
        <v>1.92315E-3</v>
      </c>
      <c r="S34" s="18">
        <v>0.53848200000000002</v>
      </c>
      <c r="T34" s="18">
        <v>2.3077800000000002</v>
      </c>
      <c r="U34" s="18">
        <v>1.1538900000000001</v>
      </c>
      <c r="V34" s="18">
        <v>14.769792000000001</v>
      </c>
      <c r="W34" s="18">
        <v>13.846680000000001</v>
      </c>
      <c r="X34" s="18">
        <v>9.2311200000000007</v>
      </c>
      <c r="Y34" s="18">
        <v>0.41027200000000003</v>
      </c>
      <c r="Z34" s="18">
        <v>1.8205820000000001</v>
      </c>
      <c r="AA34" s="18">
        <v>2.6667680000000002</v>
      </c>
      <c r="AB34" s="18">
        <v>4.7437700000000005</v>
      </c>
      <c r="AC34" s="18">
        <v>1.4615940000000001</v>
      </c>
      <c r="AD34" s="18">
        <v>7.6926000000000005</v>
      </c>
    </row>
    <row r="35" spans="2:30" x14ac:dyDescent="0.25">
      <c r="B35" t="s">
        <v>770</v>
      </c>
      <c r="C35" t="s">
        <v>105</v>
      </c>
      <c r="D35">
        <v>1.3</v>
      </c>
      <c r="E35" s="35">
        <v>0.70397100000000001</v>
      </c>
      <c r="F35" s="35">
        <v>40.840000000000003</v>
      </c>
      <c r="G35" s="36">
        <v>1.4375000000000001E-2</v>
      </c>
      <c r="H35" s="18">
        <v>37.375247000000002</v>
      </c>
      <c r="I35" s="16" t="s">
        <v>768</v>
      </c>
      <c r="J35" s="16"/>
      <c r="K35" s="16" t="s">
        <v>101</v>
      </c>
      <c r="L35" s="37"/>
      <c r="M35" s="37"/>
      <c r="N35" s="37"/>
      <c r="O35" s="37"/>
      <c r="P35" s="37"/>
      <c r="Q35" s="18">
        <v>0.15812500000000002</v>
      </c>
      <c r="R35" s="18">
        <v>1.0781250000000001E-3</v>
      </c>
      <c r="S35" s="18">
        <v>0.301875</v>
      </c>
      <c r="T35" s="18">
        <v>1.29375</v>
      </c>
      <c r="U35" s="18">
        <v>0.64687499999999998</v>
      </c>
      <c r="V35" s="18">
        <v>8.2800000000000011</v>
      </c>
      <c r="W35" s="18">
        <v>7.7625000000000002</v>
      </c>
      <c r="X35" s="18">
        <v>5.1749999999999998</v>
      </c>
      <c r="Y35" s="18">
        <v>0.23</v>
      </c>
      <c r="Z35" s="18">
        <v>1.0206250000000001</v>
      </c>
      <c r="AA35" s="18">
        <v>1.4950000000000001</v>
      </c>
      <c r="AB35" s="18">
        <v>2.6593750000000003</v>
      </c>
      <c r="AC35" s="18">
        <v>0.81937500000000008</v>
      </c>
      <c r="AD35" s="18">
        <v>4.3125</v>
      </c>
    </row>
    <row r="36" spans="2:30" x14ac:dyDescent="0.25">
      <c r="B36" t="s">
        <v>770</v>
      </c>
      <c r="C36" t="s">
        <v>105</v>
      </c>
      <c r="D36">
        <v>1.3</v>
      </c>
      <c r="E36" s="35">
        <v>0.55750299999999997</v>
      </c>
      <c r="F36" s="35">
        <v>40.840000000000003</v>
      </c>
      <c r="G36" s="36">
        <v>1.1384E-2</v>
      </c>
      <c r="H36" s="18">
        <v>29.598970000000001</v>
      </c>
      <c r="I36" s="16" t="s">
        <v>768</v>
      </c>
      <c r="J36" s="16"/>
      <c r="K36" s="16" t="s">
        <v>101</v>
      </c>
      <c r="L36" s="37"/>
      <c r="M36" s="37"/>
      <c r="N36" s="37"/>
      <c r="O36" s="37"/>
      <c r="P36" s="37"/>
      <c r="Q36" s="18">
        <v>0.125224</v>
      </c>
      <c r="R36" s="18">
        <v>8.5379999999999994E-4</v>
      </c>
      <c r="S36" s="18">
        <v>0.239064</v>
      </c>
      <c r="T36" s="18">
        <v>1.0245599999999999</v>
      </c>
      <c r="U36" s="18">
        <v>0.51227999999999996</v>
      </c>
      <c r="V36" s="18">
        <v>6.5571840000000003</v>
      </c>
      <c r="W36" s="18">
        <v>6.1473599999999999</v>
      </c>
      <c r="X36" s="18">
        <v>4.0982399999999997</v>
      </c>
      <c r="Y36" s="18">
        <v>0.182144</v>
      </c>
      <c r="Z36" s="18">
        <v>0.80826399999999998</v>
      </c>
      <c r="AA36" s="18">
        <v>1.1839360000000001</v>
      </c>
      <c r="AB36" s="18">
        <v>2.1060400000000001</v>
      </c>
      <c r="AC36" s="18">
        <v>0.64888800000000002</v>
      </c>
      <c r="AD36" s="18">
        <v>3.4152</v>
      </c>
    </row>
    <row r="37" spans="2:30" x14ac:dyDescent="0.25">
      <c r="B37" t="s">
        <v>770</v>
      </c>
      <c r="C37" t="s">
        <v>105</v>
      </c>
      <c r="D37">
        <v>1.3</v>
      </c>
      <c r="E37" s="35">
        <v>1.4433119999999999</v>
      </c>
      <c r="F37" s="35">
        <v>40.840000000000003</v>
      </c>
      <c r="G37" s="36">
        <v>2.9472000000000002E-2</v>
      </c>
      <c r="H37" s="18">
        <v>76.628316999999996</v>
      </c>
      <c r="I37" s="16" t="s">
        <v>768</v>
      </c>
      <c r="J37" s="16"/>
      <c r="K37" s="16" t="s">
        <v>101</v>
      </c>
      <c r="L37" s="37"/>
      <c r="M37" s="37"/>
      <c r="N37" s="37"/>
      <c r="O37" s="37"/>
      <c r="P37" s="37"/>
      <c r="Q37" s="18">
        <v>0.32419200000000004</v>
      </c>
      <c r="R37" s="18">
        <v>2.2104E-3</v>
      </c>
      <c r="S37" s="18">
        <v>0.61891200000000002</v>
      </c>
      <c r="T37" s="18">
        <v>2.6524800000000002</v>
      </c>
      <c r="U37" s="18">
        <v>1.3262400000000001</v>
      </c>
      <c r="V37" s="18">
        <v>16.975872000000003</v>
      </c>
      <c r="W37" s="18">
        <v>15.91488</v>
      </c>
      <c r="X37" s="18">
        <v>10.609920000000001</v>
      </c>
      <c r="Y37" s="18">
        <v>0.47155200000000003</v>
      </c>
      <c r="Z37" s="18">
        <v>2.0925120000000001</v>
      </c>
      <c r="AA37" s="18">
        <v>3.0650880000000003</v>
      </c>
      <c r="AB37" s="18">
        <v>5.4523200000000003</v>
      </c>
      <c r="AC37" s="18">
        <v>1.6799040000000001</v>
      </c>
      <c r="AD37" s="18">
        <v>8.8415999999999997</v>
      </c>
    </row>
    <row r="38" spans="2:30" x14ac:dyDescent="0.25">
      <c r="B38" t="s">
        <v>770</v>
      </c>
      <c r="C38" t="s">
        <v>105</v>
      </c>
      <c r="D38">
        <v>1.3</v>
      </c>
      <c r="E38" s="35">
        <v>1.8303259999999999</v>
      </c>
      <c r="F38" s="35">
        <v>40.840000000000003</v>
      </c>
      <c r="G38" s="36">
        <v>3.7374999999999999E-2</v>
      </c>
      <c r="H38" s="18">
        <v>97.175642999999994</v>
      </c>
      <c r="I38" s="16" t="s">
        <v>768</v>
      </c>
      <c r="J38" s="16"/>
      <c r="K38" s="16" t="s">
        <v>101</v>
      </c>
      <c r="L38" s="37"/>
      <c r="M38" s="37"/>
      <c r="N38" s="37"/>
      <c r="O38" s="37"/>
      <c r="P38" s="37"/>
      <c r="Q38" s="18">
        <v>0.41112499999999996</v>
      </c>
      <c r="R38" s="18">
        <v>2.8031249999999996E-3</v>
      </c>
      <c r="S38" s="18">
        <v>0.78487499999999999</v>
      </c>
      <c r="T38" s="18">
        <v>3.36375</v>
      </c>
      <c r="U38" s="18">
        <v>1.681875</v>
      </c>
      <c r="V38" s="18">
        <v>21.527999999999999</v>
      </c>
      <c r="W38" s="18">
        <v>20.182499999999997</v>
      </c>
      <c r="X38" s="18">
        <v>13.455</v>
      </c>
      <c r="Y38" s="18">
        <v>0.59799999999999998</v>
      </c>
      <c r="Z38" s="18">
        <v>2.6536249999999999</v>
      </c>
      <c r="AA38" s="18">
        <v>3.887</v>
      </c>
      <c r="AB38" s="18">
        <v>6.9143749999999997</v>
      </c>
      <c r="AC38" s="18">
        <v>2.1303749999999999</v>
      </c>
      <c r="AD38" s="18">
        <v>11.2125</v>
      </c>
    </row>
    <row r="39" spans="2:30" x14ac:dyDescent="0.25">
      <c r="B39" t="s">
        <v>770</v>
      </c>
      <c r="C39" t="s">
        <v>105</v>
      </c>
      <c r="D39">
        <v>1.3</v>
      </c>
      <c r="E39" s="35">
        <v>0.70697100000000002</v>
      </c>
      <c r="F39" s="35">
        <v>40.840000000000003</v>
      </c>
      <c r="G39" s="36">
        <v>1.4435999999999999E-2</v>
      </c>
      <c r="H39" s="18">
        <v>37.534517000000001</v>
      </c>
      <c r="I39" s="16" t="s">
        <v>768</v>
      </c>
      <c r="J39" s="16"/>
      <c r="K39" s="16" t="s">
        <v>101</v>
      </c>
      <c r="L39" s="37"/>
      <c r="M39" s="37"/>
      <c r="N39" s="37"/>
      <c r="O39" s="37"/>
      <c r="P39" s="37"/>
      <c r="Q39" s="18">
        <v>0.15879599999999999</v>
      </c>
      <c r="R39" s="18">
        <v>1.0826999999999998E-3</v>
      </c>
      <c r="S39" s="18">
        <v>0.30315599999999998</v>
      </c>
      <c r="T39" s="18">
        <v>1.29924</v>
      </c>
      <c r="U39" s="18">
        <v>0.64961999999999998</v>
      </c>
      <c r="V39" s="18">
        <v>8.315135999999999</v>
      </c>
      <c r="W39" s="18">
        <v>7.7954399999999993</v>
      </c>
      <c r="X39" s="18">
        <v>5.1969599999999998</v>
      </c>
      <c r="Y39" s="18">
        <v>0.23097599999999999</v>
      </c>
      <c r="Z39" s="18">
        <v>1.024956</v>
      </c>
      <c r="AA39" s="18">
        <v>1.501344</v>
      </c>
      <c r="AB39" s="18">
        <v>2.6706599999999998</v>
      </c>
      <c r="AC39" s="18">
        <v>0.82285199999999992</v>
      </c>
      <c r="AD39" s="18">
        <v>4.3308</v>
      </c>
    </row>
    <row r="40" spans="2:30" x14ac:dyDescent="0.25">
      <c r="B40" t="s">
        <v>770</v>
      </c>
      <c r="C40" t="s">
        <v>105</v>
      </c>
      <c r="D40">
        <v>1.3</v>
      </c>
      <c r="E40" s="35">
        <v>1.838125</v>
      </c>
      <c r="F40" s="35">
        <v>40.840000000000003</v>
      </c>
      <c r="G40" s="36">
        <v>3.7534999999999999E-2</v>
      </c>
      <c r="H40" s="18">
        <v>97.589742999999999</v>
      </c>
      <c r="I40" s="16" t="s">
        <v>768</v>
      </c>
      <c r="J40" s="16"/>
      <c r="K40" s="16" t="s">
        <v>101</v>
      </c>
      <c r="L40" s="37"/>
      <c r="M40" s="37"/>
      <c r="N40" s="37"/>
      <c r="O40" s="37"/>
      <c r="P40" s="37"/>
      <c r="Q40" s="18">
        <v>0.412885</v>
      </c>
      <c r="R40" s="18">
        <v>2.8151249999999999E-3</v>
      </c>
      <c r="S40" s="18">
        <v>0.78823500000000002</v>
      </c>
      <c r="T40" s="18">
        <v>3.3781499999999998</v>
      </c>
      <c r="U40" s="18">
        <v>1.6890749999999999</v>
      </c>
      <c r="V40" s="18">
        <v>21.620159999999998</v>
      </c>
      <c r="W40" s="18">
        <v>20.268899999999999</v>
      </c>
      <c r="X40" s="18">
        <v>13.512599999999999</v>
      </c>
      <c r="Y40" s="18">
        <v>0.60055999999999998</v>
      </c>
      <c r="Z40" s="18">
        <v>2.6649849999999997</v>
      </c>
      <c r="AA40" s="18">
        <v>3.9036399999999998</v>
      </c>
      <c r="AB40" s="18">
        <v>6.943975</v>
      </c>
      <c r="AC40" s="18">
        <v>2.1394950000000001</v>
      </c>
      <c r="AD40" s="18">
        <v>11.2605</v>
      </c>
    </row>
    <row r="41" spans="2:30" x14ac:dyDescent="0.25">
      <c r="B41" t="s">
        <v>770</v>
      </c>
      <c r="C41" t="s">
        <v>326</v>
      </c>
      <c r="D41">
        <v>1.3</v>
      </c>
      <c r="E41" s="35">
        <v>1.2925720000000001</v>
      </c>
      <c r="F41" s="35">
        <v>40.840000000000003</v>
      </c>
      <c r="G41" s="36">
        <v>2.6394000000000001E-2</v>
      </c>
      <c r="H41" s="18">
        <v>68.625225</v>
      </c>
      <c r="I41" s="16" t="s">
        <v>768</v>
      </c>
      <c r="J41" s="16"/>
      <c r="K41" s="16" t="s">
        <v>101</v>
      </c>
      <c r="L41" s="37"/>
      <c r="M41" s="37"/>
      <c r="N41" s="37"/>
      <c r="O41" s="37"/>
      <c r="P41" s="37"/>
      <c r="Q41" s="18">
        <v>0.29033399999999998</v>
      </c>
      <c r="R41" s="18">
        <v>1.9795500000000001E-3</v>
      </c>
      <c r="S41" s="18">
        <v>0.55427400000000004</v>
      </c>
      <c r="T41" s="18">
        <v>2.3754599999999999</v>
      </c>
      <c r="U41" s="18">
        <v>1.18773</v>
      </c>
      <c r="V41" s="18">
        <v>15.202944</v>
      </c>
      <c r="W41" s="18">
        <v>14.25276</v>
      </c>
      <c r="X41" s="18">
        <v>9.5018399999999996</v>
      </c>
      <c r="Y41" s="18">
        <v>0.42230400000000001</v>
      </c>
      <c r="Z41" s="18">
        <v>1.873974</v>
      </c>
      <c r="AA41" s="18">
        <v>2.7449760000000003</v>
      </c>
      <c r="AB41" s="18">
        <v>4.8828899999999997</v>
      </c>
      <c r="AC41" s="18">
        <v>1.5044580000000001</v>
      </c>
      <c r="AD41" s="18">
        <v>7.9182000000000006</v>
      </c>
    </row>
    <row r="42" spans="2:30" x14ac:dyDescent="0.25">
      <c r="B42" t="s">
        <v>770</v>
      </c>
      <c r="C42" t="s">
        <v>326</v>
      </c>
      <c r="D42">
        <v>1.3</v>
      </c>
      <c r="E42" s="35">
        <v>2.91317</v>
      </c>
      <c r="F42" s="35">
        <v>40.840000000000003</v>
      </c>
      <c r="G42" s="36">
        <v>5.9486999999999998E-2</v>
      </c>
      <c r="H42" s="18">
        <v>154.66604000000001</v>
      </c>
      <c r="I42" s="16" t="s">
        <v>768</v>
      </c>
      <c r="J42" s="16"/>
      <c r="K42" s="16" t="s">
        <v>101</v>
      </c>
      <c r="L42" s="37"/>
      <c r="M42" s="37"/>
      <c r="N42" s="37"/>
      <c r="O42" s="37"/>
      <c r="P42" s="37"/>
      <c r="Q42" s="18">
        <v>0.65435699999999997</v>
      </c>
      <c r="R42" s="18">
        <v>4.461525E-3</v>
      </c>
      <c r="S42" s="18">
        <v>1.2492269999999999</v>
      </c>
      <c r="T42" s="18">
        <v>5.3538299999999994</v>
      </c>
      <c r="U42" s="18">
        <v>2.6769149999999997</v>
      </c>
      <c r="V42" s="18">
        <v>34.264511999999996</v>
      </c>
      <c r="W42" s="18">
        <v>32.122979999999998</v>
      </c>
      <c r="X42" s="18">
        <v>21.415319999999998</v>
      </c>
      <c r="Y42" s="18">
        <v>0.95179199999999997</v>
      </c>
      <c r="Z42" s="18">
        <v>4.2235769999999997</v>
      </c>
      <c r="AA42" s="18">
        <v>6.1866479999999999</v>
      </c>
      <c r="AB42" s="18">
        <v>11.005094999999999</v>
      </c>
      <c r="AC42" s="18">
        <v>3.3907590000000001</v>
      </c>
      <c r="AD42" s="18">
        <v>17.8461</v>
      </c>
    </row>
    <row r="43" spans="2:30" x14ac:dyDescent="0.25">
      <c r="B43" t="s">
        <v>770</v>
      </c>
      <c r="C43" t="s">
        <v>326</v>
      </c>
      <c r="D43">
        <v>1.3</v>
      </c>
      <c r="E43" s="35">
        <v>1.867602</v>
      </c>
      <c r="F43" s="35">
        <v>40.840000000000003</v>
      </c>
      <c r="G43" s="36">
        <v>3.8136000000000003E-2</v>
      </c>
      <c r="H43" s="18">
        <v>99.154713999999998</v>
      </c>
      <c r="I43" s="16" t="s">
        <v>768</v>
      </c>
      <c r="J43" s="16"/>
      <c r="K43" s="16" t="s">
        <v>101</v>
      </c>
      <c r="L43" s="37"/>
      <c r="M43" s="37"/>
      <c r="N43" s="37"/>
      <c r="O43" s="37"/>
      <c r="P43" s="37"/>
      <c r="Q43" s="18">
        <v>0.41949600000000004</v>
      </c>
      <c r="R43" s="18">
        <v>2.8602000000000002E-3</v>
      </c>
      <c r="S43" s="18">
        <v>0.80085600000000001</v>
      </c>
      <c r="T43" s="18">
        <v>3.4322400000000002</v>
      </c>
      <c r="U43" s="18">
        <v>1.7161200000000001</v>
      </c>
      <c r="V43" s="18">
        <v>21.966336000000002</v>
      </c>
      <c r="W43" s="18">
        <v>20.593440000000001</v>
      </c>
      <c r="X43" s="18">
        <v>13.728960000000001</v>
      </c>
      <c r="Y43" s="18">
        <v>0.61017600000000005</v>
      </c>
      <c r="Z43" s="18">
        <v>2.7076560000000001</v>
      </c>
      <c r="AA43" s="18">
        <v>3.9661440000000003</v>
      </c>
      <c r="AB43" s="18">
        <v>7.0551600000000008</v>
      </c>
      <c r="AC43" s="18">
        <v>2.1737520000000004</v>
      </c>
      <c r="AD43" s="18">
        <v>11.440800000000001</v>
      </c>
    </row>
    <row r="44" spans="2:30" x14ac:dyDescent="0.25">
      <c r="B44" t="s">
        <v>770</v>
      </c>
      <c r="C44" t="s">
        <v>326</v>
      </c>
      <c r="D44">
        <v>1.3</v>
      </c>
      <c r="E44" s="35">
        <v>0.36237599999999998</v>
      </c>
      <c r="F44" s="35">
        <v>40.840000000000003</v>
      </c>
      <c r="G44" s="36">
        <v>7.4000000000000003E-3</v>
      </c>
      <c r="H44" s="18">
        <v>19.239286</v>
      </c>
      <c r="I44" s="16" t="s">
        <v>768</v>
      </c>
      <c r="J44" s="16"/>
      <c r="K44" s="16" t="s">
        <v>101</v>
      </c>
      <c r="L44" s="37"/>
      <c r="M44" s="37"/>
      <c r="N44" s="37"/>
      <c r="O44" s="37"/>
      <c r="P44" s="37"/>
      <c r="Q44" s="18">
        <v>8.14E-2</v>
      </c>
      <c r="R44" s="18">
        <v>5.5500000000000005E-4</v>
      </c>
      <c r="S44" s="18">
        <v>0.15540000000000001</v>
      </c>
      <c r="T44" s="18">
        <v>0.66600000000000004</v>
      </c>
      <c r="U44" s="18">
        <v>0.33300000000000002</v>
      </c>
      <c r="V44" s="18">
        <v>4.2624000000000004</v>
      </c>
      <c r="W44" s="18">
        <v>3.996</v>
      </c>
      <c r="X44" s="18">
        <v>2.6640000000000001</v>
      </c>
      <c r="Y44" s="18">
        <v>0.11840000000000001</v>
      </c>
      <c r="Z44" s="18">
        <v>0.52539999999999998</v>
      </c>
      <c r="AA44" s="18">
        <v>0.76960000000000006</v>
      </c>
      <c r="AB44" s="18">
        <v>1.369</v>
      </c>
      <c r="AC44" s="18">
        <v>0.42180000000000001</v>
      </c>
      <c r="AD44" s="18">
        <v>2.2200000000000002</v>
      </c>
    </row>
    <row r="45" spans="2:30" x14ac:dyDescent="0.25">
      <c r="B45" t="s">
        <v>770</v>
      </c>
      <c r="C45" t="s">
        <v>326</v>
      </c>
      <c r="D45">
        <v>1.3</v>
      </c>
      <c r="E45" s="35">
        <v>0.31425399999999998</v>
      </c>
      <c r="F45" s="35">
        <v>40.840000000000003</v>
      </c>
      <c r="G45" s="36">
        <v>6.417E-3</v>
      </c>
      <c r="H45" s="18">
        <v>16.684350999999999</v>
      </c>
      <c r="I45" s="16" t="s">
        <v>768</v>
      </c>
      <c r="J45" s="16"/>
      <c r="K45" s="16" t="s">
        <v>101</v>
      </c>
      <c r="L45" s="37"/>
      <c r="M45" s="37"/>
      <c r="N45" s="37"/>
      <c r="O45" s="37"/>
      <c r="P45" s="37"/>
      <c r="Q45" s="18">
        <v>7.0586999999999997E-2</v>
      </c>
      <c r="R45" s="18">
        <v>4.8127499999999998E-4</v>
      </c>
      <c r="S45" s="18">
        <v>0.13475699999999999</v>
      </c>
      <c r="T45" s="18">
        <v>0.57752999999999999</v>
      </c>
      <c r="U45" s="18">
        <v>0.28876499999999999</v>
      </c>
      <c r="V45" s="18">
        <v>3.6961919999999999</v>
      </c>
      <c r="W45" s="18">
        <v>3.4651800000000001</v>
      </c>
      <c r="X45" s="18">
        <v>2.31012</v>
      </c>
      <c r="Y45" s="18">
        <v>0.102672</v>
      </c>
      <c r="Z45" s="18">
        <v>0.45560699999999998</v>
      </c>
      <c r="AA45" s="18">
        <v>0.66736799999999996</v>
      </c>
      <c r="AB45" s="18">
        <v>1.1871449999999999</v>
      </c>
      <c r="AC45" s="18">
        <v>0.36576900000000001</v>
      </c>
      <c r="AD45" s="18">
        <v>1.9251</v>
      </c>
    </row>
    <row r="46" spans="2:30" x14ac:dyDescent="0.25">
      <c r="B46" t="s">
        <v>770</v>
      </c>
      <c r="C46" t="s">
        <v>326</v>
      </c>
      <c r="D46">
        <v>1.3</v>
      </c>
      <c r="E46" s="35">
        <v>0.664636</v>
      </c>
      <c r="F46" s="35">
        <v>40.840000000000003</v>
      </c>
      <c r="G46" s="36">
        <v>1.3572000000000001E-2</v>
      </c>
      <c r="H46" s="18">
        <v>35.286828999999997</v>
      </c>
      <c r="I46" s="16" t="s">
        <v>768</v>
      </c>
      <c r="J46" s="16"/>
      <c r="K46" s="16" t="s">
        <v>101</v>
      </c>
      <c r="L46" s="37"/>
      <c r="M46" s="37"/>
      <c r="N46" s="37"/>
      <c r="O46" s="37"/>
      <c r="P46" s="37"/>
      <c r="Q46" s="18">
        <v>0.14929200000000001</v>
      </c>
      <c r="R46" s="18">
        <v>1.0179E-3</v>
      </c>
      <c r="S46" s="18">
        <v>0.28501200000000004</v>
      </c>
      <c r="T46" s="18">
        <v>1.2214800000000001</v>
      </c>
      <c r="U46" s="18">
        <v>0.61074000000000006</v>
      </c>
      <c r="V46" s="18">
        <v>7.8174720000000004</v>
      </c>
      <c r="W46" s="18">
        <v>7.3288800000000007</v>
      </c>
      <c r="X46" s="18">
        <v>4.8859200000000005</v>
      </c>
      <c r="Y46" s="18">
        <v>0.21715200000000001</v>
      </c>
      <c r="Z46" s="18">
        <v>0.96361200000000002</v>
      </c>
      <c r="AA46" s="18">
        <v>1.4114880000000001</v>
      </c>
      <c r="AB46" s="18">
        <v>2.5108200000000003</v>
      </c>
      <c r="AC46" s="18">
        <v>0.77360400000000007</v>
      </c>
      <c r="AD46" s="18">
        <v>4.0716000000000001</v>
      </c>
    </row>
    <row r="47" spans="2:30" x14ac:dyDescent="0.25">
      <c r="B47" t="s">
        <v>770</v>
      </c>
      <c r="C47" t="s">
        <v>570</v>
      </c>
      <c r="D47">
        <v>1.3</v>
      </c>
      <c r="E47" s="35">
        <v>0.58497600000000005</v>
      </c>
      <c r="F47" s="35">
        <v>40.840000000000003</v>
      </c>
      <c r="G47" s="36">
        <v>1.1945000000000001E-2</v>
      </c>
      <c r="H47" s="18">
        <v>31.057556000000002</v>
      </c>
      <c r="I47" s="16" t="s">
        <v>768</v>
      </c>
      <c r="J47" s="16"/>
      <c r="K47" s="16" t="s">
        <v>101</v>
      </c>
      <c r="L47" s="37"/>
      <c r="M47" s="37"/>
      <c r="N47" s="37"/>
      <c r="O47" s="37"/>
      <c r="P47" s="37"/>
      <c r="Q47" s="18">
        <v>0.13139500000000001</v>
      </c>
      <c r="R47" s="18">
        <v>8.9587499999999997E-4</v>
      </c>
      <c r="S47" s="18">
        <v>0.25084500000000004</v>
      </c>
      <c r="T47" s="18">
        <v>1.0750500000000001</v>
      </c>
      <c r="U47" s="18">
        <v>0.53752500000000003</v>
      </c>
      <c r="V47" s="18">
        <v>6.8803200000000002</v>
      </c>
      <c r="W47" s="18">
        <v>6.4503000000000004</v>
      </c>
      <c r="X47" s="18">
        <v>4.3002000000000002</v>
      </c>
      <c r="Y47" s="18">
        <v>0.19112000000000001</v>
      </c>
      <c r="Z47" s="18">
        <v>0.84809500000000004</v>
      </c>
      <c r="AA47" s="18">
        <v>1.2422800000000001</v>
      </c>
      <c r="AB47" s="18">
        <v>2.2098249999999999</v>
      </c>
      <c r="AC47" s="18">
        <v>0.68086500000000005</v>
      </c>
      <c r="AD47" s="18">
        <v>3.5835000000000004</v>
      </c>
    </row>
    <row r="48" spans="2:30" x14ac:dyDescent="0.25">
      <c r="B48" t="s">
        <v>770</v>
      </c>
      <c r="C48" t="s">
        <v>570</v>
      </c>
      <c r="D48">
        <v>1.3</v>
      </c>
      <c r="E48" s="35">
        <v>0.58497600000000005</v>
      </c>
      <c r="F48" s="35">
        <v>40.840000000000003</v>
      </c>
      <c r="G48" s="36">
        <v>1.1945000000000001E-2</v>
      </c>
      <c r="H48" s="18">
        <v>31.057556000000002</v>
      </c>
      <c r="I48" s="16" t="s">
        <v>768</v>
      </c>
      <c r="J48" s="16"/>
      <c r="K48" s="16" t="s">
        <v>101</v>
      </c>
      <c r="L48" s="37"/>
      <c r="M48" s="37"/>
      <c r="N48" s="37"/>
      <c r="O48" s="37"/>
      <c r="P48" s="37"/>
      <c r="Q48" s="18">
        <v>0.13139500000000001</v>
      </c>
      <c r="R48" s="18">
        <v>8.9587499999999997E-4</v>
      </c>
      <c r="S48" s="18">
        <v>0.25084500000000004</v>
      </c>
      <c r="T48" s="18">
        <v>1.0750500000000001</v>
      </c>
      <c r="U48" s="18">
        <v>0.53752500000000003</v>
      </c>
      <c r="V48" s="18">
        <v>6.8803200000000002</v>
      </c>
      <c r="W48" s="18">
        <v>6.4503000000000004</v>
      </c>
      <c r="X48" s="18">
        <v>4.3002000000000002</v>
      </c>
      <c r="Y48" s="18">
        <v>0.19112000000000001</v>
      </c>
      <c r="Z48" s="18">
        <v>0.84809500000000004</v>
      </c>
      <c r="AA48" s="18">
        <v>1.2422800000000001</v>
      </c>
      <c r="AB48" s="18">
        <v>2.2098249999999999</v>
      </c>
      <c r="AC48" s="18">
        <v>0.68086500000000005</v>
      </c>
      <c r="AD48" s="18">
        <v>3.5835000000000004</v>
      </c>
    </row>
    <row r="49" spans="2:30" x14ac:dyDescent="0.25">
      <c r="B49" t="s">
        <v>770</v>
      </c>
      <c r="C49" t="s">
        <v>570</v>
      </c>
      <c r="D49">
        <v>1.3</v>
      </c>
      <c r="E49" s="35">
        <v>0.90996299999999997</v>
      </c>
      <c r="F49" s="35">
        <v>40.840000000000003</v>
      </c>
      <c r="G49" s="36">
        <v>1.8581E-2</v>
      </c>
      <c r="H49" s="18">
        <v>48.311754000000001</v>
      </c>
      <c r="I49" s="16" t="s">
        <v>768</v>
      </c>
      <c r="J49" s="16"/>
      <c r="K49" s="16" t="s">
        <v>101</v>
      </c>
      <c r="L49" s="37"/>
      <c r="M49" s="37"/>
      <c r="N49" s="37"/>
      <c r="O49" s="37"/>
      <c r="P49" s="37"/>
      <c r="Q49" s="18">
        <v>0.20439099999999999</v>
      </c>
      <c r="R49" s="18">
        <v>1.393575E-3</v>
      </c>
      <c r="S49" s="18">
        <v>0.39020100000000002</v>
      </c>
      <c r="T49" s="18">
        <v>1.6722900000000001</v>
      </c>
      <c r="U49" s="18">
        <v>0.83614500000000003</v>
      </c>
      <c r="V49" s="18">
        <v>10.702656000000001</v>
      </c>
      <c r="W49" s="18">
        <v>10.03374</v>
      </c>
      <c r="X49" s="18">
        <v>6.6891600000000002</v>
      </c>
      <c r="Y49" s="18">
        <v>0.297296</v>
      </c>
      <c r="Z49" s="18">
        <v>1.319251</v>
      </c>
      <c r="AA49" s="18">
        <v>1.9324240000000001</v>
      </c>
      <c r="AB49" s="18">
        <v>3.4374850000000001</v>
      </c>
      <c r="AC49" s="18">
        <v>1.0591170000000001</v>
      </c>
      <c r="AD49" s="18">
        <v>5.5743</v>
      </c>
    </row>
    <row r="50" spans="2:30" x14ac:dyDescent="0.25">
      <c r="B50" t="s">
        <v>770</v>
      </c>
      <c r="C50" t="s">
        <v>570</v>
      </c>
      <c r="D50">
        <v>1.3</v>
      </c>
      <c r="E50" s="35">
        <v>1.1507529999999999</v>
      </c>
      <c r="F50" s="35">
        <v>40.840000000000003</v>
      </c>
      <c r="G50" s="36">
        <v>2.3498000000000002E-2</v>
      </c>
      <c r="H50" s="18">
        <v>61.095787999999999</v>
      </c>
      <c r="I50" s="16" t="s">
        <v>768</v>
      </c>
      <c r="J50" s="16"/>
      <c r="K50" s="16" t="s">
        <v>101</v>
      </c>
      <c r="L50" s="37"/>
      <c r="M50" s="37"/>
      <c r="N50" s="37"/>
      <c r="O50" s="37"/>
      <c r="P50" s="37"/>
      <c r="Q50" s="18">
        <v>0.25847800000000004</v>
      </c>
      <c r="R50" s="18">
        <v>1.76235E-3</v>
      </c>
      <c r="S50" s="18">
        <v>0.49345800000000001</v>
      </c>
      <c r="T50" s="18">
        <v>2.1148199999999999</v>
      </c>
      <c r="U50" s="18">
        <v>1.05741</v>
      </c>
      <c r="V50" s="18">
        <v>13.534848</v>
      </c>
      <c r="W50" s="18">
        <v>12.688920000000001</v>
      </c>
      <c r="X50" s="18">
        <v>8.4592799999999997</v>
      </c>
      <c r="Y50" s="18">
        <v>0.37596800000000002</v>
      </c>
      <c r="Z50" s="18">
        <v>1.668358</v>
      </c>
      <c r="AA50" s="18">
        <v>2.4437920000000002</v>
      </c>
      <c r="AB50" s="18">
        <v>4.3471299999999999</v>
      </c>
      <c r="AC50" s="18">
        <v>1.3393860000000002</v>
      </c>
      <c r="AD50" s="18">
        <v>7.0494000000000003</v>
      </c>
    </row>
    <row r="51" spans="2:30" x14ac:dyDescent="0.25">
      <c r="B51" t="s">
        <v>770</v>
      </c>
      <c r="C51" t="s">
        <v>570</v>
      </c>
      <c r="D51">
        <v>1.3</v>
      </c>
      <c r="E51" s="35">
        <v>0.90996299999999997</v>
      </c>
      <c r="F51" s="35">
        <v>40.840000000000003</v>
      </c>
      <c r="G51" s="36">
        <v>1.8581E-2</v>
      </c>
      <c r="H51" s="18">
        <v>48.311754000000001</v>
      </c>
      <c r="I51" s="16" t="s">
        <v>768</v>
      </c>
      <c r="J51" s="16"/>
      <c r="K51" s="16" t="s">
        <v>101</v>
      </c>
      <c r="L51" s="37"/>
      <c r="M51" s="37"/>
      <c r="N51" s="37"/>
      <c r="O51" s="37"/>
      <c r="P51" s="37"/>
      <c r="Q51" s="18">
        <v>0.20439099999999999</v>
      </c>
      <c r="R51" s="18">
        <v>1.393575E-3</v>
      </c>
      <c r="S51" s="18">
        <v>0.39020100000000002</v>
      </c>
      <c r="T51" s="18">
        <v>1.6722900000000001</v>
      </c>
      <c r="U51" s="18">
        <v>0.83614500000000003</v>
      </c>
      <c r="V51" s="18">
        <v>10.702656000000001</v>
      </c>
      <c r="W51" s="18">
        <v>10.03374</v>
      </c>
      <c r="X51" s="18">
        <v>6.6891600000000002</v>
      </c>
      <c r="Y51" s="18">
        <v>0.297296</v>
      </c>
      <c r="Z51" s="18">
        <v>1.319251</v>
      </c>
      <c r="AA51" s="18">
        <v>1.9324240000000001</v>
      </c>
      <c r="AB51" s="18">
        <v>3.4374850000000001</v>
      </c>
      <c r="AC51" s="18">
        <v>1.0591170000000001</v>
      </c>
      <c r="AD51" s="18">
        <v>5.5743</v>
      </c>
    </row>
    <row r="52" spans="2:30" x14ac:dyDescent="0.25">
      <c r="B52" t="s">
        <v>770</v>
      </c>
      <c r="C52" t="s">
        <v>570</v>
      </c>
      <c r="D52">
        <v>1.3</v>
      </c>
      <c r="E52" s="35">
        <v>0.58497600000000005</v>
      </c>
      <c r="F52" s="35">
        <v>40.840000000000003</v>
      </c>
      <c r="G52" s="36">
        <v>1.1945000000000001E-2</v>
      </c>
      <c r="H52" s="18">
        <v>31.057556000000002</v>
      </c>
      <c r="I52" s="16" t="s">
        <v>768</v>
      </c>
      <c r="J52" s="16"/>
      <c r="K52" s="16" t="s">
        <v>101</v>
      </c>
      <c r="L52" s="37"/>
      <c r="M52" s="37"/>
      <c r="N52" s="37"/>
      <c r="O52" s="37"/>
      <c r="P52" s="37"/>
      <c r="Q52" s="18">
        <v>0.13139500000000001</v>
      </c>
      <c r="R52" s="18">
        <v>8.9587499999999997E-4</v>
      </c>
      <c r="S52" s="18">
        <v>0.25084500000000004</v>
      </c>
      <c r="T52" s="18">
        <v>1.0750500000000001</v>
      </c>
      <c r="U52" s="18">
        <v>0.53752500000000003</v>
      </c>
      <c r="V52" s="18">
        <v>6.8803200000000002</v>
      </c>
      <c r="W52" s="18">
        <v>6.4503000000000004</v>
      </c>
      <c r="X52" s="18">
        <v>4.3002000000000002</v>
      </c>
      <c r="Y52" s="18">
        <v>0.19112000000000001</v>
      </c>
      <c r="Z52" s="18">
        <v>0.84809500000000004</v>
      </c>
      <c r="AA52" s="18">
        <v>1.2422800000000001</v>
      </c>
      <c r="AB52" s="18">
        <v>2.2098249999999999</v>
      </c>
      <c r="AC52" s="18">
        <v>0.68086500000000005</v>
      </c>
      <c r="AD52" s="18">
        <v>3.5835000000000004</v>
      </c>
    </row>
    <row r="53" spans="2:30" x14ac:dyDescent="0.25">
      <c r="B53" t="s">
        <v>770</v>
      </c>
      <c r="C53" t="s">
        <v>570</v>
      </c>
      <c r="D53">
        <v>1.3</v>
      </c>
      <c r="E53" s="35">
        <v>0.89106399999999997</v>
      </c>
      <c r="F53" s="35">
        <v>40.840000000000003</v>
      </c>
      <c r="G53" s="36">
        <v>1.8196E-2</v>
      </c>
      <c r="H53" s="18">
        <v>47.308356000000003</v>
      </c>
      <c r="I53" s="16" t="s">
        <v>768</v>
      </c>
      <c r="J53" s="16"/>
      <c r="K53" s="16" t="s">
        <v>101</v>
      </c>
      <c r="L53" s="37"/>
      <c r="M53" s="37"/>
      <c r="N53" s="37"/>
      <c r="O53" s="37"/>
      <c r="P53" s="37"/>
      <c r="Q53" s="18">
        <v>0.200156</v>
      </c>
      <c r="R53" s="18">
        <v>1.3646999999999999E-3</v>
      </c>
      <c r="S53" s="18">
        <v>0.38211600000000001</v>
      </c>
      <c r="T53" s="18">
        <v>1.63764</v>
      </c>
      <c r="U53" s="18">
        <v>0.81881999999999999</v>
      </c>
      <c r="V53" s="18">
        <v>10.480896</v>
      </c>
      <c r="W53" s="18">
        <v>9.8258399999999995</v>
      </c>
      <c r="X53" s="18">
        <v>6.5505599999999999</v>
      </c>
      <c r="Y53" s="18">
        <v>0.29113600000000001</v>
      </c>
      <c r="Z53" s="18">
        <v>1.2919160000000001</v>
      </c>
      <c r="AA53" s="18">
        <v>1.8923840000000001</v>
      </c>
      <c r="AB53" s="18">
        <v>3.36626</v>
      </c>
      <c r="AC53" s="18">
        <v>1.037172</v>
      </c>
      <c r="AD53" s="18">
        <v>5.4588000000000001</v>
      </c>
    </row>
    <row r="54" spans="2:30" x14ac:dyDescent="0.25">
      <c r="B54" t="s">
        <v>770</v>
      </c>
      <c r="C54" t="s">
        <v>570</v>
      </c>
      <c r="D54">
        <v>1.3</v>
      </c>
      <c r="E54" s="35">
        <v>1.455722</v>
      </c>
      <c r="F54" s="35">
        <v>40.840000000000003</v>
      </c>
      <c r="G54" s="36">
        <v>2.9725999999999999E-2</v>
      </c>
      <c r="H54" s="18">
        <v>77.287193000000002</v>
      </c>
      <c r="I54" s="16" t="s">
        <v>768</v>
      </c>
      <c r="J54" s="16"/>
      <c r="K54" s="16" t="s">
        <v>101</v>
      </c>
      <c r="L54" s="37"/>
      <c r="M54" s="37"/>
      <c r="N54" s="37"/>
      <c r="O54" s="37"/>
      <c r="P54" s="37"/>
      <c r="Q54" s="18">
        <v>0.326986</v>
      </c>
      <c r="R54" s="18">
        <v>2.22945E-3</v>
      </c>
      <c r="S54" s="18">
        <v>0.62424599999999997</v>
      </c>
      <c r="T54" s="18">
        <v>2.6753399999999998</v>
      </c>
      <c r="U54" s="18">
        <v>1.3376699999999999</v>
      </c>
      <c r="V54" s="18">
        <v>17.122176</v>
      </c>
      <c r="W54" s="18">
        <v>16.052039999999998</v>
      </c>
      <c r="X54" s="18">
        <v>10.701359999999999</v>
      </c>
      <c r="Y54" s="18">
        <v>0.47561599999999998</v>
      </c>
      <c r="Z54" s="18">
        <v>2.1105459999999998</v>
      </c>
      <c r="AA54" s="18">
        <v>3.091504</v>
      </c>
      <c r="AB54" s="18">
        <v>5.4993099999999995</v>
      </c>
      <c r="AC54" s="18">
        <v>1.6943819999999998</v>
      </c>
      <c r="AD54" s="18">
        <v>8.9177999999999997</v>
      </c>
    </row>
    <row r="55" spans="2:30" x14ac:dyDescent="0.25">
      <c r="B55" t="s">
        <v>770</v>
      </c>
      <c r="C55" t="s">
        <v>570</v>
      </c>
      <c r="D55">
        <v>1.3</v>
      </c>
      <c r="E55" s="35">
        <v>0.86663100000000004</v>
      </c>
      <c r="F55" s="35">
        <v>40.840000000000003</v>
      </c>
      <c r="G55" s="36">
        <v>1.7697000000000001E-2</v>
      </c>
      <c r="H55" s="18">
        <v>46.011194000000003</v>
      </c>
      <c r="I55" s="16" t="s">
        <v>768</v>
      </c>
      <c r="J55" s="16"/>
      <c r="K55" s="16" t="s">
        <v>101</v>
      </c>
      <c r="L55" s="37"/>
      <c r="M55" s="37"/>
      <c r="N55" s="37"/>
      <c r="O55" s="37"/>
      <c r="P55" s="37"/>
      <c r="Q55" s="18">
        <v>0.19466700000000001</v>
      </c>
      <c r="R55" s="18">
        <v>1.3272749999999999E-3</v>
      </c>
      <c r="S55" s="18">
        <v>0.371637</v>
      </c>
      <c r="T55" s="18">
        <v>1.59273</v>
      </c>
      <c r="U55" s="18">
        <v>0.79636499999999999</v>
      </c>
      <c r="V55" s="18">
        <v>10.193472</v>
      </c>
      <c r="W55" s="18">
        <v>9.5563800000000008</v>
      </c>
      <c r="X55" s="18">
        <v>6.3709199999999999</v>
      </c>
      <c r="Y55" s="18">
        <v>0.28315200000000001</v>
      </c>
      <c r="Z55" s="18">
        <v>1.2564870000000001</v>
      </c>
      <c r="AA55" s="18">
        <v>1.8404880000000001</v>
      </c>
      <c r="AB55" s="18">
        <v>3.2739450000000003</v>
      </c>
      <c r="AC55" s="18">
        <v>1.008729</v>
      </c>
      <c r="AD55" s="18">
        <v>5.3090999999999999</v>
      </c>
    </row>
    <row r="56" spans="2:30" x14ac:dyDescent="0.25">
      <c r="B56" t="s">
        <v>770</v>
      </c>
      <c r="C56" t="s">
        <v>570</v>
      </c>
      <c r="D56">
        <v>1.3</v>
      </c>
      <c r="E56" s="35">
        <v>5.9220069999999998</v>
      </c>
      <c r="F56" s="35">
        <v>40.840000000000003</v>
      </c>
      <c r="G56" s="36">
        <v>0.12092700000000001</v>
      </c>
      <c r="H56" s="18">
        <v>314.41119300000003</v>
      </c>
      <c r="I56" s="16" t="s">
        <v>768</v>
      </c>
      <c r="J56" s="16"/>
      <c r="K56" s="16" t="s">
        <v>101</v>
      </c>
      <c r="L56" s="37"/>
      <c r="M56" s="37"/>
      <c r="N56" s="37"/>
      <c r="O56" s="37"/>
      <c r="P56" s="37"/>
      <c r="Q56" s="18">
        <v>1.3301970000000001</v>
      </c>
      <c r="R56" s="18">
        <v>9.0695250000000002E-3</v>
      </c>
      <c r="S56" s="18">
        <v>2.5394670000000001</v>
      </c>
      <c r="T56" s="18">
        <v>10.883430000000001</v>
      </c>
      <c r="U56" s="18">
        <v>5.4417150000000003</v>
      </c>
      <c r="V56" s="18">
        <v>69.653952000000004</v>
      </c>
      <c r="W56" s="18">
        <v>65.300579999999997</v>
      </c>
      <c r="X56" s="18">
        <v>43.533720000000002</v>
      </c>
      <c r="Y56" s="18">
        <v>1.9348320000000001</v>
      </c>
      <c r="Z56" s="18">
        <v>8.5858170000000005</v>
      </c>
      <c r="AA56" s="18">
        <v>12.576408000000001</v>
      </c>
      <c r="AB56" s="18">
        <v>22.371495000000003</v>
      </c>
      <c r="AC56" s="18">
        <v>6.8928390000000004</v>
      </c>
      <c r="AD56" s="18">
        <v>36.278100000000002</v>
      </c>
    </row>
    <row r="57" spans="2:30" x14ac:dyDescent="0.25">
      <c r="B57" t="s">
        <v>770</v>
      </c>
      <c r="C57" t="s">
        <v>570</v>
      </c>
      <c r="D57">
        <v>1.3</v>
      </c>
      <c r="E57" s="35">
        <v>0.43333300000000002</v>
      </c>
      <c r="F57" s="35">
        <v>40.840000000000003</v>
      </c>
      <c r="G57" s="36">
        <v>8.8489999999999992E-3</v>
      </c>
      <c r="H57" s="18">
        <v>23.006533000000001</v>
      </c>
      <c r="I57" s="16" t="s">
        <v>768</v>
      </c>
      <c r="J57" s="16"/>
      <c r="K57" s="16" t="s">
        <v>101</v>
      </c>
      <c r="L57" s="37"/>
      <c r="M57" s="37"/>
      <c r="N57" s="37"/>
      <c r="O57" s="37"/>
      <c r="P57" s="37"/>
      <c r="Q57" s="18">
        <v>9.7338999999999995E-2</v>
      </c>
      <c r="R57" s="18">
        <v>6.6367499999999996E-4</v>
      </c>
      <c r="S57" s="18">
        <v>0.18582899999999999</v>
      </c>
      <c r="T57" s="18">
        <v>0.79640999999999995</v>
      </c>
      <c r="U57" s="18">
        <v>0.39820499999999998</v>
      </c>
      <c r="V57" s="18">
        <v>5.0970239999999993</v>
      </c>
      <c r="W57" s="18">
        <v>4.7784599999999999</v>
      </c>
      <c r="X57" s="18">
        <v>3.1856399999999998</v>
      </c>
      <c r="Y57" s="18">
        <v>0.14158399999999999</v>
      </c>
      <c r="Z57" s="18">
        <v>0.62827899999999992</v>
      </c>
      <c r="AA57" s="18">
        <v>0.92029599999999989</v>
      </c>
      <c r="AB57" s="18">
        <v>1.6370649999999998</v>
      </c>
      <c r="AC57" s="18">
        <v>0.50439299999999998</v>
      </c>
      <c r="AD57" s="18">
        <v>2.6546999999999996</v>
      </c>
    </row>
    <row r="58" spans="2:30" x14ac:dyDescent="0.25">
      <c r="B58" t="s">
        <v>770</v>
      </c>
      <c r="C58" t="s">
        <v>570</v>
      </c>
      <c r="D58">
        <v>1.3</v>
      </c>
      <c r="E58" s="35">
        <v>4.7976859999999997</v>
      </c>
      <c r="F58" s="35">
        <v>40.840000000000003</v>
      </c>
      <c r="G58" s="36">
        <v>9.7969000000000001E-2</v>
      </c>
      <c r="H58" s="18">
        <v>254.71876700000001</v>
      </c>
      <c r="I58" s="16" t="s">
        <v>768</v>
      </c>
      <c r="J58" s="16"/>
      <c r="K58" s="16" t="s">
        <v>101</v>
      </c>
      <c r="L58" s="37"/>
      <c r="M58" s="37"/>
      <c r="N58" s="37"/>
      <c r="O58" s="37"/>
      <c r="P58" s="37"/>
      <c r="Q58" s="18">
        <v>1.0776589999999999</v>
      </c>
      <c r="R58" s="18">
        <v>7.3476749999999997E-3</v>
      </c>
      <c r="S58" s="18">
        <v>2.0573489999999999</v>
      </c>
      <c r="T58" s="18">
        <v>8.8172099999999993</v>
      </c>
      <c r="U58" s="18">
        <v>4.4086049999999997</v>
      </c>
      <c r="V58" s="18">
        <v>56.430143999999999</v>
      </c>
      <c r="W58" s="18">
        <v>52.903260000000003</v>
      </c>
      <c r="X58" s="18">
        <v>35.268839999999997</v>
      </c>
      <c r="Y58" s="18">
        <v>1.567504</v>
      </c>
      <c r="Z58" s="18">
        <v>6.9557989999999998</v>
      </c>
      <c r="AA58" s="18">
        <v>10.188776000000001</v>
      </c>
      <c r="AB58" s="18">
        <v>18.124265000000001</v>
      </c>
      <c r="AC58" s="18">
        <v>5.5842330000000002</v>
      </c>
      <c r="AD58" s="18">
        <v>29.390699999999999</v>
      </c>
    </row>
    <row r="59" spans="2:30" x14ac:dyDescent="0.25">
      <c r="B59" t="s">
        <v>770</v>
      </c>
      <c r="C59" t="s">
        <v>570</v>
      </c>
      <c r="D59">
        <v>1.3</v>
      </c>
      <c r="E59" s="35">
        <v>5.9189870000000004</v>
      </c>
      <c r="F59" s="35">
        <v>40.840000000000003</v>
      </c>
      <c r="G59" s="36">
        <v>0.120866</v>
      </c>
      <c r="H59" s="18">
        <v>314.25084900000002</v>
      </c>
      <c r="I59" s="16" t="s">
        <v>768</v>
      </c>
      <c r="J59" s="16"/>
      <c r="K59" s="16" t="s">
        <v>101</v>
      </c>
      <c r="L59" s="37"/>
      <c r="M59" s="37"/>
      <c r="N59" s="37"/>
      <c r="O59" s="37"/>
      <c r="P59" s="37"/>
      <c r="Q59" s="18">
        <v>1.329526</v>
      </c>
      <c r="R59" s="18">
        <v>9.0649500000000004E-3</v>
      </c>
      <c r="S59" s="18">
        <v>2.5381860000000001</v>
      </c>
      <c r="T59" s="18">
        <v>10.877940000000001</v>
      </c>
      <c r="U59" s="18">
        <v>5.4389700000000003</v>
      </c>
      <c r="V59" s="18">
        <v>69.618815999999995</v>
      </c>
      <c r="W59" s="18">
        <v>65.26764</v>
      </c>
      <c r="X59" s="18">
        <v>43.511760000000002</v>
      </c>
      <c r="Y59" s="18">
        <v>1.933856</v>
      </c>
      <c r="Z59" s="18">
        <v>8.5814859999999999</v>
      </c>
      <c r="AA59" s="18">
        <v>12.570064</v>
      </c>
      <c r="AB59" s="18">
        <v>22.360209999999999</v>
      </c>
      <c r="AC59" s="18">
        <v>6.8893620000000002</v>
      </c>
      <c r="AD59" s="18">
        <v>36.259799999999998</v>
      </c>
    </row>
    <row r="60" spans="2:30" x14ac:dyDescent="0.25">
      <c r="B60" t="s">
        <v>770</v>
      </c>
      <c r="C60" t="s">
        <v>570</v>
      </c>
      <c r="D60">
        <v>1.3</v>
      </c>
      <c r="E60" s="35">
        <v>4.7947040000000003</v>
      </c>
      <c r="F60" s="35">
        <v>40.840000000000003</v>
      </c>
      <c r="G60" s="36">
        <v>9.7907999999999995E-2</v>
      </c>
      <c r="H60" s="18">
        <v>254.56043600000001</v>
      </c>
      <c r="I60" s="16" t="s">
        <v>768</v>
      </c>
      <c r="J60" s="16"/>
      <c r="K60" s="16" t="s">
        <v>101</v>
      </c>
      <c r="L60" s="37"/>
      <c r="M60" s="37"/>
      <c r="N60" s="37"/>
      <c r="O60" s="37"/>
      <c r="P60" s="37"/>
      <c r="Q60" s="18">
        <v>1.0769880000000001</v>
      </c>
      <c r="R60" s="18">
        <v>7.3430999999999991E-3</v>
      </c>
      <c r="S60" s="18">
        <v>2.0560679999999998</v>
      </c>
      <c r="T60" s="18">
        <v>8.8117199999999993</v>
      </c>
      <c r="U60" s="18">
        <v>4.4058599999999997</v>
      </c>
      <c r="V60" s="18">
        <v>56.395007999999997</v>
      </c>
      <c r="W60" s="18">
        <v>52.87032</v>
      </c>
      <c r="X60" s="18">
        <v>35.246879999999997</v>
      </c>
      <c r="Y60" s="18">
        <v>1.5665279999999999</v>
      </c>
      <c r="Z60" s="18">
        <v>6.9514679999999993</v>
      </c>
      <c r="AA60" s="18">
        <v>10.182431999999999</v>
      </c>
      <c r="AB60" s="18">
        <v>18.11298</v>
      </c>
      <c r="AC60" s="18">
        <v>5.580756</v>
      </c>
      <c r="AD60" s="18">
        <v>29.372399999999999</v>
      </c>
    </row>
    <row r="61" spans="2:30" x14ac:dyDescent="0.25">
      <c r="B61" t="s">
        <v>770</v>
      </c>
      <c r="C61" t="s">
        <v>570</v>
      </c>
      <c r="D61">
        <v>1.3</v>
      </c>
      <c r="E61" s="35">
        <v>2.1943549999999998</v>
      </c>
      <c r="F61" s="35">
        <v>40.840000000000003</v>
      </c>
      <c r="G61" s="36">
        <v>4.4809000000000002E-2</v>
      </c>
      <c r="H61" s="18">
        <v>116.50270399999999</v>
      </c>
      <c r="I61" s="16" t="s">
        <v>768</v>
      </c>
      <c r="J61" s="16"/>
      <c r="K61" s="16" t="s">
        <v>101</v>
      </c>
      <c r="L61" s="37"/>
      <c r="M61" s="37"/>
      <c r="N61" s="37"/>
      <c r="O61" s="37"/>
      <c r="P61" s="37"/>
      <c r="Q61" s="18">
        <v>0.49289900000000003</v>
      </c>
      <c r="R61" s="18">
        <v>3.360675E-3</v>
      </c>
      <c r="S61" s="18">
        <v>0.94098900000000008</v>
      </c>
      <c r="T61" s="18">
        <v>4.0328100000000004</v>
      </c>
      <c r="U61" s="18">
        <v>2.0164050000000002</v>
      </c>
      <c r="V61" s="18">
        <v>25.809984</v>
      </c>
      <c r="W61" s="18">
        <v>24.196860000000001</v>
      </c>
      <c r="X61" s="18">
        <v>16.131240000000002</v>
      </c>
      <c r="Y61" s="18">
        <v>0.71694400000000003</v>
      </c>
      <c r="Z61" s="18">
        <v>3.1814390000000001</v>
      </c>
      <c r="AA61" s="18">
        <v>4.6601360000000005</v>
      </c>
      <c r="AB61" s="18">
        <v>8.2896650000000012</v>
      </c>
      <c r="AC61" s="18">
        <v>2.5541130000000001</v>
      </c>
      <c r="AD61" s="18">
        <v>13.4427</v>
      </c>
    </row>
    <row r="62" spans="2:30" x14ac:dyDescent="0.25">
      <c r="B62" t="s">
        <v>770</v>
      </c>
      <c r="C62" t="s">
        <v>570</v>
      </c>
      <c r="D62">
        <v>1.3</v>
      </c>
      <c r="E62" s="35">
        <v>0.76663499999999996</v>
      </c>
      <c r="F62" s="35">
        <v>40.840000000000003</v>
      </c>
      <c r="G62" s="36">
        <v>1.5654999999999999E-2</v>
      </c>
      <c r="H62" s="18">
        <v>40.702210000000001</v>
      </c>
      <c r="I62" s="16" t="s">
        <v>768</v>
      </c>
      <c r="J62" s="16"/>
      <c r="K62" s="16" t="s">
        <v>101</v>
      </c>
      <c r="L62" s="37"/>
      <c r="M62" s="37"/>
      <c r="N62" s="37"/>
      <c r="O62" s="37"/>
      <c r="P62" s="37"/>
      <c r="Q62" s="18">
        <v>0.172205</v>
      </c>
      <c r="R62" s="18">
        <v>1.1741249999999998E-3</v>
      </c>
      <c r="S62" s="18">
        <v>0.32875499999999996</v>
      </c>
      <c r="T62" s="18">
        <v>1.4089499999999999</v>
      </c>
      <c r="U62" s="18">
        <v>0.70447499999999996</v>
      </c>
      <c r="V62" s="18">
        <v>9.0172799999999995</v>
      </c>
      <c r="W62" s="18">
        <v>8.4536999999999995</v>
      </c>
      <c r="X62" s="18">
        <v>5.6357999999999997</v>
      </c>
      <c r="Y62" s="18">
        <v>0.25047999999999998</v>
      </c>
      <c r="Z62" s="18">
        <v>1.111505</v>
      </c>
      <c r="AA62" s="18">
        <v>1.6281199999999998</v>
      </c>
      <c r="AB62" s="18">
        <v>2.8961749999999999</v>
      </c>
      <c r="AC62" s="18">
        <v>0.89233499999999988</v>
      </c>
      <c r="AD62" s="18">
        <v>4.6964999999999995</v>
      </c>
    </row>
    <row r="63" spans="2:30" x14ac:dyDescent="0.25">
      <c r="B63" t="s">
        <v>770</v>
      </c>
      <c r="C63" t="s">
        <v>570</v>
      </c>
      <c r="D63">
        <v>1.3</v>
      </c>
      <c r="E63" s="35">
        <v>1.1747860000000001</v>
      </c>
      <c r="F63" s="35">
        <v>40.840000000000003</v>
      </c>
      <c r="G63" s="36">
        <v>2.3989E-2</v>
      </c>
      <c r="H63" s="18">
        <v>62.371713</v>
      </c>
      <c r="I63" s="16" t="s">
        <v>768</v>
      </c>
      <c r="J63" s="16"/>
      <c r="K63" s="16" t="s">
        <v>101</v>
      </c>
      <c r="L63" s="37"/>
      <c r="M63" s="37"/>
      <c r="N63" s="37"/>
      <c r="O63" s="37"/>
      <c r="P63" s="37"/>
      <c r="Q63" s="18">
        <v>0.26387899999999997</v>
      </c>
      <c r="R63" s="18">
        <v>1.7991749999999999E-3</v>
      </c>
      <c r="S63" s="18">
        <v>0.50376900000000002</v>
      </c>
      <c r="T63" s="18">
        <v>2.1590099999999999</v>
      </c>
      <c r="U63" s="18">
        <v>1.0795049999999999</v>
      </c>
      <c r="V63" s="18">
        <v>13.817664000000001</v>
      </c>
      <c r="W63" s="18">
        <v>12.95406</v>
      </c>
      <c r="X63" s="18">
        <v>8.6360399999999995</v>
      </c>
      <c r="Y63" s="18">
        <v>0.383824</v>
      </c>
      <c r="Z63" s="18">
        <v>1.703219</v>
      </c>
      <c r="AA63" s="18">
        <v>2.494856</v>
      </c>
      <c r="AB63" s="18">
        <v>4.4379650000000002</v>
      </c>
      <c r="AC63" s="18">
        <v>1.3673729999999999</v>
      </c>
      <c r="AD63" s="18">
        <v>7.1966999999999999</v>
      </c>
    </row>
    <row r="64" spans="2:30" x14ac:dyDescent="0.25">
      <c r="B64" t="s">
        <v>770</v>
      </c>
      <c r="C64" t="s">
        <v>570</v>
      </c>
      <c r="D64">
        <v>1.3</v>
      </c>
      <c r="E64" s="35">
        <v>0.686083</v>
      </c>
      <c r="F64" s="35">
        <v>40.840000000000003</v>
      </c>
      <c r="G64" s="36">
        <v>1.401E-2</v>
      </c>
      <c r="H64" s="18">
        <v>36.425528999999997</v>
      </c>
      <c r="I64" s="16" t="s">
        <v>768</v>
      </c>
      <c r="J64" s="16"/>
      <c r="K64" s="16" t="s">
        <v>101</v>
      </c>
      <c r="L64" s="37"/>
      <c r="M64" s="37"/>
      <c r="N64" s="37"/>
      <c r="O64" s="37"/>
      <c r="P64" s="37"/>
      <c r="Q64" s="18">
        <v>0.15411</v>
      </c>
      <c r="R64" s="18">
        <v>1.05075E-3</v>
      </c>
      <c r="S64" s="18">
        <v>0.29420999999999997</v>
      </c>
      <c r="T64" s="18">
        <v>1.2608999999999999</v>
      </c>
      <c r="U64" s="18">
        <v>0.63044999999999995</v>
      </c>
      <c r="V64" s="18">
        <v>8.0697600000000005</v>
      </c>
      <c r="W64" s="18">
        <v>7.5654000000000003</v>
      </c>
      <c r="X64" s="18">
        <v>5.0435999999999996</v>
      </c>
      <c r="Y64" s="18">
        <v>0.22416</v>
      </c>
      <c r="Z64" s="18">
        <v>0.99470999999999998</v>
      </c>
      <c r="AA64" s="18">
        <v>1.4570399999999999</v>
      </c>
      <c r="AB64" s="18">
        <v>2.59185</v>
      </c>
      <c r="AC64" s="18">
        <v>0.79857</v>
      </c>
      <c r="AD64" s="18">
        <v>4.2030000000000003</v>
      </c>
    </row>
    <row r="65" spans="2:30" x14ac:dyDescent="0.25">
      <c r="B65" t="s">
        <v>770</v>
      </c>
      <c r="C65" t="s">
        <v>570</v>
      </c>
      <c r="D65">
        <v>1.3</v>
      </c>
      <c r="E65" s="35">
        <v>0.686083</v>
      </c>
      <c r="F65" s="35">
        <v>40.840000000000003</v>
      </c>
      <c r="G65" s="36">
        <v>1.401E-2</v>
      </c>
      <c r="H65" s="18">
        <v>36.425528999999997</v>
      </c>
      <c r="I65" s="16" t="s">
        <v>768</v>
      </c>
      <c r="J65" s="16"/>
      <c r="K65" s="16" t="s">
        <v>101</v>
      </c>
      <c r="L65" s="37"/>
      <c r="M65" s="37"/>
      <c r="N65" s="37"/>
      <c r="O65" s="37"/>
      <c r="P65" s="37"/>
      <c r="Q65" s="18">
        <v>0.15411</v>
      </c>
      <c r="R65" s="18">
        <v>1.05075E-3</v>
      </c>
      <c r="S65" s="18">
        <v>0.29420999999999997</v>
      </c>
      <c r="T65" s="18">
        <v>1.2608999999999999</v>
      </c>
      <c r="U65" s="18">
        <v>0.63044999999999995</v>
      </c>
      <c r="V65" s="18">
        <v>8.0697600000000005</v>
      </c>
      <c r="W65" s="18">
        <v>7.5654000000000003</v>
      </c>
      <c r="X65" s="18">
        <v>5.0435999999999996</v>
      </c>
      <c r="Y65" s="18">
        <v>0.22416</v>
      </c>
      <c r="Z65" s="18">
        <v>0.99470999999999998</v>
      </c>
      <c r="AA65" s="18">
        <v>1.4570399999999999</v>
      </c>
      <c r="AB65" s="18">
        <v>2.59185</v>
      </c>
      <c r="AC65" s="18">
        <v>0.79857</v>
      </c>
      <c r="AD65" s="18">
        <v>4.2030000000000003</v>
      </c>
    </row>
    <row r="66" spans="2:30" x14ac:dyDescent="0.25">
      <c r="B66" t="s">
        <v>770</v>
      </c>
      <c r="C66" t="s">
        <v>570</v>
      </c>
      <c r="D66">
        <v>1.3</v>
      </c>
      <c r="E66" s="35">
        <v>0.686083</v>
      </c>
      <c r="F66" s="35">
        <v>40.840000000000003</v>
      </c>
      <c r="G66" s="36">
        <v>1.401E-2</v>
      </c>
      <c r="H66" s="18">
        <v>36.425528999999997</v>
      </c>
      <c r="I66" s="16" t="s">
        <v>768</v>
      </c>
      <c r="J66" s="16"/>
      <c r="K66" s="16" t="s">
        <v>101</v>
      </c>
      <c r="L66" s="37"/>
      <c r="M66" s="37"/>
      <c r="N66" s="37"/>
      <c r="O66" s="37"/>
      <c r="P66" s="37"/>
      <c r="Q66" s="18">
        <v>0.15411</v>
      </c>
      <c r="R66" s="18">
        <v>1.05075E-3</v>
      </c>
      <c r="S66" s="18">
        <v>0.29420999999999997</v>
      </c>
      <c r="T66" s="18">
        <v>1.2608999999999999</v>
      </c>
      <c r="U66" s="18">
        <v>0.63044999999999995</v>
      </c>
      <c r="V66" s="18">
        <v>8.0697600000000005</v>
      </c>
      <c r="W66" s="18">
        <v>7.5654000000000003</v>
      </c>
      <c r="X66" s="18">
        <v>5.0435999999999996</v>
      </c>
      <c r="Y66" s="18">
        <v>0.22416</v>
      </c>
      <c r="Z66" s="18">
        <v>0.99470999999999998</v>
      </c>
      <c r="AA66" s="18">
        <v>1.4570399999999999</v>
      </c>
      <c r="AB66" s="18">
        <v>2.59185</v>
      </c>
      <c r="AC66" s="18">
        <v>0.79857</v>
      </c>
      <c r="AD66" s="18">
        <v>4.2030000000000003</v>
      </c>
    </row>
    <row r="67" spans="2:30" x14ac:dyDescent="0.25">
      <c r="B67" t="s">
        <v>770</v>
      </c>
      <c r="C67" t="s">
        <v>570</v>
      </c>
      <c r="D67">
        <v>1.3</v>
      </c>
      <c r="E67" s="35">
        <v>0.686083</v>
      </c>
      <c r="F67" s="35">
        <v>40.840000000000003</v>
      </c>
      <c r="G67" s="36">
        <v>1.401E-2</v>
      </c>
      <c r="H67" s="18">
        <v>36.425528999999997</v>
      </c>
      <c r="I67" s="16" t="s">
        <v>768</v>
      </c>
      <c r="J67" s="16"/>
      <c r="K67" s="16" t="s">
        <v>101</v>
      </c>
      <c r="L67" s="37"/>
      <c r="M67" s="37"/>
      <c r="N67" s="37"/>
      <c r="O67" s="37"/>
      <c r="P67" s="37"/>
      <c r="Q67" s="18">
        <v>0.15411</v>
      </c>
      <c r="R67" s="18">
        <v>1.05075E-3</v>
      </c>
      <c r="S67" s="18">
        <v>0.29420999999999997</v>
      </c>
      <c r="T67" s="18">
        <v>1.2608999999999999</v>
      </c>
      <c r="U67" s="18">
        <v>0.63044999999999995</v>
      </c>
      <c r="V67" s="18">
        <v>8.0697600000000005</v>
      </c>
      <c r="W67" s="18">
        <v>7.5654000000000003</v>
      </c>
      <c r="X67" s="18">
        <v>5.0435999999999996</v>
      </c>
      <c r="Y67" s="18">
        <v>0.22416</v>
      </c>
      <c r="Z67" s="18">
        <v>0.99470999999999998</v>
      </c>
      <c r="AA67" s="18">
        <v>1.4570399999999999</v>
      </c>
      <c r="AB67" s="18">
        <v>2.59185</v>
      </c>
      <c r="AC67" s="18">
        <v>0.79857</v>
      </c>
      <c r="AD67" s="18">
        <v>4.2030000000000003</v>
      </c>
    </row>
    <row r="68" spans="2:30" x14ac:dyDescent="0.25">
      <c r="B68" t="s">
        <v>770</v>
      </c>
      <c r="C68" t="s">
        <v>570</v>
      </c>
      <c r="D68">
        <v>1.3</v>
      </c>
      <c r="E68" s="35">
        <v>0.86763100000000004</v>
      </c>
      <c r="F68" s="35">
        <v>40.840000000000003</v>
      </c>
      <c r="G68" s="36">
        <v>1.7717E-2</v>
      </c>
      <c r="H68" s="18">
        <v>46.064284000000001</v>
      </c>
      <c r="I68" s="16" t="s">
        <v>768</v>
      </c>
      <c r="J68" s="16"/>
      <c r="K68" s="16" t="s">
        <v>101</v>
      </c>
      <c r="L68" s="37"/>
      <c r="M68" s="37"/>
      <c r="N68" s="37"/>
      <c r="O68" s="37"/>
      <c r="P68" s="37"/>
      <c r="Q68" s="18">
        <v>0.194887</v>
      </c>
      <c r="R68" s="18">
        <v>1.3287749999999999E-3</v>
      </c>
      <c r="S68" s="18">
        <v>0.37205700000000003</v>
      </c>
      <c r="T68" s="18">
        <v>1.59453</v>
      </c>
      <c r="U68" s="18">
        <v>0.797265</v>
      </c>
      <c r="V68" s="18">
        <v>10.204992000000001</v>
      </c>
      <c r="W68" s="18">
        <v>9.5671800000000005</v>
      </c>
      <c r="X68" s="18">
        <v>6.37812</v>
      </c>
      <c r="Y68" s="18">
        <v>0.283472</v>
      </c>
      <c r="Z68" s="18">
        <v>1.2579070000000001</v>
      </c>
      <c r="AA68" s="18">
        <v>1.842568</v>
      </c>
      <c r="AB68" s="18">
        <v>3.2776450000000001</v>
      </c>
      <c r="AC68" s="18">
        <v>1.0098689999999999</v>
      </c>
      <c r="AD68" s="18">
        <v>5.3151000000000002</v>
      </c>
    </row>
    <row r="69" spans="2:30" x14ac:dyDescent="0.25">
      <c r="B69" t="s">
        <v>770</v>
      </c>
      <c r="C69" t="s">
        <v>570</v>
      </c>
      <c r="D69">
        <v>1.3</v>
      </c>
      <c r="E69" s="35">
        <v>1.1507529999999999</v>
      </c>
      <c r="F69" s="35">
        <v>40.840000000000003</v>
      </c>
      <c r="G69" s="36">
        <v>2.3498000000000002E-2</v>
      </c>
      <c r="H69" s="18">
        <v>61.095787999999999</v>
      </c>
      <c r="I69" s="16" t="s">
        <v>768</v>
      </c>
      <c r="J69" s="16"/>
      <c r="K69" s="16" t="s">
        <v>101</v>
      </c>
      <c r="L69" s="37"/>
      <c r="M69" s="37"/>
      <c r="N69" s="37"/>
      <c r="O69" s="37"/>
      <c r="P69" s="37"/>
      <c r="Q69" s="18">
        <v>0.25847800000000004</v>
      </c>
      <c r="R69" s="18">
        <v>1.76235E-3</v>
      </c>
      <c r="S69" s="18">
        <v>0.49345800000000001</v>
      </c>
      <c r="T69" s="18">
        <v>2.1148199999999999</v>
      </c>
      <c r="U69" s="18">
        <v>1.05741</v>
      </c>
      <c r="V69" s="18">
        <v>13.534848</v>
      </c>
      <c r="W69" s="18">
        <v>12.688920000000001</v>
      </c>
      <c r="X69" s="18">
        <v>8.4592799999999997</v>
      </c>
      <c r="Y69" s="18">
        <v>0.37596800000000002</v>
      </c>
      <c r="Z69" s="18">
        <v>1.668358</v>
      </c>
      <c r="AA69" s="18">
        <v>2.4437920000000002</v>
      </c>
      <c r="AB69" s="18">
        <v>4.3471299999999999</v>
      </c>
      <c r="AC69" s="18">
        <v>1.3393860000000002</v>
      </c>
      <c r="AD69" s="18">
        <v>7.0494000000000003</v>
      </c>
    </row>
    <row r="70" spans="2:30" x14ac:dyDescent="0.25">
      <c r="B70" t="s">
        <v>770</v>
      </c>
      <c r="C70" t="s">
        <v>570</v>
      </c>
      <c r="D70">
        <v>1.3</v>
      </c>
      <c r="E70" s="35">
        <v>0.45831499999999997</v>
      </c>
      <c r="F70" s="35">
        <v>40.840000000000003</v>
      </c>
      <c r="G70" s="36">
        <v>9.3589999999999993E-3</v>
      </c>
      <c r="H70" s="18">
        <v>24.332843</v>
      </c>
      <c r="I70" s="16" t="s">
        <v>768</v>
      </c>
      <c r="J70" s="16"/>
      <c r="K70" s="16" t="s">
        <v>101</v>
      </c>
      <c r="L70" s="37"/>
      <c r="M70" s="37"/>
      <c r="N70" s="37"/>
      <c r="O70" s="37"/>
      <c r="P70" s="37"/>
      <c r="Q70" s="18">
        <v>0.10294899999999998</v>
      </c>
      <c r="R70" s="18">
        <v>7.0192499999999994E-4</v>
      </c>
      <c r="S70" s="18">
        <v>0.19653899999999999</v>
      </c>
      <c r="T70" s="18">
        <v>0.84230999999999989</v>
      </c>
      <c r="U70" s="18">
        <v>0.42115499999999995</v>
      </c>
      <c r="V70" s="18">
        <v>5.390784</v>
      </c>
      <c r="W70" s="18">
        <v>5.0538599999999994</v>
      </c>
      <c r="X70" s="18">
        <v>3.3692399999999996</v>
      </c>
      <c r="Y70" s="18">
        <v>0.14974399999999999</v>
      </c>
      <c r="Z70" s="18">
        <v>0.664489</v>
      </c>
      <c r="AA70" s="18">
        <v>0.97333599999999998</v>
      </c>
      <c r="AB70" s="18">
        <v>1.7314149999999999</v>
      </c>
      <c r="AC70" s="18">
        <v>0.53346299999999991</v>
      </c>
      <c r="AD70" s="18">
        <v>2.8076999999999996</v>
      </c>
    </row>
    <row r="71" spans="2:30" x14ac:dyDescent="0.25">
      <c r="B71" t="s">
        <v>770</v>
      </c>
      <c r="C71" t="s">
        <v>570</v>
      </c>
      <c r="D71">
        <v>1.3</v>
      </c>
      <c r="E71" s="35">
        <v>0.93196199999999996</v>
      </c>
      <c r="F71" s="35">
        <v>40.840000000000003</v>
      </c>
      <c r="G71" s="36">
        <v>1.9030999999999999E-2</v>
      </c>
      <c r="H71" s="18">
        <v>49.479731000000001</v>
      </c>
      <c r="I71" s="16" t="s">
        <v>768</v>
      </c>
      <c r="J71" s="16"/>
      <c r="K71" s="16" t="s">
        <v>101</v>
      </c>
      <c r="L71" s="37"/>
      <c r="M71" s="37"/>
      <c r="N71" s="37"/>
      <c r="O71" s="37"/>
      <c r="P71" s="37"/>
      <c r="Q71" s="18">
        <v>0.209341</v>
      </c>
      <c r="R71" s="18">
        <v>1.4273249999999999E-3</v>
      </c>
      <c r="S71" s="18">
        <v>0.39965099999999998</v>
      </c>
      <c r="T71" s="18">
        <v>1.71279</v>
      </c>
      <c r="U71" s="18">
        <v>0.85639500000000002</v>
      </c>
      <c r="V71" s="18">
        <v>10.961855999999999</v>
      </c>
      <c r="W71" s="18">
        <v>10.27674</v>
      </c>
      <c r="X71" s="18">
        <v>6.8511600000000001</v>
      </c>
      <c r="Y71" s="18">
        <v>0.30449599999999999</v>
      </c>
      <c r="Z71" s="18">
        <v>1.3512009999999999</v>
      </c>
      <c r="AA71" s="18">
        <v>1.9792239999999999</v>
      </c>
      <c r="AB71" s="18">
        <v>3.5207349999999997</v>
      </c>
      <c r="AC71" s="18">
        <v>1.084767</v>
      </c>
      <c r="AD71" s="18">
        <v>5.7092999999999998</v>
      </c>
    </row>
    <row r="72" spans="2:30" x14ac:dyDescent="0.25">
      <c r="B72" t="s">
        <v>770</v>
      </c>
      <c r="C72" t="s">
        <v>570</v>
      </c>
      <c r="D72">
        <v>1.3</v>
      </c>
      <c r="E72" s="35">
        <v>0.48331400000000002</v>
      </c>
      <c r="F72" s="35">
        <v>40.840000000000003</v>
      </c>
      <c r="G72" s="36">
        <v>9.8689999999999993E-3</v>
      </c>
      <c r="H72" s="18">
        <v>25.660088999999999</v>
      </c>
      <c r="I72" s="16" t="s">
        <v>768</v>
      </c>
      <c r="J72" s="16"/>
      <c r="K72" s="16" t="s">
        <v>101</v>
      </c>
      <c r="L72" s="37"/>
      <c r="M72" s="37"/>
      <c r="N72" s="37"/>
      <c r="O72" s="37"/>
      <c r="P72" s="37"/>
      <c r="Q72" s="18">
        <v>0.10855899999999999</v>
      </c>
      <c r="R72" s="18">
        <v>7.4017499999999993E-4</v>
      </c>
      <c r="S72" s="18">
        <v>0.20724899999999999</v>
      </c>
      <c r="T72" s="18">
        <v>0.88820999999999994</v>
      </c>
      <c r="U72" s="18">
        <v>0.44410499999999997</v>
      </c>
      <c r="V72" s="18">
        <v>5.6845439999999998</v>
      </c>
      <c r="W72" s="18">
        <v>5.3292599999999997</v>
      </c>
      <c r="X72" s="18">
        <v>3.5528399999999998</v>
      </c>
      <c r="Y72" s="18">
        <v>0.15790399999999999</v>
      </c>
      <c r="Z72" s="18">
        <v>0.70069899999999996</v>
      </c>
      <c r="AA72" s="18">
        <v>1.026376</v>
      </c>
      <c r="AB72" s="18">
        <v>1.8257649999999999</v>
      </c>
      <c r="AC72" s="18">
        <v>0.56253299999999995</v>
      </c>
      <c r="AD72" s="18">
        <v>2.9606999999999997</v>
      </c>
    </row>
    <row r="73" spans="2:30" x14ac:dyDescent="0.25">
      <c r="B73" t="s">
        <v>770</v>
      </c>
      <c r="C73" t="s">
        <v>570</v>
      </c>
      <c r="D73">
        <v>1.3</v>
      </c>
      <c r="E73" s="35">
        <v>0.686083</v>
      </c>
      <c r="F73" s="35">
        <v>40.840000000000003</v>
      </c>
      <c r="G73" s="36">
        <v>1.401E-2</v>
      </c>
      <c r="H73" s="18">
        <v>36.425528999999997</v>
      </c>
      <c r="I73" s="16" t="s">
        <v>768</v>
      </c>
      <c r="J73" s="16"/>
      <c r="K73" s="16" t="s">
        <v>101</v>
      </c>
      <c r="L73" s="37"/>
      <c r="M73" s="37"/>
      <c r="N73" s="37"/>
      <c r="O73" s="37"/>
      <c r="P73" s="37"/>
      <c r="Q73" s="18">
        <v>0.15411</v>
      </c>
      <c r="R73" s="18">
        <v>1.05075E-3</v>
      </c>
      <c r="S73" s="18">
        <v>0.29420999999999997</v>
      </c>
      <c r="T73" s="18">
        <v>1.2608999999999999</v>
      </c>
      <c r="U73" s="18">
        <v>0.63044999999999995</v>
      </c>
      <c r="V73" s="18">
        <v>8.0697600000000005</v>
      </c>
      <c r="W73" s="18">
        <v>7.5654000000000003</v>
      </c>
      <c r="X73" s="18">
        <v>5.0435999999999996</v>
      </c>
      <c r="Y73" s="18">
        <v>0.22416</v>
      </c>
      <c r="Z73" s="18">
        <v>0.99470999999999998</v>
      </c>
      <c r="AA73" s="18">
        <v>1.4570399999999999</v>
      </c>
      <c r="AB73" s="18">
        <v>2.59185</v>
      </c>
      <c r="AC73" s="18">
        <v>0.79857</v>
      </c>
      <c r="AD73" s="18">
        <v>4.2030000000000003</v>
      </c>
    </row>
    <row r="74" spans="2:30" x14ac:dyDescent="0.25">
      <c r="B74" t="s">
        <v>770</v>
      </c>
      <c r="C74" t="s">
        <v>570</v>
      </c>
      <c r="D74">
        <v>1.3</v>
      </c>
      <c r="E74" s="35">
        <v>0.73885900000000004</v>
      </c>
      <c r="F74" s="35">
        <v>40.840000000000003</v>
      </c>
      <c r="G74" s="36">
        <v>1.5087E-2</v>
      </c>
      <c r="H74" s="18">
        <v>39.227493000000003</v>
      </c>
      <c r="I74" s="16" t="s">
        <v>768</v>
      </c>
      <c r="J74" s="16"/>
      <c r="K74" s="16" t="s">
        <v>101</v>
      </c>
      <c r="L74" s="37"/>
      <c r="M74" s="37"/>
      <c r="N74" s="37"/>
      <c r="O74" s="37"/>
      <c r="P74" s="37"/>
      <c r="Q74" s="18">
        <v>0.16595699999999999</v>
      </c>
      <c r="R74" s="18">
        <v>1.131525E-3</v>
      </c>
      <c r="S74" s="18">
        <v>0.31682699999999997</v>
      </c>
      <c r="T74" s="18">
        <v>1.3578299999999999</v>
      </c>
      <c r="U74" s="18">
        <v>0.67891499999999994</v>
      </c>
      <c r="V74" s="18">
        <v>8.6901119999999992</v>
      </c>
      <c r="W74" s="18">
        <v>8.1469799999999992</v>
      </c>
      <c r="X74" s="18">
        <v>5.4313199999999995</v>
      </c>
      <c r="Y74" s="18">
        <v>0.241392</v>
      </c>
      <c r="Z74" s="18">
        <v>1.071177</v>
      </c>
      <c r="AA74" s="18">
        <v>1.569048</v>
      </c>
      <c r="AB74" s="18">
        <v>2.7910949999999999</v>
      </c>
      <c r="AC74" s="18">
        <v>0.85995900000000003</v>
      </c>
      <c r="AD74" s="18">
        <v>4.5260999999999996</v>
      </c>
    </row>
    <row r="75" spans="2:30" x14ac:dyDescent="0.25">
      <c r="B75" t="s">
        <v>770</v>
      </c>
      <c r="C75" t="s">
        <v>570</v>
      </c>
      <c r="D75">
        <v>1.3</v>
      </c>
      <c r="E75" s="35">
        <v>9.1662999999999994E-2</v>
      </c>
      <c r="F75" s="35">
        <v>40.840000000000003</v>
      </c>
      <c r="G75" s="36">
        <v>1.872E-3</v>
      </c>
      <c r="H75" s="18">
        <v>4.8665690000000001</v>
      </c>
      <c r="I75" s="16" t="s">
        <v>768</v>
      </c>
      <c r="J75" s="16"/>
      <c r="K75" s="16" t="s">
        <v>101</v>
      </c>
      <c r="L75" s="37"/>
      <c r="M75" s="37"/>
      <c r="N75" s="37"/>
      <c r="O75" s="37"/>
      <c r="P75" s="37"/>
      <c r="Q75" s="18">
        <v>2.0591999999999999E-2</v>
      </c>
      <c r="R75" s="18">
        <v>1.404E-4</v>
      </c>
      <c r="S75" s="18">
        <v>3.9312E-2</v>
      </c>
      <c r="T75" s="18">
        <v>0.16847999999999999</v>
      </c>
      <c r="U75" s="18">
        <v>8.4239999999999995E-2</v>
      </c>
      <c r="V75" s="18">
        <v>1.0782719999999999</v>
      </c>
      <c r="W75" s="18">
        <v>1.01088</v>
      </c>
      <c r="X75" s="18">
        <v>0.67391999999999996</v>
      </c>
      <c r="Y75" s="18">
        <v>2.9951999999999999E-2</v>
      </c>
      <c r="Z75" s="18">
        <v>0.132912</v>
      </c>
      <c r="AA75" s="18">
        <v>0.194688</v>
      </c>
      <c r="AB75" s="18">
        <v>0.34632000000000002</v>
      </c>
      <c r="AC75" s="18">
        <v>0.10670399999999999</v>
      </c>
      <c r="AD75" s="18">
        <v>0.56159999999999999</v>
      </c>
    </row>
    <row r="76" spans="2:30" x14ac:dyDescent="0.25">
      <c r="B76" t="s">
        <v>770</v>
      </c>
      <c r="C76" t="s">
        <v>570</v>
      </c>
      <c r="D76">
        <v>1.3</v>
      </c>
      <c r="E76" s="35">
        <v>0.58497600000000005</v>
      </c>
      <c r="F76" s="35">
        <v>40.840000000000003</v>
      </c>
      <c r="G76" s="36">
        <v>1.1945000000000001E-2</v>
      </c>
      <c r="H76" s="18">
        <v>31.057556000000002</v>
      </c>
      <c r="I76" s="16" t="s">
        <v>768</v>
      </c>
      <c r="J76" s="16"/>
      <c r="K76" s="16" t="s">
        <v>101</v>
      </c>
      <c r="L76" s="37"/>
      <c r="M76" s="37"/>
      <c r="N76" s="37"/>
      <c r="O76" s="37"/>
      <c r="P76" s="37"/>
      <c r="Q76" s="18">
        <v>0.13139500000000001</v>
      </c>
      <c r="R76" s="18">
        <v>8.9587499999999997E-4</v>
      </c>
      <c r="S76" s="18">
        <v>0.25084500000000004</v>
      </c>
      <c r="T76" s="18">
        <v>1.0750500000000001</v>
      </c>
      <c r="U76" s="18">
        <v>0.53752500000000003</v>
      </c>
      <c r="V76" s="18">
        <v>6.8803200000000002</v>
      </c>
      <c r="W76" s="18">
        <v>6.4503000000000004</v>
      </c>
      <c r="X76" s="18">
        <v>4.3002000000000002</v>
      </c>
      <c r="Y76" s="18">
        <v>0.19112000000000001</v>
      </c>
      <c r="Z76" s="18">
        <v>0.84809500000000004</v>
      </c>
      <c r="AA76" s="18">
        <v>1.2422800000000001</v>
      </c>
      <c r="AB76" s="18">
        <v>2.2098249999999999</v>
      </c>
      <c r="AC76" s="18">
        <v>0.68086500000000005</v>
      </c>
      <c r="AD76" s="18">
        <v>3.5835000000000004</v>
      </c>
    </row>
    <row r="77" spans="2:30" x14ac:dyDescent="0.25">
      <c r="B77" t="s">
        <v>770</v>
      </c>
      <c r="C77" t="s">
        <v>570</v>
      </c>
      <c r="D77">
        <v>1.3</v>
      </c>
      <c r="E77" s="35">
        <v>0.58497600000000005</v>
      </c>
      <c r="F77" s="35">
        <v>40.840000000000003</v>
      </c>
      <c r="G77" s="36">
        <v>1.1945000000000001E-2</v>
      </c>
      <c r="H77" s="18">
        <v>31.057556000000002</v>
      </c>
      <c r="I77" s="16" t="s">
        <v>768</v>
      </c>
      <c r="J77" s="16"/>
      <c r="K77" s="16" t="s">
        <v>101</v>
      </c>
      <c r="L77" s="37"/>
      <c r="M77" s="37"/>
      <c r="N77" s="37"/>
      <c r="O77" s="37"/>
      <c r="P77" s="37"/>
      <c r="Q77" s="18">
        <v>0.13139500000000001</v>
      </c>
      <c r="R77" s="18">
        <v>8.9587499999999997E-4</v>
      </c>
      <c r="S77" s="18">
        <v>0.25084500000000004</v>
      </c>
      <c r="T77" s="18">
        <v>1.0750500000000001</v>
      </c>
      <c r="U77" s="18">
        <v>0.53752500000000003</v>
      </c>
      <c r="V77" s="18">
        <v>6.8803200000000002</v>
      </c>
      <c r="W77" s="18">
        <v>6.4503000000000004</v>
      </c>
      <c r="X77" s="18">
        <v>4.3002000000000002</v>
      </c>
      <c r="Y77" s="18">
        <v>0.19112000000000001</v>
      </c>
      <c r="Z77" s="18">
        <v>0.84809500000000004</v>
      </c>
      <c r="AA77" s="18">
        <v>1.2422800000000001</v>
      </c>
      <c r="AB77" s="18">
        <v>2.2098249999999999</v>
      </c>
      <c r="AC77" s="18">
        <v>0.68086500000000005</v>
      </c>
      <c r="AD77" s="18">
        <v>3.5835000000000004</v>
      </c>
    </row>
    <row r="78" spans="2:30" x14ac:dyDescent="0.25">
      <c r="B78" t="s">
        <v>770</v>
      </c>
      <c r="C78" t="s">
        <v>570</v>
      </c>
      <c r="D78">
        <v>1.3</v>
      </c>
      <c r="E78" s="35">
        <v>0.90996299999999997</v>
      </c>
      <c r="F78" s="35">
        <v>40.840000000000003</v>
      </c>
      <c r="G78" s="36">
        <v>1.8581E-2</v>
      </c>
      <c r="H78" s="18">
        <v>48.311754000000001</v>
      </c>
      <c r="I78" s="16" t="s">
        <v>768</v>
      </c>
      <c r="J78" s="16"/>
      <c r="K78" s="16" t="s">
        <v>101</v>
      </c>
      <c r="L78" s="37"/>
      <c r="M78" s="37"/>
      <c r="N78" s="37"/>
      <c r="O78" s="37"/>
      <c r="P78" s="37"/>
      <c r="Q78" s="18">
        <v>0.20439099999999999</v>
      </c>
      <c r="R78" s="18">
        <v>1.393575E-3</v>
      </c>
      <c r="S78" s="18">
        <v>0.39020100000000002</v>
      </c>
      <c r="T78" s="18">
        <v>1.6722900000000001</v>
      </c>
      <c r="U78" s="18">
        <v>0.83614500000000003</v>
      </c>
      <c r="V78" s="18">
        <v>10.702656000000001</v>
      </c>
      <c r="W78" s="18">
        <v>10.03374</v>
      </c>
      <c r="X78" s="18">
        <v>6.6891600000000002</v>
      </c>
      <c r="Y78" s="18">
        <v>0.297296</v>
      </c>
      <c r="Z78" s="18">
        <v>1.319251</v>
      </c>
      <c r="AA78" s="18">
        <v>1.9324240000000001</v>
      </c>
      <c r="AB78" s="18">
        <v>3.4374850000000001</v>
      </c>
      <c r="AC78" s="18">
        <v>1.0591170000000001</v>
      </c>
      <c r="AD78" s="18">
        <v>5.5743</v>
      </c>
    </row>
    <row r="79" spans="2:30" x14ac:dyDescent="0.25">
      <c r="B79" t="s">
        <v>770</v>
      </c>
      <c r="C79" t="s">
        <v>570</v>
      </c>
      <c r="D79">
        <v>1.3</v>
      </c>
      <c r="E79" s="35">
        <v>1.1507529999999999</v>
      </c>
      <c r="F79" s="35">
        <v>40.840000000000003</v>
      </c>
      <c r="G79" s="36">
        <v>2.3498000000000002E-2</v>
      </c>
      <c r="H79" s="18">
        <v>61.095787999999999</v>
      </c>
      <c r="I79" s="16" t="s">
        <v>768</v>
      </c>
      <c r="J79" s="16"/>
      <c r="K79" s="16" t="s">
        <v>101</v>
      </c>
      <c r="L79" s="37"/>
      <c r="M79" s="37"/>
      <c r="N79" s="37"/>
      <c r="O79" s="37"/>
      <c r="P79" s="37"/>
      <c r="Q79" s="18">
        <v>0.25847800000000004</v>
      </c>
      <c r="R79" s="18">
        <v>1.76235E-3</v>
      </c>
      <c r="S79" s="18">
        <v>0.49345800000000001</v>
      </c>
      <c r="T79" s="18">
        <v>2.1148199999999999</v>
      </c>
      <c r="U79" s="18">
        <v>1.05741</v>
      </c>
      <c r="V79" s="18">
        <v>13.534848</v>
      </c>
      <c r="W79" s="18">
        <v>12.688920000000001</v>
      </c>
      <c r="X79" s="18">
        <v>8.4592799999999997</v>
      </c>
      <c r="Y79" s="18">
        <v>0.37596800000000002</v>
      </c>
      <c r="Z79" s="18">
        <v>1.668358</v>
      </c>
      <c r="AA79" s="18">
        <v>2.4437920000000002</v>
      </c>
      <c r="AB79" s="18">
        <v>4.3471299999999999</v>
      </c>
      <c r="AC79" s="18">
        <v>1.3393860000000002</v>
      </c>
      <c r="AD79" s="18">
        <v>7.0494000000000003</v>
      </c>
    </row>
    <row r="80" spans="2:30" x14ac:dyDescent="0.25">
      <c r="B80" t="s">
        <v>770</v>
      </c>
      <c r="C80" t="s">
        <v>570</v>
      </c>
      <c r="D80">
        <v>1.3</v>
      </c>
      <c r="E80" s="35">
        <v>0.90996299999999997</v>
      </c>
      <c r="F80" s="35">
        <v>40.840000000000003</v>
      </c>
      <c r="G80" s="36">
        <v>1.8581E-2</v>
      </c>
      <c r="H80" s="18">
        <v>48.311754000000001</v>
      </c>
      <c r="I80" s="16" t="s">
        <v>768</v>
      </c>
      <c r="J80" s="16"/>
      <c r="K80" s="16" t="s">
        <v>101</v>
      </c>
      <c r="L80" s="37"/>
      <c r="M80" s="37"/>
      <c r="N80" s="37"/>
      <c r="O80" s="37"/>
      <c r="P80" s="37"/>
      <c r="Q80" s="18">
        <v>0.20439099999999999</v>
      </c>
      <c r="R80" s="18">
        <v>1.393575E-3</v>
      </c>
      <c r="S80" s="18">
        <v>0.39020100000000002</v>
      </c>
      <c r="T80" s="18">
        <v>1.6722900000000001</v>
      </c>
      <c r="U80" s="18">
        <v>0.83614500000000003</v>
      </c>
      <c r="V80" s="18">
        <v>10.702656000000001</v>
      </c>
      <c r="W80" s="18">
        <v>10.03374</v>
      </c>
      <c r="X80" s="18">
        <v>6.6891600000000002</v>
      </c>
      <c r="Y80" s="18">
        <v>0.297296</v>
      </c>
      <c r="Z80" s="18">
        <v>1.319251</v>
      </c>
      <c r="AA80" s="18">
        <v>1.9324240000000001</v>
      </c>
      <c r="AB80" s="18">
        <v>3.4374850000000001</v>
      </c>
      <c r="AC80" s="18">
        <v>1.0591170000000001</v>
      </c>
      <c r="AD80" s="18">
        <v>5.5743</v>
      </c>
    </row>
    <row r="81" spans="2:30" x14ac:dyDescent="0.25">
      <c r="B81" t="s">
        <v>770</v>
      </c>
      <c r="C81" t="s">
        <v>570</v>
      </c>
      <c r="D81">
        <v>1.3</v>
      </c>
      <c r="E81" s="35">
        <v>0.58497600000000005</v>
      </c>
      <c r="F81" s="35">
        <v>40.840000000000003</v>
      </c>
      <c r="G81" s="36">
        <v>1.1945000000000001E-2</v>
      </c>
      <c r="H81" s="18">
        <v>31.057556000000002</v>
      </c>
      <c r="I81" s="16" t="s">
        <v>768</v>
      </c>
      <c r="J81" s="16"/>
      <c r="K81" s="16" t="s">
        <v>101</v>
      </c>
      <c r="L81" s="37"/>
      <c r="M81" s="37"/>
      <c r="N81" s="37"/>
      <c r="O81" s="37"/>
      <c r="P81" s="37"/>
      <c r="Q81" s="18">
        <v>0.13139500000000001</v>
      </c>
      <c r="R81" s="18">
        <v>8.9587499999999997E-4</v>
      </c>
      <c r="S81" s="18">
        <v>0.25084500000000004</v>
      </c>
      <c r="T81" s="18">
        <v>1.0750500000000001</v>
      </c>
      <c r="U81" s="18">
        <v>0.53752500000000003</v>
      </c>
      <c r="V81" s="18">
        <v>6.8803200000000002</v>
      </c>
      <c r="W81" s="18">
        <v>6.4503000000000004</v>
      </c>
      <c r="X81" s="18">
        <v>4.3002000000000002</v>
      </c>
      <c r="Y81" s="18">
        <v>0.19112000000000001</v>
      </c>
      <c r="Z81" s="18">
        <v>0.84809500000000004</v>
      </c>
      <c r="AA81" s="18">
        <v>1.2422800000000001</v>
      </c>
      <c r="AB81" s="18">
        <v>2.2098249999999999</v>
      </c>
      <c r="AC81" s="18">
        <v>0.68086500000000005</v>
      </c>
      <c r="AD81" s="18">
        <v>3.5835000000000004</v>
      </c>
    </row>
    <row r="82" spans="2:30" x14ac:dyDescent="0.25">
      <c r="B82" t="s">
        <v>770</v>
      </c>
      <c r="C82" t="s">
        <v>570</v>
      </c>
      <c r="D82">
        <v>1.3</v>
      </c>
      <c r="E82" s="35">
        <v>0.89106399999999997</v>
      </c>
      <c r="F82" s="35">
        <v>40.840000000000003</v>
      </c>
      <c r="G82" s="36">
        <v>1.8196E-2</v>
      </c>
      <c r="H82" s="18">
        <v>47.308356000000003</v>
      </c>
      <c r="I82" s="16" t="s">
        <v>768</v>
      </c>
      <c r="J82" s="16"/>
      <c r="K82" s="16" t="s">
        <v>101</v>
      </c>
      <c r="L82" s="37"/>
      <c r="M82" s="37"/>
      <c r="N82" s="37"/>
      <c r="O82" s="37"/>
      <c r="P82" s="37"/>
      <c r="Q82" s="18">
        <v>0.200156</v>
      </c>
      <c r="R82" s="18">
        <v>1.3646999999999999E-3</v>
      </c>
      <c r="S82" s="18">
        <v>0.38211600000000001</v>
      </c>
      <c r="T82" s="18">
        <v>1.63764</v>
      </c>
      <c r="U82" s="18">
        <v>0.81881999999999999</v>
      </c>
      <c r="V82" s="18">
        <v>10.480896</v>
      </c>
      <c r="W82" s="18">
        <v>9.8258399999999995</v>
      </c>
      <c r="X82" s="18">
        <v>6.5505599999999999</v>
      </c>
      <c r="Y82" s="18">
        <v>0.29113600000000001</v>
      </c>
      <c r="Z82" s="18">
        <v>1.2919160000000001</v>
      </c>
      <c r="AA82" s="18">
        <v>1.8923840000000001</v>
      </c>
      <c r="AB82" s="18">
        <v>3.36626</v>
      </c>
      <c r="AC82" s="18">
        <v>1.037172</v>
      </c>
      <c r="AD82" s="18">
        <v>5.4588000000000001</v>
      </c>
    </row>
    <row r="83" spans="2:30" x14ac:dyDescent="0.25">
      <c r="B83" t="s">
        <v>770</v>
      </c>
      <c r="C83" t="s">
        <v>570</v>
      </c>
      <c r="D83">
        <v>1.3</v>
      </c>
      <c r="E83" s="35">
        <v>1.455722</v>
      </c>
      <c r="F83" s="35">
        <v>40.840000000000003</v>
      </c>
      <c r="G83" s="36">
        <v>2.9725999999999999E-2</v>
      </c>
      <c r="H83" s="18">
        <v>77.287193000000002</v>
      </c>
      <c r="I83" s="16" t="s">
        <v>768</v>
      </c>
      <c r="J83" s="16"/>
      <c r="K83" s="16" t="s">
        <v>101</v>
      </c>
      <c r="L83" s="37"/>
      <c r="M83" s="37"/>
      <c r="N83" s="37"/>
      <c r="O83" s="37"/>
      <c r="P83" s="37"/>
      <c r="Q83" s="18">
        <v>0.326986</v>
      </c>
      <c r="R83" s="18">
        <v>2.22945E-3</v>
      </c>
      <c r="S83" s="18">
        <v>0.62424599999999997</v>
      </c>
      <c r="T83" s="18">
        <v>2.6753399999999998</v>
      </c>
      <c r="U83" s="18">
        <v>1.3376699999999999</v>
      </c>
      <c r="V83" s="18">
        <v>17.122176</v>
      </c>
      <c r="W83" s="18">
        <v>16.052039999999998</v>
      </c>
      <c r="X83" s="18">
        <v>10.701359999999999</v>
      </c>
      <c r="Y83" s="18">
        <v>0.47561599999999998</v>
      </c>
      <c r="Z83" s="18">
        <v>2.1105459999999998</v>
      </c>
      <c r="AA83" s="18">
        <v>3.091504</v>
      </c>
      <c r="AB83" s="18">
        <v>5.4993099999999995</v>
      </c>
      <c r="AC83" s="18">
        <v>1.6943819999999998</v>
      </c>
      <c r="AD83" s="18">
        <v>8.9177999999999997</v>
      </c>
    </row>
    <row r="84" spans="2:30" x14ac:dyDescent="0.25">
      <c r="B84" t="s">
        <v>770</v>
      </c>
      <c r="C84" t="s">
        <v>570</v>
      </c>
      <c r="D84">
        <v>1.3</v>
      </c>
      <c r="E84" s="35">
        <v>0.86663100000000004</v>
      </c>
      <c r="F84" s="35">
        <v>40.840000000000003</v>
      </c>
      <c r="G84" s="36">
        <v>1.7697000000000001E-2</v>
      </c>
      <c r="H84" s="18">
        <v>46.011194000000003</v>
      </c>
      <c r="I84" s="16" t="s">
        <v>768</v>
      </c>
      <c r="J84" s="16"/>
      <c r="K84" s="16" t="s">
        <v>101</v>
      </c>
      <c r="L84" s="37"/>
      <c r="M84" s="37"/>
      <c r="N84" s="37"/>
      <c r="O84" s="37"/>
      <c r="P84" s="37"/>
      <c r="Q84" s="18">
        <v>0.19466700000000001</v>
      </c>
      <c r="R84" s="18">
        <v>1.3272749999999999E-3</v>
      </c>
      <c r="S84" s="18">
        <v>0.371637</v>
      </c>
      <c r="T84" s="18">
        <v>1.59273</v>
      </c>
      <c r="U84" s="18">
        <v>0.79636499999999999</v>
      </c>
      <c r="V84" s="18">
        <v>10.193472</v>
      </c>
      <c r="W84" s="18">
        <v>9.5563800000000008</v>
      </c>
      <c r="X84" s="18">
        <v>6.3709199999999999</v>
      </c>
      <c r="Y84" s="18">
        <v>0.28315200000000001</v>
      </c>
      <c r="Z84" s="18">
        <v>1.2564870000000001</v>
      </c>
      <c r="AA84" s="18">
        <v>1.8404880000000001</v>
      </c>
      <c r="AB84" s="18">
        <v>3.2739450000000003</v>
      </c>
      <c r="AC84" s="18">
        <v>1.008729</v>
      </c>
      <c r="AD84" s="18">
        <v>5.3090999999999999</v>
      </c>
    </row>
    <row r="85" spans="2:30" x14ac:dyDescent="0.25">
      <c r="B85" t="s">
        <v>770</v>
      </c>
      <c r="C85" t="s">
        <v>570</v>
      </c>
      <c r="D85">
        <v>1.3</v>
      </c>
      <c r="E85" s="35">
        <v>5.9220069999999998</v>
      </c>
      <c r="F85" s="35">
        <v>40.840000000000003</v>
      </c>
      <c r="G85" s="36">
        <v>0.12092700000000001</v>
      </c>
      <c r="H85" s="18">
        <v>314.41119300000003</v>
      </c>
      <c r="I85" s="16" t="s">
        <v>768</v>
      </c>
      <c r="J85" s="16"/>
      <c r="K85" s="16" t="s">
        <v>101</v>
      </c>
      <c r="L85" s="37"/>
      <c r="M85" s="37"/>
      <c r="N85" s="37"/>
      <c r="O85" s="37"/>
      <c r="P85" s="37"/>
      <c r="Q85" s="18">
        <v>1.3301970000000001</v>
      </c>
      <c r="R85" s="18">
        <v>9.0695250000000002E-3</v>
      </c>
      <c r="S85" s="18">
        <v>2.5394670000000001</v>
      </c>
      <c r="T85" s="18">
        <v>10.883430000000001</v>
      </c>
      <c r="U85" s="18">
        <v>5.4417150000000003</v>
      </c>
      <c r="V85" s="18">
        <v>69.653952000000004</v>
      </c>
      <c r="W85" s="18">
        <v>65.300579999999997</v>
      </c>
      <c r="X85" s="18">
        <v>43.533720000000002</v>
      </c>
      <c r="Y85" s="18">
        <v>1.9348320000000001</v>
      </c>
      <c r="Z85" s="18">
        <v>8.5858170000000005</v>
      </c>
      <c r="AA85" s="18">
        <v>12.576408000000001</v>
      </c>
      <c r="AB85" s="18">
        <v>22.371495000000003</v>
      </c>
      <c r="AC85" s="18">
        <v>6.8928390000000004</v>
      </c>
      <c r="AD85" s="18">
        <v>36.278100000000002</v>
      </c>
    </row>
    <row r="86" spans="2:30" x14ac:dyDescent="0.25">
      <c r="B86" t="s">
        <v>770</v>
      </c>
      <c r="C86" t="s">
        <v>570</v>
      </c>
      <c r="D86">
        <v>1.3</v>
      </c>
      <c r="E86" s="35">
        <v>0.43333300000000002</v>
      </c>
      <c r="F86" s="35">
        <v>40.840000000000003</v>
      </c>
      <c r="G86" s="36">
        <v>8.8489999999999992E-3</v>
      </c>
      <c r="H86" s="18">
        <v>23.006533000000001</v>
      </c>
      <c r="I86" s="16" t="s">
        <v>768</v>
      </c>
      <c r="J86" s="16"/>
      <c r="K86" s="16" t="s">
        <v>101</v>
      </c>
      <c r="L86" s="37"/>
      <c r="M86" s="37"/>
      <c r="N86" s="37"/>
      <c r="O86" s="37"/>
      <c r="P86" s="37"/>
      <c r="Q86" s="18">
        <v>9.7338999999999995E-2</v>
      </c>
      <c r="R86" s="18">
        <v>6.6367499999999996E-4</v>
      </c>
      <c r="S86" s="18">
        <v>0.18582899999999999</v>
      </c>
      <c r="T86" s="18">
        <v>0.79640999999999995</v>
      </c>
      <c r="U86" s="18">
        <v>0.39820499999999998</v>
      </c>
      <c r="V86" s="18">
        <v>5.0970239999999993</v>
      </c>
      <c r="W86" s="18">
        <v>4.7784599999999999</v>
      </c>
      <c r="X86" s="18">
        <v>3.1856399999999998</v>
      </c>
      <c r="Y86" s="18">
        <v>0.14158399999999999</v>
      </c>
      <c r="Z86" s="18">
        <v>0.62827899999999992</v>
      </c>
      <c r="AA86" s="18">
        <v>0.92029599999999989</v>
      </c>
      <c r="AB86" s="18">
        <v>1.6370649999999998</v>
      </c>
      <c r="AC86" s="18">
        <v>0.50439299999999998</v>
      </c>
      <c r="AD86" s="18">
        <v>2.6546999999999996</v>
      </c>
    </row>
    <row r="87" spans="2:30" x14ac:dyDescent="0.25">
      <c r="B87" t="s">
        <v>770</v>
      </c>
      <c r="C87" t="s">
        <v>570</v>
      </c>
      <c r="D87">
        <v>1.3</v>
      </c>
      <c r="E87" s="35">
        <v>4.7976859999999997</v>
      </c>
      <c r="F87" s="35">
        <v>40.840000000000003</v>
      </c>
      <c r="G87" s="36">
        <v>9.7969000000000001E-2</v>
      </c>
      <c r="H87" s="18">
        <v>254.71876700000001</v>
      </c>
      <c r="I87" s="16" t="s">
        <v>768</v>
      </c>
      <c r="J87" s="16"/>
      <c r="K87" s="16" t="s">
        <v>101</v>
      </c>
      <c r="L87" s="37"/>
      <c r="M87" s="37"/>
      <c r="N87" s="37"/>
      <c r="O87" s="37"/>
      <c r="P87" s="37"/>
      <c r="Q87" s="18">
        <v>1.0776589999999999</v>
      </c>
      <c r="R87" s="18">
        <v>7.3476749999999997E-3</v>
      </c>
      <c r="S87" s="18">
        <v>2.0573489999999999</v>
      </c>
      <c r="T87" s="18">
        <v>8.8172099999999993</v>
      </c>
      <c r="U87" s="18">
        <v>4.4086049999999997</v>
      </c>
      <c r="V87" s="18">
        <v>56.430143999999999</v>
      </c>
      <c r="W87" s="18">
        <v>52.903260000000003</v>
      </c>
      <c r="X87" s="18">
        <v>35.268839999999997</v>
      </c>
      <c r="Y87" s="18">
        <v>1.567504</v>
      </c>
      <c r="Z87" s="18">
        <v>6.9557989999999998</v>
      </c>
      <c r="AA87" s="18">
        <v>10.188776000000001</v>
      </c>
      <c r="AB87" s="18">
        <v>18.124265000000001</v>
      </c>
      <c r="AC87" s="18">
        <v>5.5842330000000002</v>
      </c>
      <c r="AD87" s="18">
        <v>29.390699999999999</v>
      </c>
    </row>
    <row r="88" spans="2:30" x14ac:dyDescent="0.25">
      <c r="B88" t="s">
        <v>770</v>
      </c>
      <c r="C88" t="s">
        <v>570</v>
      </c>
      <c r="D88">
        <v>1.3</v>
      </c>
      <c r="E88" s="35">
        <v>5.9189870000000004</v>
      </c>
      <c r="F88" s="35">
        <v>40.840000000000003</v>
      </c>
      <c r="G88" s="36">
        <v>0.120866</v>
      </c>
      <c r="H88" s="18">
        <v>314.25084900000002</v>
      </c>
      <c r="I88" s="16" t="s">
        <v>768</v>
      </c>
      <c r="J88" s="16"/>
      <c r="K88" s="16" t="s">
        <v>101</v>
      </c>
      <c r="L88" s="37"/>
      <c r="M88" s="37"/>
      <c r="N88" s="37"/>
      <c r="O88" s="37"/>
      <c r="P88" s="37"/>
      <c r="Q88" s="18">
        <v>1.329526</v>
      </c>
      <c r="R88" s="18">
        <v>9.0649500000000004E-3</v>
      </c>
      <c r="S88" s="18">
        <v>2.5381860000000001</v>
      </c>
      <c r="T88" s="18">
        <v>10.877940000000001</v>
      </c>
      <c r="U88" s="18">
        <v>5.4389700000000003</v>
      </c>
      <c r="V88" s="18">
        <v>69.618815999999995</v>
      </c>
      <c r="W88" s="18">
        <v>65.26764</v>
      </c>
      <c r="X88" s="18">
        <v>43.511760000000002</v>
      </c>
      <c r="Y88" s="18">
        <v>1.933856</v>
      </c>
      <c r="Z88" s="18">
        <v>8.5814859999999999</v>
      </c>
      <c r="AA88" s="18">
        <v>12.570064</v>
      </c>
      <c r="AB88" s="18">
        <v>22.360209999999999</v>
      </c>
      <c r="AC88" s="18">
        <v>6.8893620000000002</v>
      </c>
      <c r="AD88" s="18">
        <v>36.259799999999998</v>
      </c>
    </row>
    <row r="89" spans="2:30" x14ac:dyDescent="0.25">
      <c r="B89" t="s">
        <v>770</v>
      </c>
      <c r="C89" t="s">
        <v>570</v>
      </c>
      <c r="D89">
        <v>1.3</v>
      </c>
      <c r="E89" s="35">
        <v>4.7947040000000003</v>
      </c>
      <c r="F89" s="35">
        <v>40.840000000000003</v>
      </c>
      <c r="G89" s="36">
        <v>9.7907999999999995E-2</v>
      </c>
      <c r="H89" s="18">
        <v>254.56043600000001</v>
      </c>
      <c r="I89" s="16" t="s">
        <v>768</v>
      </c>
      <c r="J89" s="16"/>
      <c r="K89" s="16" t="s">
        <v>101</v>
      </c>
      <c r="L89" s="37"/>
      <c r="M89" s="37"/>
      <c r="N89" s="37"/>
      <c r="O89" s="37"/>
      <c r="P89" s="37"/>
      <c r="Q89" s="18">
        <v>1.0769880000000001</v>
      </c>
      <c r="R89" s="18">
        <v>7.3430999999999991E-3</v>
      </c>
      <c r="S89" s="18">
        <v>2.0560679999999998</v>
      </c>
      <c r="T89" s="18">
        <v>8.8117199999999993</v>
      </c>
      <c r="U89" s="18">
        <v>4.4058599999999997</v>
      </c>
      <c r="V89" s="18">
        <v>56.395007999999997</v>
      </c>
      <c r="W89" s="18">
        <v>52.87032</v>
      </c>
      <c r="X89" s="18">
        <v>35.246879999999997</v>
      </c>
      <c r="Y89" s="18">
        <v>1.5665279999999999</v>
      </c>
      <c r="Z89" s="18">
        <v>6.9514679999999993</v>
      </c>
      <c r="AA89" s="18">
        <v>10.182431999999999</v>
      </c>
      <c r="AB89" s="18">
        <v>18.11298</v>
      </c>
      <c r="AC89" s="18">
        <v>5.580756</v>
      </c>
      <c r="AD89" s="18">
        <v>29.372399999999999</v>
      </c>
    </row>
    <row r="90" spans="2:30" x14ac:dyDescent="0.25">
      <c r="B90" t="s">
        <v>770</v>
      </c>
      <c r="C90" t="s">
        <v>570</v>
      </c>
      <c r="D90">
        <v>1.3</v>
      </c>
      <c r="E90" s="35">
        <v>2.1943549999999998</v>
      </c>
      <c r="F90" s="35">
        <v>40.840000000000003</v>
      </c>
      <c r="G90" s="36">
        <v>4.4809000000000002E-2</v>
      </c>
      <c r="H90" s="18">
        <v>116.50270399999999</v>
      </c>
      <c r="I90" s="16" t="s">
        <v>768</v>
      </c>
      <c r="J90" s="16"/>
      <c r="K90" s="16" t="s">
        <v>101</v>
      </c>
      <c r="L90" s="37"/>
      <c r="M90" s="37"/>
      <c r="N90" s="37"/>
      <c r="O90" s="37"/>
      <c r="P90" s="37"/>
      <c r="Q90" s="18">
        <v>0.49289900000000003</v>
      </c>
      <c r="R90" s="18">
        <v>3.360675E-3</v>
      </c>
      <c r="S90" s="18">
        <v>0.94098900000000008</v>
      </c>
      <c r="T90" s="18">
        <v>4.0328100000000004</v>
      </c>
      <c r="U90" s="18">
        <v>2.0164050000000002</v>
      </c>
      <c r="V90" s="18">
        <v>25.809984</v>
      </c>
      <c r="W90" s="18">
        <v>24.196860000000001</v>
      </c>
      <c r="X90" s="18">
        <v>16.131240000000002</v>
      </c>
      <c r="Y90" s="18">
        <v>0.71694400000000003</v>
      </c>
      <c r="Z90" s="18">
        <v>3.1814390000000001</v>
      </c>
      <c r="AA90" s="18">
        <v>4.6601360000000005</v>
      </c>
      <c r="AB90" s="18">
        <v>8.2896650000000012</v>
      </c>
      <c r="AC90" s="18">
        <v>2.5541130000000001</v>
      </c>
      <c r="AD90" s="18">
        <v>13.4427</v>
      </c>
    </row>
    <row r="91" spans="2:30" x14ac:dyDescent="0.25">
      <c r="B91" t="s">
        <v>770</v>
      </c>
      <c r="C91" t="s">
        <v>570</v>
      </c>
      <c r="D91">
        <v>1.3</v>
      </c>
      <c r="E91" s="35">
        <v>0.76663499999999996</v>
      </c>
      <c r="F91" s="35">
        <v>40.840000000000003</v>
      </c>
      <c r="G91" s="36">
        <v>1.5654999999999999E-2</v>
      </c>
      <c r="H91" s="18">
        <v>40.702210000000001</v>
      </c>
      <c r="I91" s="16" t="s">
        <v>768</v>
      </c>
      <c r="J91" s="16"/>
      <c r="K91" s="16" t="s">
        <v>101</v>
      </c>
      <c r="L91" s="37"/>
      <c r="M91" s="37"/>
      <c r="N91" s="37"/>
      <c r="O91" s="37"/>
      <c r="P91" s="37"/>
      <c r="Q91" s="18">
        <v>0.172205</v>
      </c>
      <c r="R91" s="18">
        <v>1.1741249999999998E-3</v>
      </c>
      <c r="S91" s="18">
        <v>0.32875499999999996</v>
      </c>
      <c r="T91" s="18">
        <v>1.4089499999999999</v>
      </c>
      <c r="U91" s="18">
        <v>0.70447499999999996</v>
      </c>
      <c r="V91" s="18">
        <v>9.0172799999999995</v>
      </c>
      <c r="W91" s="18">
        <v>8.4536999999999995</v>
      </c>
      <c r="X91" s="18">
        <v>5.6357999999999997</v>
      </c>
      <c r="Y91" s="18">
        <v>0.25047999999999998</v>
      </c>
      <c r="Z91" s="18">
        <v>1.111505</v>
      </c>
      <c r="AA91" s="18">
        <v>1.6281199999999998</v>
      </c>
      <c r="AB91" s="18">
        <v>2.8961749999999999</v>
      </c>
      <c r="AC91" s="18">
        <v>0.89233499999999988</v>
      </c>
      <c r="AD91" s="18">
        <v>4.6964999999999995</v>
      </c>
    </row>
    <row r="92" spans="2:30" x14ac:dyDescent="0.25">
      <c r="B92" t="s">
        <v>770</v>
      </c>
      <c r="C92" t="s">
        <v>570</v>
      </c>
      <c r="D92">
        <v>1.3</v>
      </c>
      <c r="E92" s="35">
        <v>1.1747860000000001</v>
      </c>
      <c r="F92" s="35">
        <v>40.840000000000003</v>
      </c>
      <c r="G92" s="36">
        <v>2.3989E-2</v>
      </c>
      <c r="H92" s="18">
        <v>62.371713</v>
      </c>
      <c r="I92" s="16" t="s">
        <v>768</v>
      </c>
      <c r="J92" s="16"/>
      <c r="K92" s="16" t="s">
        <v>101</v>
      </c>
      <c r="L92" s="37"/>
      <c r="M92" s="37"/>
      <c r="N92" s="37"/>
      <c r="O92" s="37"/>
      <c r="P92" s="37"/>
      <c r="Q92" s="18">
        <v>0.26387899999999997</v>
      </c>
      <c r="R92" s="18">
        <v>1.7991749999999999E-3</v>
      </c>
      <c r="S92" s="18">
        <v>0.50376900000000002</v>
      </c>
      <c r="T92" s="18">
        <v>2.1590099999999999</v>
      </c>
      <c r="U92" s="18">
        <v>1.0795049999999999</v>
      </c>
      <c r="V92" s="18">
        <v>13.817664000000001</v>
      </c>
      <c r="W92" s="18">
        <v>12.95406</v>
      </c>
      <c r="X92" s="18">
        <v>8.6360399999999995</v>
      </c>
      <c r="Y92" s="18">
        <v>0.383824</v>
      </c>
      <c r="Z92" s="18">
        <v>1.703219</v>
      </c>
      <c r="AA92" s="18">
        <v>2.494856</v>
      </c>
      <c r="AB92" s="18">
        <v>4.4379650000000002</v>
      </c>
      <c r="AC92" s="18">
        <v>1.3673729999999999</v>
      </c>
      <c r="AD92" s="18">
        <v>7.1966999999999999</v>
      </c>
    </row>
    <row r="93" spans="2:30" x14ac:dyDescent="0.25">
      <c r="B93" t="s">
        <v>770</v>
      </c>
      <c r="C93" t="s">
        <v>570</v>
      </c>
      <c r="D93">
        <v>1.3</v>
      </c>
      <c r="E93" s="35">
        <v>0.686083</v>
      </c>
      <c r="F93" s="35">
        <v>40.840000000000003</v>
      </c>
      <c r="G93" s="36">
        <v>1.401E-2</v>
      </c>
      <c r="H93" s="18">
        <v>36.425528999999997</v>
      </c>
      <c r="I93" s="16" t="s">
        <v>768</v>
      </c>
      <c r="J93" s="16"/>
      <c r="K93" s="16" t="s">
        <v>101</v>
      </c>
      <c r="L93" s="37"/>
      <c r="M93" s="37"/>
      <c r="N93" s="37"/>
      <c r="O93" s="37"/>
      <c r="P93" s="37"/>
      <c r="Q93" s="18">
        <v>0.15411</v>
      </c>
      <c r="R93" s="18">
        <v>1.05075E-3</v>
      </c>
      <c r="S93" s="18">
        <v>0.29420999999999997</v>
      </c>
      <c r="T93" s="18">
        <v>1.2608999999999999</v>
      </c>
      <c r="U93" s="18">
        <v>0.63044999999999995</v>
      </c>
      <c r="V93" s="18">
        <v>8.0697600000000005</v>
      </c>
      <c r="W93" s="18">
        <v>7.5654000000000003</v>
      </c>
      <c r="X93" s="18">
        <v>5.0435999999999996</v>
      </c>
      <c r="Y93" s="18">
        <v>0.22416</v>
      </c>
      <c r="Z93" s="18">
        <v>0.99470999999999998</v>
      </c>
      <c r="AA93" s="18">
        <v>1.4570399999999999</v>
      </c>
      <c r="AB93" s="18">
        <v>2.59185</v>
      </c>
      <c r="AC93" s="18">
        <v>0.79857</v>
      </c>
      <c r="AD93" s="18">
        <v>4.2030000000000003</v>
      </c>
    </row>
    <row r="94" spans="2:30" x14ac:dyDescent="0.25">
      <c r="B94" t="s">
        <v>770</v>
      </c>
      <c r="C94" t="s">
        <v>570</v>
      </c>
      <c r="D94">
        <v>1.3</v>
      </c>
      <c r="E94" s="35">
        <v>0.686083</v>
      </c>
      <c r="F94" s="35">
        <v>40.840000000000003</v>
      </c>
      <c r="G94" s="36">
        <v>1.401E-2</v>
      </c>
      <c r="H94" s="18">
        <v>36.425528999999997</v>
      </c>
      <c r="I94" s="16" t="s">
        <v>768</v>
      </c>
      <c r="J94" s="16"/>
      <c r="K94" s="16" t="s">
        <v>101</v>
      </c>
      <c r="L94" s="37"/>
      <c r="M94" s="37"/>
      <c r="N94" s="37"/>
      <c r="O94" s="37"/>
      <c r="P94" s="37"/>
      <c r="Q94" s="18">
        <v>0.15411</v>
      </c>
      <c r="R94" s="18">
        <v>1.05075E-3</v>
      </c>
      <c r="S94" s="18">
        <v>0.29420999999999997</v>
      </c>
      <c r="T94" s="18">
        <v>1.2608999999999999</v>
      </c>
      <c r="U94" s="18">
        <v>0.63044999999999995</v>
      </c>
      <c r="V94" s="18">
        <v>8.0697600000000005</v>
      </c>
      <c r="W94" s="18">
        <v>7.5654000000000003</v>
      </c>
      <c r="X94" s="18">
        <v>5.0435999999999996</v>
      </c>
      <c r="Y94" s="18">
        <v>0.22416</v>
      </c>
      <c r="Z94" s="18">
        <v>0.99470999999999998</v>
      </c>
      <c r="AA94" s="18">
        <v>1.4570399999999999</v>
      </c>
      <c r="AB94" s="18">
        <v>2.59185</v>
      </c>
      <c r="AC94" s="18">
        <v>0.79857</v>
      </c>
      <c r="AD94" s="18">
        <v>4.2030000000000003</v>
      </c>
    </row>
    <row r="95" spans="2:30" x14ac:dyDescent="0.25">
      <c r="B95" t="s">
        <v>770</v>
      </c>
      <c r="C95" t="s">
        <v>570</v>
      </c>
      <c r="D95">
        <v>1.3</v>
      </c>
      <c r="E95" s="35">
        <v>0.686083</v>
      </c>
      <c r="F95" s="35">
        <v>40.840000000000003</v>
      </c>
      <c r="G95" s="36">
        <v>1.401E-2</v>
      </c>
      <c r="H95" s="18">
        <v>36.425528999999997</v>
      </c>
      <c r="I95" s="16" t="s">
        <v>768</v>
      </c>
      <c r="J95" s="16"/>
      <c r="K95" s="16" t="s">
        <v>101</v>
      </c>
      <c r="L95" s="37"/>
      <c r="M95" s="37"/>
      <c r="N95" s="37"/>
      <c r="O95" s="37"/>
      <c r="P95" s="37"/>
      <c r="Q95" s="18">
        <v>0.15411</v>
      </c>
      <c r="R95" s="18">
        <v>1.05075E-3</v>
      </c>
      <c r="S95" s="18">
        <v>0.29420999999999997</v>
      </c>
      <c r="T95" s="18">
        <v>1.2608999999999999</v>
      </c>
      <c r="U95" s="18">
        <v>0.63044999999999995</v>
      </c>
      <c r="V95" s="18">
        <v>8.0697600000000005</v>
      </c>
      <c r="W95" s="18">
        <v>7.5654000000000003</v>
      </c>
      <c r="X95" s="18">
        <v>5.0435999999999996</v>
      </c>
      <c r="Y95" s="18">
        <v>0.22416</v>
      </c>
      <c r="Z95" s="18">
        <v>0.99470999999999998</v>
      </c>
      <c r="AA95" s="18">
        <v>1.4570399999999999</v>
      </c>
      <c r="AB95" s="18">
        <v>2.59185</v>
      </c>
      <c r="AC95" s="18">
        <v>0.79857</v>
      </c>
      <c r="AD95" s="18">
        <v>4.2030000000000003</v>
      </c>
    </row>
    <row r="96" spans="2:30" x14ac:dyDescent="0.25">
      <c r="B96" t="s">
        <v>770</v>
      </c>
      <c r="C96" t="s">
        <v>570</v>
      </c>
      <c r="D96">
        <v>1.3</v>
      </c>
      <c r="E96" s="35">
        <v>0.686083</v>
      </c>
      <c r="F96" s="35">
        <v>40.840000000000003</v>
      </c>
      <c r="G96" s="36">
        <v>1.401E-2</v>
      </c>
      <c r="H96" s="18">
        <v>36.425528999999997</v>
      </c>
      <c r="I96" s="16" t="s">
        <v>768</v>
      </c>
      <c r="J96" s="16"/>
      <c r="K96" s="16" t="s">
        <v>101</v>
      </c>
      <c r="L96" s="37"/>
      <c r="M96" s="37"/>
      <c r="N96" s="37"/>
      <c r="O96" s="37"/>
      <c r="P96" s="37"/>
      <c r="Q96" s="18">
        <v>0.15411</v>
      </c>
      <c r="R96" s="18">
        <v>1.05075E-3</v>
      </c>
      <c r="S96" s="18">
        <v>0.29420999999999997</v>
      </c>
      <c r="T96" s="18">
        <v>1.2608999999999999</v>
      </c>
      <c r="U96" s="18">
        <v>0.63044999999999995</v>
      </c>
      <c r="V96" s="18">
        <v>8.0697600000000005</v>
      </c>
      <c r="W96" s="18">
        <v>7.5654000000000003</v>
      </c>
      <c r="X96" s="18">
        <v>5.0435999999999996</v>
      </c>
      <c r="Y96" s="18">
        <v>0.22416</v>
      </c>
      <c r="Z96" s="18">
        <v>0.99470999999999998</v>
      </c>
      <c r="AA96" s="18">
        <v>1.4570399999999999</v>
      </c>
      <c r="AB96" s="18">
        <v>2.59185</v>
      </c>
      <c r="AC96" s="18">
        <v>0.79857</v>
      </c>
      <c r="AD96" s="18">
        <v>4.2030000000000003</v>
      </c>
    </row>
    <row r="97" spans="2:30" x14ac:dyDescent="0.25">
      <c r="B97" t="s">
        <v>770</v>
      </c>
      <c r="C97" t="s">
        <v>570</v>
      </c>
      <c r="D97">
        <v>1.3</v>
      </c>
      <c r="E97" s="35">
        <v>0.86763100000000004</v>
      </c>
      <c r="F97" s="35">
        <v>40.840000000000003</v>
      </c>
      <c r="G97" s="36">
        <v>1.7717E-2</v>
      </c>
      <c r="H97" s="18">
        <v>46.064284000000001</v>
      </c>
      <c r="I97" s="16" t="s">
        <v>768</v>
      </c>
      <c r="J97" s="16"/>
      <c r="K97" s="16" t="s">
        <v>101</v>
      </c>
      <c r="L97" s="37"/>
      <c r="M97" s="37"/>
      <c r="N97" s="37"/>
      <c r="O97" s="37"/>
      <c r="P97" s="37"/>
      <c r="Q97" s="18">
        <v>0.194887</v>
      </c>
      <c r="R97" s="18">
        <v>1.3287749999999999E-3</v>
      </c>
      <c r="S97" s="18">
        <v>0.37205700000000003</v>
      </c>
      <c r="T97" s="18">
        <v>1.59453</v>
      </c>
      <c r="U97" s="18">
        <v>0.797265</v>
      </c>
      <c r="V97" s="18">
        <v>10.204992000000001</v>
      </c>
      <c r="W97" s="18">
        <v>9.5671800000000005</v>
      </c>
      <c r="X97" s="18">
        <v>6.37812</v>
      </c>
      <c r="Y97" s="18">
        <v>0.283472</v>
      </c>
      <c r="Z97" s="18">
        <v>1.2579070000000001</v>
      </c>
      <c r="AA97" s="18">
        <v>1.842568</v>
      </c>
      <c r="AB97" s="18">
        <v>3.2776450000000001</v>
      </c>
      <c r="AC97" s="18">
        <v>1.0098689999999999</v>
      </c>
      <c r="AD97" s="18">
        <v>5.3151000000000002</v>
      </c>
    </row>
    <row r="98" spans="2:30" x14ac:dyDescent="0.25">
      <c r="B98" t="s">
        <v>770</v>
      </c>
      <c r="C98" t="s">
        <v>570</v>
      </c>
      <c r="D98">
        <v>1.3</v>
      </c>
      <c r="E98" s="35">
        <v>1.1507529999999999</v>
      </c>
      <c r="F98" s="35">
        <v>40.840000000000003</v>
      </c>
      <c r="G98" s="36">
        <v>2.3498000000000002E-2</v>
      </c>
      <c r="H98" s="18">
        <v>61.095787999999999</v>
      </c>
      <c r="I98" s="16" t="s">
        <v>768</v>
      </c>
      <c r="J98" s="16"/>
      <c r="K98" s="16" t="s">
        <v>101</v>
      </c>
      <c r="L98" s="37"/>
      <c r="M98" s="37"/>
      <c r="N98" s="37"/>
      <c r="O98" s="37"/>
      <c r="P98" s="37"/>
      <c r="Q98" s="18">
        <v>0.25847800000000004</v>
      </c>
      <c r="R98" s="18">
        <v>1.76235E-3</v>
      </c>
      <c r="S98" s="18">
        <v>0.49345800000000001</v>
      </c>
      <c r="T98" s="18">
        <v>2.1148199999999999</v>
      </c>
      <c r="U98" s="18">
        <v>1.05741</v>
      </c>
      <c r="V98" s="18">
        <v>13.534848</v>
      </c>
      <c r="W98" s="18">
        <v>12.688920000000001</v>
      </c>
      <c r="X98" s="18">
        <v>8.4592799999999997</v>
      </c>
      <c r="Y98" s="18">
        <v>0.37596800000000002</v>
      </c>
      <c r="Z98" s="18">
        <v>1.668358</v>
      </c>
      <c r="AA98" s="18">
        <v>2.4437920000000002</v>
      </c>
      <c r="AB98" s="18">
        <v>4.3471299999999999</v>
      </c>
      <c r="AC98" s="18">
        <v>1.3393860000000002</v>
      </c>
      <c r="AD98" s="18">
        <v>7.0494000000000003</v>
      </c>
    </row>
    <row r="99" spans="2:30" x14ac:dyDescent="0.25">
      <c r="B99" t="s">
        <v>770</v>
      </c>
      <c r="C99" t="s">
        <v>570</v>
      </c>
      <c r="D99">
        <v>1.3</v>
      </c>
      <c r="E99" s="35">
        <v>0.45831499999999997</v>
      </c>
      <c r="F99" s="35">
        <v>40.840000000000003</v>
      </c>
      <c r="G99" s="36">
        <v>9.3589999999999993E-3</v>
      </c>
      <c r="H99" s="18">
        <v>24.332843</v>
      </c>
      <c r="I99" s="16" t="s">
        <v>768</v>
      </c>
      <c r="J99" s="16"/>
      <c r="K99" s="16" t="s">
        <v>101</v>
      </c>
      <c r="L99" s="37"/>
      <c r="M99" s="37"/>
      <c r="N99" s="37"/>
      <c r="O99" s="37"/>
      <c r="P99" s="37"/>
      <c r="Q99" s="18">
        <v>0.10294899999999998</v>
      </c>
      <c r="R99" s="18">
        <v>7.0192499999999994E-4</v>
      </c>
      <c r="S99" s="18">
        <v>0.19653899999999999</v>
      </c>
      <c r="T99" s="18">
        <v>0.84230999999999989</v>
      </c>
      <c r="U99" s="18">
        <v>0.42115499999999995</v>
      </c>
      <c r="V99" s="18">
        <v>5.390784</v>
      </c>
      <c r="W99" s="18">
        <v>5.0538599999999994</v>
      </c>
      <c r="X99" s="18">
        <v>3.3692399999999996</v>
      </c>
      <c r="Y99" s="18">
        <v>0.14974399999999999</v>
      </c>
      <c r="Z99" s="18">
        <v>0.664489</v>
      </c>
      <c r="AA99" s="18">
        <v>0.97333599999999998</v>
      </c>
      <c r="AB99" s="18">
        <v>1.7314149999999999</v>
      </c>
      <c r="AC99" s="18">
        <v>0.53346299999999991</v>
      </c>
      <c r="AD99" s="18">
        <v>2.8076999999999996</v>
      </c>
    </row>
    <row r="100" spans="2:30" x14ac:dyDescent="0.25">
      <c r="B100" t="s">
        <v>770</v>
      </c>
      <c r="C100" t="s">
        <v>570</v>
      </c>
      <c r="D100">
        <v>1.3</v>
      </c>
      <c r="E100" s="35">
        <v>0.93196199999999996</v>
      </c>
      <c r="F100" s="35">
        <v>40.840000000000003</v>
      </c>
      <c r="G100" s="36">
        <v>1.9030999999999999E-2</v>
      </c>
      <c r="H100" s="18">
        <v>49.479731000000001</v>
      </c>
      <c r="I100" s="16" t="s">
        <v>768</v>
      </c>
      <c r="J100" s="16"/>
      <c r="K100" s="16" t="s">
        <v>101</v>
      </c>
      <c r="L100" s="37"/>
      <c r="M100" s="37"/>
      <c r="N100" s="37"/>
      <c r="O100" s="37"/>
      <c r="P100" s="37"/>
      <c r="Q100" s="18">
        <v>0.209341</v>
      </c>
      <c r="R100" s="18">
        <v>1.4273249999999999E-3</v>
      </c>
      <c r="S100" s="18">
        <v>0.39965099999999998</v>
      </c>
      <c r="T100" s="18">
        <v>1.71279</v>
      </c>
      <c r="U100" s="18">
        <v>0.85639500000000002</v>
      </c>
      <c r="V100" s="18">
        <v>10.961855999999999</v>
      </c>
      <c r="W100" s="18">
        <v>10.27674</v>
      </c>
      <c r="X100" s="18">
        <v>6.8511600000000001</v>
      </c>
      <c r="Y100" s="18">
        <v>0.30449599999999999</v>
      </c>
      <c r="Z100" s="18">
        <v>1.3512009999999999</v>
      </c>
      <c r="AA100" s="18">
        <v>1.9792239999999999</v>
      </c>
      <c r="AB100" s="18">
        <v>3.5207349999999997</v>
      </c>
      <c r="AC100" s="18">
        <v>1.084767</v>
      </c>
      <c r="AD100" s="18">
        <v>5.7092999999999998</v>
      </c>
    </row>
    <row r="101" spans="2:30" x14ac:dyDescent="0.25">
      <c r="B101" t="s">
        <v>770</v>
      </c>
      <c r="C101" t="s">
        <v>570</v>
      </c>
      <c r="D101">
        <v>1.3</v>
      </c>
      <c r="E101" s="35">
        <v>0.48331400000000002</v>
      </c>
      <c r="F101" s="35">
        <v>40.840000000000003</v>
      </c>
      <c r="G101" s="36">
        <v>9.8689999999999993E-3</v>
      </c>
      <c r="H101" s="18">
        <v>25.660088999999999</v>
      </c>
      <c r="I101" s="16" t="s">
        <v>768</v>
      </c>
      <c r="J101" s="16"/>
      <c r="K101" s="16" t="s">
        <v>101</v>
      </c>
      <c r="L101" s="37"/>
      <c r="M101" s="37"/>
      <c r="N101" s="37"/>
      <c r="O101" s="37"/>
      <c r="P101" s="37"/>
      <c r="Q101" s="18">
        <v>0.10855899999999999</v>
      </c>
      <c r="R101" s="18">
        <v>7.4017499999999993E-4</v>
      </c>
      <c r="S101" s="18">
        <v>0.20724899999999999</v>
      </c>
      <c r="T101" s="18">
        <v>0.88820999999999994</v>
      </c>
      <c r="U101" s="18">
        <v>0.44410499999999997</v>
      </c>
      <c r="V101" s="18">
        <v>5.6845439999999998</v>
      </c>
      <c r="W101" s="18">
        <v>5.3292599999999997</v>
      </c>
      <c r="X101" s="18">
        <v>3.5528399999999998</v>
      </c>
      <c r="Y101" s="18">
        <v>0.15790399999999999</v>
      </c>
      <c r="Z101" s="18">
        <v>0.70069899999999996</v>
      </c>
      <c r="AA101" s="18">
        <v>1.026376</v>
      </c>
      <c r="AB101" s="18">
        <v>1.8257649999999999</v>
      </c>
      <c r="AC101" s="18">
        <v>0.56253299999999995</v>
      </c>
      <c r="AD101" s="18">
        <v>2.9606999999999997</v>
      </c>
    </row>
    <row r="102" spans="2:30" x14ac:dyDescent="0.25">
      <c r="B102" t="s">
        <v>770</v>
      </c>
      <c r="C102" t="s">
        <v>570</v>
      </c>
      <c r="D102">
        <v>1.3</v>
      </c>
      <c r="E102" s="35">
        <v>0.686083</v>
      </c>
      <c r="F102" s="35">
        <v>40.840000000000003</v>
      </c>
      <c r="G102" s="36">
        <v>1.401E-2</v>
      </c>
      <c r="H102" s="18">
        <v>36.425528999999997</v>
      </c>
      <c r="I102" s="16" t="s">
        <v>768</v>
      </c>
      <c r="J102" s="16"/>
      <c r="K102" s="16" t="s">
        <v>101</v>
      </c>
      <c r="L102" s="37"/>
      <c r="M102" s="37"/>
      <c r="N102" s="37"/>
      <c r="O102" s="37"/>
      <c r="P102" s="37"/>
      <c r="Q102" s="18">
        <v>0.15411</v>
      </c>
      <c r="R102" s="18">
        <v>1.05075E-3</v>
      </c>
      <c r="S102" s="18">
        <v>0.29420999999999997</v>
      </c>
      <c r="T102" s="18">
        <v>1.2608999999999999</v>
      </c>
      <c r="U102" s="18">
        <v>0.63044999999999995</v>
      </c>
      <c r="V102" s="18">
        <v>8.0697600000000005</v>
      </c>
      <c r="W102" s="18">
        <v>7.5654000000000003</v>
      </c>
      <c r="X102" s="18">
        <v>5.0435999999999996</v>
      </c>
      <c r="Y102" s="18">
        <v>0.22416</v>
      </c>
      <c r="Z102" s="18">
        <v>0.99470999999999998</v>
      </c>
      <c r="AA102" s="18">
        <v>1.4570399999999999</v>
      </c>
      <c r="AB102" s="18">
        <v>2.59185</v>
      </c>
      <c r="AC102" s="18">
        <v>0.79857</v>
      </c>
      <c r="AD102" s="18">
        <v>4.2030000000000003</v>
      </c>
    </row>
    <row r="103" spans="2:30" x14ac:dyDescent="0.25">
      <c r="B103" t="s">
        <v>770</v>
      </c>
      <c r="C103" t="s">
        <v>570</v>
      </c>
      <c r="D103">
        <v>1.3</v>
      </c>
      <c r="E103" s="35">
        <v>0.73885900000000004</v>
      </c>
      <c r="F103" s="35">
        <v>40.840000000000003</v>
      </c>
      <c r="G103" s="36">
        <v>1.5087E-2</v>
      </c>
      <c r="H103" s="18">
        <v>39.227493000000003</v>
      </c>
      <c r="I103" s="16" t="s">
        <v>768</v>
      </c>
      <c r="J103" s="16"/>
      <c r="K103" s="16" t="s">
        <v>101</v>
      </c>
      <c r="L103" s="37"/>
      <c r="M103" s="37"/>
      <c r="N103" s="37"/>
      <c r="O103" s="37"/>
      <c r="P103" s="37"/>
      <c r="Q103" s="18">
        <v>0.16595699999999999</v>
      </c>
      <c r="R103" s="18">
        <v>1.131525E-3</v>
      </c>
      <c r="S103" s="18">
        <v>0.31682699999999997</v>
      </c>
      <c r="T103" s="18">
        <v>1.3578299999999999</v>
      </c>
      <c r="U103" s="18">
        <v>0.67891499999999994</v>
      </c>
      <c r="V103" s="18">
        <v>8.6901119999999992</v>
      </c>
      <c r="W103" s="18">
        <v>8.1469799999999992</v>
      </c>
      <c r="X103" s="18">
        <v>5.4313199999999995</v>
      </c>
      <c r="Y103" s="18">
        <v>0.241392</v>
      </c>
      <c r="Z103" s="18">
        <v>1.071177</v>
      </c>
      <c r="AA103" s="18">
        <v>1.569048</v>
      </c>
      <c r="AB103" s="18">
        <v>2.7910949999999999</v>
      </c>
      <c r="AC103" s="18">
        <v>0.85995900000000003</v>
      </c>
      <c r="AD103" s="18">
        <v>4.5260999999999996</v>
      </c>
    </row>
    <row r="104" spans="2:30" x14ac:dyDescent="0.25">
      <c r="B104" t="s">
        <v>770</v>
      </c>
      <c r="C104" t="s">
        <v>570</v>
      </c>
      <c r="D104">
        <v>1.3</v>
      </c>
      <c r="E104" s="35">
        <v>9.1662999999999994E-2</v>
      </c>
      <c r="F104" s="35">
        <v>40.840000000000003</v>
      </c>
      <c r="G104" s="36">
        <v>1.872E-3</v>
      </c>
      <c r="H104" s="18">
        <v>4.8665690000000001</v>
      </c>
      <c r="I104" s="16" t="s">
        <v>768</v>
      </c>
      <c r="J104" s="16"/>
      <c r="K104" s="16" t="s">
        <v>101</v>
      </c>
      <c r="L104" s="37"/>
      <c r="M104" s="37"/>
      <c r="N104" s="37"/>
      <c r="O104" s="37"/>
      <c r="P104" s="37"/>
      <c r="Q104" s="18">
        <v>2.0591999999999999E-2</v>
      </c>
      <c r="R104" s="18">
        <v>1.404E-4</v>
      </c>
      <c r="S104" s="18">
        <v>3.9312E-2</v>
      </c>
      <c r="T104" s="18">
        <v>0.16847999999999999</v>
      </c>
      <c r="U104" s="18">
        <v>8.4239999999999995E-2</v>
      </c>
      <c r="V104" s="18">
        <v>1.0782719999999999</v>
      </c>
      <c r="W104" s="18">
        <v>1.01088</v>
      </c>
      <c r="X104" s="18">
        <v>0.67391999999999996</v>
      </c>
      <c r="Y104" s="18">
        <v>2.9951999999999999E-2</v>
      </c>
      <c r="Z104" s="18">
        <v>0.132912</v>
      </c>
      <c r="AA104" s="18">
        <v>0.194688</v>
      </c>
      <c r="AB104" s="18">
        <v>0.34632000000000002</v>
      </c>
      <c r="AC104" s="18">
        <v>0.10670399999999999</v>
      </c>
      <c r="AD104" s="18">
        <v>0.56159999999999999</v>
      </c>
    </row>
    <row r="105" spans="2:30" x14ac:dyDescent="0.25">
      <c r="B105" t="s">
        <v>770</v>
      </c>
      <c r="C105">
        <v>1.5</v>
      </c>
      <c r="D105">
        <v>1.3</v>
      </c>
      <c r="E105" s="35">
        <v>2.25</v>
      </c>
      <c r="F105" s="35">
        <v>122.52</v>
      </c>
      <c r="G105" s="36">
        <v>0.13783500000000001</v>
      </c>
      <c r="H105" s="18">
        <v>358.37099999999998</v>
      </c>
      <c r="I105" s="16" t="s">
        <v>771</v>
      </c>
      <c r="J105" s="16"/>
      <c r="K105" s="16" t="s">
        <v>772</v>
      </c>
      <c r="L105" s="37"/>
      <c r="M105" s="37"/>
      <c r="N105" s="37"/>
      <c r="O105" s="37"/>
      <c r="P105" s="37"/>
      <c r="Q105" s="18">
        <v>1.5161850000000001</v>
      </c>
      <c r="R105" s="18">
        <v>1.0337625000000001E-2</v>
      </c>
      <c r="S105" s="18">
        <v>2.8945350000000003</v>
      </c>
      <c r="T105" s="18">
        <v>12.405150000000001</v>
      </c>
      <c r="U105" s="18">
        <v>6.2025750000000004</v>
      </c>
      <c r="V105" s="18">
        <v>79.392960000000002</v>
      </c>
      <c r="W105" s="18">
        <v>74.430900000000008</v>
      </c>
      <c r="X105" s="18">
        <v>49.620600000000003</v>
      </c>
      <c r="Y105" s="18">
        <v>2.2053600000000002</v>
      </c>
      <c r="Z105" s="18">
        <v>9.7862850000000012</v>
      </c>
      <c r="AA105" s="18">
        <v>14.334840000000002</v>
      </c>
      <c r="AB105" s="18">
        <v>25.499475000000004</v>
      </c>
      <c r="AC105" s="18">
        <v>7.8565950000000004</v>
      </c>
      <c r="AD105" s="18">
        <v>41.350500000000004</v>
      </c>
    </row>
    <row r="106" spans="2:30" x14ac:dyDescent="0.25">
      <c r="B106" t="s">
        <v>770</v>
      </c>
      <c r="C106">
        <v>1.5</v>
      </c>
      <c r="D106">
        <v>1.3</v>
      </c>
      <c r="E106" s="35">
        <v>2.25</v>
      </c>
      <c r="F106" s="35">
        <v>122.52</v>
      </c>
      <c r="G106" s="36">
        <v>0.13783500000000001</v>
      </c>
      <c r="H106" s="18">
        <v>358.37099999999998</v>
      </c>
      <c r="I106" s="16" t="s">
        <v>771</v>
      </c>
      <c r="J106" s="16"/>
      <c r="K106" s="16" t="s">
        <v>772</v>
      </c>
      <c r="L106" s="37"/>
      <c r="M106" s="37"/>
      <c r="N106" s="37"/>
      <c r="O106" s="37"/>
      <c r="P106" s="37"/>
      <c r="Q106" s="18">
        <v>1.5161850000000001</v>
      </c>
      <c r="R106" s="18">
        <v>1.0337625000000001E-2</v>
      </c>
      <c r="S106" s="18">
        <v>2.8945350000000003</v>
      </c>
      <c r="T106" s="18">
        <v>12.405150000000001</v>
      </c>
      <c r="U106" s="18">
        <v>6.2025750000000004</v>
      </c>
      <c r="V106" s="18">
        <v>79.392960000000002</v>
      </c>
      <c r="W106" s="18">
        <v>74.430900000000008</v>
      </c>
      <c r="X106" s="18">
        <v>49.620600000000003</v>
      </c>
      <c r="Y106" s="18">
        <v>2.2053600000000002</v>
      </c>
      <c r="Z106" s="18">
        <v>9.7862850000000012</v>
      </c>
      <c r="AA106" s="18">
        <v>14.334840000000002</v>
      </c>
      <c r="AB106" s="18">
        <v>25.499475000000004</v>
      </c>
      <c r="AC106" s="18">
        <v>7.8565950000000004</v>
      </c>
      <c r="AD106" s="18">
        <v>41.350500000000004</v>
      </c>
    </row>
    <row r="107" spans="2:30" x14ac:dyDescent="0.25">
      <c r="B107" t="s">
        <v>770</v>
      </c>
      <c r="C107">
        <v>1.5</v>
      </c>
      <c r="D107">
        <v>1.3</v>
      </c>
      <c r="E107" s="35">
        <v>2.25</v>
      </c>
      <c r="F107" s="35">
        <v>122.52</v>
      </c>
      <c r="G107" s="36">
        <v>0.13783500000000001</v>
      </c>
      <c r="H107" s="18">
        <v>358.37099999999998</v>
      </c>
      <c r="I107" s="16" t="s">
        <v>771</v>
      </c>
      <c r="J107" s="16"/>
      <c r="K107" s="16" t="s">
        <v>772</v>
      </c>
      <c r="L107" s="37"/>
      <c r="M107" s="37"/>
      <c r="N107" s="37"/>
      <c r="O107" s="37"/>
      <c r="P107" s="37"/>
      <c r="Q107" s="18">
        <v>1.5161850000000001</v>
      </c>
      <c r="R107" s="18">
        <v>1.0337625000000001E-2</v>
      </c>
      <c r="S107" s="18">
        <v>2.8945350000000003</v>
      </c>
      <c r="T107" s="18">
        <v>12.405150000000001</v>
      </c>
      <c r="U107" s="18">
        <v>6.2025750000000004</v>
      </c>
      <c r="V107" s="18">
        <v>79.392960000000002</v>
      </c>
      <c r="W107" s="18">
        <v>74.430900000000008</v>
      </c>
      <c r="X107" s="18">
        <v>49.620600000000003</v>
      </c>
      <c r="Y107" s="18">
        <v>2.2053600000000002</v>
      </c>
      <c r="Z107" s="18">
        <v>9.7862850000000012</v>
      </c>
      <c r="AA107" s="18">
        <v>14.334840000000002</v>
      </c>
      <c r="AB107" s="18">
        <v>25.499475000000004</v>
      </c>
      <c r="AC107" s="18">
        <v>7.8565950000000004</v>
      </c>
      <c r="AD107" s="18">
        <v>41.350500000000004</v>
      </c>
    </row>
    <row r="108" spans="2:30" x14ac:dyDescent="0.25">
      <c r="B108" t="s">
        <v>770</v>
      </c>
      <c r="C108">
        <v>1.5</v>
      </c>
      <c r="D108">
        <v>1.3</v>
      </c>
      <c r="E108" s="35">
        <v>2.25</v>
      </c>
      <c r="F108" s="35">
        <v>122.52</v>
      </c>
      <c r="G108" s="36">
        <v>0.13783500000000001</v>
      </c>
      <c r="H108" s="18">
        <v>358.37099999999998</v>
      </c>
      <c r="I108" s="16" t="s">
        <v>771</v>
      </c>
      <c r="J108" s="16"/>
      <c r="K108" s="16" t="s">
        <v>772</v>
      </c>
      <c r="L108" s="37"/>
      <c r="M108" s="37"/>
      <c r="N108" s="37"/>
      <c r="O108" s="37"/>
      <c r="P108" s="37"/>
      <c r="Q108" s="18">
        <v>1.5161850000000001</v>
      </c>
      <c r="R108" s="18">
        <v>1.0337625000000001E-2</v>
      </c>
      <c r="S108" s="18">
        <v>2.8945350000000003</v>
      </c>
      <c r="T108" s="18">
        <v>12.405150000000001</v>
      </c>
      <c r="U108" s="18">
        <v>6.2025750000000004</v>
      </c>
      <c r="V108" s="18">
        <v>79.392960000000002</v>
      </c>
      <c r="W108" s="18">
        <v>74.430900000000008</v>
      </c>
      <c r="X108" s="18">
        <v>49.620600000000003</v>
      </c>
      <c r="Y108" s="18">
        <v>2.2053600000000002</v>
      </c>
      <c r="Z108" s="18">
        <v>9.7862850000000012</v>
      </c>
      <c r="AA108" s="18">
        <v>14.334840000000002</v>
      </c>
      <c r="AB108" s="18">
        <v>25.499475000000004</v>
      </c>
      <c r="AC108" s="18">
        <v>7.8565950000000004</v>
      </c>
      <c r="AD108" s="18">
        <v>41.350500000000004</v>
      </c>
    </row>
    <row r="109" spans="2:30" x14ac:dyDescent="0.25">
      <c r="B109" t="s">
        <v>770</v>
      </c>
      <c r="C109">
        <v>1.5</v>
      </c>
      <c r="D109">
        <v>1.3</v>
      </c>
      <c r="E109" s="35">
        <v>2.25</v>
      </c>
      <c r="F109" s="35">
        <v>122.52</v>
      </c>
      <c r="G109" s="36">
        <v>0.13783500000000001</v>
      </c>
      <c r="H109" s="18">
        <v>358.37099999999998</v>
      </c>
      <c r="I109" s="16" t="s">
        <v>771</v>
      </c>
      <c r="J109" s="16"/>
      <c r="K109" s="16" t="s">
        <v>772</v>
      </c>
      <c r="L109" s="37"/>
      <c r="M109" s="37"/>
      <c r="N109" s="37"/>
      <c r="O109" s="37"/>
      <c r="P109" s="37"/>
      <c r="Q109" s="18">
        <v>1.5161850000000001</v>
      </c>
      <c r="R109" s="18">
        <v>1.0337625000000001E-2</v>
      </c>
      <c r="S109" s="18">
        <v>2.8945350000000003</v>
      </c>
      <c r="T109" s="18">
        <v>12.405150000000001</v>
      </c>
      <c r="U109" s="18">
        <v>6.2025750000000004</v>
      </c>
      <c r="V109" s="18">
        <v>79.392960000000002</v>
      </c>
      <c r="W109" s="18">
        <v>74.430900000000008</v>
      </c>
      <c r="X109" s="18">
        <v>49.620600000000003</v>
      </c>
      <c r="Y109" s="18">
        <v>2.2053600000000002</v>
      </c>
      <c r="Z109" s="18">
        <v>9.7862850000000012</v>
      </c>
      <c r="AA109" s="18">
        <v>14.334840000000002</v>
      </c>
      <c r="AB109" s="18">
        <v>25.499475000000004</v>
      </c>
      <c r="AC109" s="18">
        <v>7.8565950000000004</v>
      </c>
      <c r="AD109" s="18">
        <v>41.350500000000004</v>
      </c>
    </row>
    <row r="110" spans="2:30" x14ac:dyDescent="0.25">
      <c r="B110" t="s">
        <v>770</v>
      </c>
      <c r="C110">
        <v>1.5</v>
      </c>
      <c r="D110">
        <v>1.3</v>
      </c>
      <c r="E110" s="35">
        <v>2.25</v>
      </c>
      <c r="F110" s="35">
        <v>122.52</v>
      </c>
      <c r="G110" s="36">
        <v>0.13783500000000001</v>
      </c>
      <c r="H110" s="18">
        <v>358.37099999999998</v>
      </c>
      <c r="I110" s="16" t="s">
        <v>771</v>
      </c>
      <c r="J110" s="16"/>
      <c r="K110" s="16" t="s">
        <v>772</v>
      </c>
      <c r="L110" s="37"/>
      <c r="M110" s="37"/>
      <c r="N110" s="37"/>
      <c r="O110" s="37"/>
      <c r="P110" s="37"/>
      <c r="Q110" s="18">
        <v>1.5161850000000001</v>
      </c>
      <c r="R110" s="18">
        <v>1.0337625000000001E-2</v>
      </c>
      <c r="S110" s="18">
        <v>2.8945350000000003</v>
      </c>
      <c r="T110" s="18">
        <v>12.405150000000001</v>
      </c>
      <c r="U110" s="18">
        <v>6.2025750000000004</v>
      </c>
      <c r="V110" s="18">
        <v>79.392960000000002</v>
      </c>
      <c r="W110" s="18">
        <v>74.430900000000008</v>
      </c>
      <c r="X110" s="18">
        <v>49.620600000000003</v>
      </c>
      <c r="Y110" s="18">
        <v>2.2053600000000002</v>
      </c>
      <c r="Z110" s="18">
        <v>9.7862850000000012</v>
      </c>
      <c r="AA110" s="18">
        <v>14.334840000000002</v>
      </c>
      <c r="AB110" s="18">
        <v>25.499475000000004</v>
      </c>
      <c r="AC110" s="18">
        <v>7.8565950000000004</v>
      </c>
      <c r="AD110" s="18">
        <v>41.350500000000004</v>
      </c>
    </row>
    <row r="111" spans="2:30" x14ac:dyDescent="0.25">
      <c r="B111" t="s">
        <v>770</v>
      </c>
      <c r="C111">
        <v>1.5</v>
      </c>
      <c r="D111">
        <v>1.3</v>
      </c>
      <c r="E111" s="35">
        <v>2.25</v>
      </c>
      <c r="F111" s="35">
        <v>122.52</v>
      </c>
      <c r="G111" s="36">
        <v>0.13783500000000001</v>
      </c>
      <c r="H111" s="18">
        <v>358.37099999999998</v>
      </c>
      <c r="I111" s="16" t="s">
        <v>771</v>
      </c>
      <c r="J111" s="16"/>
      <c r="K111" s="16" t="s">
        <v>772</v>
      </c>
      <c r="L111" s="37"/>
      <c r="M111" s="37"/>
      <c r="N111" s="37"/>
      <c r="O111" s="37"/>
      <c r="P111" s="37"/>
      <c r="Q111" s="18">
        <v>1.5161850000000001</v>
      </c>
      <c r="R111" s="18">
        <v>1.0337625000000001E-2</v>
      </c>
      <c r="S111" s="18">
        <v>2.8945350000000003</v>
      </c>
      <c r="T111" s="18">
        <v>12.405150000000001</v>
      </c>
      <c r="U111" s="18">
        <v>6.2025750000000004</v>
      </c>
      <c r="V111" s="18">
        <v>79.392960000000002</v>
      </c>
      <c r="W111" s="18">
        <v>74.430900000000008</v>
      </c>
      <c r="X111" s="18">
        <v>49.620600000000003</v>
      </c>
      <c r="Y111" s="18">
        <v>2.2053600000000002</v>
      </c>
      <c r="Z111" s="18">
        <v>9.7862850000000012</v>
      </c>
      <c r="AA111" s="18">
        <v>14.334840000000002</v>
      </c>
      <c r="AB111" s="18">
        <v>25.499475000000004</v>
      </c>
      <c r="AC111" s="18">
        <v>7.8565950000000004</v>
      </c>
      <c r="AD111" s="18">
        <v>41.350500000000004</v>
      </c>
    </row>
    <row r="112" spans="2:30" x14ac:dyDescent="0.25">
      <c r="B112" t="s">
        <v>770</v>
      </c>
      <c r="C112">
        <v>1.5</v>
      </c>
      <c r="D112">
        <v>1.3</v>
      </c>
      <c r="E112" s="35">
        <v>2.25</v>
      </c>
      <c r="F112" s="35">
        <v>122.52</v>
      </c>
      <c r="G112" s="36">
        <v>0.13783500000000001</v>
      </c>
      <c r="H112" s="18">
        <v>358.37099999999998</v>
      </c>
      <c r="I112" s="16" t="s">
        <v>771</v>
      </c>
      <c r="J112" s="16"/>
      <c r="K112" s="16" t="s">
        <v>772</v>
      </c>
      <c r="L112" s="37"/>
      <c r="M112" s="37"/>
      <c r="N112" s="37"/>
      <c r="O112" s="37"/>
      <c r="P112" s="37"/>
      <c r="Q112" s="18">
        <v>1.5161850000000001</v>
      </c>
      <c r="R112" s="18">
        <v>1.0337625000000001E-2</v>
      </c>
      <c r="S112" s="18">
        <v>2.8945350000000003</v>
      </c>
      <c r="T112" s="18">
        <v>12.405150000000001</v>
      </c>
      <c r="U112" s="18">
        <v>6.2025750000000004</v>
      </c>
      <c r="V112" s="18">
        <v>79.392960000000002</v>
      </c>
      <c r="W112" s="18">
        <v>74.430900000000008</v>
      </c>
      <c r="X112" s="18">
        <v>49.620600000000003</v>
      </c>
      <c r="Y112" s="18">
        <v>2.2053600000000002</v>
      </c>
      <c r="Z112" s="18">
        <v>9.7862850000000012</v>
      </c>
      <c r="AA112" s="18">
        <v>14.334840000000002</v>
      </c>
      <c r="AB112" s="18">
        <v>25.499475000000004</v>
      </c>
      <c r="AC112" s="18">
        <v>7.8565950000000004</v>
      </c>
      <c r="AD112" s="18">
        <v>41.350500000000004</v>
      </c>
    </row>
    <row r="113" spans="2:30" x14ac:dyDescent="0.25">
      <c r="B113" t="s">
        <v>770</v>
      </c>
      <c r="C113">
        <v>1.5</v>
      </c>
      <c r="D113">
        <v>1.3</v>
      </c>
      <c r="E113" s="35">
        <v>2.25</v>
      </c>
      <c r="F113" s="35">
        <v>122.52</v>
      </c>
      <c r="G113" s="36">
        <v>0.13783500000000001</v>
      </c>
      <c r="H113" s="18">
        <v>358.37099999999998</v>
      </c>
      <c r="I113" s="16" t="s">
        <v>771</v>
      </c>
      <c r="J113" s="16"/>
      <c r="K113" s="16" t="s">
        <v>772</v>
      </c>
      <c r="L113" s="37"/>
      <c r="M113" s="37"/>
      <c r="N113" s="37"/>
      <c r="O113" s="37"/>
      <c r="P113" s="37"/>
      <c r="Q113" s="18">
        <v>1.5161850000000001</v>
      </c>
      <c r="R113" s="18">
        <v>1.0337625000000001E-2</v>
      </c>
      <c r="S113" s="18">
        <v>2.8945350000000003</v>
      </c>
      <c r="T113" s="18">
        <v>12.405150000000001</v>
      </c>
      <c r="U113" s="18">
        <v>6.2025750000000004</v>
      </c>
      <c r="V113" s="18">
        <v>79.392960000000002</v>
      </c>
      <c r="W113" s="18">
        <v>74.430900000000008</v>
      </c>
      <c r="X113" s="18">
        <v>49.620600000000003</v>
      </c>
      <c r="Y113" s="18">
        <v>2.2053600000000002</v>
      </c>
      <c r="Z113" s="18">
        <v>9.7862850000000012</v>
      </c>
      <c r="AA113" s="18">
        <v>14.334840000000002</v>
      </c>
      <c r="AB113" s="18">
        <v>25.499475000000004</v>
      </c>
      <c r="AC113" s="18">
        <v>7.8565950000000004</v>
      </c>
      <c r="AD113" s="18">
        <v>41.350500000000004</v>
      </c>
    </row>
    <row r="114" spans="2:30" x14ac:dyDescent="0.25">
      <c r="B114" t="s">
        <v>770</v>
      </c>
      <c r="C114">
        <v>1.5</v>
      </c>
      <c r="D114">
        <v>1.3</v>
      </c>
      <c r="E114" s="35">
        <v>2.25</v>
      </c>
      <c r="F114" s="35">
        <v>122.52</v>
      </c>
      <c r="G114" s="36">
        <v>0.13783500000000001</v>
      </c>
      <c r="H114" s="18">
        <v>358.37099999999998</v>
      </c>
      <c r="I114" s="16" t="s">
        <v>771</v>
      </c>
      <c r="J114" s="16"/>
      <c r="K114" s="16" t="s">
        <v>772</v>
      </c>
      <c r="L114" s="37"/>
      <c r="M114" s="37"/>
      <c r="N114" s="37"/>
      <c r="O114" s="37"/>
      <c r="P114" s="37"/>
      <c r="Q114" s="18">
        <v>1.5161850000000001</v>
      </c>
      <c r="R114" s="18">
        <v>1.0337625000000001E-2</v>
      </c>
      <c r="S114" s="18">
        <v>2.8945350000000003</v>
      </c>
      <c r="T114" s="18">
        <v>12.405150000000001</v>
      </c>
      <c r="U114" s="18">
        <v>6.2025750000000004</v>
      </c>
      <c r="V114" s="18">
        <v>79.392960000000002</v>
      </c>
      <c r="W114" s="18">
        <v>74.430900000000008</v>
      </c>
      <c r="X114" s="18">
        <v>49.620600000000003</v>
      </c>
      <c r="Y114" s="18">
        <v>2.2053600000000002</v>
      </c>
      <c r="Z114" s="18">
        <v>9.7862850000000012</v>
      </c>
      <c r="AA114" s="18">
        <v>14.334840000000002</v>
      </c>
      <c r="AB114" s="18">
        <v>25.499475000000004</v>
      </c>
      <c r="AC114" s="18">
        <v>7.8565950000000004</v>
      </c>
      <c r="AD114" s="18">
        <v>41.350500000000004</v>
      </c>
    </row>
    <row r="115" spans="2:30" x14ac:dyDescent="0.25">
      <c r="B115" t="s">
        <v>770</v>
      </c>
      <c r="C115">
        <v>1.5</v>
      </c>
      <c r="D115">
        <v>1.3</v>
      </c>
      <c r="E115" s="35">
        <v>2.25</v>
      </c>
      <c r="F115" s="35">
        <v>122.52</v>
      </c>
      <c r="G115" s="36">
        <v>0.13783500000000001</v>
      </c>
      <c r="H115" s="18">
        <v>358.37099999999998</v>
      </c>
      <c r="I115" s="16" t="s">
        <v>771</v>
      </c>
      <c r="J115" s="16"/>
      <c r="K115" s="16" t="s">
        <v>772</v>
      </c>
      <c r="L115" s="37"/>
      <c r="M115" s="37"/>
      <c r="N115" s="37"/>
      <c r="O115" s="37"/>
      <c r="P115" s="37"/>
      <c r="Q115" s="18">
        <v>1.5161850000000001</v>
      </c>
      <c r="R115" s="18">
        <v>1.0337625000000001E-2</v>
      </c>
      <c r="S115" s="18">
        <v>2.8945350000000003</v>
      </c>
      <c r="T115" s="18">
        <v>12.405150000000001</v>
      </c>
      <c r="U115" s="18">
        <v>6.2025750000000004</v>
      </c>
      <c r="V115" s="18">
        <v>79.392960000000002</v>
      </c>
      <c r="W115" s="18">
        <v>74.430900000000008</v>
      </c>
      <c r="X115" s="18">
        <v>49.620600000000003</v>
      </c>
      <c r="Y115" s="18">
        <v>2.2053600000000002</v>
      </c>
      <c r="Z115" s="18">
        <v>9.7862850000000012</v>
      </c>
      <c r="AA115" s="18">
        <v>14.334840000000002</v>
      </c>
      <c r="AB115" s="18">
        <v>25.499475000000004</v>
      </c>
      <c r="AC115" s="18">
        <v>7.8565950000000004</v>
      </c>
      <c r="AD115" s="18">
        <v>41.350500000000004</v>
      </c>
    </row>
    <row r="116" spans="2:30" x14ac:dyDescent="0.25">
      <c r="B116" t="s">
        <v>770</v>
      </c>
      <c r="C116">
        <v>1.5</v>
      </c>
      <c r="D116">
        <v>1.3</v>
      </c>
      <c r="E116" s="35">
        <v>2.25</v>
      </c>
      <c r="F116" s="35">
        <v>122.52</v>
      </c>
      <c r="G116" s="36">
        <v>0.13783500000000001</v>
      </c>
      <c r="H116" s="18">
        <v>358.37099999999998</v>
      </c>
      <c r="I116" s="16" t="s">
        <v>771</v>
      </c>
      <c r="J116" s="16"/>
      <c r="K116" s="16" t="s">
        <v>772</v>
      </c>
      <c r="L116" s="37"/>
      <c r="M116" s="37"/>
      <c r="N116" s="37"/>
      <c r="O116" s="37"/>
      <c r="P116" s="37"/>
      <c r="Q116" s="18">
        <v>1.5161850000000001</v>
      </c>
      <c r="R116" s="18">
        <v>1.0337625000000001E-2</v>
      </c>
      <c r="S116" s="18">
        <v>2.8945350000000003</v>
      </c>
      <c r="T116" s="18">
        <v>12.405150000000001</v>
      </c>
      <c r="U116" s="18">
        <v>6.2025750000000004</v>
      </c>
      <c r="V116" s="18">
        <v>79.392960000000002</v>
      </c>
      <c r="W116" s="18">
        <v>74.430900000000008</v>
      </c>
      <c r="X116" s="18">
        <v>49.620600000000003</v>
      </c>
      <c r="Y116" s="18">
        <v>2.2053600000000002</v>
      </c>
      <c r="Z116" s="18">
        <v>9.7862850000000012</v>
      </c>
      <c r="AA116" s="18">
        <v>14.334840000000002</v>
      </c>
      <c r="AB116" s="18">
        <v>25.499475000000004</v>
      </c>
      <c r="AC116" s="18">
        <v>7.8565950000000004</v>
      </c>
      <c r="AD116" s="18">
        <v>41.350500000000004</v>
      </c>
    </row>
    <row r="117" spans="2:30" x14ac:dyDescent="0.25">
      <c r="B117" t="s">
        <v>770</v>
      </c>
      <c r="C117">
        <v>1.5</v>
      </c>
      <c r="D117">
        <v>1.3</v>
      </c>
      <c r="E117" s="35">
        <v>2.25</v>
      </c>
      <c r="F117" s="35">
        <v>122.52</v>
      </c>
      <c r="G117" s="36">
        <v>0.13783500000000001</v>
      </c>
      <c r="H117" s="18">
        <v>358.37099999999998</v>
      </c>
      <c r="I117" s="16" t="s">
        <v>771</v>
      </c>
      <c r="J117" s="16"/>
      <c r="K117" s="16" t="s">
        <v>772</v>
      </c>
      <c r="L117" s="37"/>
      <c r="M117" s="37"/>
      <c r="N117" s="37"/>
      <c r="O117" s="37"/>
      <c r="P117" s="37"/>
      <c r="Q117" s="18">
        <v>1.5161850000000001</v>
      </c>
      <c r="R117" s="18">
        <v>1.0337625000000001E-2</v>
      </c>
      <c r="S117" s="18">
        <v>2.8945350000000003</v>
      </c>
      <c r="T117" s="18">
        <v>12.405150000000001</v>
      </c>
      <c r="U117" s="18">
        <v>6.2025750000000004</v>
      </c>
      <c r="V117" s="18">
        <v>79.392960000000002</v>
      </c>
      <c r="W117" s="18">
        <v>74.430900000000008</v>
      </c>
      <c r="X117" s="18">
        <v>49.620600000000003</v>
      </c>
      <c r="Y117" s="18">
        <v>2.2053600000000002</v>
      </c>
      <c r="Z117" s="18">
        <v>9.7862850000000012</v>
      </c>
      <c r="AA117" s="18">
        <v>14.334840000000002</v>
      </c>
      <c r="AB117" s="18">
        <v>25.499475000000004</v>
      </c>
      <c r="AC117" s="18">
        <v>7.8565950000000004</v>
      </c>
      <c r="AD117" s="18">
        <v>41.350500000000004</v>
      </c>
    </row>
    <row r="118" spans="2:30" x14ac:dyDescent="0.25">
      <c r="B118" t="s">
        <v>770</v>
      </c>
      <c r="C118">
        <v>1.5</v>
      </c>
      <c r="D118">
        <v>1.3</v>
      </c>
      <c r="E118" s="35">
        <v>2.25</v>
      </c>
      <c r="F118" s="35">
        <v>122.52</v>
      </c>
      <c r="G118" s="36">
        <v>0.13783500000000001</v>
      </c>
      <c r="H118" s="18">
        <v>358.37099999999998</v>
      </c>
      <c r="I118" s="16" t="s">
        <v>771</v>
      </c>
      <c r="J118" s="16"/>
      <c r="K118" s="16" t="s">
        <v>772</v>
      </c>
      <c r="L118" s="37"/>
      <c r="M118" s="37"/>
      <c r="N118" s="37"/>
      <c r="O118" s="37"/>
      <c r="P118" s="37"/>
      <c r="Q118" s="18">
        <v>1.5161850000000001</v>
      </c>
      <c r="R118" s="18">
        <v>1.0337625000000001E-2</v>
      </c>
      <c r="S118" s="18">
        <v>2.8945350000000003</v>
      </c>
      <c r="T118" s="18">
        <v>12.405150000000001</v>
      </c>
      <c r="U118" s="18">
        <v>6.2025750000000004</v>
      </c>
      <c r="V118" s="18">
        <v>79.392960000000002</v>
      </c>
      <c r="W118" s="18">
        <v>74.430900000000008</v>
      </c>
      <c r="X118" s="18">
        <v>49.620600000000003</v>
      </c>
      <c r="Y118" s="18">
        <v>2.2053600000000002</v>
      </c>
      <c r="Z118" s="18">
        <v>9.7862850000000012</v>
      </c>
      <c r="AA118" s="18">
        <v>14.334840000000002</v>
      </c>
      <c r="AB118" s="18">
        <v>25.499475000000004</v>
      </c>
      <c r="AC118" s="18">
        <v>7.8565950000000004</v>
      </c>
      <c r="AD118" s="18">
        <v>41.350500000000004</v>
      </c>
    </row>
    <row r="119" spans="2:30" x14ac:dyDescent="0.25">
      <c r="B119" t="s">
        <v>770</v>
      </c>
      <c r="C119">
        <v>1.5</v>
      </c>
      <c r="D119">
        <v>1.3</v>
      </c>
      <c r="E119" s="35">
        <v>2.25</v>
      </c>
      <c r="F119" s="35">
        <v>122.52</v>
      </c>
      <c r="G119" s="36">
        <v>0.13783500000000001</v>
      </c>
      <c r="H119" s="18">
        <v>358.37099999999998</v>
      </c>
      <c r="I119" s="16" t="s">
        <v>771</v>
      </c>
      <c r="J119" s="16"/>
      <c r="K119" s="16" t="s">
        <v>772</v>
      </c>
      <c r="L119" s="37"/>
      <c r="M119" s="37"/>
      <c r="N119" s="37"/>
      <c r="O119" s="37"/>
      <c r="P119" s="37"/>
      <c r="Q119" s="18">
        <v>1.5161850000000001</v>
      </c>
      <c r="R119" s="18">
        <v>1.0337625000000001E-2</v>
      </c>
      <c r="S119" s="18">
        <v>2.8945350000000003</v>
      </c>
      <c r="T119" s="18">
        <v>12.405150000000001</v>
      </c>
      <c r="U119" s="18">
        <v>6.2025750000000004</v>
      </c>
      <c r="V119" s="18">
        <v>79.392960000000002</v>
      </c>
      <c r="W119" s="18">
        <v>74.430900000000008</v>
      </c>
      <c r="X119" s="18">
        <v>49.620600000000003</v>
      </c>
      <c r="Y119" s="18">
        <v>2.2053600000000002</v>
      </c>
      <c r="Z119" s="18">
        <v>9.7862850000000012</v>
      </c>
      <c r="AA119" s="18">
        <v>14.334840000000002</v>
      </c>
      <c r="AB119" s="18">
        <v>25.499475000000004</v>
      </c>
      <c r="AC119" s="18">
        <v>7.8565950000000004</v>
      </c>
      <c r="AD119" s="18">
        <v>41.350500000000004</v>
      </c>
    </row>
    <row r="120" spans="2:30" x14ac:dyDescent="0.25">
      <c r="B120" t="s">
        <v>770</v>
      </c>
      <c r="C120">
        <v>1.5</v>
      </c>
      <c r="D120">
        <v>1.3</v>
      </c>
      <c r="E120" s="35">
        <v>2.25</v>
      </c>
      <c r="F120" s="35">
        <v>122.52</v>
      </c>
      <c r="G120" s="36">
        <v>0.13783500000000001</v>
      </c>
      <c r="H120" s="18">
        <v>358.37099999999998</v>
      </c>
      <c r="I120" s="16" t="s">
        <v>771</v>
      </c>
      <c r="J120" s="16"/>
      <c r="K120" s="16" t="s">
        <v>772</v>
      </c>
      <c r="L120" s="37"/>
      <c r="M120" s="37"/>
      <c r="N120" s="37"/>
      <c r="O120" s="37"/>
      <c r="P120" s="37"/>
      <c r="Q120" s="18">
        <v>1.5161850000000001</v>
      </c>
      <c r="R120" s="18">
        <v>1.0337625000000001E-2</v>
      </c>
      <c r="S120" s="18">
        <v>2.8945350000000003</v>
      </c>
      <c r="T120" s="18">
        <v>12.405150000000001</v>
      </c>
      <c r="U120" s="18">
        <v>6.2025750000000004</v>
      </c>
      <c r="V120" s="18">
        <v>79.392960000000002</v>
      </c>
      <c r="W120" s="18">
        <v>74.430900000000008</v>
      </c>
      <c r="X120" s="18">
        <v>49.620600000000003</v>
      </c>
      <c r="Y120" s="18">
        <v>2.2053600000000002</v>
      </c>
      <c r="Z120" s="18">
        <v>9.7862850000000012</v>
      </c>
      <c r="AA120" s="18">
        <v>14.334840000000002</v>
      </c>
      <c r="AB120" s="18">
        <v>25.499475000000004</v>
      </c>
      <c r="AC120" s="18">
        <v>7.8565950000000004</v>
      </c>
      <c r="AD120" s="18">
        <v>41.350500000000004</v>
      </c>
    </row>
    <row r="121" spans="2:30" x14ac:dyDescent="0.25">
      <c r="B121" t="s">
        <v>770</v>
      </c>
      <c r="C121">
        <v>1.5</v>
      </c>
      <c r="D121">
        <v>1.3</v>
      </c>
      <c r="E121" s="35">
        <v>2.25</v>
      </c>
      <c r="F121" s="35">
        <v>122.52</v>
      </c>
      <c r="G121" s="36">
        <v>0.13783500000000001</v>
      </c>
      <c r="H121" s="18">
        <v>358.37099999999998</v>
      </c>
      <c r="I121" s="16" t="s">
        <v>771</v>
      </c>
      <c r="J121" s="16"/>
      <c r="K121" s="16" t="s">
        <v>772</v>
      </c>
      <c r="L121" s="37"/>
      <c r="M121" s="37"/>
      <c r="N121" s="37"/>
      <c r="O121" s="37"/>
      <c r="P121" s="37"/>
      <c r="Q121" s="18">
        <v>1.5161850000000001</v>
      </c>
      <c r="R121" s="18">
        <v>1.0337625000000001E-2</v>
      </c>
      <c r="S121" s="18">
        <v>2.8945350000000003</v>
      </c>
      <c r="T121" s="18">
        <v>12.405150000000001</v>
      </c>
      <c r="U121" s="18">
        <v>6.2025750000000004</v>
      </c>
      <c r="V121" s="18">
        <v>79.392960000000002</v>
      </c>
      <c r="W121" s="18">
        <v>74.430900000000008</v>
      </c>
      <c r="X121" s="18">
        <v>49.620600000000003</v>
      </c>
      <c r="Y121" s="18">
        <v>2.2053600000000002</v>
      </c>
      <c r="Z121" s="18">
        <v>9.7862850000000012</v>
      </c>
      <c r="AA121" s="18">
        <v>14.334840000000002</v>
      </c>
      <c r="AB121" s="18">
        <v>25.499475000000004</v>
      </c>
      <c r="AC121" s="18">
        <v>7.8565950000000004</v>
      </c>
      <c r="AD121" s="18">
        <v>41.350500000000004</v>
      </c>
    </row>
    <row r="122" spans="2:30" x14ac:dyDescent="0.25">
      <c r="B122" t="s">
        <v>770</v>
      </c>
      <c r="C122">
        <v>1.5</v>
      </c>
      <c r="D122">
        <v>1.3</v>
      </c>
      <c r="E122" s="35">
        <v>2.25</v>
      </c>
      <c r="F122" s="35">
        <v>122.52</v>
      </c>
      <c r="G122" s="36">
        <v>0.13783500000000001</v>
      </c>
      <c r="H122" s="18">
        <v>358.37099999999998</v>
      </c>
      <c r="I122" s="16" t="s">
        <v>771</v>
      </c>
      <c r="J122" s="16"/>
      <c r="K122" s="16" t="s">
        <v>772</v>
      </c>
      <c r="L122" s="37"/>
      <c r="M122" s="37"/>
      <c r="N122" s="37"/>
      <c r="O122" s="37"/>
      <c r="P122" s="37"/>
      <c r="Q122" s="18">
        <v>1.5161850000000001</v>
      </c>
      <c r="R122" s="18">
        <v>1.0337625000000001E-2</v>
      </c>
      <c r="S122" s="18">
        <v>2.8945350000000003</v>
      </c>
      <c r="T122" s="18">
        <v>12.405150000000001</v>
      </c>
      <c r="U122" s="18">
        <v>6.2025750000000004</v>
      </c>
      <c r="V122" s="18">
        <v>79.392960000000002</v>
      </c>
      <c r="W122" s="18">
        <v>74.430900000000008</v>
      </c>
      <c r="X122" s="18">
        <v>49.620600000000003</v>
      </c>
      <c r="Y122" s="18">
        <v>2.2053600000000002</v>
      </c>
      <c r="Z122" s="18">
        <v>9.7862850000000012</v>
      </c>
      <c r="AA122" s="18">
        <v>14.334840000000002</v>
      </c>
      <c r="AB122" s="18">
        <v>25.499475000000004</v>
      </c>
      <c r="AC122" s="18">
        <v>7.8565950000000004</v>
      </c>
      <c r="AD122" s="18">
        <v>41.350500000000004</v>
      </c>
    </row>
    <row r="123" spans="2:30" x14ac:dyDescent="0.25">
      <c r="B123" t="s">
        <v>770</v>
      </c>
      <c r="C123">
        <v>1.5</v>
      </c>
      <c r="D123">
        <v>1.3</v>
      </c>
      <c r="E123" s="35">
        <v>2.25</v>
      </c>
      <c r="F123" s="35">
        <v>122.52</v>
      </c>
      <c r="G123" s="36">
        <v>0.13783500000000001</v>
      </c>
      <c r="H123" s="18">
        <v>358.37099999999998</v>
      </c>
      <c r="I123" s="16" t="s">
        <v>771</v>
      </c>
      <c r="J123" s="16"/>
      <c r="K123" s="16" t="s">
        <v>772</v>
      </c>
      <c r="L123" s="37"/>
      <c r="M123" s="37"/>
      <c r="N123" s="37"/>
      <c r="O123" s="37"/>
      <c r="P123" s="37"/>
      <c r="Q123" s="18">
        <v>1.5161850000000001</v>
      </c>
      <c r="R123" s="18">
        <v>1.0337625000000001E-2</v>
      </c>
      <c r="S123" s="18">
        <v>2.8945350000000003</v>
      </c>
      <c r="T123" s="18">
        <v>12.405150000000001</v>
      </c>
      <c r="U123" s="18">
        <v>6.2025750000000004</v>
      </c>
      <c r="V123" s="18">
        <v>79.392960000000002</v>
      </c>
      <c r="W123" s="18">
        <v>74.430900000000008</v>
      </c>
      <c r="X123" s="18">
        <v>49.620600000000003</v>
      </c>
      <c r="Y123" s="18">
        <v>2.2053600000000002</v>
      </c>
      <c r="Z123" s="18">
        <v>9.7862850000000012</v>
      </c>
      <c r="AA123" s="18">
        <v>14.334840000000002</v>
      </c>
      <c r="AB123" s="18">
        <v>25.499475000000004</v>
      </c>
      <c r="AC123" s="18">
        <v>7.8565950000000004</v>
      </c>
      <c r="AD123" s="18">
        <v>41.350500000000004</v>
      </c>
    </row>
    <row r="124" spans="2:30" x14ac:dyDescent="0.25">
      <c r="B124" t="s">
        <v>770</v>
      </c>
      <c r="C124">
        <v>1.5</v>
      </c>
      <c r="D124">
        <v>1.3</v>
      </c>
      <c r="E124" s="35">
        <v>2.25</v>
      </c>
      <c r="F124" s="35">
        <v>122.52</v>
      </c>
      <c r="G124" s="36">
        <v>0.13783500000000001</v>
      </c>
      <c r="H124" s="18">
        <v>358.37099999999998</v>
      </c>
      <c r="I124" s="16" t="s">
        <v>771</v>
      </c>
      <c r="J124" s="16"/>
      <c r="K124" s="16" t="s">
        <v>772</v>
      </c>
      <c r="L124" s="37"/>
      <c r="M124" s="37"/>
      <c r="N124" s="37"/>
      <c r="O124" s="37"/>
      <c r="P124" s="37"/>
      <c r="Q124" s="18">
        <v>1.5161850000000001</v>
      </c>
      <c r="R124" s="18">
        <v>1.0337625000000001E-2</v>
      </c>
      <c r="S124" s="18">
        <v>2.8945350000000003</v>
      </c>
      <c r="T124" s="18">
        <v>12.405150000000001</v>
      </c>
      <c r="U124" s="18">
        <v>6.2025750000000004</v>
      </c>
      <c r="V124" s="18">
        <v>79.392960000000002</v>
      </c>
      <c r="W124" s="18">
        <v>74.430900000000008</v>
      </c>
      <c r="X124" s="18">
        <v>49.620600000000003</v>
      </c>
      <c r="Y124" s="18">
        <v>2.2053600000000002</v>
      </c>
      <c r="Z124" s="18">
        <v>9.7862850000000012</v>
      </c>
      <c r="AA124" s="18">
        <v>14.334840000000002</v>
      </c>
      <c r="AB124" s="18">
        <v>25.499475000000004</v>
      </c>
      <c r="AC124" s="18">
        <v>7.8565950000000004</v>
      </c>
      <c r="AD124" s="18">
        <v>41.350500000000004</v>
      </c>
    </row>
    <row r="125" spans="2:30" x14ac:dyDescent="0.25">
      <c r="B125" t="s">
        <v>770</v>
      </c>
      <c r="C125">
        <v>1.5</v>
      </c>
      <c r="D125">
        <v>1.3</v>
      </c>
      <c r="E125" s="35">
        <v>2.25</v>
      </c>
      <c r="F125" s="35">
        <v>122.52</v>
      </c>
      <c r="G125" s="36">
        <v>0.13783500000000001</v>
      </c>
      <c r="H125" s="18">
        <v>358.37099999999998</v>
      </c>
      <c r="I125" s="16" t="s">
        <v>771</v>
      </c>
      <c r="J125" s="16"/>
      <c r="K125" s="16" t="s">
        <v>772</v>
      </c>
      <c r="L125" s="37"/>
      <c r="M125" s="37"/>
      <c r="N125" s="37"/>
      <c r="O125" s="37"/>
      <c r="P125" s="37"/>
      <c r="Q125" s="18">
        <v>1.5161850000000001</v>
      </c>
      <c r="R125" s="18">
        <v>1.0337625000000001E-2</v>
      </c>
      <c r="S125" s="18">
        <v>2.8945350000000003</v>
      </c>
      <c r="T125" s="18">
        <v>12.405150000000001</v>
      </c>
      <c r="U125" s="18">
        <v>6.2025750000000004</v>
      </c>
      <c r="V125" s="18">
        <v>79.392960000000002</v>
      </c>
      <c r="W125" s="18">
        <v>74.430900000000008</v>
      </c>
      <c r="X125" s="18">
        <v>49.620600000000003</v>
      </c>
      <c r="Y125" s="18">
        <v>2.2053600000000002</v>
      </c>
      <c r="Z125" s="18">
        <v>9.7862850000000012</v>
      </c>
      <c r="AA125" s="18">
        <v>14.334840000000002</v>
      </c>
      <c r="AB125" s="18">
        <v>25.499475000000004</v>
      </c>
      <c r="AC125" s="18">
        <v>7.8565950000000004</v>
      </c>
      <c r="AD125" s="18">
        <v>41.350500000000004</v>
      </c>
    </row>
    <row r="126" spans="2:30" x14ac:dyDescent="0.25">
      <c r="B126" t="s">
        <v>770</v>
      </c>
      <c r="C126">
        <v>1.5</v>
      </c>
      <c r="D126">
        <v>1.3</v>
      </c>
      <c r="E126" s="35">
        <v>2.25</v>
      </c>
      <c r="F126" s="35">
        <v>122.52</v>
      </c>
      <c r="G126" s="36">
        <v>0.13783500000000001</v>
      </c>
      <c r="H126" s="18">
        <v>358.37099999999998</v>
      </c>
      <c r="I126" s="16" t="s">
        <v>771</v>
      </c>
      <c r="J126" s="16"/>
      <c r="K126" s="16" t="s">
        <v>772</v>
      </c>
      <c r="L126" s="37"/>
      <c r="M126" s="37"/>
      <c r="N126" s="37"/>
      <c r="O126" s="37"/>
      <c r="P126" s="37"/>
      <c r="Q126" s="18">
        <v>1.5161850000000001</v>
      </c>
      <c r="R126" s="18">
        <v>1.0337625000000001E-2</v>
      </c>
      <c r="S126" s="18">
        <v>2.8945350000000003</v>
      </c>
      <c r="T126" s="18">
        <v>12.405150000000001</v>
      </c>
      <c r="U126" s="18">
        <v>6.2025750000000004</v>
      </c>
      <c r="V126" s="18">
        <v>79.392960000000002</v>
      </c>
      <c r="W126" s="18">
        <v>74.430900000000008</v>
      </c>
      <c r="X126" s="18">
        <v>49.620600000000003</v>
      </c>
      <c r="Y126" s="18">
        <v>2.2053600000000002</v>
      </c>
      <c r="Z126" s="18">
        <v>9.7862850000000012</v>
      </c>
      <c r="AA126" s="18">
        <v>14.334840000000002</v>
      </c>
      <c r="AB126" s="18">
        <v>25.499475000000004</v>
      </c>
      <c r="AC126" s="18">
        <v>7.8565950000000004</v>
      </c>
      <c r="AD126" s="18">
        <v>41.350500000000004</v>
      </c>
    </row>
    <row r="127" spans="2:30" x14ac:dyDescent="0.25">
      <c r="B127" t="s">
        <v>770</v>
      </c>
      <c r="C127">
        <v>1.5</v>
      </c>
      <c r="D127">
        <v>1.3</v>
      </c>
      <c r="E127" s="35">
        <v>2.25</v>
      </c>
      <c r="F127" s="35">
        <v>122.52</v>
      </c>
      <c r="G127" s="36">
        <v>0.13783500000000001</v>
      </c>
      <c r="H127" s="18">
        <v>358.37099999999998</v>
      </c>
      <c r="I127" s="16" t="s">
        <v>771</v>
      </c>
      <c r="J127" s="16"/>
      <c r="K127" s="16" t="s">
        <v>772</v>
      </c>
      <c r="L127" s="37"/>
      <c r="M127" s="37"/>
      <c r="N127" s="37"/>
      <c r="O127" s="37"/>
      <c r="P127" s="37"/>
      <c r="Q127" s="18">
        <v>1.5161850000000001</v>
      </c>
      <c r="R127" s="18">
        <v>1.0337625000000001E-2</v>
      </c>
      <c r="S127" s="18">
        <v>2.8945350000000003</v>
      </c>
      <c r="T127" s="18">
        <v>12.405150000000001</v>
      </c>
      <c r="U127" s="18">
        <v>6.2025750000000004</v>
      </c>
      <c r="V127" s="18">
        <v>79.392960000000002</v>
      </c>
      <c r="W127" s="18">
        <v>74.430900000000008</v>
      </c>
      <c r="X127" s="18">
        <v>49.620600000000003</v>
      </c>
      <c r="Y127" s="18">
        <v>2.2053600000000002</v>
      </c>
      <c r="Z127" s="18">
        <v>9.7862850000000012</v>
      </c>
      <c r="AA127" s="18">
        <v>14.334840000000002</v>
      </c>
      <c r="AB127" s="18">
        <v>25.499475000000004</v>
      </c>
      <c r="AC127" s="18">
        <v>7.8565950000000004</v>
      </c>
      <c r="AD127" s="18">
        <v>41.350500000000004</v>
      </c>
    </row>
    <row r="128" spans="2:30" x14ac:dyDescent="0.25">
      <c r="B128" t="s">
        <v>770</v>
      </c>
      <c r="C128">
        <v>1.5</v>
      </c>
      <c r="D128">
        <v>1.3</v>
      </c>
      <c r="E128" s="35">
        <v>2.25</v>
      </c>
      <c r="F128" s="35">
        <v>122.52</v>
      </c>
      <c r="G128" s="36">
        <v>0.13783500000000001</v>
      </c>
      <c r="H128" s="18">
        <v>358.37099999999998</v>
      </c>
      <c r="I128" s="16" t="s">
        <v>771</v>
      </c>
      <c r="J128" s="16"/>
      <c r="K128" s="16" t="s">
        <v>772</v>
      </c>
      <c r="L128" s="37"/>
      <c r="M128" s="37"/>
      <c r="N128" s="37"/>
      <c r="O128" s="37"/>
      <c r="P128" s="37"/>
      <c r="Q128" s="18">
        <v>1.5161850000000001</v>
      </c>
      <c r="R128" s="18">
        <v>1.0337625000000001E-2</v>
      </c>
      <c r="S128" s="18">
        <v>2.8945350000000003</v>
      </c>
      <c r="T128" s="18">
        <v>12.405150000000001</v>
      </c>
      <c r="U128" s="18">
        <v>6.2025750000000004</v>
      </c>
      <c r="V128" s="18">
        <v>79.392960000000002</v>
      </c>
      <c r="W128" s="18">
        <v>74.430900000000008</v>
      </c>
      <c r="X128" s="18">
        <v>49.620600000000003</v>
      </c>
      <c r="Y128" s="18">
        <v>2.2053600000000002</v>
      </c>
      <c r="Z128" s="18">
        <v>9.7862850000000012</v>
      </c>
      <c r="AA128" s="18">
        <v>14.334840000000002</v>
      </c>
      <c r="AB128" s="18">
        <v>25.499475000000004</v>
      </c>
      <c r="AC128" s="18">
        <v>7.8565950000000004</v>
      </c>
      <c r="AD128" s="18">
        <v>41.350500000000004</v>
      </c>
    </row>
    <row r="129" spans="2:30" x14ac:dyDescent="0.25">
      <c r="B129" t="s">
        <v>770</v>
      </c>
      <c r="C129">
        <v>1.5</v>
      </c>
      <c r="D129">
        <v>1.3</v>
      </c>
      <c r="E129" s="35">
        <v>2.25</v>
      </c>
      <c r="F129" s="35">
        <v>122.52</v>
      </c>
      <c r="G129" s="36">
        <v>0.13783500000000001</v>
      </c>
      <c r="H129" s="18">
        <v>358.37099999999998</v>
      </c>
      <c r="I129" s="16" t="s">
        <v>771</v>
      </c>
      <c r="J129" s="16"/>
      <c r="K129" s="16" t="s">
        <v>772</v>
      </c>
      <c r="L129" s="37"/>
      <c r="M129" s="37"/>
      <c r="N129" s="37"/>
      <c r="O129" s="37"/>
      <c r="P129" s="37"/>
      <c r="Q129" s="18">
        <v>1.5161850000000001</v>
      </c>
      <c r="R129" s="18">
        <v>1.0337625000000001E-2</v>
      </c>
      <c r="S129" s="18">
        <v>2.8945350000000003</v>
      </c>
      <c r="T129" s="18">
        <v>12.405150000000001</v>
      </c>
      <c r="U129" s="18">
        <v>6.2025750000000004</v>
      </c>
      <c r="V129" s="18">
        <v>79.392960000000002</v>
      </c>
      <c r="W129" s="18">
        <v>74.430900000000008</v>
      </c>
      <c r="X129" s="18">
        <v>49.620600000000003</v>
      </c>
      <c r="Y129" s="18">
        <v>2.2053600000000002</v>
      </c>
      <c r="Z129" s="18">
        <v>9.7862850000000012</v>
      </c>
      <c r="AA129" s="18">
        <v>14.334840000000002</v>
      </c>
      <c r="AB129" s="18">
        <v>25.499475000000004</v>
      </c>
      <c r="AC129" s="18">
        <v>7.8565950000000004</v>
      </c>
      <c r="AD129" s="18">
        <v>41.350500000000004</v>
      </c>
    </row>
    <row r="130" spans="2:30" x14ac:dyDescent="0.25">
      <c r="B130" t="s">
        <v>770</v>
      </c>
      <c r="C130">
        <v>1.5</v>
      </c>
      <c r="D130">
        <v>1.3</v>
      </c>
      <c r="E130" s="35">
        <v>2.25</v>
      </c>
      <c r="F130" s="35">
        <v>122.52</v>
      </c>
      <c r="G130" s="36">
        <v>0.13783500000000001</v>
      </c>
      <c r="H130" s="18">
        <v>358.37099999999998</v>
      </c>
      <c r="I130" s="16" t="s">
        <v>771</v>
      </c>
      <c r="J130" s="16"/>
      <c r="K130" s="16" t="s">
        <v>772</v>
      </c>
      <c r="L130" s="37"/>
      <c r="M130" s="37"/>
      <c r="N130" s="37"/>
      <c r="O130" s="37"/>
      <c r="P130" s="37"/>
      <c r="Q130" s="18">
        <v>1.5161850000000001</v>
      </c>
      <c r="R130" s="18">
        <v>1.0337625000000001E-2</v>
      </c>
      <c r="S130" s="18">
        <v>2.8945350000000003</v>
      </c>
      <c r="T130" s="18">
        <v>12.405150000000001</v>
      </c>
      <c r="U130" s="18">
        <v>6.2025750000000004</v>
      </c>
      <c r="V130" s="18">
        <v>79.392960000000002</v>
      </c>
      <c r="W130" s="18">
        <v>74.430900000000008</v>
      </c>
      <c r="X130" s="18">
        <v>49.620600000000003</v>
      </c>
      <c r="Y130" s="18">
        <v>2.2053600000000002</v>
      </c>
      <c r="Z130" s="18">
        <v>9.7862850000000012</v>
      </c>
      <c r="AA130" s="18">
        <v>14.334840000000002</v>
      </c>
      <c r="AB130" s="18">
        <v>25.499475000000004</v>
      </c>
      <c r="AC130" s="18">
        <v>7.8565950000000004</v>
      </c>
      <c r="AD130" s="18">
        <v>41.350500000000004</v>
      </c>
    </row>
    <row r="131" spans="2:30" x14ac:dyDescent="0.25">
      <c r="B131" t="s">
        <v>770</v>
      </c>
      <c r="C131">
        <v>1.5</v>
      </c>
      <c r="D131">
        <v>1.3</v>
      </c>
      <c r="E131" s="35">
        <v>2.25</v>
      </c>
      <c r="F131" s="35">
        <v>122.52</v>
      </c>
      <c r="G131" s="36">
        <v>0.13783500000000001</v>
      </c>
      <c r="H131" s="18">
        <v>358.37099999999998</v>
      </c>
      <c r="I131" s="16" t="s">
        <v>771</v>
      </c>
      <c r="J131" s="16"/>
      <c r="K131" s="16" t="s">
        <v>772</v>
      </c>
      <c r="L131" s="37"/>
      <c r="M131" s="37"/>
      <c r="N131" s="37"/>
      <c r="O131" s="37"/>
      <c r="P131" s="37"/>
      <c r="Q131" s="18">
        <v>1.5161850000000001</v>
      </c>
      <c r="R131" s="18">
        <v>1.0337625000000001E-2</v>
      </c>
      <c r="S131" s="18">
        <v>2.8945350000000003</v>
      </c>
      <c r="T131" s="18">
        <v>12.405150000000001</v>
      </c>
      <c r="U131" s="18">
        <v>6.2025750000000004</v>
      </c>
      <c r="V131" s="18">
        <v>79.392960000000002</v>
      </c>
      <c r="W131" s="18">
        <v>74.430900000000008</v>
      </c>
      <c r="X131" s="18">
        <v>49.620600000000003</v>
      </c>
      <c r="Y131" s="18">
        <v>2.2053600000000002</v>
      </c>
      <c r="Z131" s="18">
        <v>9.7862850000000012</v>
      </c>
      <c r="AA131" s="18">
        <v>14.334840000000002</v>
      </c>
      <c r="AB131" s="18">
        <v>25.499475000000004</v>
      </c>
      <c r="AC131" s="18">
        <v>7.8565950000000004</v>
      </c>
      <c r="AD131" s="18">
        <v>41.350500000000004</v>
      </c>
    </row>
    <row r="132" spans="2:30" x14ac:dyDescent="0.25">
      <c r="B132" t="s">
        <v>770</v>
      </c>
      <c r="C132">
        <v>1.5</v>
      </c>
      <c r="D132">
        <v>1.3</v>
      </c>
      <c r="E132" s="35">
        <v>2.25</v>
      </c>
      <c r="F132" s="35">
        <v>122.52</v>
      </c>
      <c r="G132" s="36">
        <v>0.13783500000000001</v>
      </c>
      <c r="H132" s="18">
        <v>358.37099999999998</v>
      </c>
      <c r="I132" s="16" t="s">
        <v>771</v>
      </c>
      <c r="J132" s="16"/>
      <c r="K132" s="16" t="s">
        <v>772</v>
      </c>
      <c r="L132" s="37"/>
      <c r="M132" s="37"/>
      <c r="N132" s="37"/>
      <c r="O132" s="37"/>
      <c r="P132" s="37"/>
      <c r="Q132" s="18">
        <v>1.5161850000000001</v>
      </c>
      <c r="R132" s="18">
        <v>1.0337625000000001E-2</v>
      </c>
      <c r="S132" s="18">
        <v>2.8945350000000003</v>
      </c>
      <c r="T132" s="18">
        <v>12.405150000000001</v>
      </c>
      <c r="U132" s="18">
        <v>6.2025750000000004</v>
      </c>
      <c r="V132" s="18">
        <v>79.392960000000002</v>
      </c>
      <c r="W132" s="18">
        <v>74.430900000000008</v>
      </c>
      <c r="X132" s="18">
        <v>49.620600000000003</v>
      </c>
      <c r="Y132" s="18">
        <v>2.2053600000000002</v>
      </c>
      <c r="Z132" s="18">
        <v>9.7862850000000012</v>
      </c>
      <c r="AA132" s="18">
        <v>14.334840000000002</v>
      </c>
      <c r="AB132" s="18">
        <v>25.499475000000004</v>
      </c>
      <c r="AC132" s="18">
        <v>7.8565950000000004</v>
      </c>
      <c r="AD132" s="18">
        <v>41.350500000000004</v>
      </c>
    </row>
    <row r="133" spans="2:30" x14ac:dyDescent="0.25">
      <c r="B133" t="s">
        <v>770</v>
      </c>
      <c r="C133">
        <v>1.5</v>
      </c>
      <c r="D133">
        <v>1.3</v>
      </c>
      <c r="E133" s="35">
        <v>2.25</v>
      </c>
      <c r="F133" s="35">
        <v>122.52</v>
      </c>
      <c r="G133" s="36">
        <v>0.13783500000000001</v>
      </c>
      <c r="H133" s="18">
        <v>358.37099999999998</v>
      </c>
      <c r="I133" s="16" t="s">
        <v>771</v>
      </c>
      <c r="J133" s="16"/>
      <c r="K133" s="16" t="s">
        <v>772</v>
      </c>
      <c r="L133" s="37"/>
      <c r="M133" s="37"/>
      <c r="N133" s="37"/>
      <c r="O133" s="37"/>
      <c r="P133" s="37"/>
      <c r="Q133" s="18">
        <v>1.5161850000000001</v>
      </c>
      <c r="R133" s="18">
        <v>1.0337625000000001E-2</v>
      </c>
      <c r="S133" s="18">
        <v>2.8945350000000003</v>
      </c>
      <c r="T133" s="18">
        <v>12.405150000000001</v>
      </c>
      <c r="U133" s="18">
        <v>6.2025750000000004</v>
      </c>
      <c r="V133" s="18">
        <v>79.392960000000002</v>
      </c>
      <c r="W133" s="18">
        <v>74.430900000000008</v>
      </c>
      <c r="X133" s="18">
        <v>49.620600000000003</v>
      </c>
      <c r="Y133" s="18">
        <v>2.2053600000000002</v>
      </c>
      <c r="Z133" s="18">
        <v>9.7862850000000012</v>
      </c>
      <c r="AA133" s="18">
        <v>14.334840000000002</v>
      </c>
      <c r="AB133" s="18">
        <v>25.499475000000004</v>
      </c>
      <c r="AC133" s="18">
        <v>7.8565950000000004</v>
      </c>
      <c r="AD133" s="18">
        <v>41.350500000000004</v>
      </c>
    </row>
    <row r="134" spans="2:30" x14ac:dyDescent="0.25">
      <c r="B134" t="s">
        <v>770</v>
      </c>
      <c r="C134">
        <v>1.5</v>
      </c>
      <c r="D134">
        <v>1.3</v>
      </c>
      <c r="E134" s="35">
        <v>2.25</v>
      </c>
      <c r="F134" s="35">
        <v>122.52</v>
      </c>
      <c r="G134" s="36">
        <v>0.13783500000000001</v>
      </c>
      <c r="H134" s="18">
        <v>358.37099999999998</v>
      </c>
      <c r="I134" s="16" t="s">
        <v>771</v>
      </c>
      <c r="J134" s="16"/>
      <c r="K134" s="16" t="s">
        <v>772</v>
      </c>
      <c r="L134" s="37"/>
      <c r="M134" s="37"/>
      <c r="N134" s="37"/>
      <c r="O134" s="37"/>
      <c r="P134" s="37"/>
      <c r="Q134" s="18">
        <v>1.5161850000000001</v>
      </c>
      <c r="R134" s="18">
        <v>1.0337625000000001E-2</v>
      </c>
      <c r="S134" s="18">
        <v>2.8945350000000003</v>
      </c>
      <c r="T134" s="18">
        <v>12.405150000000001</v>
      </c>
      <c r="U134" s="18">
        <v>6.2025750000000004</v>
      </c>
      <c r="V134" s="18">
        <v>79.392960000000002</v>
      </c>
      <c r="W134" s="18">
        <v>74.430900000000008</v>
      </c>
      <c r="X134" s="18">
        <v>49.620600000000003</v>
      </c>
      <c r="Y134" s="18">
        <v>2.2053600000000002</v>
      </c>
      <c r="Z134" s="18">
        <v>9.7862850000000012</v>
      </c>
      <c r="AA134" s="18">
        <v>14.334840000000002</v>
      </c>
      <c r="AB134" s="18">
        <v>25.499475000000004</v>
      </c>
      <c r="AC134" s="18">
        <v>7.8565950000000004</v>
      </c>
      <c r="AD134" s="18">
        <v>41.350500000000004</v>
      </c>
    </row>
    <row r="135" spans="2:30" x14ac:dyDescent="0.25">
      <c r="B135" t="s">
        <v>770</v>
      </c>
      <c r="C135">
        <v>1.5</v>
      </c>
      <c r="D135">
        <v>1.3</v>
      </c>
      <c r="E135" s="35">
        <v>2.25</v>
      </c>
      <c r="F135" s="35">
        <v>122.52</v>
      </c>
      <c r="G135" s="36">
        <v>0.13783500000000001</v>
      </c>
      <c r="H135" s="18">
        <v>358.37099999999998</v>
      </c>
      <c r="I135" s="16" t="s">
        <v>771</v>
      </c>
      <c r="J135" s="16"/>
      <c r="K135" s="16" t="s">
        <v>772</v>
      </c>
      <c r="L135" s="37"/>
      <c r="M135" s="37"/>
      <c r="N135" s="37"/>
      <c r="O135" s="37"/>
      <c r="P135" s="37"/>
      <c r="Q135" s="18">
        <v>1.5161850000000001</v>
      </c>
      <c r="R135" s="18">
        <v>1.0337625000000001E-2</v>
      </c>
      <c r="S135" s="18">
        <v>2.8945350000000003</v>
      </c>
      <c r="T135" s="18">
        <v>12.405150000000001</v>
      </c>
      <c r="U135" s="18">
        <v>6.2025750000000004</v>
      </c>
      <c r="V135" s="18">
        <v>79.392960000000002</v>
      </c>
      <c r="W135" s="18">
        <v>74.430900000000008</v>
      </c>
      <c r="X135" s="18">
        <v>49.620600000000003</v>
      </c>
      <c r="Y135" s="18">
        <v>2.2053600000000002</v>
      </c>
      <c r="Z135" s="18">
        <v>9.7862850000000012</v>
      </c>
      <c r="AA135" s="18">
        <v>14.334840000000002</v>
      </c>
      <c r="AB135" s="18">
        <v>25.499475000000004</v>
      </c>
      <c r="AC135" s="18">
        <v>7.8565950000000004</v>
      </c>
      <c r="AD135" s="18">
        <v>41.350500000000004</v>
      </c>
    </row>
    <row r="136" spans="2:30" x14ac:dyDescent="0.25">
      <c r="B136" t="s">
        <v>770</v>
      </c>
      <c r="C136">
        <v>1.5</v>
      </c>
      <c r="D136">
        <v>1.3</v>
      </c>
      <c r="E136" s="35">
        <v>2.25</v>
      </c>
      <c r="F136" s="35">
        <v>122.52</v>
      </c>
      <c r="G136" s="36">
        <v>0.13783500000000001</v>
      </c>
      <c r="H136" s="18">
        <v>358.37099999999998</v>
      </c>
      <c r="I136" s="16" t="s">
        <v>771</v>
      </c>
      <c r="J136" s="16"/>
      <c r="K136" s="16" t="s">
        <v>772</v>
      </c>
      <c r="L136" s="37"/>
      <c r="M136" s="37"/>
      <c r="N136" s="37"/>
      <c r="O136" s="37"/>
      <c r="P136" s="37"/>
      <c r="Q136" s="18">
        <v>1.5161850000000001</v>
      </c>
      <c r="R136" s="18">
        <v>1.0337625000000001E-2</v>
      </c>
      <c r="S136" s="18">
        <v>2.8945350000000003</v>
      </c>
      <c r="T136" s="18">
        <v>12.405150000000001</v>
      </c>
      <c r="U136" s="18">
        <v>6.2025750000000004</v>
      </c>
      <c r="V136" s="18">
        <v>79.392960000000002</v>
      </c>
      <c r="W136" s="18">
        <v>74.430900000000008</v>
      </c>
      <c r="X136" s="18">
        <v>49.620600000000003</v>
      </c>
      <c r="Y136" s="18">
        <v>2.2053600000000002</v>
      </c>
      <c r="Z136" s="18">
        <v>9.7862850000000012</v>
      </c>
      <c r="AA136" s="18">
        <v>14.334840000000002</v>
      </c>
      <c r="AB136" s="18">
        <v>25.499475000000004</v>
      </c>
      <c r="AC136" s="18">
        <v>7.8565950000000004</v>
      </c>
      <c r="AD136" s="18">
        <v>41.350500000000004</v>
      </c>
    </row>
    <row r="137" spans="2:30" x14ac:dyDescent="0.25">
      <c r="B137" t="s">
        <v>770</v>
      </c>
      <c r="C137">
        <v>1.5</v>
      </c>
      <c r="D137">
        <v>1.3</v>
      </c>
      <c r="E137" s="35">
        <v>2.25</v>
      </c>
      <c r="F137" s="35">
        <v>122.52</v>
      </c>
      <c r="G137" s="36">
        <v>0.13783500000000001</v>
      </c>
      <c r="H137" s="18">
        <v>358.37099999999998</v>
      </c>
      <c r="I137" s="16" t="s">
        <v>771</v>
      </c>
      <c r="J137" s="16"/>
      <c r="K137" s="16" t="s">
        <v>772</v>
      </c>
      <c r="L137" s="37"/>
      <c r="M137" s="37"/>
      <c r="N137" s="37"/>
      <c r="O137" s="37"/>
      <c r="P137" s="37"/>
      <c r="Q137" s="18">
        <v>1.5161850000000001</v>
      </c>
      <c r="R137" s="18">
        <v>1.0337625000000001E-2</v>
      </c>
      <c r="S137" s="18">
        <v>2.8945350000000003</v>
      </c>
      <c r="T137" s="18">
        <v>12.405150000000001</v>
      </c>
      <c r="U137" s="18">
        <v>6.2025750000000004</v>
      </c>
      <c r="V137" s="18">
        <v>79.392960000000002</v>
      </c>
      <c r="W137" s="18">
        <v>74.430900000000008</v>
      </c>
      <c r="X137" s="18">
        <v>49.620600000000003</v>
      </c>
      <c r="Y137" s="18">
        <v>2.2053600000000002</v>
      </c>
      <c r="Z137" s="18">
        <v>9.7862850000000012</v>
      </c>
      <c r="AA137" s="18">
        <v>14.334840000000002</v>
      </c>
      <c r="AB137" s="18">
        <v>25.499475000000004</v>
      </c>
      <c r="AC137" s="18">
        <v>7.8565950000000004</v>
      </c>
      <c r="AD137" s="18">
        <v>41.350500000000004</v>
      </c>
    </row>
    <row r="138" spans="2:30" x14ac:dyDescent="0.25">
      <c r="B138" t="s">
        <v>770</v>
      </c>
      <c r="C138">
        <v>1.5</v>
      </c>
      <c r="D138">
        <v>1.3</v>
      </c>
      <c r="E138" s="35">
        <v>2.25</v>
      </c>
      <c r="F138" s="35">
        <v>122.52</v>
      </c>
      <c r="G138" s="36">
        <v>0.13783500000000001</v>
      </c>
      <c r="H138" s="18">
        <v>358.37099999999998</v>
      </c>
      <c r="I138" s="16" t="s">
        <v>771</v>
      </c>
      <c r="J138" s="16"/>
      <c r="K138" s="16" t="s">
        <v>772</v>
      </c>
      <c r="L138" s="37"/>
      <c r="M138" s="37"/>
      <c r="N138" s="37"/>
      <c r="O138" s="37"/>
      <c r="P138" s="37"/>
      <c r="Q138" s="18">
        <v>1.5161850000000001</v>
      </c>
      <c r="R138" s="18">
        <v>1.0337625000000001E-2</v>
      </c>
      <c r="S138" s="18">
        <v>2.8945350000000003</v>
      </c>
      <c r="T138" s="18">
        <v>12.405150000000001</v>
      </c>
      <c r="U138" s="18">
        <v>6.2025750000000004</v>
      </c>
      <c r="V138" s="18">
        <v>79.392960000000002</v>
      </c>
      <c r="W138" s="18">
        <v>74.430900000000008</v>
      </c>
      <c r="X138" s="18">
        <v>49.620600000000003</v>
      </c>
      <c r="Y138" s="18">
        <v>2.2053600000000002</v>
      </c>
      <c r="Z138" s="18">
        <v>9.7862850000000012</v>
      </c>
      <c r="AA138" s="18">
        <v>14.334840000000002</v>
      </c>
      <c r="AB138" s="18">
        <v>25.499475000000004</v>
      </c>
      <c r="AC138" s="18">
        <v>7.8565950000000004</v>
      </c>
      <c r="AD138" s="18">
        <v>41.350500000000004</v>
      </c>
    </row>
    <row r="139" spans="2:30" x14ac:dyDescent="0.25">
      <c r="B139" t="s">
        <v>770</v>
      </c>
      <c r="C139">
        <v>1.5</v>
      </c>
      <c r="D139">
        <v>1.3</v>
      </c>
      <c r="E139" s="35">
        <v>2.25</v>
      </c>
      <c r="F139" s="35">
        <v>122.52</v>
      </c>
      <c r="G139" s="36">
        <v>0.13783500000000001</v>
      </c>
      <c r="H139" s="18">
        <v>358.37099999999998</v>
      </c>
      <c r="I139" s="16" t="s">
        <v>771</v>
      </c>
      <c r="J139" s="16"/>
      <c r="K139" s="16" t="s">
        <v>772</v>
      </c>
      <c r="L139" s="37"/>
      <c r="M139" s="37"/>
      <c r="N139" s="37"/>
      <c r="O139" s="37"/>
      <c r="P139" s="37"/>
      <c r="Q139" s="18">
        <v>1.5161850000000001</v>
      </c>
      <c r="R139" s="18">
        <v>1.0337625000000001E-2</v>
      </c>
      <c r="S139" s="18">
        <v>2.8945350000000003</v>
      </c>
      <c r="T139" s="18">
        <v>12.405150000000001</v>
      </c>
      <c r="U139" s="18">
        <v>6.2025750000000004</v>
      </c>
      <c r="V139" s="18">
        <v>79.392960000000002</v>
      </c>
      <c r="W139" s="18">
        <v>74.430900000000008</v>
      </c>
      <c r="X139" s="18">
        <v>49.620600000000003</v>
      </c>
      <c r="Y139" s="18">
        <v>2.2053600000000002</v>
      </c>
      <c r="Z139" s="18">
        <v>9.7862850000000012</v>
      </c>
      <c r="AA139" s="18">
        <v>14.334840000000002</v>
      </c>
      <c r="AB139" s="18">
        <v>25.499475000000004</v>
      </c>
      <c r="AC139" s="18">
        <v>7.8565950000000004</v>
      </c>
      <c r="AD139" s="18">
        <v>41.350500000000004</v>
      </c>
    </row>
    <row r="140" spans="2:30" x14ac:dyDescent="0.25">
      <c r="B140" t="s">
        <v>770</v>
      </c>
      <c r="C140">
        <v>1.5</v>
      </c>
      <c r="D140">
        <v>1.3</v>
      </c>
      <c r="E140" s="35">
        <v>2.25</v>
      </c>
      <c r="F140" s="35">
        <v>122.52</v>
      </c>
      <c r="G140" s="36">
        <v>0.13783500000000001</v>
      </c>
      <c r="H140" s="18">
        <v>358.37099999999998</v>
      </c>
      <c r="I140" s="16" t="s">
        <v>771</v>
      </c>
      <c r="J140" s="16"/>
      <c r="K140" s="16" t="s">
        <v>772</v>
      </c>
      <c r="L140" s="37"/>
      <c r="M140" s="37"/>
      <c r="N140" s="37"/>
      <c r="O140" s="37"/>
      <c r="P140" s="37"/>
      <c r="Q140" s="18">
        <v>1.5161850000000001</v>
      </c>
      <c r="R140" s="18">
        <v>1.0337625000000001E-2</v>
      </c>
      <c r="S140" s="18">
        <v>2.8945350000000003</v>
      </c>
      <c r="T140" s="18">
        <v>12.405150000000001</v>
      </c>
      <c r="U140" s="18">
        <v>6.2025750000000004</v>
      </c>
      <c r="V140" s="18">
        <v>79.392960000000002</v>
      </c>
      <c r="W140" s="18">
        <v>74.430900000000008</v>
      </c>
      <c r="X140" s="18">
        <v>49.620600000000003</v>
      </c>
      <c r="Y140" s="18">
        <v>2.2053600000000002</v>
      </c>
      <c r="Z140" s="18">
        <v>9.7862850000000012</v>
      </c>
      <c r="AA140" s="18">
        <v>14.334840000000002</v>
      </c>
      <c r="AB140" s="18">
        <v>25.499475000000004</v>
      </c>
      <c r="AC140" s="18">
        <v>7.8565950000000004</v>
      </c>
      <c r="AD140" s="18">
        <v>41.350500000000004</v>
      </c>
    </row>
    <row r="141" spans="2:30" x14ac:dyDescent="0.25">
      <c r="B141" t="s">
        <v>770</v>
      </c>
      <c r="C141">
        <v>1.5</v>
      </c>
      <c r="D141">
        <v>1.3</v>
      </c>
      <c r="E141" s="35">
        <v>2.25</v>
      </c>
      <c r="F141" s="35">
        <v>122.52</v>
      </c>
      <c r="G141" s="36">
        <v>0.13783500000000001</v>
      </c>
      <c r="H141" s="18">
        <v>358.37099999999998</v>
      </c>
      <c r="I141" s="16" t="s">
        <v>771</v>
      </c>
      <c r="J141" s="16"/>
      <c r="K141" s="16" t="s">
        <v>772</v>
      </c>
      <c r="L141" s="37"/>
      <c r="M141" s="37"/>
      <c r="N141" s="37"/>
      <c r="O141" s="37"/>
      <c r="P141" s="37"/>
      <c r="Q141" s="18">
        <v>1.5161850000000001</v>
      </c>
      <c r="R141" s="18">
        <v>1.0337625000000001E-2</v>
      </c>
      <c r="S141" s="18">
        <v>2.8945350000000003</v>
      </c>
      <c r="T141" s="18">
        <v>12.405150000000001</v>
      </c>
      <c r="U141" s="18">
        <v>6.2025750000000004</v>
      </c>
      <c r="V141" s="18">
        <v>79.392960000000002</v>
      </c>
      <c r="W141" s="18">
        <v>74.430900000000008</v>
      </c>
      <c r="X141" s="18">
        <v>49.620600000000003</v>
      </c>
      <c r="Y141" s="18">
        <v>2.2053600000000002</v>
      </c>
      <c r="Z141" s="18">
        <v>9.7862850000000012</v>
      </c>
      <c r="AA141" s="18">
        <v>14.334840000000002</v>
      </c>
      <c r="AB141" s="18">
        <v>25.499475000000004</v>
      </c>
      <c r="AC141" s="18">
        <v>7.8565950000000004</v>
      </c>
      <c r="AD141" s="18">
        <v>41.350500000000004</v>
      </c>
    </row>
    <row r="142" spans="2:30" x14ac:dyDescent="0.25">
      <c r="B142" t="s">
        <v>770</v>
      </c>
      <c r="C142">
        <v>1.5</v>
      </c>
      <c r="D142">
        <v>1.3</v>
      </c>
      <c r="E142" s="35">
        <v>2.25</v>
      </c>
      <c r="F142" s="35">
        <v>122.52</v>
      </c>
      <c r="G142" s="36">
        <v>0.13783500000000001</v>
      </c>
      <c r="H142" s="18">
        <v>358.37099999999998</v>
      </c>
      <c r="I142" s="16" t="s">
        <v>771</v>
      </c>
      <c r="J142" s="16"/>
      <c r="K142" s="16" t="s">
        <v>772</v>
      </c>
      <c r="L142" s="37"/>
      <c r="M142" s="37"/>
      <c r="N142" s="37"/>
      <c r="O142" s="37"/>
      <c r="P142" s="37"/>
      <c r="Q142" s="18">
        <v>1.5161850000000001</v>
      </c>
      <c r="R142" s="18">
        <v>1.0337625000000001E-2</v>
      </c>
      <c r="S142" s="18">
        <v>2.8945350000000003</v>
      </c>
      <c r="T142" s="18">
        <v>12.405150000000001</v>
      </c>
      <c r="U142" s="18">
        <v>6.2025750000000004</v>
      </c>
      <c r="V142" s="18">
        <v>79.392960000000002</v>
      </c>
      <c r="W142" s="18">
        <v>74.430900000000008</v>
      </c>
      <c r="X142" s="18">
        <v>49.620600000000003</v>
      </c>
      <c r="Y142" s="18">
        <v>2.2053600000000002</v>
      </c>
      <c r="Z142" s="18">
        <v>9.7862850000000012</v>
      </c>
      <c r="AA142" s="18">
        <v>14.334840000000002</v>
      </c>
      <c r="AB142" s="18">
        <v>25.499475000000004</v>
      </c>
      <c r="AC142" s="18">
        <v>7.8565950000000004</v>
      </c>
      <c r="AD142" s="18">
        <v>41.350500000000004</v>
      </c>
    </row>
    <row r="143" spans="2:30" x14ac:dyDescent="0.25">
      <c r="B143" t="s">
        <v>770</v>
      </c>
      <c r="C143">
        <v>1.5</v>
      </c>
      <c r="D143">
        <v>1.3</v>
      </c>
      <c r="E143" s="35">
        <v>2.25</v>
      </c>
      <c r="F143" s="35">
        <v>122.52</v>
      </c>
      <c r="G143" s="36">
        <v>0.13783500000000001</v>
      </c>
      <c r="H143" s="18">
        <v>358.37099999999998</v>
      </c>
      <c r="I143" s="16" t="s">
        <v>771</v>
      </c>
      <c r="J143" s="16"/>
      <c r="K143" s="16" t="s">
        <v>772</v>
      </c>
      <c r="L143" s="37"/>
      <c r="M143" s="37"/>
      <c r="N143" s="37"/>
      <c r="O143" s="37"/>
      <c r="P143" s="37"/>
      <c r="Q143" s="18">
        <v>1.5161850000000001</v>
      </c>
      <c r="R143" s="18">
        <v>1.0337625000000001E-2</v>
      </c>
      <c r="S143" s="18">
        <v>2.8945350000000003</v>
      </c>
      <c r="T143" s="18">
        <v>12.405150000000001</v>
      </c>
      <c r="U143" s="18">
        <v>6.2025750000000004</v>
      </c>
      <c r="V143" s="18">
        <v>79.392960000000002</v>
      </c>
      <c r="W143" s="18">
        <v>74.430900000000008</v>
      </c>
      <c r="X143" s="18">
        <v>49.620600000000003</v>
      </c>
      <c r="Y143" s="18">
        <v>2.2053600000000002</v>
      </c>
      <c r="Z143" s="18">
        <v>9.7862850000000012</v>
      </c>
      <c r="AA143" s="18">
        <v>14.334840000000002</v>
      </c>
      <c r="AB143" s="18">
        <v>25.499475000000004</v>
      </c>
      <c r="AC143" s="18">
        <v>7.8565950000000004</v>
      </c>
      <c r="AD143" s="18">
        <v>41.350500000000004</v>
      </c>
    </row>
    <row r="144" spans="2:30" x14ac:dyDescent="0.25">
      <c r="B144" t="s">
        <v>770</v>
      </c>
      <c r="C144">
        <v>1.5</v>
      </c>
      <c r="D144">
        <v>1.3</v>
      </c>
      <c r="E144" s="35">
        <v>2.25</v>
      </c>
      <c r="F144" s="35">
        <v>122.52</v>
      </c>
      <c r="G144" s="36">
        <v>0.13783500000000001</v>
      </c>
      <c r="H144" s="18">
        <v>358.37099999999998</v>
      </c>
      <c r="I144" s="16" t="s">
        <v>771</v>
      </c>
      <c r="J144" s="16"/>
      <c r="K144" s="16" t="s">
        <v>772</v>
      </c>
      <c r="L144" s="37"/>
      <c r="M144" s="37"/>
      <c r="N144" s="37"/>
      <c r="O144" s="37"/>
      <c r="P144" s="37"/>
      <c r="Q144" s="18">
        <v>1.5161850000000001</v>
      </c>
      <c r="R144" s="18">
        <v>1.0337625000000001E-2</v>
      </c>
      <c r="S144" s="18">
        <v>2.8945350000000003</v>
      </c>
      <c r="T144" s="18">
        <v>12.405150000000001</v>
      </c>
      <c r="U144" s="18">
        <v>6.2025750000000004</v>
      </c>
      <c r="V144" s="18">
        <v>79.392960000000002</v>
      </c>
      <c r="W144" s="18">
        <v>74.430900000000008</v>
      </c>
      <c r="X144" s="18">
        <v>49.620600000000003</v>
      </c>
      <c r="Y144" s="18">
        <v>2.2053600000000002</v>
      </c>
      <c r="Z144" s="18">
        <v>9.7862850000000012</v>
      </c>
      <c r="AA144" s="18">
        <v>14.334840000000002</v>
      </c>
      <c r="AB144" s="18">
        <v>25.499475000000004</v>
      </c>
      <c r="AC144" s="18">
        <v>7.8565950000000004</v>
      </c>
      <c r="AD144" s="18">
        <v>41.350500000000004</v>
      </c>
    </row>
    <row r="145" spans="2:30" x14ac:dyDescent="0.25">
      <c r="B145" t="s">
        <v>770</v>
      </c>
      <c r="C145">
        <v>1.5</v>
      </c>
      <c r="D145">
        <v>1.3</v>
      </c>
      <c r="E145" s="35">
        <v>2.25</v>
      </c>
      <c r="F145" s="35">
        <v>122.52</v>
      </c>
      <c r="G145" s="36">
        <v>0.13783500000000001</v>
      </c>
      <c r="H145" s="18">
        <v>358.37099999999998</v>
      </c>
      <c r="I145" s="16" t="s">
        <v>771</v>
      </c>
      <c r="J145" s="16"/>
      <c r="K145" s="16" t="s">
        <v>772</v>
      </c>
      <c r="L145" s="37"/>
      <c r="M145" s="37"/>
      <c r="N145" s="37"/>
      <c r="O145" s="37"/>
      <c r="P145" s="37"/>
      <c r="Q145" s="18">
        <v>1.5161850000000001</v>
      </c>
      <c r="R145" s="18">
        <v>1.0337625000000001E-2</v>
      </c>
      <c r="S145" s="18">
        <v>2.8945350000000003</v>
      </c>
      <c r="T145" s="18">
        <v>12.405150000000001</v>
      </c>
      <c r="U145" s="18">
        <v>6.2025750000000004</v>
      </c>
      <c r="V145" s="18">
        <v>79.392960000000002</v>
      </c>
      <c r="W145" s="18">
        <v>74.430900000000008</v>
      </c>
      <c r="X145" s="18">
        <v>49.620600000000003</v>
      </c>
      <c r="Y145" s="18">
        <v>2.2053600000000002</v>
      </c>
      <c r="Z145" s="18">
        <v>9.7862850000000012</v>
      </c>
      <c r="AA145" s="18">
        <v>14.334840000000002</v>
      </c>
      <c r="AB145" s="18">
        <v>25.499475000000004</v>
      </c>
      <c r="AC145" s="18">
        <v>7.8565950000000004</v>
      </c>
      <c r="AD145" s="18">
        <v>41.350500000000004</v>
      </c>
    </row>
    <row r="146" spans="2:30" x14ac:dyDescent="0.25">
      <c r="B146" t="s">
        <v>770</v>
      </c>
      <c r="C146">
        <v>1.5</v>
      </c>
      <c r="D146">
        <v>1.3</v>
      </c>
      <c r="E146" s="35">
        <v>2.25</v>
      </c>
      <c r="F146" s="35">
        <v>122.52</v>
      </c>
      <c r="G146" s="36">
        <v>0.13783500000000001</v>
      </c>
      <c r="H146" s="18">
        <v>358.37099999999998</v>
      </c>
      <c r="I146" s="16" t="s">
        <v>771</v>
      </c>
      <c r="J146" s="16"/>
      <c r="K146" s="16" t="s">
        <v>772</v>
      </c>
      <c r="L146" s="37"/>
      <c r="M146" s="37"/>
      <c r="N146" s="37"/>
      <c r="O146" s="37"/>
      <c r="P146" s="37"/>
      <c r="Q146" s="18">
        <v>1.5161850000000001</v>
      </c>
      <c r="R146" s="18">
        <v>1.0337625000000001E-2</v>
      </c>
      <c r="S146" s="18">
        <v>2.8945350000000003</v>
      </c>
      <c r="T146" s="18">
        <v>12.405150000000001</v>
      </c>
      <c r="U146" s="18">
        <v>6.2025750000000004</v>
      </c>
      <c r="V146" s="18">
        <v>79.392960000000002</v>
      </c>
      <c r="W146" s="18">
        <v>74.430900000000008</v>
      </c>
      <c r="X146" s="18">
        <v>49.620600000000003</v>
      </c>
      <c r="Y146" s="18">
        <v>2.2053600000000002</v>
      </c>
      <c r="Z146" s="18">
        <v>9.7862850000000012</v>
      </c>
      <c r="AA146" s="18">
        <v>14.334840000000002</v>
      </c>
      <c r="AB146" s="18">
        <v>25.499475000000004</v>
      </c>
      <c r="AC146" s="18">
        <v>7.8565950000000004</v>
      </c>
      <c r="AD146" s="18">
        <v>41.350500000000004</v>
      </c>
    </row>
    <row r="147" spans="2:30" x14ac:dyDescent="0.25">
      <c r="B147" t="s">
        <v>770</v>
      </c>
      <c r="C147">
        <v>1.5</v>
      </c>
      <c r="D147">
        <v>1.3</v>
      </c>
      <c r="E147" s="35">
        <v>2.25</v>
      </c>
      <c r="F147" s="35">
        <v>122.52</v>
      </c>
      <c r="G147" s="36">
        <v>0.13783500000000001</v>
      </c>
      <c r="H147" s="18">
        <v>358.37099999999998</v>
      </c>
      <c r="I147" s="16" t="s">
        <v>771</v>
      </c>
      <c r="J147" s="16"/>
      <c r="K147" s="16" t="s">
        <v>772</v>
      </c>
      <c r="L147" s="37"/>
      <c r="M147" s="37"/>
      <c r="N147" s="37"/>
      <c r="O147" s="37"/>
      <c r="P147" s="37"/>
      <c r="Q147" s="18">
        <v>1.5161850000000001</v>
      </c>
      <c r="R147" s="18">
        <v>1.0337625000000001E-2</v>
      </c>
      <c r="S147" s="18">
        <v>2.8945350000000003</v>
      </c>
      <c r="T147" s="18">
        <v>12.405150000000001</v>
      </c>
      <c r="U147" s="18">
        <v>6.2025750000000004</v>
      </c>
      <c r="V147" s="18">
        <v>79.392960000000002</v>
      </c>
      <c r="W147" s="18">
        <v>74.430900000000008</v>
      </c>
      <c r="X147" s="18">
        <v>49.620600000000003</v>
      </c>
      <c r="Y147" s="18">
        <v>2.2053600000000002</v>
      </c>
      <c r="Z147" s="18">
        <v>9.7862850000000012</v>
      </c>
      <c r="AA147" s="18">
        <v>14.334840000000002</v>
      </c>
      <c r="AB147" s="18">
        <v>25.499475000000004</v>
      </c>
      <c r="AC147" s="18">
        <v>7.8565950000000004</v>
      </c>
      <c r="AD147" s="18">
        <v>41.350500000000004</v>
      </c>
    </row>
    <row r="148" spans="2:30" x14ac:dyDescent="0.25">
      <c r="B148" t="s">
        <v>770</v>
      </c>
      <c r="C148">
        <v>1.5</v>
      </c>
      <c r="D148">
        <v>1.3</v>
      </c>
      <c r="E148" s="35">
        <v>2.25</v>
      </c>
      <c r="F148" s="35">
        <v>122.52</v>
      </c>
      <c r="G148" s="36">
        <v>0.13783500000000001</v>
      </c>
      <c r="H148" s="18">
        <v>358.37099999999998</v>
      </c>
      <c r="I148" s="16" t="s">
        <v>771</v>
      </c>
      <c r="J148" s="16"/>
      <c r="K148" s="16" t="s">
        <v>772</v>
      </c>
      <c r="L148" s="37"/>
      <c r="M148" s="37"/>
      <c r="N148" s="37"/>
      <c r="O148" s="37"/>
      <c r="P148" s="37"/>
      <c r="Q148" s="18">
        <v>1.5161850000000001</v>
      </c>
      <c r="R148" s="18">
        <v>1.0337625000000001E-2</v>
      </c>
      <c r="S148" s="18">
        <v>2.8945350000000003</v>
      </c>
      <c r="T148" s="18">
        <v>12.405150000000001</v>
      </c>
      <c r="U148" s="18">
        <v>6.2025750000000004</v>
      </c>
      <c r="V148" s="18">
        <v>79.392960000000002</v>
      </c>
      <c r="W148" s="18">
        <v>74.430900000000008</v>
      </c>
      <c r="X148" s="18">
        <v>49.620600000000003</v>
      </c>
      <c r="Y148" s="18">
        <v>2.2053600000000002</v>
      </c>
      <c r="Z148" s="18">
        <v>9.7862850000000012</v>
      </c>
      <c r="AA148" s="18">
        <v>14.334840000000002</v>
      </c>
      <c r="AB148" s="18">
        <v>25.499475000000004</v>
      </c>
      <c r="AC148" s="18">
        <v>7.8565950000000004</v>
      </c>
      <c r="AD148" s="18">
        <v>41.350500000000004</v>
      </c>
    </row>
    <row r="149" spans="2:30" x14ac:dyDescent="0.25">
      <c r="B149" t="s">
        <v>770</v>
      </c>
      <c r="C149">
        <v>1.5</v>
      </c>
      <c r="D149">
        <v>1.3</v>
      </c>
      <c r="E149" s="35">
        <v>2.25</v>
      </c>
      <c r="F149" s="35">
        <v>122.52</v>
      </c>
      <c r="G149" s="36">
        <v>0.13783500000000001</v>
      </c>
      <c r="H149" s="18">
        <v>358.37099999999998</v>
      </c>
      <c r="I149" s="16" t="s">
        <v>771</v>
      </c>
      <c r="J149" s="16"/>
      <c r="K149" s="16" t="s">
        <v>772</v>
      </c>
      <c r="L149" s="37"/>
      <c r="M149" s="37"/>
      <c r="N149" s="37"/>
      <c r="O149" s="37"/>
      <c r="P149" s="37"/>
      <c r="Q149" s="18">
        <v>1.5161850000000001</v>
      </c>
      <c r="R149" s="18">
        <v>1.0337625000000001E-2</v>
      </c>
      <c r="S149" s="18">
        <v>2.8945350000000003</v>
      </c>
      <c r="T149" s="18">
        <v>12.405150000000001</v>
      </c>
      <c r="U149" s="18">
        <v>6.2025750000000004</v>
      </c>
      <c r="V149" s="18">
        <v>79.392960000000002</v>
      </c>
      <c r="W149" s="18">
        <v>74.430900000000008</v>
      </c>
      <c r="X149" s="18">
        <v>49.620600000000003</v>
      </c>
      <c r="Y149" s="18">
        <v>2.2053600000000002</v>
      </c>
      <c r="Z149" s="18">
        <v>9.7862850000000012</v>
      </c>
      <c r="AA149" s="18">
        <v>14.334840000000002</v>
      </c>
      <c r="AB149" s="18">
        <v>25.499475000000004</v>
      </c>
      <c r="AC149" s="18">
        <v>7.8565950000000004</v>
      </c>
      <c r="AD149" s="18">
        <v>41.350500000000004</v>
      </c>
    </row>
    <row r="150" spans="2:30" x14ac:dyDescent="0.25">
      <c r="B150" t="s">
        <v>770</v>
      </c>
      <c r="C150">
        <v>1.5</v>
      </c>
      <c r="D150">
        <v>1.3</v>
      </c>
      <c r="E150" s="35">
        <v>2.25</v>
      </c>
      <c r="F150" s="35">
        <v>122.52</v>
      </c>
      <c r="G150" s="36">
        <v>0.13783500000000001</v>
      </c>
      <c r="H150" s="18">
        <v>358.37099999999998</v>
      </c>
      <c r="I150" s="16" t="s">
        <v>771</v>
      </c>
      <c r="J150" s="16"/>
      <c r="K150" s="16" t="s">
        <v>772</v>
      </c>
      <c r="L150" s="37"/>
      <c r="M150" s="37"/>
      <c r="N150" s="37"/>
      <c r="O150" s="37"/>
      <c r="P150" s="37"/>
      <c r="Q150" s="18">
        <v>1.5161850000000001</v>
      </c>
      <c r="R150" s="18">
        <v>1.0337625000000001E-2</v>
      </c>
      <c r="S150" s="18">
        <v>2.8945350000000003</v>
      </c>
      <c r="T150" s="18">
        <v>12.405150000000001</v>
      </c>
      <c r="U150" s="18">
        <v>6.2025750000000004</v>
      </c>
      <c r="V150" s="18">
        <v>79.392960000000002</v>
      </c>
      <c r="W150" s="18">
        <v>74.430900000000008</v>
      </c>
      <c r="X150" s="18">
        <v>49.620600000000003</v>
      </c>
      <c r="Y150" s="18">
        <v>2.2053600000000002</v>
      </c>
      <c r="Z150" s="18">
        <v>9.7862850000000012</v>
      </c>
      <c r="AA150" s="18">
        <v>14.334840000000002</v>
      </c>
      <c r="AB150" s="18">
        <v>25.499475000000004</v>
      </c>
      <c r="AC150" s="18">
        <v>7.8565950000000004</v>
      </c>
      <c r="AD150" s="18">
        <v>41.350500000000004</v>
      </c>
    </row>
    <row r="151" spans="2:30" x14ac:dyDescent="0.25">
      <c r="B151" t="s">
        <v>770</v>
      </c>
      <c r="C151">
        <v>1.5</v>
      </c>
      <c r="D151">
        <v>1.3</v>
      </c>
      <c r="E151" s="35">
        <v>2.25</v>
      </c>
      <c r="F151" s="35">
        <v>122.52</v>
      </c>
      <c r="G151" s="36">
        <v>0.13783500000000001</v>
      </c>
      <c r="H151" s="18">
        <v>358.37099999999998</v>
      </c>
      <c r="I151" s="16" t="s">
        <v>771</v>
      </c>
      <c r="J151" s="16"/>
      <c r="K151" s="16" t="s">
        <v>772</v>
      </c>
      <c r="L151" s="37"/>
      <c r="M151" s="37"/>
      <c r="N151" s="37"/>
      <c r="O151" s="37"/>
      <c r="P151" s="37"/>
      <c r="Q151" s="18">
        <v>1.5161850000000001</v>
      </c>
      <c r="R151" s="18">
        <v>1.0337625000000001E-2</v>
      </c>
      <c r="S151" s="18">
        <v>2.8945350000000003</v>
      </c>
      <c r="T151" s="18">
        <v>12.405150000000001</v>
      </c>
      <c r="U151" s="18">
        <v>6.2025750000000004</v>
      </c>
      <c r="V151" s="18">
        <v>79.392960000000002</v>
      </c>
      <c r="W151" s="18">
        <v>74.430900000000008</v>
      </c>
      <c r="X151" s="18">
        <v>49.620600000000003</v>
      </c>
      <c r="Y151" s="18">
        <v>2.2053600000000002</v>
      </c>
      <c r="Z151" s="18">
        <v>9.7862850000000012</v>
      </c>
      <c r="AA151" s="18">
        <v>14.334840000000002</v>
      </c>
      <c r="AB151" s="18">
        <v>25.499475000000004</v>
      </c>
      <c r="AC151" s="18">
        <v>7.8565950000000004</v>
      </c>
      <c r="AD151" s="18">
        <v>41.350500000000004</v>
      </c>
    </row>
    <row r="152" spans="2:30" x14ac:dyDescent="0.25">
      <c r="B152" t="s">
        <v>770</v>
      </c>
      <c r="C152">
        <v>1.5</v>
      </c>
      <c r="D152">
        <v>1.3</v>
      </c>
      <c r="E152" s="35">
        <v>2.25</v>
      </c>
      <c r="F152" s="35">
        <v>122.52</v>
      </c>
      <c r="G152" s="36">
        <v>0.13783500000000001</v>
      </c>
      <c r="H152" s="18">
        <v>358.37099999999998</v>
      </c>
      <c r="I152" s="16" t="s">
        <v>771</v>
      </c>
      <c r="J152" s="16"/>
      <c r="K152" s="16" t="s">
        <v>772</v>
      </c>
      <c r="L152" s="37"/>
      <c r="M152" s="37"/>
      <c r="N152" s="37"/>
      <c r="O152" s="37"/>
      <c r="P152" s="37"/>
      <c r="Q152" s="18">
        <v>1.5161850000000001</v>
      </c>
      <c r="R152" s="18">
        <v>1.0337625000000001E-2</v>
      </c>
      <c r="S152" s="18">
        <v>2.8945350000000003</v>
      </c>
      <c r="T152" s="18">
        <v>12.405150000000001</v>
      </c>
      <c r="U152" s="18">
        <v>6.2025750000000004</v>
      </c>
      <c r="V152" s="18">
        <v>79.392960000000002</v>
      </c>
      <c r="W152" s="18">
        <v>74.430900000000008</v>
      </c>
      <c r="X152" s="18">
        <v>49.620600000000003</v>
      </c>
      <c r="Y152" s="18">
        <v>2.2053600000000002</v>
      </c>
      <c r="Z152" s="18">
        <v>9.7862850000000012</v>
      </c>
      <c r="AA152" s="18">
        <v>14.334840000000002</v>
      </c>
      <c r="AB152" s="18">
        <v>25.499475000000004</v>
      </c>
      <c r="AC152" s="18">
        <v>7.8565950000000004</v>
      </c>
      <c r="AD152" s="18">
        <v>41.350500000000004</v>
      </c>
    </row>
    <row r="153" spans="2:30" x14ac:dyDescent="0.25">
      <c r="B153" t="s">
        <v>770</v>
      </c>
      <c r="C153">
        <v>1.5</v>
      </c>
      <c r="D153">
        <v>1.3</v>
      </c>
      <c r="E153" s="35">
        <v>2.25</v>
      </c>
      <c r="F153" s="35">
        <v>122.52</v>
      </c>
      <c r="G153" s="36">
        <v>0.13783500000000001</v>
      </c>
      <c r="H153" s="18">
        <v>358.37099999999998</v>
      </c>
      <c r="I153" s="16" t="s">
        <v>771</v>
      </c>
      <c r="J153" s="16"/>
      <c r="K153" s="16" t="s">
        <v>772</v>
      </c>
      <c r="L153" s="37"/>
      <c r="M153" s="37"/>
      <c r="N153" s="37"/>
      <c r="O153" s="37"/>
      <c r="P153" s="37"/>
      <c r="Q153" s="18">
        <v>1.5161850000000001</v>
      </c>
      <c r="R153" s="18">
        <v>1.0337625000000001E-2</v>
      </c>
      <c r="S153" s="18">
        <v>2.8945350000000003</v>
      </c>
      <c r="T153" s="18">
        <v>12.405150000000001</v>
      </c>
      <c r="U153" s="18">
        <v>6.2025750000000004</v>
      </c>
      <c r="V153" s="18">
        <v>79.392960000000002</v>
      </c>
      <c r="W153" s="18">
        <v>74.430900000000008</v>
      </c>
      <c r="X153" s="18">
        <v>49.620600000000003</v>
      </c>
      <c r="Y153" s="18">
        <v>2.2053600000000002</v>
      </c>
      <c r="Z153" s="18">
        <v>9.7862850000000012</v>
      </c>
      <c r="AA153" s="18">
        <v>14.334840000000002</v>
      </c>
      <c r="AB153" s="18">
        <v>25.499475000000004</v>
      </c>
      <c r="AC153" s="18">
        <v>7.8565950000000004</v>
      </c>
      <c r="AD153" s="18">
        <v>41.350500000000004</v>
      </c>
    </row>
    <row r="154" spans="2:30" x14ac:dyDescent="0.25">
      <c r="B154" t="s">
        <v>770</v>
      </c>
      <c r="C154">
        <v>1.5</v>
      </c>
      <c r="D154">
        <v>1.3</v>
      </c>
      <c r="E154" s="35">
        <v>2.25</v>
      </c>
      <c r="F154" s="35">
        <v>122.52</v>
      </c>
      <c r="G154" s="36">
        <v>0.13783500000000001</v>
      </c>
      <c r="H154" s="18">
        <v>358.37099999999998</v>
      </c>
      <c r="I154" s="16" t="s">
        <v>771</v>
      </c>
      <c r="J154" s="16"/>
      <c r="K154" s="16" t="s">
        <v>772</v>
      </c>
      <c r="L154" s="37"/>
      <c r="M154" s="37"/>
      <c r="N154" s="37"/>
      <c r="O154" s="37"/>
      <c r="P154" s="37"/>
      <c r="Q154" s="18">
        <v>1.5161850000000001</v>
      </c>
      <c r="R154" s="18">
        <v>1.0337625000000001E-2</v>
      </c>
      <c r="S154" s="18">
        <v>2.8945350000000003</v>
      </c>
      <c r="T154" s="18">
        <v>12.405150000000001</v>
      </c>
      <c r="U154" s="18">
        <v>6.2025750000000004</v>
      </c>
      <c r="V154" s="18">
        <v>79.392960000000002</v>
      </c>
      <c r="W154" s="18">
        <v>74.430900000000008</v>
      </c>
      <c r="X154" s="18">
        <v>49.620600000000003</v>
      </c>
      <c r="Y154" s="18">
        <v>2.2053600000000002</v>
      </c>
      <c r="Z154" s="18">
        <v>9.7862850000000012</v>
      </c>
      <c r="AA154" s="18">
        <v>14.334840000000002</v>
      </c>
      <c r="AB154" s="18">
        <v>25.499475000000004</v>
      </c>
      <c r="AC154" s="18">
        <v>7.8565950000000004</v>
      </c>
      <c r="AD154" s="18">
        <v>41.350500000000004</v>
      </c>
    </row>
    <row r="155" spans="2:30" x14ac:dyDescent="0.25">
      <c r="B155" t="s">
        <v>770</v>
      </c>
      <c r="C155">
        <v>1.5</v>
      </c>
      <c r="D155">
        <v>1.3</v>
      </c>
      <c r="E155" s="35">
        <v>2.25</v>
      </c>
      <c r="F155" s="35">
        <v>122.52</v>
      </c>
      <c r="G155" s="36">
        <v>0.13783500000000001</v>
      </c>
      <c r="H155" s="18">
        <v>358.37099999999998</v>
      </c>
      <c r="I155" s="16" t="s">
        <v>771</v>
      </c>
      <c r="J155" s="16"/>
      <c r="K155" s="16" t="s">
        <v>772</v>
      </c>
      <c r="L155" s="37"/>
      <c r="M155" s="37"/>
      <c r="N155" s="37"/>
      <c r="O155" s="37"/>
      <c r="P155" s="37"/>
      <c r="Q155" s="18">
        <v>1.5161850000000001</v>
      </c>
      <c r="R155" s="18">
        <v>1.0337625000000001E-2</v>
      </c>
      <c r="S155" s="18">
        <v>2.8945350000000003</v>
      </c>
      <c r="T155" s="18">
        <v>12.405150000000001</v>
      </c>
      <c r="U155" s="18">
        <v>6.2025750000000004</v>
      </c>
      <c r="V155" s="18">
        <v>79.392960000000002</v>
      </c>
      <c r="W155" s="18">
        <v>74.430900000000008</v>
      </c>
      <c r="X155" s="18">
        <v>49.620600000000003</v>
      </c>
      <c r="Y155" s="18">
        <v>2.2053600000000002</v>
      </c>
      <c r="Z155" s="18">
        <v>9.7862850000000012</v>
      </c>
      <c r="AA155" s="18">
        <v>14.334840000000002</v>
      </c>
      <c r="AB155" s="18">
        <v>25.499475000000004</v>
      </c>
      <c r="AC155" s="18">
        <v>7.8565950000000004</v>
      </c>
      <c r="AD155" s="18">
        <v>41.350500000000004</v>
      </c>
    </row>
    <row r="156" spans="2:30" x14ac:dyDescent="0.25">
      <c r="B156" t="s">
        <v>770</v>
      </c>
      <c r="C156">
        <v>1.5</v>
      </c>
      <c r="D156">
        <v>1.3</v>
      </c>
      <c r="E156" s="35">
        <v>2.25</v>
      </c>
      <c r="F156" s="35">
        <v>122.52</v>
      </c>
      <c r="G156" s="36">
        <v>0.13783500000000001</v>
      </c>
      <c r="H156" s="18">
        <v>358.37099999999998</v>
      </c>
      <c r="I156" s="16" t="s">
        <v>771</v>
      </c>
      <c r="J156" s="16"/>
      <c r="K156" s="16" t="s">
        <v>772</v>
      </c>
      <c r="L156" s="37"/>
      <c r="M156" s="37"/>
      <c r="N156" s="37"/>
      <c r="O156" s="37"/>
      <c r="P156" s="37"/>
      <c r="Q156" s="18">
        <v>1.5161850000000001</v>
      </c>
      <c r="R156" s="18">
        <v>1.0337625000000001E-2</v>
      </c>
      <c r="S156" s="18">
        <v>2.8945350000000003</v>
      </c>
      <c r="T156" s="18">
        <v>12.405150000000001</v>
      </c>
      <c r="U156" s="18">
        <v>6.2025750000000004</v>
      </c>
      <c r="V156" s="18">
        <v>79.392960000000002</v>
      </c>
      <c r="W156" s="18">
        <v>74.430900000000008</v>
      </c>
      <c r="X156" s="18">
        <v>49.620600000000003</v>
      </c>
      <c r="Y156" s="18">
        <v>2.2053600000000002</v>
      </c>
      <c r="Z156" s="18">
        <v>9.7862850000000012</v>
      </c>
      <c r="AA156" s="18">
        <v>14.334840000000002</v>
      </c>
      <c r="AB156" s="18">
        <v>25.499475000000004</v>
      </c>
      <c r="AC156" s="18">
        <v>7.8565950000000004</v>
      </c>
      <c r="AD156" s="18">
        <v>41.350500000000004</v>
      </c>
    </row>
    <row r="157" spans="2:30" x14ac:dyDescent="0.25">
      <c r="B157" t="s">
        <v>770</v>
      </c>
      <c r="C157">
        <v>1.5</v>
      </c>
      <c r="D157">
        <v>1.3</v>
      </c>
      <c r="E157" s="35">
        <v>2.25</v>
      </c>
      <c r="F157" s="35">
        <v>122.52</v>
      </c>
      <c r="G157" s="36">
        <v>0.13783500000000001</v>
      </c>
      <c r="H157" s="18">
        <v>358.37099999999998</v>
      </c>
      <c r="I157" s="16" t="s">
        <v>771</v>
      </c>
      <c r="J157" s="16"/>
      <c r="K157" s="16" t="s">
        <v>772</v>
      </c>
      <c r="L157" s="37"/>
      <c r="M157" s="37"/>
      <c r="N157" s="37"/>
      <c r="O157" s="37"/>
      <c r="P157" s="37"/>
      <c r="Q157" s="18">
        <v>1.5161850000000001</v>
      </c>
      <c r="R157" s="18">
        <v>1.0337625000000001E-2</v>
      </c>
      <c r="S157" s="18">
        <v>2.8945350000000003</v>
      </c>
      <c r="T157" s="18">
        <v>12.405150000000001</v>
      </c>
      <c r="U157" s="18">
        <v>6.2025750000000004</v>
      </c>
      <c r="V157" s="18">
        <v>79.392960000000002</v>
      </c>
      <c r="W157" s="18">
        <v>74.430900000000008</v>
      </c>
      <c r="X157" s="18">
        <v>49.620600000000003</v>
      </c>
      <c r="Y157" s="18">
        <v>2.2053600000000002</v>
      </c>
      <c r="Z157" s="18">
        <v>9.7862850000000012</v>
      </c>
      <c r="AA157" s="18">
        <v>14.334840000000002</v>
      </c>
      <c r="AB157" s="18">
        <v>25.499475000000004</v>
      </c>
      <c r="AC157" s="18">
        <v>7.8565950000000004</v>
      </c>
      <c r="AD157" s="18">
        <v>41.350500000000004</v>
      </c>
    </row>
    <row r="158" spans="2:30" x14ac:dyDescent="0.25">
      <c r="B158" t="s">
        <v>770</v>
      </c>
      <c r="C158">
        <v>1.5</v>
      </c>
      <c r="D158">
        <v>1.3</v>
      </c>
      <c r="E158" s="35">
        <v>2.25</v>
      </c>
      <c r="F158" s="35">
        <v>122.52</v>
      </c>
      <c r="G158" s="36">
        <v>0.13783500000000001</v>
      </c>
      <c r="H158" s="18">
        <v>358.37099999999998</v>
      </c>
      <c r="I158" s="16" t="s">
        <v>771</v>
      </c>
      <c r="J158" s="16"/>
      <c r="K158" s="16" t="s">
        <v>772</v>
      </c>
      <c r="L158" s="37"/>
      <c r="M158" s="37"/>
      <c r="N158" s="37"/>
      <c r="O158" s="37"/>
      <c r="P158" s="37"/>
      <c r="Q158" s="18">
        <v>1.5161850000000001</v>
      </c>
      <c r="R158" s="18">
        <v>1.0337625000000001E-2</v>
      </c>
      <c r="S158" s="18">
        <v>2.8945350000000003</v>
      </c>
      <c r="T158" s="18">
        <v>12.405150000000001</v>
      </c>
      <c r="U158" s="18">
        <v>6.2025750000000004</v>
      </c>
      <c r="V158" s="18">
        <v>79.392960000000002</v>
      </c>
      <c r="W158" s="18">
        <v>74.430900000000008</v>
      </c>
      <c r="X158" s="18">
        <v>49.620600000000003</v>
      </c>
      <c r="Y158" s="18">
        <v>2.2053600000000002</v>
      </c>
      <c r="Z158" s="18">
        <v>9.7862850000000012</v>
      </c>
      <c r="AA158" s="18">
        <v>14.334840000000002</v>
      </c>
      <c r="AB158" s="18">
        <v>25.499475000000004</v>
      </c>
      <c r="AC158" s="18">
        <v>7.8565950000000004</v>
      </c>
      <c r="AD158" s="18">
        <v>41.350500000000004</v>
      </c>
    </row>
    <row r="159" spans="2:30" x14ac:dyDescent="0.25">
      <c r="B159" t="s">
        <v>770</v>
      </c>
      <c r="C159">
        <v>1.5</v>
      </c>
      <c r="D159">
        <v>1.3</v>
      </c>
      <c r="E159" s="35">
        <v>2.25</v>
      </c>
      <c r="F159" s="35">
        <v>122.52</v>
      </c>
      <c r="G159" s="36">
        <v>0.13783500000000001</v>
      </c>
      <c r="H159" s="18">
        <v>358.37099999999998</v>
      </c>
      <c r="I159" s="16" t="s">
        <v>771</v>
      </c>
      <c r="J159" s="16"/>
      <c r="K159" s="16" t="s">
        <v>772</v>
      </c>
      <c r="L159" s="37"/>
      <c r="M159" s="37"/>
      <c r="N159" s="37"/>
      <c r="O159" s="37"/>
      <c r="P159" s="37"/>
      <c r="Q159" s="18">
        <v>1.5161850000000001</v>
      </c>
      <c r="R159" s="18">
        <v>1.0337625000000001E-2</v>
      </c>
      <c r="S159" s="18">
        <v>2.8945350000000003</v>
      </c>
      <c r="T159" s="18">
        <v>12.405150000000001</v>
      </c>
      <c r="U159" s="18">
        <v>6.2025750000000004</v>
      </c>
      <c r="V159" s="18">
        <v>79.392960000000002</v>
      </c>
      <c r="W159" s="18">
        <v>74.430900000000008</v>
      </c>
      <c r="X159" s="18">
        <v>49.620600000000003</v>
      </c>
      <c r="Y159" s="18">
        <v>2.2053600000000002</v>
      </c>
      <c r="Z159" s="18">
        <v>9.7862850000000012</v>
      </c>
      <c r="AA159" s="18">
        <v>14.334840000000002</v>
      </c>
      <c r="AB159" s="18">
        <v>25.499475000000004</v>
      </c>
      <c r="AC159" s="18">
        <v>7.8565950000000004</v>
      </c>
      <c r="AD159" s="18">
        <v>41.350500000000004</v>
      </c>
    </row>
    <row r="160" spans="2:30" x14ac:dyDescent="0.25">
      <c r="B160" t="s">
        <v>770</v>
      </c>
      <c r="C160">
        <v>1.5</v>
      </c>
      <c r="D160">
        <v>1.3</v>
      </c>
      <c r="E160" s="35">
        <v>2.25</v>
      </c>
      <c r="F160" s="35">
        <v>122.52</v>
      </c>
      <c r="G160" s="36">
        <v>0.13783500000000001</v>
      </c>
      <c r="H160" s="18">
        <v>358.37099999999998</v>
      </c>
      <c r="I160" s="16" t="s">
        <v>771</v>
      </c>
      <c r="J160" s="16"/>
      <c r="K160" s="16" t="s">
        <v>772</v>
      </c>
      <c r="L160" s="37"/>
      <c r="M160" s="37"/>
      <c r="N160" s="37"/>
      <c r="O160" s="37"/>
      <c r="P160" s="37"/>
      <c r="Q160" s="18">
        <v>1.5161850000000001</v>
      </c>
      <c r="R160" s="18">
        <v>1.0337625000000001E-2</v>
      </c>
      <c r="S160" s="18">
        <v>2.8945350000000003</v>
      </c>
      <c r="T160" s="18">
        <v>12.405150000000001</v>
      </c>
      <c r="U160" s="18">
        <v>6.2025750000000004</v>
      </c>
      <c r="V160" s="18">
        <v>79.392960000000002</v>
      </c>
      <c r="W160" s="18">
        <v>74.430900000000008</v>
      </c>
      <c r="X160" s="18">
        <v>49.620600000000003</v>
      </c>
      <c r="Y160" s="18">
        <v>2.2053600000000002</v>
      </c>
      <c r="Z160" s="18">
        <v>9.7862850000000012</v>
      </c>
      <c r="AA160" s="18">
        <v>14.334840000000002</v>
      </c>
      <c r="AB160" s="18">
        <v>25.499475000000004</v>
      </c>
      <c r="AC160" s="18">
        <v>7.8565950000000004</v>
      </c>
      <c r="AD160" s="18">
        <v>41.350500000000004</v>
      </c>
    </row>
    <row r="161" spans="2:30" x14ac:dyDescent="0.25">
      <c r="B161" t="s">
        <v>770</v>
      </c>
      <c r="C161">
        <v>1.5</v>
      </c>
      <c r="D161">
        <v>1.3</v>
      </c>
      <c r="E161" s="35">
        <v>2.25</v>
      </c>
      <c r="F161" s="35">
        <v>122.52</v>
      </c>
      <c r="G161" s="36">
        <v>0.13783500000000001</v>
      </c>
      <c r="H161" s="18">
        <v>358.37099999999998</v>
      </c>
      <c r="I161" s="16" t="s">
        <v>771</v>
      </c>
      <c r="J161" s="16"/>
      <c r="K161" s="16" t="s">
        <v>772</v>
      </c>
      <c r="L161" s="37"/>
      <c r="M161" s="37"/>
      <c r="N161" s="37"/>
      <c r="O161" s="37"/>
      <c r="P161" s="37"/>
      <c r="Q161" s="18">
        <v>1.5161850000000001</v>
      </c>
      <c r="R161" s="18">
        <v>1.0337625000000001E-2</v>
      </c>
      <c r="S161" s="18">
        <v>2.8945350000000003</v>
      </c>
      <c r="T161" s="18">
        <v>12.405150000000001</v>
      </c>
      <c r="U161" s="18">
        <v>6.2025750000000004</v>
      </c>
      <c r="V161" s="18">
        <v>79.392960000000002</v>
      </c>
      <c r="W161" s="18">
        <v>74.430900000000008</v>
      </c>
      <c r="X161" s="18">
        <v>49.620600000000003</v>
      </c>
      <c r="Y161" s="18">
        <v>2.2053600000000002</v>
      </c>
      <c r="Z161" s="18">
        <v>9.7862850000000012</v>
      </c>
      <c r="AA161" s="18">
        <v>14.334840000000002</v>
      </c>
      <c r="AB161" s="18">
        <v>25.499475000000004</v>
      </c>
      <c r="AC161" s="18">
        <v>7.8565950000000004</v>
      </c>
      <c r="AD161" s="18">
        <v>41.350500000000004</v>
      </c>
    </row>
    <row r="162" spans="2:30" x14ac:dyDescent="0.25">
      <c r="B162" t="s">
        <v>770</v>
      </c>
      <c r="C162">
        <v>1.5</v>
      </c>
      <c r="D162">
        <v>1.3</v>
      </c>
      <c r="E162" s="35">
        <v>2.25</v>
      </c>
      <c r="F162" s="35">
        <v>122.52</v>
      </c>
      <c r="G162" s="36">
        <v>0.13783500000000001</v>
      </c>
      <c r="H162" s="18">
        <v>358.37099999999998</v>
      </c>
      <c r="I162" s="16" t="s">
        <v>771</v>
      </c>
      <c r="J162" s="16"/>
      <c r="K162" s="16" t="s">
        <v>772</v>
      </c>
      <c r="L162" s="37"/>
      <c r="M162" s="37"/>
      <c r="N162" s="37"/>
      <c r="O162" s="37"/>
      <c r="P162" s="37"/>
      <c r="Q162" s="18">
        <v>1.5161850000000001</v>
      </c>
      <c r="R162" s="18">
        <v>1.0337625000000001E-2</v>
      </c>
      <c r="S162" s="18">
        <v>2.8945350000000003</v>
      </c>
      <c r="T162" s="18">
        <v>12.405150000000001</v>
      </c>
      <c r="U162" s="18">
        <v>6.2025750000000004</v>
      </c>
      <c r="V162" s="18">
        <v>79.392960000000002</v>
      </c>
      <c r="W162" s="18">
        <v>74.430900000000008</v>
      </c>
      <c r="X162" s="18">
        <v>49.620600000000003</v>
      </c>
      <c r="Y162" s="18">
        <v>2.2053600000000002</v>
      </c>
      <c r="Z162" s="18">
        <v>9.7862850000000012</v>
      </c>
      <c r="AA162" s="18">
        <v>14.334840000000002</v>
      </c>
      <c r="AB162" s="18">
        <v>25.499475000000004</v>
      </c>
      <c r="AC162" s="18">
        <v>7.8565950000000004</v>
      </c>
      <c r="AD162" s="18">
        <v>41.350500000000004</v>
      </c>
    </row>
    <row r="163" spans="2:30" x14ac:dyDescent="0.25">
      <c r="B163" t="s">
        <v>773</v>
      </c>
      <c r="E163" s="38" t="s">
        <v>797</v>
      </c>
      <c r="F163" s="38"/>
      <c r="G163" s="39">
        <f>SUM(G7:G162)</f>
        <v>10.577484000000013</v>
      </c>
      <c r="H163" s="40">
        <f>SUM(H7:H162)</f>
        <v>27501.462595999958</v>
      </c>
      <c r="I163" s="41"/>
      <c r="J163" s="41"/>
      <c r="K163" s="41"/>
      <c r="L163" s="42"/>
      <c r="M163" s="42"/>
      <c r="N163" s="42"/>
      <c r="O163" s="42"/>
      <c r="P163" s="42"/>
      <c r="Q163" s="40">
        <f>SUM(Q7:Q162)</f>
        <v>116.35232400000024</v>
      </c>
      <c r="R163" s="40">
        <f>SUM(R7:R162)</f>
        <v>0.79331130000000072</v>
      </c>
      <c r="S163" s="40">
        <f>SUM(S7:S162)</f>
        <v>222.12716399999977</v>
      </c>
      <c r="T163" s="40">
        <f>SUM(T7:T162)</f>
        <v>951.9735600000015</v>
      </c>
      <c r="U163" s="40">
        <f>SUM(U7:U162)</f>
        <v>475.98678000000075</v>
      </c>
      <c r="V163" s="40">
        <f>SUM(V7:V162)</f>
        <v>6092.6307840000054</v>
      </c>
      <c r="W163" s="40">
        <f>SUM(W7:W162)</f>
        <v>5711.8413600000022</v>
      </c>
      <c r="X163" s="40">
        <f>SUM(X7:X162)</f>
        <v>3807.894240000006</v>
      </c>
      <c r="Y163" s="40">
        <f>SUM(Y7:Y162)</f>
        <v>169.2397440000002</v>
      </c>
      <c r="Z163" s="40">
        <f>SUM(Z7:Z162)</f>
        <v>751.00136400000099</v>
      </c>
      <c r="AA163" s="40">
        <f>SUM(AA7:AA162)</f>
        <v>1100.0583359999991</v>
      </c>
      <c r="AB163" s="40">
        <f>SUM(AB7:AB162)</f>
        <v>1956.8345400000023</v>
      </c>
      <c r="AC163" s="40">
        <f>SUM(AC7:AC162)</f>
        <v>602.91658800000062</v>
      </c>
      <c r="AD163" s="40">
        <f>SUM(AD7:AD162)</f>
        <v>3173.2451999999998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2:L31"/>
  <sheetViews>
    <sheetView showGridLines="0" workbookViewId="0">
      <selection activeCell="D15" sqref="D15"/>
    </sheetView>
  </sheetViews>
  <sheetFormatPr defaultRowHeight="15" x14ac:dyDescent="0.25"/>
  <cols>
    <col min="1" max="1" width="11.28515625" bestFit="1" customWidth="1"/>
    <col min="2" max="2" width="13.42578125" bestFit="1" customWidth="1"/>
    <col min="3" max="3" width="12.7109375" bestFit="1" customWidth="1"/>
    <col min="4" max="4" width="11.5703125" bestFit="1" customWidth="1"/>
    <col min="6" max="6" width="29" bestFit="1" customWidth="1"/>
    <col min="8" max="8" width="20.28515625" style="12" customWidth="1"/>
  </cols>
  <sheetData>
    <row r="2" spans="1:8" ht="24" customHeight="1" x14ac:dyDescent="0.4">
      <c r="B2" s="6" t="s">
        <v>0</v>
      </c>
      <c r="C2" s="8" t="str">
        <f>ProjectHome!C3</f>
        <v>23 - Springhill ES</v>
      </c>
    </row>
    <row r="3" spans="1:8" x14ac:dyDescent="0.25">
      <c r="A3" s="1"/>
      <c r="B3" s="1"/>
      <c r="C3" s="1"/>
      <c r="D3" s="1"/>
    </row>
    <row r="4" spans="1:8" x14ac:dyDescent="0.25">
      <c r="A4" s="2"/>
      <c r="B4" s="2"/>
      <c r="C4" s="2"/>
      <c r="D4" s="2"/>
    </row>
    <row r="5" spans="1:8" ht="18.75" customHeight="1" x14ac:dyDescent="0.3">
      <c r="A5" s="2"/>
      <c r="B5" s="5" t="s">
        <v>1</v>
      </c>
      <c r="C5" s="2"/>
      <c r="D5" s="2"/>
      <c r="F5" s="30" t="s">
        <v>2</v>
      </c>
      <c r="G5" s="31"/>
    </row>
    <row r="6" spans="1:8" ht="30" x14ac:dyDescent="0.25">
      <c r="A6" s="2"/>
      <c r="B6" s="2" t="s">
        <v>37</v>
      </c>
      <c r="C6" s="43">
        <v>513.77231000000063</v>
      </c>
      <c r="D6" s="2"/>
      <c r="F6" s="9" t="s">
        <v>3</v>
      </c>
      <c r="G6" s="9">
        <v>0.4</v>
      </c>
      <c r="H6" s="9">
        <f>G6*C6</f>
        <v>205.50892400000026</v>
      </c>
    </row>
    <row r="7" spans="1:8" x14ac:dyDescent="0.25">
      <c r="A7" s="2"/>
      <c r="B7" s="2" t="s">
        <v>38</v>
      </c>
      <c r="C7" s="44">
        <v>1004882.8302999999</v>
      </c>
      <c r="D7" s="2"/>
      <c r="F7" s="9" t="s">
        <v>4</v>
      </c>
      <c r="G7" s="9">
        <v>0.3</v>
      </c>
      <c r="H7" s="9">
        <f>G7*C6</f>
        <v>154.13169300000018</v>
      </c>
    </row>
    <row r="8" spans="1:8" x14ac:dyDescent="0.25">
      <c r="A8" s="2"/>
      <c r="B8" s="2" t="s">
        <v>782</v>
      </c>
      <c r="C8" s="44">
        <v>5651.4953999999989</v>
      </c>
      <c r="D8" s="2"/>
      <c r="F8" s="9" t="s">
        <v>5</v>
      </c>
      <c r="G8" s="9">
        <v>0.15</v>
      </c>
      <c r="H8" s="9">
        <f>G8*C6</f>
        <v>77.065846500000092</v>
      </c>
    </row>
    <row r="9" spans="1:8" x14ac:dyDescent="0.25">
      <c r="A9" s="2"/>
      <c r="B9" s="2" t="s">
        <v>783</v>
      </c>
      <c r="C9" s="44">
        <v>38.532800000000002</v>
      </c>
      <c r="D9" s="2"/>
      <c r="F9" s="12"/>
      <c r="G9" s="13"/>
    </row>
    <row r="10" spans="1:8" x14ac:dyDescent="0.25">
      <c r="A10" s="2"/>
      <c r="B10" s="2" t="s">
        <v>784</v>
      </c>
      <c r="C10" s="44">
        <v>10789.218599999998</v>
      </c>
      <c r="D10" s="2"/>
      <c r="F10" s="12"/>
      <c r="G10" s="12"/>
    </row>
    <row r="11" spans="1:8" ht="18.75" customHeight="1" x14ac:dyDescent="0.25">
      <c r="A11" s="2"/>
      <c r="B11" s="2" t="s">
        <v>785</v>
      </c>
      <c r="C11" s="44">
        <v>46239.507999999994</v>
      </c>
      <c r="D11" s="2"/>
      <c r="F11" s="28"/>
      <c r="G11" s="29"/>
      <c r="H11" s="17"/>
    </row>
    <row r="12" spans="1:8" ht="18.75" customHeight="1" x14ac:dyDescent="0.25">
      <c r="A12" s="2"/>
      <c r="B12" s="2" t="s">
        <v>786</v>
      </c>
      <c r="C12" s="44">
        <v>23119.753999999997</v>
      </c>
      <c r="D12" s="2"/>
      <c r="F12" s="10" t="s">
        <v>6</v>
      </c>
      <c r="G12" s="10"/>
    </row>
    <row r="13" spans="1:8" x14ac:dyDescent="0.25">
      <c r="A13" s="2"/>
      <c r="B13" s="2" t="s">
        <v>787</v>
      </c>
      <c r="C13" s="44">
        <v>295932.85059999995</v>
      </c>
      <c r="D13" s="2"/>
      <c r="F13" s="9" t="s">
        <v>7</v>
      </c>
      <c r="G13" s="11">
        <v>0</v>
      </c>
      <c r="H13" s="9"/>
    </row>
    <row r="14" spans="1:8" ht="30" x14ac:dyDescent="0.25">
      <c r="A14" s="2"/>
      <c r="B14" s="2" t="s">
        <v>788</v>
      </c>
      <c r="C14" s="44">
        <v>277437.04739999998</v>
      </c>
      <c r="D14" s="3"/>
      <c r="F14" s="9" t="s">
        <v>8</v>
      </c>
      <c r="G14" s="11">
        <v>0</v>
      </c>
      <c r="H14" s="9">
        <f>G14*C7</f>
        <v>0</v>
      </c>
    </row>
    <row r="15" spans="1:8" ht="30" x14ac:dyDescent="0.25">
      <c r="A15" s="2"/>
      <c r="B15" s="2" t="s">
        <v>789</v>
      </c>
      <c r="C15" s="44">
        <v>184958.03160000002</v>
      </c>
      <c r="D15" s="3"/>
      <c r="F15" s="9" t="s">
        <v>9</v>
      </c>
      <c r="G15" s="9"/>
      <c r="H15" s="9"/>
    </row>
    <row r="16" spans="1:8" ht="30" x14ac:dyDescent="0.25">
      <c r="A16" s="2"/>
      <c r="B16" s="2" t="s">
        <v>790</v>
      </c>
      <c r="C16" s="44">
        <v>8220.3567999999996</v>
      </c>
      <c r="D16" s="3"/>
    </row>
    <row r="17" spans="1:12" x14ac:dyDescent="0.25">
      <c r="A17" s="2"/>
      <c r="B17" s="2" t="s">
        <v>791</v>
      </c>
      <c r="C17" s="44">
        <v>36477.834100000007</v>
      </c>
      <c r="D17" s="3"/>
    </row>
    <row r="18" spans="1:12" x14ac:dyDescent="0.25">
      <c r="A18" s="2"/>
      <c r="B18" s="2" t="s">
        <v>792</v>
      </c>
      <c r="C18" s="44">
        <v>53432.320199999995</v>
      </c>
      <c r="D18" s="3"/>
    </row>
    <row r="19" spans="1:12" ht="18.75" customHeight="1" x14ac:dyDescent="0.25">
      <c r="A19" s="2"/>
      <c r="B19" s="2" t="s">
        <v>793</v>
      </c>
      <c r="C19" s="44">
        <v>95047.877199999988</v>
      </c>
      <c r="D19" s="3"/>
      <c r="F19" s="10" t="s">
        <v>10</v>
      </c>
      <c r="G19" s="10"/>
      <c r="H19" s="10"/>
    </row>
    <row r="20" spans="1:12" x14ac:dyDescent="0.25">
      <c r="A20" s="2"/>
      <c r="B20" s="2" t="s">
        <v>794</v>
      </c>
      <c r="C20" s="44">
        <v>29285.0216</v>
      </c>
      <c r="D20" s="3"/>
      <c r="F20" s="9" t="s">
        <v>11</v>
      </c>
      <c r="G20" s="11">
        <v>0.01</v>
      </c>
      <c r="H20" s="15">
        <f>G20*C22</f>
        <v>22256.443716000002</v>
      </c>
    </row>
    <row r="21" spans="1:12" x14ac:dyDescent="0.25">
      <c r="A21" s="2"/>
      <c r="B21" s="2" t="s">
        <v>795</v>
      </c>
      <c r="C21" s="44">
        <v>154131.693</v>
      </c>
      <c r="D21" s="3"/>
      <c r="F21" s="9" t="s">
        <v>12</v>
      </c>
      <c r="G21" s="11">
        <v>0.01</v>
      </c>
      <c r="H21" s="15">
        <f>(C22+H20)*G21</f>
        <v>22479.008153160001</v>
      </c>
    </row>
    <row r="22" spans="1:12" ht="15" customHeight="1" x14ac:dyDescent="0.25">
      <c r="A22" s="2"/>
      <c r="B22" s="45" t="s">
        <v>804</v>
      </c>
      <c r="C22" s="46">
        <v>2225644.3716000002</v>
      </c>
      <c r="D22" s="3"/>
      <c r="F22" s="9" t="s">
        <v>13</v>
      </c>
      <c r="G22" s="11">
        <v>2.2000000000000001E-3</v>
      </c>
      <c r="H22" s="15">
        <f>(C22+H21+H20)*G22</f>
        <v>4994.8356116321529</v>
      </c>
    </row>
    <row r="23" spans="1:12" ht="15" customHeight="1" x14ac:dyDescent="0.25">
      <c r="A23" s="2"/>
      <c r="B23" s="2"/>
      <c r="C23" s="2"/>
      <c r="D23" s="3"/>
      <c r="F23" s="9" t="s">
        <v>14</v>
      </c>
      <c r="G23" s="14">
        <v>0.17</v>
      </c>
      <c r="H23" s="15">
        <f>(H22+C22+H14+H20+H21)*G23</f>
        <v>386813.69204373471</v>
      </c>
      <c r="L23" s="12"/>
    </row>
    <row r="24" spans="1:12" ht="15" customHeight="1" x14ac:dyDescent="0.25">
      <c r="A24" s="2"/>
      <c r="B24" s="2"/>
      <c r="C24" s="2"/>
      <c r="D24" s="3"/>
      <c r="F24" s="9" t="s">
        <v>15</v>
      </c>
      <c r="G24" s="11">
        <v>0</v>
      </c>
      <c r="H24" s="15">
        <f>(C22+H20+H21+H22+H23)*G24</f>
        <v>0</v>
      </c>
    </row>
    <row r="25" spans="1:12" ht="15" customHeight="1" x14ac:dyDescent="0.25">
      <c r="A25" s="2"/>
      <c r="B25" s="2"/>
      <c r="C25" s="2"/>
      <c r="D25" s="3"/>
    </row>
    <row r="26" spans="1:12" ht="15" customHeight="1" x14ac:dyDescent="0.25">
      <c r="A26" s="2"/>
      <c r="B26" s="2"/>
      <c r="C26" s="2"/>
      <c r="D26" s="3"/>
    </row>
    <row r="27" spans="1:12" x14ac:dyDescent="0.25">
      <c r="A27" s="2"/>
      <c r="B27" s="2"/>
      <c r="C27" s="2"/>
      <c r="D27" s="3"/>
      <c r="F27" s="12"/>
      <c r="G27" s="13"/>
    </row>
    <row r="29" spans="1:12" ht="26.25" customHeight="1" x14ac:dyDescent="0.4">
      <c r="F29" s="7" t="s">
        <v>16</v>
      </c>
    </row>
    <row r="31" spans="1:12" x14ac:dyDescent="0.25">
      <c r="F31" s="18">
        <f>SUM(H20:H24,C22,H13:H15)</f>
        <v>2662188.3511245269</v>
      </c>
    </row>
  </sheetData>
  <mergeCells count="2">
    <mergeCell ref="F11:G11"/>
    <mergeCell ref="F5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2.MultiplyValues_AllSheets_And_Summary">
                <anchor moveWithCells="1" sizeWithCells="1">
                  <from>
                    <xdr:col>9</xdr:col>
                    <xdr:colOff>104775</xdr:colOff>
                    <xdr:row>1</xdr:row>
                    <xdr:rowOff>95250</xdr:rowOff>
                  </from>
                  <to>
                    <xdr:col>12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pageSetUpPr fitToPage="1"/>
  </sheetPr>
  <dimension ref="B2:F1000"/>
  <sheetViews>
    <sheetView showGridLines="0" workbookViewId="0">
      <selection activeCell="K11" sqref="K11"/>
    </sheetView>
  </sheetViews>
  <sheetFormatPr defaultRowHeight="15" x14ac:dyDescent="0.25"/>
  <cols>
    <col min="2" max="2" width="28.7109375" style="12" customWidth="1"/>
    <col min="3" max="6" width="18.7109375" style="12" customWidth="1"/>
  </cols>
  <sheetData>
    <row r="2" spans="2:6" ht="26.25" x14ac:dyDescent="0.25">
      <c r="B2" s="20" t="s">
        <v>774</v>
      </c>
    </row>
    <row r="3" spans="2:6" ht="39.950000000000003" customHeight="1" x14ac:dyDescent="0.25">
      <c r="B3" s="53" t="s">
        <v>775</v>
      </c>
      <c r="C3" s="53"/>
      <c r="D3" s="53"/>
      <c r="E3" s="53"/>
      <c r="F3" s="53"/>
    </row>
    <row r="4" spans="2:6" ht="39.950000000000003" customHeight="1" x14ac:dyDescent="0.25"/>
    <row r="6" spans="2:6" x14ac:dyDescent="0.25">
      <c r="B6" s="21" t="s">
        <v>17</v>
      </c>
      <c r="C6" s="12" t="s">
        <v>18</v>
      </c>
    </row>
    <row r="7" spans="2:6" x14ac:dyDescent="0.25">
      <c r="B7" s="21" t="s">
        <v>19</v>
      </c>
      <c r="C7" s="12" t="s">
        <v>20</v>
      </c>
    </row>
    <row r="8" spans="2:6" x14ac:dyDescent="0.25">
      <c r="B8" s="21" t="s">
        <v>21</v>
      </c>
      <c r="C8" s="12" t="s">
        <v>22</v>
      </c>
    </row>
    <row r="9" spans="2:6" x14ac:dyDescent="0.25">
      <c r="B9" s="21" t="s">
        <v>23</v>
      </c>
      <c r="C9" s="12">
        <v>8486683665</v>
      </c>
      <c r="E9" s="22" t="s">
        <v>776</v>
      </c>
      <c r="F9" s="23">
        <v>46125</v>
      </c>
    </row>
    <row r="10" spans="2:6" x14ac:dyDescent="0.25">
      <c r="B10" s="21" t="s">
        <v>24</v>
      </c>
      <c r="C10" s="12" t="s">
        <v>25</v>
      </c>
      <c r="E10" s="22" t="s">
        <v>777</v>
      </c>
      <c r="F10" s="23">
        <v>46139</v>
      </c>
    </row>
    <row r="16" spans="2:6" x14ac:dyDescent="0.25">
      <c r="B16" s="54" t="s">
        <v>37</v>
      </c>
      <c r="C16" s="54">
        <v>513.77231000000063</v>
      </c>
      <c r="D16" s="54"/>
      <c r="E16" s="54"/>
      <c r="F16" s="54"/>
    </row>
    <row r="17" spans="2:6" x14ac:dyDescent="0.25">
      <c r="B17" s="54" t="s">
        <v>38</v>
      </c>
      <c r="C17" s="55">
        <v>1004882.83</v>
      </c>
      <c r="D17" s="54"/>
      <c r="E17" s="54"/>
      <c r="F17" s="54"/>
    </row>
    <row r="18" spans="2:6" x14ac:dyDescent="0.25">
      <c r="B18" s="54"/>
      <c r="C18" s="54"/>
      <c r="D18" s="54"/>
      <c r="E18" s="54"/>
      <c r="F18" s="54"/>
    </row>
    <row r="22" spans="2:6" ht="21" x14ac:dyDescent="0.25">
      <c r="B22" s="32" t="s">
        <v>778</v>
      </c>
      <c r="C22" s="32"/>
      <c r="D22" s="32"/>
      <c r="E22" s="32"/>
      <c r="F22" s="24">
        <v>2662188.35</v>
      </c>
    </row>
    <row r="23" spans="2:6" ht="21" customHeight="1" x14ac:dyDescent="0.25"/>
    <row r="40" spans="2:6" x14ac:dyDescent="0.25">
      <c r="B40" s="34" t="s">
        <v>779</v>
      </c>
      <c r="C40" s="34"/>
      <c r="D40" s="34"/>
      <c r="E40" s="34"/>
      <c r="F40" s="34"/>
    </row>
    <row r="41" spans="2:6" x14ac:dyDescent="0.25">
      <c r="B41" s="34"/>
      <c r="C41" s="34"/>
      <c r="D41" s="34"/>
      <c r="E41" s="34"/>
      <c r="F41" s="34"/>
    </row>
    <row r="42" spans="2:6" x14ac:dyDescent="0.25">
      <c r="B42" s="34"/>
      <c r="C42" s="34"/>
      <c r="D42" s="34"/>
      <c r="E42" s="34"/>
      <c r="F42" s="34"/>
    </row>
    <row r="45" spans="2:6" ht="15.75" customHeight="1" x14ac:dyDescent="0.25">
      <c r="B45" s="33" t="s">
        <v>780</v>
      </c>
      <c r="C45" s="33"/>
      <c r="D45" s="33"/>
      <c r="E45" s="33"/>
      <c r="F45" s="33"/>
    </row>
    <row r="101" spans="2:6" x14ac:dyDescent="0.25">
      <c r="B101" s="19"/>
      <c r="C101" s="19"/>
      <c r="D101" s="19"/>
      <c r="E101" s="19"/>
      <c r="F101" s="19"/>
    </row>
    <row r="102" spans="2:6" x14ac:dyDescent="0.25">
      <c r="B102" s="19"/>
      <c r="C102" s="19"/>
      <c r="D102" s="19"/>
      <c r="E102" s="19"/>
      <c r="F102" s="19"/>
    </row>
    <row r="103" spans="2:6" x14ac:dyDescent="0.25">
      <c r="B103" s="19"/>
      <c r="C103" s="19"/>
      <c r="D103" s="19"/>
      <c r="E103" s="19"/>
      <c r="F103" s="19"/>
    </row>
    <row r="104" spans="2:6" x14ac:dyDescent="0.25">
      <c r="B104" s="19"/>
      <c r="C104" s="19"/>
      <c r="D104" s="19"/>
      <c r="E104" s="19"/>
      <c r="F104" s="19"/>
    </row>
    <row r="105" spans="2:6" x14ac:dyDescent="0.25">
      <c r="B105" s="19"/>
      <c r="C105" s="19"/>
      <c r="D105" s="19"/>
      <c r="E105" s="19"/>
      <c r="F105" s="19"/>
    </row>
    <row r="106" spans="2:6" x14ac:dyDescent="0.25">
      <c r="B106" s="19"/>
      <c r="C106" s="19"/>
      <c r="D106" s="19"/>
      <c r="E106" s="19"/>
      <c r="F106" s="19"/>
    </row>
    <row r="107" spans="2:6" x14ac:dyDescent="0.25">
      <c r="B107" s="19"/>
      <c r="C107" s="19"/>
      <c r="D107" s="19"/>
      <c r="E107" s="19"/>
      <c r="F107" s="19"/>
    </row>
    <row r="108" spans="2:6" x14ac:dyDescent="0.25">
      <c r="B108" s="19"/>
      <c r="C108" s="19"/>
      <c r="D108" s="19"/>
      <c r="E108" s="19"/>
      <c r="F108" s="19"/>
    </row>
    <row r="109" spans="2:6" x14ac:dyDescent="0.25">
      <c r="B109" s="19"/>
      <c r="C109" s="19"/>
      <c r="D109" s="19"/>
      <c r="E109" s="19"/>
      <c r="F109" s="19"/>
    </row>
    <row r="110" spans="2:6" x14ac:dyDescent="0.25">
      <c r="B110" s="19"/>
      <c r="C110" s="19"/>
      <c r="D110" s="19"/>
      <c r="E110" s="19"/>
      <c r="F110" s="19"/>
    </row>
    <row r="111" spans="2:6" x14ac:dyDescent="0.25">
      <c r="B111" s="19"/>
      <c r="C111" s="19"/>
      <c r="D111" s="19"/>
      <c r="E111" s="19"/>
      <c r="F111" s="19"/>
    </row>
    <row r="112" spans="2:6" x14ac:dyDescent="0.25">
      <c r="B112" s="19"/>
      <c r="C112" s="19"/>
      <c r="D112" s="19"/>
      <c r="E112" s="19"/>
      <c r="F112" s="19"/>
    </row>
    <row r="113" spans="2:6" x14ac:dyDescent="0.25">
      <c r="B113" s="19"/>
      <c r="C113" s="19"/>
      <c r="D113" s="19"/>
      <c r="E113" s="19"/>
      <c r="F113" s="19"/>
    </row>
    <row r="114" spans="2:6" x14ac:dyDescent="0.25">
      <c r="B114" s="19"/>
      <c r="C114" s="19"/>
      <c r="D114" s="19"/>
      <c r="E114" s="19"/>
      <c r="F114" s="19"/>
    </row>
    <row r="115" spans="2:6" x14ac:dyDescent="0.25">
      <c r="B115" s="19"/>
      <c r="C115" s="19"/>
      <c r="D115" s="19"/>
      <c r="E115" s="19"/>
      <c r="F115" s="19"/>
    </row>
    <row r="116" spans="2:6" x14ac:dyDescent="0.25">
      <c r="B116" s="19"/>
      <c r="C116" s="19"/>
      <c r="D116" s="19"/>
      <c r="E116" s="19"/>
      <c r="F116" s="19"/>
    </row>
    <row r="117" spans="2:6" x14ac:dyDescent="0.25">
      <c r="B117" s="19"/>
      <c r="C117" s="19"/>
      <c r="D117" s="19"/>
      <c r="E117" s="19"/>
      <c r="F117" s="19"/>
    </row>
    <row r="118" spans="2:6" x14ac:dyDescent="0.25">
      <c r="B118" s="19"/>
      <c r="C118" s="19"/>
      <c r="D118" s="19"/>
      <c r="E118" s="19"/>
      <c r="F118" s="19"/>
    </row>
    <row r="119" spans="2:6" x14ac:dyDescent="0.25">
      <c r="B119" s="19"/>
      <c r="C119" s="19"/>
      <c r="D119" s="19"/>
      <c r="E119" s="19"/>
      <c r="F119" s="19"/>
    </row>
    <row r="120" spans="2:6" x14ac:dyDescent="0.25">
      <c r="B120" s="19"/>
      <c r="C120" s="19"/>
      <c r="D120" s="19"/>
      <c r="E120" s="19"/>
      <c r="F120" s="19"/>
    </row>
    <row r="121" spans="2:6" x14ac:dyDescent="0.25">
      <c r="B121" s="19"/>
      <c r="C121" s="19"/>
      <c r="D121" s="19"/>
      <c r="E121" s="19"/>
      <c r="F121" s="19"/>
    </row>
    <row r="122" spans="2:6" x14ac:dyDescent="0.25">
      <c r="B122" s="19"/>
      <c r="C122" s="19"/>
      <c r="D122" s="19"/>
      <c r="E122" s="19"/>
      <c r="F122" s="19"/>
    </row>
    <row r="123" spans="2:6" x14ac:dyDescent="0.25">
      <c r="B123" s="19"/>
      <c r="C123" s="19"/>
      <c r="D123" s="19"/>
      <c r="E123" s="19"/>
      <c r="F123" s="19"/>
    </row>
    <row r="124" spans="2:6" x14ac:dyDescent="0.25">
      <c r="B124" s="19"/>
      <c r="C124" s="19"/>
      <c r="D124" s="19"/>
      <c r="E124" s="19"/>
      <c r="F124" s="19"/>
    </row>
    <row r="125" spans="2:6" x14ac:dyDescent="0.25">
      <c r="B125" s="19"/>
      <c r="C125" s="19"/>
      <c r="D125" s="19"/>
      <c r="E125" s="19"/>
      <c r="F125" s="19"/>
    </row>
    <row r="126" spans="2:6" x14ac:dyDescent="0.25">
      <c r="B126" s="19"/>
      <c r="C126" s="19"/>
      <c r="D126" s="19"/>
      <c r="E126" s="19"/>
      <c r="F126" s="19"/>
    </row>
    <row r="127" spans="2:6" x14ac:dyDescent="0.25">
      <c r="B127" s="19"/>
      <c r="C127" s="19"/>
      <c r="D127" s="19"/>
      <c r="E127" s="19"/>
      <c r="F127" s="19"/>
    </row>
    <row r="128" spans="2:6" x14ac:dyDescent="0.25">
      <c r="B128" s="19"/>
      <c r="C128" s="19"/>
      <c r="D128" s="19"/>
      <c r="E128" s="19"/>
      <c r="F128" s="19"/>
    </row>
    <row r="129" spans="2:6" x14ac:dyDescent="0.25">
      <c r="B129" s="19"/>
      <c r="C129" s="19"/>
      <c r="D129" s="19"/>
      <c r="E129" s="19"/>
      <c r="F129" s="19"/>
    </row>
    <row r="130" spans="2:6" x14ac:dyDescent="0.25">
      <c r="B130" s="19"/>
      <c r="C130" s="19"/>
      <c r="D130" s="19"/>
      <c r="E130" s="19"/>
      <c r="F130" s="19"/>
    </row>
    <row r="131" spans="2:6" x14ac:dyDescent="0.25">
      <c r="B131" s="19"/>
      <c r="C131" s="19"/>
      <c r="D131" s="19"/>
      <c r="E131" s="19"/>
      <c r="F131" s="19"/>
    </row>
    <row r="132" spans="2:6" x14ac:dyDescent="0.25">
      <c r="B132" s="19"/>
      <c r="C132" s="19"/>
      <c r="D132" s="19"/>
      <c r="E132" s="19"/>
      <c r="F132" s="19"/>
    </row>
    <row r="133" spans="2:6" x14ac:dyDescent="0.25">
      <c r="B133" s="19"/>
      <c r="C133" s="19"/>
      <c r="D133" s="19"/>
      <c r="E133" s="19"/>
      <c r="F133" s="19"/>
    </row>
    <row r="134" spans="2:6" x14ac:dyDescent="0.25">
      <c r="B134" s="19"/>
      <c r="C134" s="19"/>
      <c r="D134" s="19"/>
      <c r="E134" s="19"/>
      <c r="F134" s="19"/>
    </row>
    <row r="135" spans="2:6" x14ac:dyDescent="0.25">
      <c r="B135" s="19"/>
      <c r="C135" s="19"/>
      <c r="D135" s="19"/>
      <c r="E135" s="19"/>
      <c r="F135" s="19"/>
    </row>
    <row r="136" spans="2:6" x14ac:dyDescent="0.25">
      <c r="B136" s="19"/>
      <c r="C136" s="19"/>
      <c r="D136" s="19"/>
      <c r="E136" s="19"/>
      <c r="F136" s="19"/>
    </row>
    <row r="137" spans="2:6" x14ac:dyDescent="0.25">
      <c r="B137" s="19"/>
      <c r="C137" s="19"/>
      <c r="D137" s="19"/>
      <c r="E137" s="19"/>
      <c r="F137" s="19"/>
    </row>
    <row r="138" spans="2:6" x14ac:dyDescent="0.25">
      <c r="B138" s="19"/>
      <c r="C138" s="19"/>
      <c r="D138" s="19"/>
      <c r="E138" s="19"/>
      <c r="F138" s="19"/>
    </row>
    <row r="139" spans="2:6" x14ac:dyDescent="0.25">
      <c r="B139" s="19"/>
      <c r="C139" s="19"/>
      <c r="D139" s="19"/>
      <c r="E139" s="19"/>
      <c r="F139" s="19"/>
    </row>
    <row r="140" spans="2:6" x14ac:dyDescent="0.25">
      <c r="B140" s="19"/>
      <c r="C140" s="19"/>
      <c r="D140" s="19"/>
      <c r="E140" s="19"/>
      <c r="F140" s="19"/>
    </row>
    <row r="141" spans="2:6" x14ac:dyDescent="0.25">
      <c r="B141" s="19"/>
      <c r="C141" s="19"/>
      <c r="D141" s="19"/>
      <c r="E141" s="19"/>
      <c r="F141" s="19"/>
    </row>
    <row r="142" spans="2:6" x14ac:dyDescent="0.25">
      <c r="B142" s="19"/>
      <c r="C142" s="19"/>
      <c r="D142" s="19"/>
      <c r="E142" s="19"/>
      <c r="F142" s="19"/>
    </row>
    <row r="143" spans="2:6" x14ac:dyDescent="0.25">
      <c r="B143" s="19"/>
      <c r="C143" s="19"/>
      <c r="D143" s="19"/>
      <c r="E143" s="19"/>
      <c r="F143" s="19"/>
    </row>
    <row r="144" spans="2:6" x14ac:dyDescent="0.25">
      <c r="B144" s="19"/>
      <c r="C144" s="19"/>
      <c r="D144" s="19"/>
      <c r="E144" s="19"/>
      <c r="F144" s="19"/>
    </row>
    <row r="145" spans="2:6" x14ac:dyDescent="0.25">
      <c r="B145" s="19"/>
      <c r="C145" s="19"/>
      <c r="D145" s="19"/>
      <c r="E145" s="19"/>
      <c r="F145" s="19"/>
    </row>
    <row r="146" spans="2:6" x14ac:dyDescent="0.25">
      <c r="B146" s="19"/>
      <c r="C146" s="19"/>
      <c r="D146" s="19"/>
      <c r="E146" s="19"/>
      <c r="F146" s="19"/>
    </row>
    <row r="147" spans="2:6" x14ac:dyDescent="0.25">
      <c r="B147" s="19"/>
      <c r="C147" s="19"/>
      <c r="D147" s="19"/>
      <c r="E147" s="19"/>
      <c r="F147" s="19"/>
    </row>
    <row r="148" spans="2:6" x14ac:dyDescent="0.25">
      <c r="B148" s="19"/>
      <c r="C148" s="19"/>
      <c r="D148" s="19"/>
      <c r="E148" s="19"/>
      <c r="F148" s="19"/>
    </row>
    <row r="149" spans="2:6" x14ac:dyDescent="0.25">
      <c r="B149" s="19"/>
      <c r="C149" s="19"/>
      <c r="D149" s="19"/>
      <c r="E149" s="19"/>
      <c r="F149" s="19"/>
    </row>
    <row r="150" spans="2:6" x14ac:dyDescent="0.25">
      <c r="B150" s="19"/>
      <c r="C150" s="19"/>
      <c r="D150" s="19"/>
      <c r="E150" s="19"/>
      <c r="F150" s="19"/>
    </row>
    <row r="151" spans="2:6" x14ac:dyDescent="0.25">
      <c r="B151" s="19"/>
      <c r="C151" s="19"/>
      <c r="D151" s="19"/>
      <c r="E151" s="19"/>
      <c r="F151" s="19"/>
    </row>
    <row r="152" spans="2:6" x14ac:dyDescent="0.25">
      <c r="B152" s="19"/>
      <c r="C152" s="19"/>
      <c r="D152" s="19"/>
      <c r="E152" s="19"/>
      <c r="F152" s="19"/>
    </row>
    <row r="153" spans="2:6" x14ac:dyDescent="0.25">
      <c r="B153" s="19"/>
      <c r="C153" s="19"/>
      <c r="D153" s="19"/>
      <c r="E153" s="19"/>
      <c r="F153" s="19"/>
    </row>
    <row r="154" spans="2:6" x14ac:dyDescent="0.25">
      <c r="B154" s="19"/>
      <c r="C154" s="19"/>
      <c r="D154" s="19"/>
      <c r="E154" s="19"/>
      <c r="F154" s="19"/>
    </row>
    <row r="155" spans="2:6" x14ac:dyDescent="0.25">
      <c r="B155" s="19"/>
      <c r="C155" s="19"/>
      <c r="D155" s="19"/>
      <c r="E155" s="19"/>
      <c r="F155" s="19"/>
    </row>
    <row r="156" spans="2:6" x14ac:dyDescent="0.25">
      <c r="B156" s="19"/>
      <c r="C156" s="19"/>
      <c r="D156" s="19"/>
      <c r="E156" s="19"/>
      <c r="F156" s="19"/>
    </row>
    <row r="157" spans="2:6" x14ac:dyDescent="0.25">
      <c r="B157" s="19"/>
      <c r="C157" s="19"/>
      <c r="D157" s="19"/>
      <c r="E157" s="19"/>
      <c r="F157" s="19"/>
    </row>
    <row r="158" spans="2:6" x14ac:dyDescent="0.25">
      <c r="B158" s="19"/>
      <c r="C158" s="19"/>
      <c r="D158" s="19"/>
      <c r="E158" s="19"/>
      <c r="F158" s="19"/>
    </row>
    <row r="159" spans="2:6" x14ac:dyDescent="0.25">
      <c r="B159" s="19"/>
      <c r="C159" s="19"/>
      <c r="D159" s="19"/>
      <c r="E159" s="19"/>
      <c r="F159" s="19"/>
    </row>
    <row r="160" spans="2:6" x14ac:dyDescent="0.25">
      <c r="B160" s="19"/>
      <c r="C160" s="19"/>
      <c r="D160" s="19"/>
      <c r="E160" s="19"/>
      <c r="F160" s="19"/>
    </row>
    <row r="161" spans="2:6" x14ac:dyDescent="0.25">
      <c r="B161" s="19"/>
      <c r="C161" s="19"/>
      <c r="D161" s="19"/>
      <c r="E161" s="19"/>
      <c r="F161" s="19"/>
    </row>
    <row r="162" spans="2:6" x14ac:dyDescent="0.25">
      <c r="B162" s="19"/>
      <c r="C162" s="19"/>
      <c r="D162" s="19"/>
      <c r="E162" s="19"/>
      <c r="F162" s="19"/>
    </row>
    <row r="163" spans="2:6" x14ac:dyDescent="0.25">
      <c r="B163" s="19"/>
      <c r="C163" s="19"/>
      <c r="D163" s="19"/>
      <c r="E163" s="19"/>
      <c r="F163" s="19"/>
    </row>
    <row r="164" spans="2:6" x14ac:dyDescent="0.25">
      <c r="B164" s="19"/>
      <c r="C164" s="19"/>
      <c r="D164" s="19"/>
      <c r="E164" s="19"/>
      <c r="F164" s="19"/>
    </row>
    <row r="165" spans="2:6" x14ac:dyDescent="0.25">
      <c r="B165" s="19"/>
      <c r="C165" s="19"/>
      <c r="D165" s="19"/>
      <c r="E165" s="19"/>
      <c r="F165" s="19"/>
    </row>
    <row r="166" spans="2:6" x14ac:dyDescent="0.25">
      <c r="B166" s="19"/>
      <c r="C166" s="19"/>
      <c r="D166" s="19"/>
      <c r="E166" s="19"/>
      <c r="F166" s="19"/>
    </row>
    <row r="167" spans="2:6" x14ac:dyDescent="0.25">
      <c r="B167" s="19"/>
      <c r="C167" s="19"/>
      <c r="D167" s="19"/>
      <c r="E167" s="19"/>
      <c r="F167" s="19"/>
    </row>
    <row r="168" spans="2:6" x14ac:dyDescent="0.25">
      <c r="B168" s="19"/>
      <c r="C168" s="19"/>
      <c r="D168" s="19"/>
      <c r="E168" s="19"/>
      <c r="F168" s="19"/>
    </row>
    <row r="169" spans="2:6" x14ac:dyDescent="0.25">
      <c r="B169" s="19"/>
      <c r="C169" s="19"/>
      <c r="D169" s="19"/>
      <c r="E169" s="19"/>
      <c r="F169" s="19"/>
    </row>
    <row r="170" spans="2:6" x14ac:dyDescent="0.25">
      <c r="B170" s="19"/>
      <c r="C170" s="19"/>
      <c r="D170" s="19"/>
      <c r="E170" s="19"/>
      <c r="F170" s="19"/>
    </row>
    <row r="171" spans="2:6" x14ac:dyDescent="0.25">
      <c r="B171" s="19"/>
      <c r="C171" s="19"/>
      <c r="D171" s="19"/>
      <c r="E171" s="19"/>
      <c r="F171" s="19"/>
    </row>
    <row r="172" spans="2:6" x14ac:dyDescent="0.25">
      <c r="B172" s="19"/>
      <c r="C172" s="19"/>
      <c r="D172" s="19"/>
      <c r="E172" s="19"/>
      <c r="F172" s="19"/>
    </row>
    <row r="173" spans="2:6" x14ac:dyDescent="0.25">
      <c r="B173" s="19"/>
      <c r="C173" s="19"/>
      <c r="D173" s="19"/>
      <c r="E173" s="19"/>
      <c r="F173" s="19"/>
    </row>
    <row r="174" spans="2:6" x14ac:dyDescent="0.25">
      <c r="B174" s="19"/>
      <c r="C174" s="19"/>
      <c r="D174" s="19"/>
      <c r="E174" s="19"/>
      <c r="F174" s="19"/>
    </row>
    <row r="175" spans="2:6" x14ac:dyDescent="0.25">
      <c r="B175" s="19"/>
      <c r="C175" s="19"/>
      <c r="D175" s="19"/>
      <c r="E175" s="19"/>
      <c r="F175" s="19"/>
    </row>
    <row r="176" spans="2:6" x14ac:dyDescent="0.25">
      <c r="B176" s="19"/>
      <c r="C176" s="19"/>
      <c r="D176" s="19"/>
      <c r="E176" s="19"/>
      <c r="F176" s="19"/>
    </row>
    <row r="177" spans="2:6" x14ac:dyDescent="0.25">
      <c r="B177" s="19"/>
      <c r="C177" s="19"/>
      <c r="D177" s="19"/>
      <c r="E177" s="19"/>
      <c r="F177" s="19"/>
    </row>
    <row r="178" spans="2:6" x14ac:dyDescent="0.25">
      <c r="B178" s="19"/>
      <c r="C178" s="19"/>
      <c r="D178" s="19"/>
      <c r="E178" s="19"/>
      <c r="F178" s="19"/>
    </row>
    <row r="179" spans="2:6" x14ac:dyDescent="0.25">
      <c r="B179" s="19"/>
      <c r="C179" s="19"/>
      <c r="D179" s="19"/>
      <c r="E179" s="19"/>
      <c r="F179" s="19"/>
    </row>
    <row r="180" spans="2:6" x14ac:dyDescent="0.25">
      <c r="B180" s="19"/>
      <c r="C180" s="19"/>
      <c r="D180" s="19"/>
      <c r="E180" s="19"/>
      <c r="F180" s="19"/>
    </row>
    <row r="181" spans="2:6" x14ac:dyDescent="0.25">
      <c r="B181" s="19"/>
      <c r="C181" s="19"/>
      <c r="D181" s="19"/>
      <c r="E181" s="19"/>
      <c r="F181" s="19"/>
    </row>
    <row r="182" spans="2:6" x14ac:dyDescent="0.25">
      <c r="B182" s="19"/>
      <c r="C182" s="19"/>
      <c r="D182" s="19"/>
      <c r="E182" s="19"/>
      <c r="F182" s="19"/>
    </row>
    <row r="183" spans="2:6" x14ac:dyDescent="0.25">
      <c r="B183" s="19"/>
      <c r="C183" s="19"/>
      <c r="D183" s="19"/>
      <c r="E183" s="19"/>
      <c r="F183" s="19"/>
    </row>
    <row r="184" spans="2:6" x14ac:dyDescent="0.25">
      <c r="B184" s="19"/>
      <c r="C184" s="19"/>
      <c r="D184" s="19"/>
      <c r="E184" s="19"/>
      <c r="F184" s="19"/>
    </row>
    <row r="185" spans="2:6" x14ac:dyDescent="0.25">
      <c r="B185" s="19"/>
      <c r="C185" s="19"/>
      <c r="D185" s="19"/>
      <c r="E185" s="19"/>
      <c r="F185" s="19"/>
    </row>
    <row r="186" spans="2:6" x14ac:dyDescent="0.25">
      <c r="B186" s="19"/>
      <c r="C186" s="19"/>
      <c r="D186" s="19"/>
      <c r="E186" s="19"/>
      <c r="F186" s="19"/>
    </row>
    <row r="187" spans="2:6" x14ac:dyDescent="0.25">
      <c r="B187" s="19"/>
      <c r="C187" s="19"/>
      <c r="D187" s="19"/>
      <c r="E187" s="19"/>
      <c r="F187" s="19"/>
    </row>
    <row r="188" spans="2:6" x14ac:dyDescent="0.25">
      <c r="B188" s="19"/>
      <c r="C188" s="19"/>
      <c r="D188" s="19"/>
      <c r="E188" s="19"/>
      <c r="F188" s="19"/>
    </row>
    <row r="189" spans="2:6" x14ac:dyDescent="0.25">
      <c r="B189" s="19"/>
      <c r="C189" s="19"/>
      <c r="D189" s="19"/>
      <c r="E189" s="19"/>
      <c r="F189" s="19"/>
    </row>
    <row r="190" spans="2:6" x14ac:dyDescent="0.25">
      <c r="B190" s="19"/>
      <c r="C190" s="19"/>
      <c r="D190" s="19"/>
      <c r="E190" s="19"/>
      <c r="F190" s="19"/>
    </row>
    <row r="191" spans="2:6" x14ac:dyDescent="0.25">
      <c r="B191" s="19"/>
      <c r="C191" s="19"/>
      <c r="D191" s="19"/>
      <c r="E191" s="19"/>
      <c r="F191" s="19"/>
    </row>
    <row r="192" spans="2:6" x14ac:dyDescent="0.25">
      <c r="B192" s="19"/>
      <c r="C192" s="19"/>
      <c r="D192" s="19"/>
      <c r="E192" s="19"/>
      <c r="F192" s="19"/>
    </row>
    <row r="193" spans="2:6" x14ac:dyDescent="0.25">
      <c r="B193" s="19"/>
      <c r="C193" s="19"/>
      <c r="D193" s="19"/>
      <c r="E193" s="19"/>
      <c r="F193" s="19"/>
    </row>
    <row r="194" spans="2:6" x14ac:dyDescent="0.25">
      <c r="B194" s="19"/>
      <c r="C194" s="19"/>
      <c r="D194" s="19"/>
      <c r="E194" s="19"/>
      <c r="F194" s="19"/>
    </row>
    <row r="195" spans="2:6" x14ac:dyDescent="0.25">
      <c r="B195" s="19"/>
      <c r="C195" s="19"/>
      <c r="D195" s="19"/>
      <c r="E195" s="19"/>
      <c r="F195" s="19"/>
    </row>
    <row r="196" spans="2:6" x14ac:dyDescent="0.25">
      <c r="B196" s="19"/>
      <c r="C196" s="19"/>
      <c r="D196" s="19"/>
      <c r="E196" s="19"/>
      <c r="F196" s="19"/>
    </row>
    <row r="197" spans="2:6" x14ac:dyDescent="0.25">
      <c r="B197" s="19"/>
      <c r="C197" s="19"/>
      <c r="D197" s="19"/>
      <c r="E197" s="19"/>
      <c r="F197" s="19"/>
    </row>
    <row r="198" spans="2:6" x14ac:dyDescent="0.25">
      <c r="B198" s="19"/>
      <c r="C198" s="19"/>
      <c r="D198" s="19"/>
      <c r="E198" s="19"/>
      <c r="F198" s="19"/>
    </row>
    <row r="199" spans="2:6" x14ac:dyDescent="0.25">
      <c r="B199" s="19"/>
      <c r="C199" s="19"/>
      <c r="D199" s="19"/>
      <c r="E199" s="19"/>
      <c r="F199" s="19"/>
    </row>
    <row r="200" spans="2:6" x14ac:dyDescent="0.25">
      <c r="B200" s="19"/>
      <c r="C200" s="19"/>
      <c r="D200" s="19"/>
      <c r="E200" s="19"/>
      <c r="F200" s="19"/>
    </row>
    <row r="201" spans="2:6" x14ac:dyDescent="0.25">
      <c r="B201" s="19"/>
      <c r="C201" s="19"/>
      <c r="D201" s="19"/>
      <c r="E201" s="19"/>
      <c r="F201" s="19"/>
    </row>
    <row r="202" spans="2:6" x14ac:dyDescent="0.25">
      <c r="B202" s="19"/>
      <c r="C202" s="19"/>
      <c r="D202" s="19"/>
      <c r="E202" s="19"/>
      <c r="F202" s="19"/>
    </row>
    <row r="203" spans="2:6" x14ac:dyDescent="0.25">
      <c r="B203" s="19"/>
      <c r="C203" s="19"/>
      <c r="D203" s="19"/>
      <c r="E203" s="19"/>
      <c r="F203" s="19"/>
    </row>
    <row r="204" spans="2:6" x14ac:dyDescent="0.25">
      <c r="B204" s="19"/>
      <c r="C204" s="19"/>
      <c r="D204" s="19"/>
      <c r="E204" s="19"/>
      <c r="F204" s="19"/>
    </row>
    <row r="205" spans="2:6" x14ac:dyDescent="0.25">
      <c r="B205" s="19"/>
      <c r="C205" s="19"/>
      <c r="D205" s="19"/>
      <c r="E205" s="19"/>
      <c r="F205" s="19"/>
    </row>
    <row r="206" spans="2:6" x14ac:dyDescent="0.25">
      <c r="B206" s="19"/>
      <c r="C206" s="19"/>
      <c r="D206" s="19"/>
      <c r="E206" s="19"/>
      <c r="F206" s="19"/>
    </row>
    <row r="207" spans="2:6" x14ac:dyDescent="0.25">
      <c r="B207" s="19"/>
      <c r="C207" s="19"/>
      <c r="D207" s="19"/>
      <c r="E207" s="19"/>
      <c r="F207" s="19"/>
    </row>
    <row r="208" spans="2:6" x14ac:dyDescent="0.25">
      <c r="B208" s="19"/>
      <c r="C208" s="19"/>
      <c r="D208" s="19"/>
      <c r="E208" s="19"/>
      <c r="F208" s="19"/>
    </row>
    <row r="209" spans="2:6" x14ac:dyDescent="0.25">
      <c r="B209" s="19"/>
      <c r="C209" s="19"/>
      <c r="D209" s="19"/>
      <c r="E209" s="19"/>
      <c r="F209" s="19"/>
    </row>
    <row r="210" spans="2:6" x14ac:dyDescent="0.25">
      <c r="B210" s="19"/>
      <c r="C210" s="19"/>
      <c r="D210" s="19"/>
      <c r="E210" s="19"/>
      <c r="F210" s="19"/>
    </row>
    <row r="211" spans="2:6" x14ac:dyDescent="0.25">
      <c r="B211" s="19"/>
      <c r="C211" s="19"/>
      <c r="D211" s="19"/>
      <c r="E211" s="19"/>
      <c r="F211" s="19"/>
    </row>
    <row r="212" spans="2:6" x14ac:dyDescent="0.25">
      <c r="B212" s="19"/>
      <c r="C212" s="19"/>
      <c r="D212" s="19"/>
      <c r="E212" s="19"/>
      <c r="F212" s="19"/>
    </row>
    <row r="213" spans="2:6" x14ac:dyDescent="0.25">
      <c r="B213" s="19"/>
      <c r="C213" s="19"/>
      <c r="D213" s="19"/>
      <c r="E213" s="19"/>
      <c r="F213" s="19"/>
    </row>
    <row r="214" spans="2:6" x14ac:dyDescent="0.25">
      <c r="B214" s="19"/>
      <c r="C214" s="19"/>
      <c r="D214" s="19"/>
      <c r="E214" s="19"/>
      <c r="F214" s="19"/>
    </row>
    <row r="215" spans="2:6" x14ac:dyDescent="0.25">
      <c r="B215" s="19"/>
      <c r="C215" s="19"/>
      <c r="D215" s="19"/>
      <c r="E215" s="19"/>
      <c r="F215" s="19"/>
    </row>
    <row r="216" spans="2:6" x14ac:dyDescent="0.25">
      <c r="B216" s="19"/>
      <c r="C216" s="19"/>
      <c r="D216" s="19"/>
      <c r="E216" s="19"/>
      <c r="F216" s="19"/>
    </row>
    <row r="217" spans="2:6" x14ac:dyDescent="0.25">
      <c r="B217" s="19"/>
      <c r="C217" s="19"/>
      <c r="D217" s="19"/>
      <c r="E217" s="19"/>
      <c r="F217" s="19"/>
    </row>
    <row r="218" spans="2:6" x14ac:dyDescent="0.25">
      <c r="B218" s="19"/>
      <c r="C218" s="19"/>
      <c r="D218" s="19"/>
      <c r="E218" s="19"/>
      <c r="F218" s="19"/>
    </row>
    <row r="219" spans="2:6" x14ac:dyDescent="0.25">
      <c r="B219" s="19"/>
      <c r="C219" s="19"/>
      <c r="D219" s="19"/>
      <c r="E219" s="19"/>
      <c r="F219" s="19"/>
    </row>
    <row r="220" spans="2:6" x14ac:dyDescent="0.25">
      <c r="B220" s="19"/>
      <c r="C220" s="19"/>
      <c r="D220" s="19"/>
      <c r="E220" s="19"/>
      <c r="F220" s="19"/>
    </row>
    <row r="221" spans="2:6" x14ac:dyDescent="0.25">
      <c r="B221" s="19"/>
      <c r="C221" s="19"/>
      <c r="D221" s="19"/>
      <c r="E221" s="19"/>
      <c r="F221" s="19"/>
    </row>
    <row r="222" spans="2:6" x14ac:dyDescent="0.25">
      <c r="B222" s="19"/>
      <c r="C222" s="19"/>
      <c r="D222" s="19"/>
      <c r="E222" s="19"/>
      <c r="F222" s="19"/>
    </row>
    <row r="223" spans="2:6" x14ac:dyDescent="0.25">
      <c r="B223" s="19"/>
      <c r="C223" s="19"/>
      <c r="D223" s="19"/>
      <c r="E223" s="19"/>
      <c r="F223" s="19"/>
    </row>
    <row r="224" spans="2:6" x14ac:dyDescent="0.25">
      <c r="B224" s="19"/>
      <c r="C224" s="19"/>
      <c r="D224" s="19"/>
      <c r="E224" s="19"/>
      <c r="F224" s="19"/>
    </row>
    <row r="225" spans="2:6" x14ac:dyDescent="0.25">
      <c r="B225" s="19"/>
      <c r="C225" s="19"/>
      <c r="D225" s="19"/>
      <c r="E225" s="19"/>
      <c r="F225" s="19"/>
    </row>
    <row r="226" spans="2:6" x14ac:dyDescent="0.25">
      <c r="B226" s="19"/>
      <c r="C226" s="19"/>
      <c r="D226" s="19"/>
      <c r="E226" s="19"/>
      <c r="F226" s="19"/>
    </row>
    <row r="227" spans="2:6" x14ac:dyDescent="0.25">
      <c r="B227" s="19"/>
      <c r="C227" s="19"/>
      <c r="D227" s="19"/>
      <c r="E227" s="19"/>
      <c r="F227" s="19"/>
    </row>
    <row r="228" spans="2:6" x14ac:dyDescent="0.25">
      <c r="B228" s="19"/>
      <c r="C228" s="19"/>
      <c r="D228" s="19"/>
      <c r="E228" s="19"/>
      <c r="F228" s="19"/>
    </row>
    <row r="229" spans="2:6" x14ac:dyDescent="0.25">
      <c r="B229" s="19"/>
      <c r="C229" s="19"/>
      <c r="D229" s="19"/>
      <c r="E229" s="19"/>
      <c r="F229" s="19"/>
    </row>
    <row r="230" spans="2:6" x14ac:dyDescent="0.25">
      <c r="B230" s="19"/>
      <c r="C230" s="19"/>
      <c r="D230" s="19"/>
      <c r="E230" s="19"/>
      <c r="F230" s="19"/>
    </row>
    <row r="231" spans="2:6" x14ac:dyDescent="0.25">
      <c r="B231" s="19"/>
      <c r="C231" s="19"/>
      <c r="D231" s="19"/>
      <c r="E231" s="19"/>
      <c r="F231" s="19"/>
    </row>
    <row r="232" spans="2:6" x14ac:dyDescent="0.25">
      <c r="B232" s="19"/>
      <c r="C232" s="19"/>
      <c r="D232" s="19"/>
      <c r="E232" s="19"/>
      <c r="F232" s="19"/>
    </row>
    <row r="233" spans="2:6" x14ac:dyDescent="0.25">
      <c r="B233" s="19"/>
      <c r="C233" s="19"/>
      <c r="D233" s="19"/>
      <c r="E233" s="19"/>
      <c r="F233" s="19"/>
    </row>
    <row r="234" spans="2:6" x14ac:dyDescent="0.25">
      <c r="B234" s="19"/>
      <c r="C234" s="19"/>
      <c r="D234" s="19"/>
      <c r="E234" s="19"/>
      <c r="F234" s="19"/>
    </row>
    <row r="235" spans="2:6" x14ac:dyDescent="0.25">
      <c r="B235" s="19"/>
      <c r="C235" s="19"/>
      <c r="D235" s="19"/>
      <c r="E235" s="19"/>
      <c r="F235" s="19"/>
    </row>
    <row r="236" spans="2:6" x14ac:dyDescent="0.25">
      <c r="B236" s="19"/>
      <c r="C236" s="19"/>
      <c r="D236" s="19"/>
      <c r="E236" s="19"/>
      <c r="F236" s="19"/>
    </row>
    <row r="237" spans="2:6" x14ac:dyDescent="0.25">
      <c r="B237" s="19"/>
      <c r="C237" s="19"/>
      <c r="D237" s="19"/>
      <c r="E237" s="19"/>
      <c r="F237" s="19"/>
    </row>
    <row r="238" spans="2:6" x14ac:dyDescent="0.25">
      <c r="B238" s="19"/>
      <c r="C238" s="19"/>
      <c r="D238" s="19"/>
      <c r="E238" s="19"/>
      <c r="F238" s="19"/>
    </row>
    <row r="239" spans="2:6" x14ac:dyDescent="0.25">
      <c r="B239" s="19"/>
      <c r="C239" s="19"/>
      <c r="D239" s="19"/>
      <c r="E239" s="19"/>
      <c r="F239" s="19"/>
    </row>
    <row r="240" spans="2:6" x14ac:dyDescent="0.25">
      <c r="B240" s="19"/>
      <c r="C240" s="19"/>
      <c r="D240" s="19"/>
      <c r="E240" s="19"/>
      <c r="F240" s="19"/>
    </row>
    <row r="241" spans="2:6" x14ac:dyDescent="0.25">
      <c r="B241" s="19"/>
      <c r="C241" s="19"/>
      <c r="D241" s="19"/>
      <c r="E241" s="19"/>
      <c r="F241" s="19"/>
    </row>
    <row r="242" spans="2:6" x14ac:dyDescent="0.25">
      <c r="B242" s="19"/>
      <c r="C242" s="19"/>
      <c r="D242" s="19"/>
      <c r="E242" s="19"/>
      <c r="F242" s="19"/>
    </row>
    <row r="243" spans="2:6" x14ac:dyDescent="0.25">
      <c r="B243" s="19"/>
      <c r="C243" s="19"/>
      <c r="D243" s="19"/>
      <c r="E243" s="19"/>
      <c r="F243" s="19"/>
    </row>
    <row r="244" spans="2:6" x14ac:dyDescent="0.25">
      <c r="B244" s="19"/>
      <c r="C244" s="19"/>
      <c r="D244" s="19"/>
      <c r="E244" s="19"/>
      <c r="F244" s="19"/>
    </row>
    <row r="245" spans="2:6" x14ac:dyDescent="0.25">
      <c r="B245" s="19"/>
      <c r="C245" s="19"/>
      <c r="D245" s="19"/>
      <c r="E245" s="19"/>
      <c r="F245" s="19"/>
    </row>
    <row r="246" spans="2:6" x14ac:dyDescent="0.25">
      <c r="B246" s="19"/>
      <c r="C246" s="19"/>
      <c r="D246" s="19"/>
      <c r="E246" s="19"/>
      <c r="F246" s="19"/>
    </row>
    <row r="247" spans="2:6" x14ac:dyDescent="0.25">
      <c r="B247" s="19"/>
      <c r="C247" s="19"/>
      <c r="D247" s="19"/>
      <c r="E247" s="19"/>
      <c r="F247" s="19"/>
    </row>
    <row r="248" spans="2:6" x14ac:dyDescent="0.25">
      <c r="B248" s="19"/>
      <c r="C248" s="19"/>
      <c r="D248" s="19"/>
      <c r="E248" s="19"/>
      <c r="F248" s="19"/>
    </row>
    <row r="249" spans="2:6" x14ac:dyDescent="0.25">
      <c r="B249" s="19"/>
      <c r="C249" s="19"/>
      <c r="D249" s="19"/>
      <c r="E249" s="19"/>
      <c r="F249" s="19"/>
    </row>
    <row r="250" spans="2:6" x14ac:dyDescent="0.25">
      <c r="B250" s="19"/>
      <c r="C250" s="19"/>
      <c r="D250" s="19"/>
      <c r="E250" s="19"/>
      <c r="F250" s="19"/>
    </row>
    <row r="251" spans="2:6" x14ac:dyDescent="0.25">
      <c r="B251" s="19"/>
      <c r="C251" s="19"/>
      <c r="D251" s="19"/>
      <c r="E251" s="19"/>
      <c r="F251" s="19"/>
    </row>
    <row r="252" spans="2:6" x14ac:dyDescent="0.25">
      <c r="B252" s="19"/>
      <c r="C252" s="19"/>
      <c r="D252" s="19"/>
      <c r="E252" s="19"/>
      <c r="F252" s="19"/>
    </row>
    <row r="253" spans="2:6" x14ac:dyDescent="0.25">
      <c r="B253" s="19"/>
      <c r="C253" s="19"/>
      <c r="D253" s="19"/>
      <c r="E253" s="19"/>
      <c r="F253" s="19"/>
    </row>
    <row r="254" spans="2:6" x14ac:dyDescent="0.25">
      <c r="B254" s="19"/>
      <c r="C254" s="19"/>
      <c r="D254" s="19"/>
      <c r="E254" s="19"/>
      <c r="F254" s="19"/>
    </row>
    <row r="255" spans="2:6" x14ac:dyDescent="0.25">
      <c r="B255" s="19"/>
      <c r="C255" s="19"/>
      <c r="D255" s="19"/>
      <c r="E255" s="19"/>
      <c r="F255" s="19"/>
    </row>
    <row r="256" spans="2:6" x14ac:dyDescent="0.25">
      <c r="B256" s="19"/>
      <c r="C256" s="19"/>
      <c r="D256" s="19"/>
      <c r="E256" s="19"/>
      <c r="F256" s="19"/>
    </row>
    <row r="257" spans="2:6" x14ac:dyDescent="0.25">
      <c r="B257" s="19"/>
      <c r="C257" s="19"/>
      <c r="D257" s="19"/>
      <c r="E257" s="19"/>
      <c r="F257" s="19"/>
    </row>
    <row r="258" spans="2:6" x14ac:dyDescent="0.25">
      <c r="B258" s="19"/>
      <c r="C258" s="19"/>
      <c r="D258" s="19"/>
      <c r="E258" s="19"/>
      <c r="F258" s="19"/>
    </row>
    <row r="259" spans="2:6" x14ac:dyDescent="0.25">
      <c r="B259" s="19"/>
      <c r="C259" s="19"/>
      <c r="D259" s="19"/>
      <c r="E259" s="19"/>
      <c r="F259" s="19"/>
    </row>
    <row r="260" spans="2:6" x14ac:dyDescent="0.25">
      <c r="B260" s="19"/>
      <c r="C260" s="19"/>
      <c r="D260" s="19"/>
      <c r="E260" s="19"/>
      <c r="F260" s="19"/>
    </row>
    <row r="261" spans="2:6" x14ac:dyDescent="0.25">
      <c r="B261" s="19"/>
      <c r="C261" s="19"/>
      <c r="D261" s="19"/>
      <c r="E261" s="19"/>
      <c r="F261" s="19"/>
    </row>
    <row r="262" spans="2:6" x14ac:dyDescent="0.25">
      <c r="B262" s="19"/>
      <c r="C262" s="19"/>
      <c r="D262" s="19"/>
      <c r="E262" s="19"/>
      <c r="F262" s="19"/>
    </row>
    <row r="263" spans="2:6" x14ac:dyDescent="0.25">
      <c r="B263" s="19"/>
      <c r="C263" s="19"/>
      <c r="D263" s="19"/>
      <c r="E263" s="19"/>
      <c r="F263" s="19"/>
    </row>
    <row r="264" spans="2:6" x14ac:dyDescent="0.25">
      <c r="B264" s="19"/>
      <c r="C264" s="19"/>
      <c r="D264" s="19"/>
      <c r="E264" s="19"/>
      <c r="F264" s="19"/>
    </row>
    <row r="265" spans="2:6" x14ac:dyDescent="0.25">
      <c r="B265" s="19"/>
      <c r="C265" s="19"/>
      <c r="D265" s="19"/>
      <c r="E265" s="19"/>
      <c r="F265" s="19"/>
    </row>
    <row r="266" spans="2:6" x14ac:dyDescent="0.25">
      <c r="B266" s="19"/>
      <c r="C266" s="19"/>
      <c r="D266" s="19"/>
      <c r="E266" s="19"/>
      <c r="F266" s="19"/>
    </row>
    <row r="267" spans="2:6" x14ac:dyDescent="0.25">
      <c r="B267" s="19"/>
      <c r="C267" s="19"/>
      <c r="D267" s="19"/>
      <c r="E267" s="19"/>
      <c r="F267" s="19"/>
    </row>
    <row r="268" spans="2:6" x14ac:dyDescent="0.25">
      <c r="B268" s="19"/>
      <c r="C268" s="19"/>
      <c r="D268" s="19"/>
      <c r="E268" s="19"/>
      <c r="F268" s="19"/>
    </row>
    <row r="269" spans="2:6" x14ac:dyDescent="0.25">
      <c r="B269" s="19"/>
      <c r="C269" s="19"/>
      <c r="D269" s="19"/>
      <c r="E269" s="19"/>
      <c r="F269" s="19"/>
    </row>
    <row r="270" spans="2:6" x14ac:dyDescent="0.25">
      <c r="B270" s="19"/>
      <c r="C270" s="19"/>
      <c r="D270" s="19"/>
      <c r="E270" s="19"/>
      <c r="F270" s="19"/>
    </row>
    <row r="271" spans="2:6" x14ac:dyDescent="0.25">
      <c r="B271" s="19"/>
      <c r="C271" s="19"/>
      <c r="D271" s="19"/>
      <c r="E271" s="19"/>
      <c r="F271" s="19"/>
    </row>
    <row r="272" spans="2:6" x14ac:dyDescent="0.25">
      <c r="B272" s="19"/>
      <c r="C272" s="19"/>
      <c r="D272" s="19"/>
      <c r="E272" s="19"/>
      <c r="F272" s="19"/>
    </row>
    <row r="273" spans="2:6" x14ac:dyDescent="0.25">
      <c r="B273" s="19"/>
      <c r="C273" s="19"/>
      <c r="D273" s="19"/>
      <c r="E273" s="19"/>
      <c r="F273" s="19"/>
    </row>
    <row r="274" spans="2:6" x14ac:dyDescent="0.25">
      <c r="B274" s="19"/>
      <c r="C274" s="19"/>
      <c r="D274" s="19"/>
      <c r="E274" s="19"/>
      <c r="F274" s="19"/>
    </row>
    <row r="275" spans="2:6" x14ac:dyDescent="0.25">
      <c r="B275" s="19"/>
      <c r="C275" s="19"/>
      <c r="D275" s="19"/>
      <c r="E275" s="19"/>
      <c r="F275" s="19"/>
    </row>
    <row r="276" spans="2:6" x14ac:dyDescent="0.25">
      <c r="B276" s="19"/>
      <c r="C276" s="19"/>
      <c r="D276" s="19"/>
      <c r="E276" s="19"/>
      <c r="F276" s="19"/>
    </row>
    <row r="277" spans="2:6" x14ac:dyDescent="0.25">
      <c r="B277" s="19"/>
      <c r="C277" s="19"/>
      <c r="D277" s="19"/>
      <c r="E277" s="19"/>
      <c r="F277" s="19"/>
    </row>
    <row r="278" spans="2:6" x14ac:dyDescent="0.25">
      <c r="B278" s="19"/>
      <c r="C278" s="19"/>
      <c r="D278" s="19"/>
      <c r="E278" s="19"/>
      <c r="F278" s="19"/>
    </row>
    <row r="279" spans="2:6" x14ac:dyDescent="0.25">
      <c r="B279" s="19"/>
      <c r="C279" s="19"/>
      <c r="D279" s="19"/>
      <c r="E279" s="19"/>
      <c r="F279" s="19"/>
    </row>
    <row r="280" spans="2:6" x14ac:dyDescent="0.25">
      <c r="B280" s="19"/>
      <c r="C280" s="19"/>
      <c r="D280" s="19"/>
      <c r="E280" s="19"/>
      <c r="F280" s="19"/>
    </row>
    <row r="281" spans="2:6" x14ac:dyDescent="0.25">
      <c r="B281" s="19"/>
      <c r="C281" s="19"/>
      <c r="D281" s="19"/>
      <c r="E281" s="19"/>
      <c r="F281" s="19"/>
    </row>
    <row r="282" spans="2:6" x14ac:dyDescent="0.25">
      <c r="B282" s="19"/>
      <c r="C282" s="19"/>
      <c r="D282" s="19"/>
      <c r="E282" s="19"/>
      <c r="F282" s="19"/>
    </row>
    <row r="283" spans="2:6" x14ac:dyDescent="0.25">
      <c r="B283" s="19"/>
      <c r="C283" s="19"/>
      <c r="D283" s="19"/>
      <c r="E283" s="19"/>
      <c r="F283" s="19"/>
    </row>
    <row r="284" spans="2:6" x14ac:dyDescent="0.25">
      <c r="B284" s="19"/>
      <c r="C284" s="19"/>
      <c r="D284" s="19"/>
      <c r="E284" s="19"/>
      <c r="F284" s="19"/>
    </row>
    <row r="285" spans="2:6" x14ac:dyDescent="0.25">
      <c r="B285" s="19"/>
      <c r="C285" s="19"/>
      <c r="D285" s="19"/>
      <c r="E285" s="19"/>
      <c r="F285" s="19"/>
    </row>
    <row r="286" spans="2:6" x14ac:dyDescent="0.25">
      <c r="B286" s="19"/>
      <c r="C286" s="19"/>
      <c r="D286" s="19"/>
      <c r="E286" s="19"/>
      <c r="F286" s="19"/>
    </row>
    <row r="287" spans="2:6" x14ac:dyDescent="0.25">
      <c r="B287" s="19"/>
      <c r="C287" s="19"/>
      <c r="D287" s="19"/>
      <c r="E287" s="19"/>
      <c r="F287" s="19"/>
    </row>
    <row r="288" spans="2:6" x14ac:dyDescent="0.25">
      <c r="B288" s="19"/>
      <c r="C288" s="19"/>
      <c r="D288" s="19"/>
      <c r="E288" s="19"/>
      <c r="F288" s="19"/>
    </row>
    <row r="289" spans="2:6" x14ac:dyDescent="0.25">
      <c r="B289" s="19"/>
      <c r="C289" s="19"/>
      <c r="D289" s="19"/>
      <c r="E289" s="19"/>
      <c r="F289" s="19"/>
    </row>
    <row r="290" spans="2:6" x14ac:dyDescent="0.25">
      <c r="B290" s="19"/>
      <c r="C290" s="19"/>
      <c r="D290" s="19"/>
      <c r="E290" s="19"/>
      <c r="F290" s="19"/>
    </row>
    <row r="291" spans="2:6" x14ac:dyDescent="0.25">
      <c r="B291" s="19"/>
      <c r="C291" s="19"/>
      <c r="D291" s="19"/>
      <c r="E291" s="19"/>
      <c r="F291" s="19"/>
    </row>
    <row r="292" spans="2:6" x14ac:dyDescent="0.25">
      <c r="B292" s="19"/>
      <c r="C292" s="19"/>
      <c r="D292" s="19"/>
      <c r="E292" s="19"/>
      <c r="F292" s="19"/>
    </row>
    <row r="293" spans="2:6" x14ac:dyDescent="0.25">
      <c r="B293" s="19"/>
      <c r="C293" s="19"/>
      <c r="D293" s="19"/>
      <c r="E293" s="19"/>
      <c r="F293" s="19"/>
    </row>
    <row r="294" spans="2:6" x14ac:dyDescent="0.25">
      <c r="B294" s="19"/>
      <c r="C294" s="19"/>
      <c r="D294" s="19"/>
      <c r="E294" s="19"/>
      <c r="F294" s="19"/>
    </row>
    <row r="295" spans="2:6" x14ac:dyDescent="0.25">
      <c r="B295" s="19"/>
      <c r="C295" s="19"/>
      <c r="D295" s="19"/>
      <c r="E295" s="19"/>
      <c r="F295" s="19"/>
    </row>
    <row r="296" spans="2:6" x14ac:dyDescent="0.25">
      <c r="B296" s="19"/>
      <c r="C296" s="19"/>
      <c r="D296" s="19"/>
      <c r="E296" s="19"/>
      <c r="F296" s="19"/>
    </row>
    <row r="297" spans="2:6" x14ac:dyDescent="0.25">
      <c r="B297" s="19"/>
      <c r="C297" s="19"/>
      <c r="D297" s="19"/>
      <c r="E297" s="19"/>
      <c r="F297" s="19"/>
    </row>
    <row r="298" spans="2:6" x14ac:dyDescent="0.25">
      <c r="B298" s="19"/>
      <c r="C298" s="19"/>
      <c r="D298" s="19"/>
      <c r="E298" s="19"/>
      <c r="F298" s="19"/>
    </row>
    <row r="299" spans="2:6" x14ac:dyDescent="0.25">
      <c r="B299" s="19"/>
      <c r="C299" s="19"/>
      <c r="D299" s="19"/>
      <c r="E299" s="19"/>
      <c r="F299" s="19"/>
    </row>
    <row r="300" spans="2:6" x14ac:dyDescent="0.25">
      <c r="B300" s="19"/>
      <c r="C300" s="19"/>
      <c r="D300" s="19"/>
      <c r="E300" s="19"/>
      <c r="F300" s="19"/>
    </row>
    <row r="301" spans="2:6" x14ac:dyDescent="0.25">
      <c r="B301" s="19"/>
      <c r="C301" s="19"/>
      <c r="D301" s="19"/>
      <c r="E301" s="19"/>
      <c r="F301" s="19"/>
    </row>
    <row r="302" spans="2:6" x14ac:dyDescent="0.25">
      <c r="B302" s="19"/>
      <c r="C302" s="19"/>
      <c r="D302" s="19"/>
      <c r="E302" s="19"/>
      <c r="F302" s="19"/>
    </row>
    <row r="303" spans="2:6" x14ac:dyDescent="0.25">
      <c r="B303" s="19"/>
      <c r="C303" s="19"/>
      <c r="D303" s="19"/>
      <c r="E303" s="19"/>
      <c r="F303" s="19"/>
    </row>
    <row r="304" spans="2:6" x14ac:dyDescent="0.25">
      <c r="B304" s="19"/>
      <c r="C304" s="19"/>
      <c r="D304" s="19"/>
      <c r="E304" s="19"/>
      <c r="F304" s="19"/>
    </row>
    <row r="305" spans="2:6" x14ac:dyDescent="0.25">
      <c r="B305" s="19"/>
      <c r="C305" s="19"/>
      <c r="D305" s="19"/>
      <c r="E305" s="19"/>
      <c r="F305" s="19"/>
    </row>
    <row r="306" spans="2:6" x14ac:dyDescent="0.25">
      <c r="B306" s="19"/>
      <c r="C306" s="19"/>
      <c r="D306" s="19"/>
      <c r="E306" s="19"/>
      <c r="F306" s="19"/>
    </row>
    <row r="307" spans="2:6" x14ac:dyDescent="0.25">
      <c r="B307" s="19"/>
      <c r="C307" s="19"/>
      <c r="D307" s="19"/>
      <c r="E307" s="19"/>
      <c r="F307" s="19"/>
    </row>
    <row r="308" spans="2:6" x14ac:dyDescent="0.25">
      <c r="B308" s="19"/>
      <c r="C308" s="19"/>
      <c r="D308" s="19"/>
      <c r="E308" s="19"/>
      <c r="F308" s="19"/>
    </row>
    <row r="309" spans="2:6" x14ac:dyDescent="0.25">
      <c r="B309" s="19"/>
      <c r="C309" s="19"/>
      <c r="D309" s="19"/>
      <c r="E309" s="19"/>
      <c r="F309" s="19"/>
    </row>
    <row r="310" spans="2:6" x14ac:dyDescent="0.25">
      <c r="B310" s="19"/>
      <c r="C310" s="19"/>
      <c r="D310" s="19"/>
      <c r="E310" s="19"/>
      <c r="F310" s="19"/>
    </row>
    <row r="311" spans="2:6" x14ac:dyDescent="0.25">
      <c r="B311" s="19"/>
      <c r="C311" s="19"/>
      <c r="D311" s="19"/>
      <c r="E311" s="19"/>
      <c r="F311" s="19"/>
    </row>
    <row r="312" spans="2:6" x14ac:dyDescent="0.25">
      <c r="B312" s="19"/>
      <c r="C312" s="19"/>
      <c r="D312" s="19"/>
      <c r="E312" s="19"/>
      <c r="F312" s="19"/>
    </row>
    <row r="313" spans="2:6" x14ac:dyDescent="0.25">
      <c r="B313" s="19"/>
      <c r="C313" s="19"/>
      <c r="D313" s="19"/>
      <c r="E313" s="19"/>
      <c r="F313" s="19"/>
    </row>
    <row r="314" spans="2:6" x14ac:dyDescent="0.25">
      <c r="B314" s="19"/>
      <c r="C314" s="19"/>
      <c r="D314" s="19"/>
      <c r="E314" s="19"/>
      <c r="F314" s="19"/>
    </row>
    <row r="315" spans="2:6" x14ac:dyDescent="0.25">
      <c r="B315" s="19"/>
      <c r="C315" s="19"/>
      <c r="D315" s="19"/>
      <c r="E315" s="19"/>
      <c r="F315" s="19"/>
    </row>
    <row r="316" spans="2:6" x14ac:dyDescent="0.25">
      <c r="B316" s="19"/>
      <c r="C316" s="19"/>
      <c r="D316" s="19"/>
      <c r="E316" s="19"/>
      <c r="F316" s="19"/>
    </row>
    <row r="317" spans="2:6" x14ac:dyDescent="0.25">
      <c r="B317" s="19"/>
      <c r="C317" s="19"/>
      <c r="D317" s="19"/>
      <c r="E317" s="19"/>
      <c r="F317" s="19"/>
    </row>
    <row r="318" spans="2:6" x14ac:dyDescent="0.25">
      <c r="B318" s="19"/>
      <c r="C318" s="19"/>
      <c r="D318" s="19"/>
      <c r="E318" s="19"/>
      <c r="F318" s="19"/>
    </row>
    <row r="319" spans="2:6" x14ac:dyDescent="0.25">
      <c r="B319" s="19"/>
      <c r="C319" s="19"/>
      <c r="D319" s="19"/>
      <c r="E319" s="19"/>
      <c r="F319" s="19"/>
    </row>
    <row r="320" spans="2:6" x14ac:dyDescent="0.25">
      <c r="B320" s="19"/>
      <c r="C320" s="19"/>
      <c r="D320" s="19"/>
      <c r="E320" s="19"/>
      <c r="F320" s="19"/>
    </row>
    <row r="321" spans="2:6" x14ac:dyDescent="0.25">
      <c r="B321" s="19"/>
      <c r="C321" s="19"/>
      <c r="D321" s="19"/>
      <c r="E321" s="19"/>
      <c r="F321" s="19"/>
    </row>
    <row r="322" spans="2:6" x14ac:dyDescent="0.25">
      <c r="B322" s="19"/>
      <c r="C322" s="19"/>
      <c r="D322" s="19"/>
      <c r="E322" s="19"/>
      <c r="F322" s="19"/>
    </row>
    <row r="323" spans="2:6" x14ac:dyDescent="0.25">
      <c r="B323" s="19"/>
      <c r="C323" s="19"/>
      <c r="D323" s="19"/>
      <c r="E323" s="19"/>
      <c r="F323" s="19"/>
    </row>
    <row r="324" spans="2:6" x14ac:dyDescent="0.25">
      <c r="B324" s="19"/>
      <c r="C324" s="19"/>
      <c r="D324" s="19"/>
      <c r="E324" s="19"/>
      <c r="F324" s="19"/>
    </row>
    <row r="325" spans="2:6" x14ac:dyDescent="0.25">
      <c r="B325" s="19"/>
      <c r="C325" s="19"/>
      <c r="D325" s="19"/>
      <c r="E325" s="19"/>
      <c r="F325" s="19"/>
    </row>
    <row r="326" spans="2:6" x14ac:dyDescent="0.25">
      <c r="B326" s="19"/>
      <c r="C326" s="19"/>
      <c r="D326" s="19"/>
      <c r="E326" s="19"/>
      <c r="F326" s="19"/>
    </row>
    <row r="327" spans="2:6" x14ac:dyDescent="0.25">
      <c r="B327" s="19"/>
      <c r="C327" s="19"/>
      <c r="D327" s="19"/>
      <c r="E327" s="19"/>
      <c r="F327" s="19"/>
    </row>
    <row r="328" spans="2:6" x14ac:dyDescent="0.25">
      <c r="B328" s="19"/>
      <c r="C328" s="19"/>
      <c r="D328" s="19"/>
      <c r="E328" s="19"/>
      <c r="F328" s="19"/>
    </row>
    <row r="329" spans="2:6" x14ac:dyDescent="0.25">
      <c r="B329" s="19"/>
      <c r="C329" s="19"/>
      <c r="D329" s="19"/>
      <c r="E329" s="19"/>
      <c r="F329" s="19"/>
    </row>
    <row r="330" spans="2:6" x14ac:dyDescent="0.25">
      <c r="B330" s="19"/>
      <c r="C330" s="19"/>
      <c r="D330" s="19"/>
      <c r="E330" s="19"/>
      <c r="F330" s="19"/>
    </row>
    <row r="331" spans="2:6" x14ac:dyDescent="0.25">
      <c r="B331" s="19"/>
      <c r="C331" s="19"/>
      <c r="D331" s="19"/>
      <c r="E331" s="19"/>
      <c r="F331" s="19"/>
    </row>
    <row r="332" spans="2:6" x14ac:dyDescent="0.25">
      <c r="B332" s="19"/>
      <c r="C332" s="19"/>
      <c r="D332" s="19"/>
      <c r="E332" s="19"/>
      <c r="F332" s="19"/>
    </row>
    <row r="333" spans="2:6" x14ac:dyDescent="0.25">
      <c r="B333" s="19"/>
      <c r="C333" s="19"/>
      <c r="D333" s="19"/>
      <c r="E333" s="19"/>
      <c r="F333" s="19"/>
    </row>
    <row r="334" spans="2:6" x14ac:dyDescent="0.25">
      <c r="B334" s="19"/>
      <c r="C334" s="19"/>
      <c r="D334" s="19"/>
      <c r="E334" s="19"/>
      <c r="F334" s="19"/>
    </row>
    <row r="335" spans="2:6" x14ac:dyDescent="0.25">
      <c r="B335" s="19"/>
      <c r="C335" s="19"/>
      <c r="D335" s="19"/>
      <c r="E335" s="19"/>
      <c r="F335" s="19"/>
    </row>
    <row r="336" spans="2:6" x14ac:dyDescent="0.25">
      <c r="B336" s="19"/>
      <c r="C336" s="19"/>
      <c r="D336" s="19"/>
      <c r="E336" s="19"/>
      <c r="F336" s="19"/>
    </row>
    <row r="337" spans="2:6" x14ac:dyDescent="0.25">
      <c r="B337" s="19"/>
      <c r="C337" s="19"/>
      <c r="D337" s="19"/>
      <c r="E337" s="19"/>
      <c r="F337" s="19"/>
    </row>
    <row r="338" spans="2:6" x14ac:dyDescent="0.25">
      <c r="B338" s="19"/>
      <c r="C338" s="19"/>
      <c r="D338" s="19"/>
      <c r="E338" s="19"/>
      <c r="F338" s="19"/>
    </row>
    <row r="339" spans="2:6" x14ac:dyDescent="0.25">
      <c r="B339" s="19"/>
      <c r="C339" s="19"/>
      <c r="D339" s="19"/>
      <c r="E339" s="19"/>
      <c r="F339" s="19"/>
    </row>
    <row r="340" spans="2:6" x14ac:dyDescent="0.25">
      <c r="B340" s="19"/>
      <c r="C340" s="19"/>
      <c r="D340" s="19"/>
      <c r="E340" s="19"/>
      <c r="F340" s="19"/>
    </row>
    <row r="341" spans="2:6" x14ac:dyDescent="0.25">
      <c r="B341" s="19"/>
      <c r="C341" s="19"/>
      <c r="D341" s="19"/>
      <c r="E341" s="19"/>
      <c r="F341" s="19"/>
    </row>
    <row r="342" spans="2:6" x14ac:dyDescent="0.25">
      <c r="B342" s="19"/>
      <c r="C342" s="19"/>
      <c r="D342" s="19"/>
      <c r="E342" s="19"/>
      <c r="F342" s="19"/>
    </row>
    <row r="343" spans="2:6" x14ac:dyDescent="0.25">
      <c r="B343" s="19"/>
      <c r="C343" s="19"/>
      <c r="D343" s="19"/>
      <c r="E343" s="19"/>
      <c r="F343" s="19"/>
    </row>
    <row r="344" spans="2:6" x14ac:dyDescent="0.25">
      <c r="B344" s="19"/>
      <c r="C344" s="19"/>
      <c r="D344" s="19"/>
      <c r="E344" s="19"/>
      <c r="F344" s="19"/>
    </row>
    <row r="345" spans="2:6" x14ac:dyDescent="0.25">
      <c r="B345" s="19"/>
      <c r="C345" s="19"/>
      <c r="D345" s="19"/>
      <c r="E345" s="19"/>
      <c r="F345" s="19"/>
    </row>
    <row r="346" spans="2:6" x14ac:dyDescent="0.25">
      <c r="B346" s="19"/>
      <c r="C346" s="19"/>
      <c r="D346" s="19"/>
      <c r="E346" s="19"/>
      <c r="F346" s="19"/>
    </row>
    <row r="347" spans="2:6" x14ac:dyDescent="0.25">
      <c r="B347" s="19"/>
      <c r="C347" s="19"/>
      <c r="D347" s="19"/>
      <c r="E347" s="19"/>
      <c r="F347" s="19"/>
    </row>
    <row r="348" spans="2:6" x14ac:dyDescent="0.25">
      <c r="B348" s="19"/>
      <c r="C348" s="19"/>
      <c r="D348" s="19"/>
      <c r="E348" s="19"/>
      <c r="F348" s="19"/>
    </row>
    <row r="349" spans="2:6" x14ac:dyDescent="0.25">
      <c r="B349" s="19"/>
      <c r="C349" s="19"/>
      <c r="D349" s="19"/>
      <c r="E349" s="19"/>
      <c r="F349" s="19"/>
    </row>
    <row r="350" spans="2:6" x14ac:dyDescent="0.25">
      <c r="B350" s="19"/>
      <c r="C350" s="19"/>
      <c r="D350" s="19"/>
      <c r="E350" s="19"/>
      <c r="F350" s="19"/>
    </row>
    <row r="351" spans="2:6" x14ac:dyDescent="0.25">
      <c r="B351" s="19"/>
      <c r="C351" s="19"/>
      <c r="D351" s="19"/>
      <c r="E351" s="19"/>
      <c r="F351" s="19"/>
    </row>
    <row r="352" spans="2:6" x14ac:dyDescent="0.25">
      <c r="B352" s="19"/>
      <c r="C352" s="19"/>
      <c r="D352" s="19"/>
      <c r="E352" s="19"/>
      <c r="F352" s="19"/>
    </row>
    <row r="353" spans="2:6" x14ac:dyDescent="0.25">
      <c r="B353" s="19"/>
      <c r="C353" s="19"/>
      <c r="D353" s="19"/>
      <c r="E353" s="19"/>
      <c r="F353" s="19"/>
    </row>
    <row r="354" spans="2:6" x14ac:dyDescent="0.25">
      <c r="B354" s="19"/>
      <c r="C354" s="19"/>
      <c r="D354" s="19"/>
      <c r="E354" s="19"/>
      <c r="F354" s="19"/>
    </row>
    <row r="355" spans="2:6" x14ac:dyDescent="0.25">
      <c r="B355" s="19"/>
      <c r="C355" s="19"/>
      <c r="D355" s="19"/>
      <c r="E355" s="19"/>
      <c r="F355" s="19"/>
    </row>
    <row r="356" spans="2:6" x14ac:dyDescent="0.25">
      <c r="B356" s="19"/>
      <c r="C356" s="19"/>
      <c r="D356" s="19"/>
      <c r="E356" s="19"/>
      <c r="F356" s="19"/>
    </row>
    <row r="357" spans="2:6" x14ac:dyDescent="0.25">
      <c r="B357" s="19"/>
      <c r="C357" s="19"/>
      <c r="D357" s="19"/>
      <c r="E357" s="19"/>
      <c r="F357" s="19"/>
    </row>
    <row r="358" spans="2:6" x14ac:dyDescent="0.25">
      <c r="B358" s="19"/>
      <c r="C358" s="19"/>
      <c r="D358" s="19"/>
      <c r="E358" s="19"/>
      <c r="F358" s="19"/>
    </row>
    <row r="359" spans="2:6" x14ac:dyDescent="0.25">
      <c r="B359" s="19"/>
      <c r="C359" s="19"/>
      <c r="D359" s="19"/>
      <c r="E359" s="19"/>
      <c r="F359" s="19"/>
    </row>
    <row r="360" spans="2:6" x14ac:dyDescent="0.25">
      <c r="B360" s="19"/>
      <c r="C360" s="19"/>
      <c r="D360" s="19"/>
      <c r="E360" s="19"/>
      <c r="F360" s="19"/>
    </row>
    <row r="361" spans="2:6" x14ac:dyDescent="0.25">
      <c r="B361" s="19"/>
      <c r="C361" s="19"/>
      <c r="D361" s="19"/>
      <c r="E361" s="19"/>
      <c r="F361" s="19"/>
    </row>
    <row r="362" spans="2:6" x14ac:dyDescent="0.25">
      <c r="B362" s="19"/>
      <c r="C362" s="19"/>
      <c r="D362" s="19"/>
      <c r="E362" s="19"/>
      <c r="F362" s="19"/>
    </row>
    <row r="363" spans="2:6" x14ac:dyDescent="0.25">
      <c r="B363" s="19"/>
      <c r="C363" s="19"/>
      <c r="D363" s="19"/>
      <c r="E363" s="19"/>
      <c r="F363" s="19"/>
    </row>
    <row r="364" spans="2:6" x14ac:dyDescent="0.25">
      <c r="B364" s="19"/>
      <c r="C364" s="19"/>
      <c r="D364" s="19"/>
      <c r="E364" s="19"/>
      <c r="F364" s="19"/>
    </row>
    <row r="365" spans="2:6" x14ac:dyDescent="0.25">
      <c r="B365" s="19"/>
      <c r="C365" s="19"/>
      <c r="D365" s="19"/>
      <c r="E365" s="19"/>
      <c r="F365" s="19"/>
    </row>
    <row r="366" spans="2:6" x14ac:dyDescent="0.25">
      <c r="B366" s="19"/>
      <c r="C366" s="19"/>
      <c r="D366" s="19"/>
      <c r="E366" s="19"/>
      <c r="F366" s="19"/>
    </row>
    <row r="367" spans="2:6" x14ac:dyDescent="0.25">
      <c r="B367" s="19"/>
      <c r="C367" s="19"/>
      <c r="D367" s="19"/>
      <c r="E367" s="19"/>
      <c r="F367" s="19"/>
    </row>
    <row r="368" spans="2:6" x14ac:dyDescent="0.25">
      <c r="B368" s="19"/>
      <c r="C368" s="19"/>
      <c r="D368" s="19"/>
      <c r="E368" s="19"/>
      <c r="F368" s="19"/>
    </row>
    <row r="369" spans="2:6" x14ac:dyDescent="0.25">
      <c r="B369" s="19"/>
      <c r="C369" s="19"/>
      <c r="D369" s="19"/>
      <c r="E369" s="19"/>
      <c r="F369" s="19"/>
    </row>
    <row r="370" spans="2:6" x14ac:dyDescent="0.25">
      <c r="B370" s="19"/>
      <c r="C370" s="19"/>
      <c r="D370" s="19"/>
      <c r="E370" s="19"/>
      <c r="F370" s="19"/>
    </row>
    <row r="371" spans="2:6" x14ac:dyDescent="0.25">
      <c r="B371" s="19"/>
      <c r="C371" s="19"/>
      <c r="D371" s="19"/>
      <c r="E371" s="19"/>
      <c r="F371" s="19"/>
    </row>
    <row r="372" spans="2:6" x14ac:dyDescent="0.25">
      <c r="B372" s="19"/>
      <c r="C372" s="19"/>
      <c r="D372" s="19"/>
      <c r="E372" s="19"/>
      <c r="F372" s="19"/>
    </row>
    <row r="373" spans="2:6" x14ac:dyDescent="0.25">
      <c r="B373" s="19"/>
      <c r="C373" s="19"/>
      <c r="D373" s="19"/>
      <c r="E373" s="19"/>
      <c r="F373" s="19"/>
    </row>
    <row r="374" spans="2:6" x14ac:dyDescent="0.25">
      <c r="B374" s="19"/>
      <c r="C374" s="19"/>
      <c r="D374" s="19"/>
      <c r="E374" s="19"/>
      <c r="F374" s="19"/>
    </row>
    <row r="375" spans="2:6" x14ac:dyDescent="0.25">
      <c r="B375" s="19"/>
      <c r="C375" s="19"/>
      <c r="D375" s="19"/>
      <c r="E375" s="19"/>
      <c r="F375" s="19"/>
    </row>
    <row r="376" spans="2:6" x14ac:dyDescent="0.25">
      <c r="B376" s="19"/>
      <c r="C376" s="19"/>
      <c r="D376" s="19"/>
      <c r="E376" s="19"/>
      <c r="F376" s="19"/>
    </row>
    <row r="377" spans="2:6" x14ac:dyDescent="0.25">
      <c r="B377" s="19"/>
      <c r="C377" s="19"/>
      <c r="D377" s="19"/>
      <c r="E377" s="19"/>
      <c r="F377" s="19"/>
    </row>
    <row r="378" spans="2:6" x14ac:dyDescent="0.25">
      <c r="B378" s="19"/>
      <c r="C378" s="19"/>
      <c r="D378" s="19"/>
      <c r="E378" s="19"/>
      <c r="F378" s="19"/>
    </row>
    <row r="379" spans="2:6" x14ac:dyDescent="0.25">
      <c r="B379" s="19"/>
      <c r="C379" s="19"/>
      <c r="D379" s="19"/>
      <c r="E379" s="19"/>
      <c r="F379" s="19"/>
    </row>
    <row r="380" spans="2:6" x14ac:dyDescent="0.25">
      <c r="B380" s="19"/>
      <c r="C380" s="19"/>
      <c r="D380" s="19"/>
      <c r="E380" s="19"/>
      <c r="F380" s="19"/>
    </row>
    <row r="381" spans="2:6" x14ac:dyDescent="0.25">
      <c r="B381" s="19"/>
      <c r="C381" s="19"/>
      <c r="D381" s="19"/>
      <c r="E381" s="19"/>
      <c r="F381" s="19"/>
    </row>
    <row r="382" spans="2:6" x14ac:dyDescent="0.25">
      <c r="B382" s="19"/>
      <c r="C382" s="19"/>
      <c r="D382" s="19"/>
      <c r="E382" s="19"/>
      <c r="F382" s="19"/>
    </row>
    <row r="383" spans="2:6" x14ac:dyDescent="0.25">
      <c r="B383" s="19"/>
      <c r="C383" s="19"/>
      <c r="D383" s="19"/>
      <c r="E383" s="19"/>
      <c r="F383" s="19"/>
    </row>
    <row r="384" spans="2:6" x14ac:dyDescent="0.25">
      <c r="B384" s="19"/>
      <c r="C384" s="19"/>
      <c r="D384" s="19"/>
      <c r="E384" s="19"/>
      <c r="F384" s="19"/>
    </row>
    <row r="385" spans="2:6" x14ac:dyDescent="0.25">
      <c r="B385" s="19"/>
      <c r="C385" s="19"/>
      <c r="D385" s="19"/>
      <c r="E385" s="19"/>
      <c r="F385" s="19"/>
    </row>
    <row r="386" spans="2:6" x14ac:dyDescent="0.25">
      <c r="B386" s="19"/>
      <c r="C386" s="19"/>
      <c r="D386" s="19"/>
      <c r="E386" s="19"/>
      <c r="F386" s="19"/>
    </row>
    <row r="387" spans="2:6" x14ac:dyDescent="0.25">
      <c r="B387" s="19"/>
      <c r="C387" s="19"/>
      <c r="D387" s="19"/>
      <c r="E387" s="19"/>
      <c r="F387" s="19"/>
    </row>
    <row r="388" spans="2:6" x14ac:dyDescent="0.25">
      <c r="B388" s="19"/>
      <c r="C388" s="19"/>
      <c r="D388" s="19"/>
      <c r="E388" s="19"/>
      <c r="F388" s="19"/>
    </row>
    <row r="389" spans="2:6" x14ac:dyDescent="0.25">
      <c r="B389" s="19"/>
      <c r="C389" s="19"/>
      <c r="D389" s="19"/>
      <c r="E389" s="19"/>
      <c r="F389" s="19"/>
    </row>
    <row r="390" spans="2:6" x14ac:dyDescent="0.25">
      <c r="B390" s="19"/>
      <c r="C390" s="19"/>
      <c r="D390" s="19"/>
      <c r="E390" s="19"/>
      <c r="F390" s="19"/>
    </row>
    <row r="391" spans="2:6" x14ac:dyDescent="0.25">
      <c r="B391" s="19"/>
      <c r="C391" s="19"/>
      <c r="D391" s="19"/>
      <c r="E391" s="19"/>
      <c r="F391" s="19"/>
    </row>
    <row r="392" spans="2:6" x14ac:dyDescent="0.25">
      <c r="B392" s="19"/>
      <c r="C392" s="19"/>
      <c r="D392" s="19"/>
      <c r="E392" s="19"/>
      <c r="F392" s="19"/>
    </row>
    <row r="393" spans="2:6" x14ac:dyDescent="0.25">
      <c r="B393" s="19"/>
      <c r="C393" s="19"/>
      <c r="D393" s="19"/>
      <c r="E393" s="19"/>
      <c r="F393" s="19"/>
    </row>
    <row r="394" spans="2:6" x14ac:dyDescent="0.25">
      <c r="B394" s="19"/>
      <c r="C394" s="19"/>
      <c r="D394" s="19"/>
      <c r="E394" s="19"/>
      <c r="F394" s="19"/>
    </row>
    <row r="395" spans="2:6" x14ac:dyDescent="0.25">
      <c r="B395" s="19"/>
      <c r="C395" s="19"/>
      <c r="D395" s="19"/>
      <c r="E395" s="19"/>
      <c r="F395" s="19"/>
    </row>
    <row r="396" spans="2:6" x14ac:dyDescent="0.25">
      <c r="B396" s="19"/>
      <c r="C396" s="19"/>
      <c r="D396" s="19"/>
      <c r="E396" s="19"/>
      <c r="F396" s="19"/>
    </row>
    <row r="397" spans="2:6" x14ac:dyDescent="0.25">
      <c r="B397" s="19"/>
      <c r="C397" s="19"/>
      <c r="D397" s="19"/>
      <c r="E397" s="19"/>
      <c r="F397" s="19"/>
    </row>
    <row r="398" spans="2:6" x14ac:dyDescent="0.25">
      <c r="B398" s="19"/>
      <c r="C398" s="19"/>
      <c r="D398" s="19"/>
      <c r="E398" s="19"/>
      <c r="F398" s="19"/>
    </row>
    <row r="399" spans="2:6" x14ac:dyDescent="0.25">
      <c r="B399" s="19"/>
      <c r="C399" s="19"/>
      <c r="D399" s="19"/>
      <c r="E399" s="19"/>
      <c r="F399" s="19"/>
    </row>
    <row r="400" spans="2:6" x14ac:dyDescent="0.25">
      <c r="B400" s="19"/>
      <c r="C400" s="19"/>
      <c r="D400" s="19"/>
      <c r="E400" s="19"/>
      <c r="F400" s="19"/>
    </row>
    <row r="401" spans="2:6" x14ac:dyDescent="0.25">
      <c r="B401" s="19"/>
      <c r="C401" s="19"/>
      <c r="D401" s="19"/>
      <c r="E401" s="19"/>
      <c r="F401" s="19"/>
    </row>
    <row r="402" spans="2:6" x14ac:dyDescent="0.25">
      <c r="B402" s="19"/>
      <c r="C402" s="19"/>
      <c r="D402" s="19"/>
      <c r="E402" s="19"/>
      <c r="F402" s="19"/>
    </row>
    <row r="403" spans="2:6" x14ac:dyDescent="0.25">
      <c r="B403" s="19"/>
      <c r="C403" s="19"/>
      <c r="D403" s="19"/>
      <c r="E403" s="19"/>
      <c r="F403" s="19"/>
    </row>
    <row r="404" spans="2:6" x14ac:dyDescent="0.25">
      <c r="B404" s="19"/>
      <c r="C404" s="19"/>
      <c r="D404" s="19"/>
      <c r="E404" s="19"/>
      <c r="F404" s="19"/>
    </row>
    <row r="405" spans="2:6" x14ac:dyDescent="0.25">
      <c r="B405" s="19"/>
      <c r="C405" s="19"/>
      <c r="D405" s="19"/>
      <c r="E405" s="19"/>
      <c r="F405" s="19"/>
    </row>
    <row r="406" spans="2:6" x14ac:dyDescent="0.25">
      <c r="B406" s="19"/>
      <c r="C406" s="19"/>
      <c r="D406" s="19"/>
      <c r="E406" s="19"/>
      <c r="F406" s="19"/>
    </row>
    <row r="407" spans="2:6" x14ac:dyDescent="0.25">
      <c r="B407" s="19"/>
      <c r="C407" s="19"/>
      <c r="D407" s="19"/>
      <c r="E407" s="19"/>
      <c r="F407" s="19"/>
    </row>
    <row r="408" spans="2:6" x14ac:dyDescent="0.25">
      <c r="B408" s="19"/>
      <c r="C408" s="19"/>
      <c r="D408" s="19"/>
      <c r="E408" s="19"/>
      <c r="F408" s="19"/>
    </row>
    <row r="409" spans="2:6" x14ac:dyDescent="0.25">
      <c r="B409" s="19"/>
      <c r="C409" s="19"/>
      <c r="D409" s="19"/>
      <c r="E409" s="19"/>
      <c r="F409" s="19"/>
    </row>
    <row r="410" spans="2:6" x14ac:dyDescent="0.25">
      <c r="B410" s="19"/>
      <c r="C410" s="19"/>
      <c r="D410" s="19"/>
      <c r="E410" s="19"/>
      <c r="F410" s="19"/>
    </row>
    <row r="411" spans="2:6" x14ac:dyDescent="0.25">
      <c r="B411" s="19"/>
      <c r="C411" s="19"/>
      <c r="D411" s="19"/>
      <c r="E411" s="19"/>
      <c r="F411" s="19"/>
    </row>
    <row r="412" spans="2:6" x14ac:dyDescent="0.25">
      <c r="B412" s="19"/>
      <c r="C412" s="19"/>
      <c r="D412" s="19"/>
      <c r="E412" s="19"/>
      <c r="F412" s="19"/>
    </row>
    <row r="413" spans="2:6" x14ac:dyDescent="0.25">
      <c r="B413" s="19"/>
      <c r="C413" s="19"/>
      <c r="D413" s="19"/>
      <c r="E413" s="19"/>
      <c r="F413" s="19"/>
    </row>
    <row r="414" spans="2:6" x14ac:dyDescent="0.25">
      <c r="B414" s="19"/>
      <c r="C414" s="19"/>
      <c r="D414" s="19"/>
      <c r="E414" s="19"/>
      <c r="F414" s="19"/>
    </row>
    <row r="415" spans="2:6" x14ac:dyDescent="0.25">
      <c r="B415" s="19"/>
      <c r="C415" s="19"/>
      <c r="D415" s="19"/>
      <c r="E415" s="19"/>
      <c r="F415" s="19"/>
    </row>
    <row r="416" spans="2:6" x14ac:dyDescent="0.25">
      <c r="B416" s="19"/>
      <c r="C416" s="19"/>
      <c r="D416" s="19"/>
      <c r="E416" s="19"/>
      <c r="F416" s="19"/>
    </row>
    <row r="417" spans="2:6" x14ac:dyDescent="0.25">
      <c r="B417" s="19"/>
      <c r="C417" s="19"/>
      <c r="D417" s="19"/>
      <c r="E417" s="19"/>
      <c r="F417" s="19"/>
    </row>
    <row r="418" spans="2:6" x14ac:dyDescent="0.25">
      <c r="B418" s="19"/>
      <c r="C418" s="19"/>
      <c r="D418" s="19"/>
      <c r="E418" s="19"/>
      <c r="F418" s="19"/>
    </row>
    <row r="419" spans="2:6" x14ac:dyDescent="0.25">
      <c r="B419" s="19"/>
      <c r="C419" s="19"/>
      <c r="D419" s="19"/>
      <c r="E419" s="19"/>
      <c r="F419" s="19"/>
    </row>
    <row r="420" spans="2:6" x14ac:dyDescent="0.25">
      <c r="B420" s="19"/>
      <c r="C420" s="19"/>
      <c r="D420" s="19"/>
      <c r="E420" s="19"/>
      <c r="F420" s="19"/>
    </row>
    <row r="421" spans="2:6" x14ac:dyDescent="0.25">
      <c r="B421" s="19"/>
      <c r="C421" s="19"/>
      <c r="D421" s="19"/>
      <c r="E421" s="19"/>
      <c r="F421" s="19"/>
    </row>
    <row r="422" spans="2:6" x14ac:dyDescent="0.25">
      <c r="B422" s="19"/>
      <c r="C422" s="19"/>
      <c r="D422" s="19"/>
      <c r="E422" s="19"/>
      <c r="F422" s="19"/>
    </row>
    <row r="423" spans="2:6" x14ac:dyDescent="0.25">
      <c r="B423" s="19"/>
      <c r="C423" s="19"/>
      <c r="D423" s="19"/>
      <c r="E423" s="19"/>
      <c r="F423" s="19"/>
    </row>
    <row r="424" spans="2:6" x14ac:dyDescent="0.25">
      <c r="B424" s="19"/>
      <c r="C424" s="19"/>
      <c r="D424" s="19"/>
      <c r="E424" s="19"/>
      <c r="F424" s="19"/>
    </row>
    <row r="425" spans="2:6" x14ac:dyDescent="0.25">
      <c r="B425" s="19"/>
      <c r="C425" s="19"/>
      <c r="D425" s="19"/>
      <c r="E425" s="19"/>
      <c r="F425" s="19"/>
    </row>
    <row r="426" spans="2:6" x14ac:dyDescent="0.25">
      <c r="B426" s="19"/>
      <c r="C426" s="19"/>
      <c r="D426" s="19"/>
      <c r="E426" s="19"/>
      <c r="F426" s="19"/>
    </row>
    <row r="427" spans="2:6" x14ac:dyDescent="0.25">
      <c r="B427" s="19"/>
      <c r="C427" s="19"/>
      <c r="D427" s="19"/>
      <c r="E427" s="19"/>
      <c r="F427" s="19"/>
    </row>
    <row r="428" spans="2:6" x14ac:dyDescent="0.25">
      <c r="B428" s="19"/>
      <c r="C428" s="19"/>
      <c r="D428" s="19"/>
      <c r="E428" s="19"/>
      <c r="F428" s="19"/>
    </row>
    <row r="429" spans="2:6" x14ac:dyDescent="0.25">
      <c r="B429" s="19"/>
      <c r="C429" s="19"/>
      <c r="D429" s="19"/>
      <c r="E429" s="19"/>
      <c r="F429" s="19"/>
    </row>
    <row r="430" spans="2:6" x14ac:dyDescent="0.25">
      <c r="B430" s="19"/>
      <c r="C430" s="19"/>
      <c r="D430" s="19"/>
      <c r="E430" s="19"/>
      <c r="F430" s="19"/>
    </row>
    <row r="431" spans="2:6" x14ac:dyDescent="0.25">
      <c r="B431" s="19"/>
      <c r="C431" s="19"/>
      <c r="D431" s="19"/>
      <c r="E431" s="19"/>
      <c r="F431" s="19"/>
    </row>
    <row r="432" spans="2:6" x14ac:dyDescent="0.25">
      <c r="B432" s="19"/>
      <c r="C432" s="19"/>
      <c r="D432" s="19"/>
      <c r="E432" s="19"/>
      <c r="F432" s="19"/>
    </row>
    <row r="433" spans="2:6" x14ac:dyDescent="0.25">
      <c r="B433" s="19"/>
      <c r="C433" s="19"/>
      <c r="D433" s="19"/>
      <c r="E433" s="19"/>
      <c r="F433" s="19"/>
    </row>
    <row r="434" spans="2:6" x14ac:dyDescent="0.25">
      <c r="B434" s="19"/>
      <c r="C434" s="19"/>
      <c r="D434" s="19"/>
      <c r="E434" s="19"/>
      <c r="F434" s="19"/>
    </row>
    <row r="435" spans="2:6" x14ac:dyDescent="0.25">
      <c r="B435" s="19"/>
      <c r="C435" s="19"/>
      <c r="D435" s="19"/>
      <c r="E435" s="19"/>
      <c r="F435" s="19"/>
    </row>
    <row r="436" spans="2:6" x14ac:dyDescent="0.25">
      <c r="B436" s="19"/>
      <c r="C436" s="19"/>
      <c r="D436" s="19"/>
      <c r="E436" s="19"/>
      <c r="F436" s="19"/>
    </row>
    <row r="437" spans="2:6" x14ac:dyDescent="0.25">
      <c r="B437" s="19"/>
      <c r="C437" s="19"/>
      <c r="D437" s="19"/>
      <c r="E437" s="19"/>
      <c r="F437" s="19"/>
    </row>
    <row r="438" spans="2:6" x14ac:dyDescent="0.25">
      <c r="B438" s="19"/>
      <c r="C438" s="19"/>
      <c r="D438" s="19"/>
      <c r="E438" s="19"/>
      <c r="F438" s="19"/>
    </row>
    <row r="439" spans="2:6" x14ac:dyDescent="0.25">
      <c r="B439" s="19"/>
      <c r="C439" s="19"/>
      <c r="D439" s="19"/>
      <c r="E439" s="19"/>
      <c r="F439" s="19"/>
    </row>
    <row r="440" spans="2:6" x14ac:dyDescent="0.25">
      <c r="B440" s="19"/>
      <c r="C440" s="19"/>
      <c r="D440" s="19"/>
      <c r="E440" s="19"/>
      <c r="F440" s="19"/>
    </row>
    <row r="441" spans="2:6" x14ac:dyDescent="0.25">
      <c r="B441" s="19"/>
      <c r="C441" s="19"/>
      <c r="D441" s="19"/>
      <c r="E441" s="19"/>
      <c r="F441" s="19"/>
    </row>
    <row r="442" spans="2:6" x14ac:dyDescent="0.25">
      <c r="B442" s="19"/>
      <c r="C442" s="19"/>
      <c r="D442" s="19"/>
      <c r="E442" s="19"/>
      <c r="F442" s="19"/>
    </row>
    <row r="443" spans="2:6" x14ac:dyDescent="0.25">
      <c r="B443" s="19"/>
      <c r="C443" s="19"/>
      <c r="D443" s="19"/>
      <c r="E443" s="19"/>
      <c r="F443" s="19"/>
    </row>
    <row r="444" spans="2:6" x14ac:dyDescent="0.25">
      <c r="B444" s="19"/>
      <c r="C444" s="19"/>
      <c r="D444" s="19"/>
      <c r="E444" s="19"/>
      <c r="F444" s="19"/>
    </row>
    <row r="445" spans="2:6" x14ac:dyDescent="0.25">
      <c r="B445" s="19"/>
      <c r="C445" s="19"/>
      <c r="D445" s="19"/>
      <c r="E445" s="19"/>
      <c r="F445" s="19"/>
    </row>
    <row r="446" spans="2:6" x14ac:dyDescent="0.25">
      <c r="B446" s="19"/>
      <c r="C446" s="19"/>
      <c r="D446" s="19"/>
      <c r="E446" s="19"/>
      <c r="F446" s="19"/>
    </row>
    <row r="447" spans="2:6" x14ac:dyDescent="0.25">
      <c r="B447" s="19"/>
      <c r="C447" s="19"/>
      <c r="D447" s="19"/>
      <c r="E447" s="19"/>
      <c r="F447" s="19"/>
    </row>
    <row r="448" spans="2:6" x14ac:dyDescent="0.25">
      <c r="B448" s="19"/>
      <c r="C448" s="19"/>
      <c r="D448" s="19"/>
      <c r="E448" s="19"/>
      <c r="F448" s="19"/>
    </row>
    <row r="449" spans="2:6" x14ac:dyDescent="0.25">
      <c r="B449" s="19"/>
      <c r="C449" s="19"/>
      <c r="D449" s="19"/>
      <c r="E449" s="19"/>
      <c r="F449" s="19"/>
    </row>
    <row r="450" spans="2:6" x14ac:dyDescent="0.25">
      <c r="B450" s="19"/>
      <c r="C450" s="19"/>
      <c r="D450" s="19"/>
      <c r="E450" s="19"/>
      <c r="F450" s="19"/>
    </row>
    <row r="451" spans="2:6" x14ac:dyDescent="0.25">
      <c r="B451" s="19"/>
      <c r="C451" s="19"/>
      <c r="D451" s="19"/>
      <c r="E451" s="19"/>
      <c r="F451" s="19"/>
    </row>
    <row r="452" spans="2:6" x14ac:dyDescent="0.25">
      <c r="B452" s="19"/>
      <c r="C452" s="19"/>
      <c r="D452" s="19"/>
      <c r="E452" s="19"/>
      <c r="F452" s="19"/>
    </row>
    <row r="453" spans="2:6" x14ac:dyDescent="0.25">
      <c r="B453" s="19"/>
      <c r="C453" s="19"/>
      <c r="D453" s="19"/>
      <c r="E453" s="19"/>
      <c r="F453" s="19"/>
    </row>
    <row r="454" spans="2:6" x14ac:dyDescent="0.25">
      <c r="B454" s="19"/>
      <c r="C454" s="19"/>
      <c r="D454" s="19"/>
      <c r="E454" s="19"/>
      <c r="F454" s="19"/>
    </row>
    <row r="455" spans="2:6" x14ac:dyDescent="0.25">
      <c r="B455" s="19"/>
      <c r="C455" s="19"/>
      <c r="D455" s="19"/>
      <c r="E455" s="19"/>
      <c r="F455" s="19"/>
    </row>
    <row r="456" spans="2:6" x14ac:dyDescent="0.25">
      <c r="B456" s="19"/>
      <c r="C456" s="19"/>
      <c r="D456" s="19"/>
      <c r="E456" s="19"/>
      <c r="F456" s="19"/>
    </row>
    <row r="457" spans="2:6" x14ac:dyDescent="0.25">
      <c r="B457" s="19"/>
      <c r="C457" s="19"/>
      <c r="D457" s="19"/>
      <c r="E457" s="19"/>
      <c r="F457" s="19"/>
    </row>
    <row r="458" spans="2:6" x14ac:dyDescent="0.25">
      <c r="B458" s="19"/>
      <c r="C458" s="19"/>
      <c r="D458" s="19"/>
      <c r="E458" s="19"/>
      <c r="F458" s="19"/>
    </row>
    <row r="459" spans="2:6" x14ac:dyDescent="0.25">
      <c r="B459" s="19"/>
      <c r="C459" s="19"/>
      <c r="D459" s="19"/>
      <c r="E459" s="19"/>
      <c r="F459" s="19"/>
    </row>
    <row r="460" spans="2:6" x14ac:dyDescent="0.25">
      <c r="B460" s="19"/>
      <c r="C460" s="19"/>
      <c r="D460" s="19"/>
      <c r="E460" s="19"/>
      <c r="F460" s="19"/>
    </row>
    <row r="461" spans="2:6" x14ac:dyDescent="0.25">
      <c r="B461" s="19"/>
      <c r="C461" s="19"/>
      <c r="D461" s="19"/>
      <c r="E461" s="19"/>
      <c r="F461" s="19"/>
    </row>
    <row r="462" spans="2:6" x14ac:dyDescent="0.25">
      <c r="B462" s="19"/>
      <c r="C462" s="19"/>
      <c r="D462" s="19"/>
      <c r="E462" s="19"/>
      <c r="F462" s="19"/>
    </row>
    <row r="463" spans="2:6" x14ac:dyDescent="0.25">
      <c r="B463" s="19"/>
      <c r="C463" s="19"/>
      <c r="D463" s="19"/>
      <c r="E463" s="19"/>
      <c r="F463" s="19"/>
    </row>
    <row r="464" spans="2:6" x14ac:dyDescent="0.25">
      <c r="B464" s="19"/>
      <c r="C464" s="19"/>
      <c r="D464" s="19"/>
      <c r="E464" s="19"/>
      <c r="F464" s="19"/>
    </row>
    <row r="465" spans="2:6" x14ac:dyDescent="0.25">
      <c r="B465" s="19"/>
      <c r="C465" s="19"/>
      <c r="D465" s="19"/>
      <c r="E465" s="19"/>
      <c r="F465" s="19"/>
    </row>
    <row r="466" spans="2:6" x14ac:dyDescent="0.25">
      <c r="B466" s="19"/>
      <c r="C466" s="19"/>
      <c r="D466" s="19"/>
      <c r="E466" s="19"/>
      <c r="F466" s="19"/>
    </row>
    <row r="467" spans="2:6" x14ac:dyDescent="0.25">
      <c r="B467" s="19"/>
      <c r="C467" s="19"/>
      <c r="D467" s="19"/>
      <c r="E467" s="19"/>
      <c r="F467" s="19"/>
    </row>
    <row r="468" spans="2:6" x14ac:dyDescent="0.25">
      <c r="B468" s="19"/>
      <c r="C468" s="19"/>
      <c r="D468" s="19"/>
      <c r="E468" s="19"/>
      <c r="F468" s="19"/>
    </row>
    <row r="469" spans="2:6" x14ac:dyDescent="0.25">
      <c r="B469" s="19"/>
      <c r="C469" s="19"/>
      <c r="D469" s="19"/>
      <c r="E469" s="19"/>
      <c r="F469" s="19"/>
    </row>
    <row r="470" spans="2:6" x14ac:dyDescent="0.25">
      <c r="B470" s="19"/>
      <c r="C470" s="19"/>
      <c r="D470" s="19"/>
      <c r="E470" s="19"/>
      <c r="F470" s="19"/>
    </row>
    <row r="471" spans="2:6" x14ac:dyDescent="0.25">
      <c r="B471" s="19"/>
      <c r="C471" s="19"/>
      <c r="D471" s="19"/>
      <c r="E471" s="19"/>
      <c r="F471" s="19"/>
    </row>
    <row r="472" spans="2:6" x14ac:dyDescent="0.25">
      <c r="B472" s="19"/>
      <c r="C472" s="19"/>
      <c r="D472" s="19"/>
      <c r="E472" s="19"/>
      <c r="F472" s="19"/>
    </row>
    <row r="473" spans="2:6" x14ac:dyDescent="0.25">
      <c r="B473" s="19"/>
      <c r="C473" s="19"/>
      <c r="D473" s="19"/>
      <c r="E473" s="19"/>
      <c r="F473" s="19"/>
    </row>
    <row r="474" spans="2:6" x14ac:dyDescent="0.25">
      <c r="B474" s="19"/>
      <c r="C474" s="19"/>
      <c r="D474" s="19"/>
      <c r="E474" s="19"/>
      <c r="F474" s="19"/>
    </row>
    <row r="475" spans="2:6" x14ac:dyDescent="0.25">
      <c r="B475" s="19"/>
      <c r="C475" s="19"/>
      <c r="D475" s="19"/>
      <c r="E475" s="19"/>
      <c r="F475" s="19"/>
    </row>
    <row r="476" spans="2:6" x14ac:dyDescent="0.25">
      <c r="B476" s="19"/>
      <c r="C476" s="19"/>
      <c r="D476" s="19"/>
      <c r="E476" s="19"/>
      <c r="F476" s="19"/>
    </row>
    <row r="477" spans="2:6" x14ac:dyDescent="0.25">
      <c r="B477" s="19"/>
      <c r="C477" s="19"/>
      <c r="D477" s="19"/>
      <c r="E477" s="19"/>
      <c r="F477" s="19"/>
    </row>
    <row r="478" spans="2:6" x14ac:dyDescent="0.25">
      <c r="B478" s="19"/>
      <c r="C478" s="19"/>
      <c r="D478" s="19"/>
      <c r="E478" s="19"/>
      <c r="F478" s="19"/>
    </row>
    <row r="479" spans="2:6" x14ac:dyDescent="0.25">
      <c r="B479" s="19"/>
      <c r="C479" s="19"/>
      <c r="D479" s="19"/>
      <c r="E479" s="19"/>
      <c r="F479" s="19"/>
    </row>
    <row r="480" spans="2:6" x14ac:dyDescent="0.25">
      <c r="B480" s="19"/>
      <c r="C480" s="19"/>
      <c r="D480" s="19"/>
      <c r="E480" s="19"/>
      <c r="F480" s="19"/>
    </row>
    <row r="481" spans="2:6" x14ac:dyDescent="0.25">
      <c r="B481" s="19"/>
      <c r="C481" s="19"/>
      <c r="D481" s="19"/>
      <c r="E481" s="19"/>
      <c r="F481" s="19"/>
    </row>
    <row r="482" spans="2:6" x14ac:dyDescent="0.25">
      <c r="B482" s="19"/>
      <c r="C482" s="19"/>
      <c r="D482" s="19"/>
      <c r="E482" s="19"/>
      <c r="F482" s="19"/>
    </row>
    <row r="483" spans="2:6" x14ac:dyDescent="0.25">
      <c r="B483" s="19"/>
      <c r="C483" s="19"/>
      <c r="D483" s="19"/>
      <c r="E483" s="19"/>
      <c r="F483" s="19"/>
    </row>
    <row r="484" spans="2:6" x14ac:dyDescent="0.25">
      <c r="B484" s="19"/>
      <c r="C484" s="19"/>
      <c r="D484" s="19"/>
      <c r="E484" s="19"/>
      <c r="F484" s="19"/>
    </row>
    <row r="485" spans="2:6" x14ac:dyDescent="0.25">
      <c r="B485" s="19"/>
      <c r="C485" s="19"/>
      <c r="D485" s="19"/>
      <c r="E485" s="19"/>
      <c r="F485" s="19"/>
    </row>
    <row r="486" spans="2:6" x14ac:dyDescent="0.25">
      <c r="B486" s="19"/>
      <c r="C486" s="19"/>
      <c r="D486" s="19"/>
      <c r="E486" s="19"/>
      <c r="F486" s="19"/>
    </row>
    <row r="487" spans="2:6" x14ac:dyDescent="0.25">
      <c r="B487" s="19"/>
      <c r="C487" s="19"/>
      <c r="D487" s="19"/>
      <c r="E487" s="19"/>
      <c r="F487" s="19"/>
    </row>
    <row r="488" spans="2:6" x14ac:dyDescent="0.25">
      <c r="B488" s="19"/>
      <c r="C488" s="19"/>
      <c r="D488" s="19"/>
      <c r="E488" s="19"/>
      <c r="F488" s="19"/>
    </row>
    <row r="489" spans="2:6" x14ac:dyDescent="0.25">
      <c r="B489" s="19"/>
      <c r="C489" s="19"/>
      <c r="D489" s="19"/>
      <c r="E489" s="19"/>
      <c r="F489" s="19"/>
    </row>
    <row r="490" spans="2:6" x14ac:dyDescent="0.25">
      <c r="B490" s="19"/>
      <c r="C490" s="19"/>
      <c r="D490" s="19"/>
      <c r="E490" s="19"/>
      <c r="F490" s="19"/>
    </row>
    <row r="491" spans="2:6" x14ac:dyDescent="0.25">
      <c r="B491" s="19"/>
      <c r="C491" s="19"/>
      <c r="D491" s="19"/>
      <c r="E491" s="19"/>
      <c r="F491" s="19"/>
    </row>
    <row r="492" spans="2:6" x14ac:dyDescent="0.25">
      <c r="B492" s="19"/>
      <c r="C492" s="19"/>
      <c r="D492" s="19"/>
      <c r="E492" s="19"/>
      <c r="F492" s="19"/>
    </row>
    <row r="493" spans="2:6" x14ac:dyDescent="0.25">
      <c r="B493" s="19"/>
      <c r="C493" s="19"/>
      <c r="D493" s="19"/>
      <c r="E493" s="19"/>
      <c r="F493" s="19"/>
    </row>
    <row r="494" spans="2:6" x14ac:dyDescent="0.25">
      <c r="B494" s="19"/>
      <c r="C494" s="19"/>
      <c r="D494" s="19"/>
      <c r="E494" s="19"/>
      <c r="F494" s="19"/>
    </row>
    <row r="495" spans="2:6" x14ac:dyDescent="0.25">
      <c r="B495" s="19"/>
      <c r="C495" s="19"/>
      <c r="D495" s="19"/>
      <c r="E495" s="19"/>
      <c r="F495" s="19"/>
    </row>
    <row r="496" spans="2:6" x14ac:dyDescent="0.25">
      <c r="B496" s="19"/>
      <c r="C496" s="19"/>
      <c r="D496" s="19"/>
      <c r="E496" s="19"/>
      <c r="F496" s="19"/>
    </row>
    <row r="497" spans="2:6" x14ac:dyDescent="0.25">
      <c r="B497" s="19"/>
      <c r="C497" s="19"/>
      <c r="D497" s="19"/>
      <c r="E497" s="19"/>
      <c r="F497" s="19"/>
    </row>
    <row r="498" spans="2:6" x14ac:dyDescent="0.25">
      <c r="B498" s="19"/>
      <c r="C498" s="19"/>
      <c r="D498" s="19"/>
      <c r="E498" s="19"/>
      <c r="F498" s="19"/>
    </row>
    <row r="499" spans="2:6" x14ac:dyDescent="0.25">
      <c r="B499" s="19"/>
      <c r="C499" s="19"/>
      <c r="D499" s="19"/>
      <c r="E499" s="19"/>
      <c r="F499" s="19"/>
    </row>
    <row r="500" spans="2:6" x14ac:dyDescent="0.25">
      <c r="B500" s="19"/>
      <c r="C500" s="19"/>
      <c r="D500" s="19"/>
      <c r="E500" s="19"/>
      <c r="F500" s="19"/>
    </row>
    <row r="501" spans="2:6" x14ac:dyDescent="0.25">
      <c r="B501" s="19"/>
      <c r="C501" s="19"/>
      <c r="D501" s="19"/>
      <c r="E501" s="19"/>
      <c r="F501" s="19"/>
    </row>
    <row r="502" spans="2:6" x14ac:dyDescent="0.25">
      <c r="B502" s="19"/>
      <c r="C502" s="19"/>
      <c r="D502" s="19"/>
      <c r="E502" s="19"/>
      <c r="F502" s="19"/>
    </row>
    <row r="503" spans="2:6" x14ac:dyDescent="0.25">
      <c r="B503" s="19"/>
      <c r="C503" s="19"/>
      <c r="D503" s="19"/>
      <c r="E503" s="19"/>
      <c r="F503" s="19"/>
    </row>
    <row r="504" spans="2:6" x14ac:dyDescent="0.25">
      <c r="B504" s="19"/>
      <c r="C504" s="19"/>
      <c r="D504" s="19"/>
      <c r="E504" s="19"/>
      <c r="F504" s="19"/>
    </row>
    <row r="505" spans="2:6" x14ac:dyDescent="0.25">
      <c r="B505" s="19"/>
      <c r="C505" s="19"/>
      <c r="D505" s="19"/>
      <c r="E505" s="19"/>
      <c r="F505" s="19"/>
    </row>
    <row r="506" spans="2:6" x14ac:dyDescent="0.25">
      <c r="B506" s="19"/>
      <c r="C506" s="19"/>
      <c r="D506" s="19"/>
      <c r="E506" s="19"/>
      <c r="F506" s="19"/>
    </row>
    <row r="507" spans="2:6" x14ac:dyDescent="0.25">
      <c r="B507" s="19"/>
      <c r="C507" s="19"/>
      <c r="D507" s="19"/>
      <c r="E507" s="19"/>
      <c r="F507" s="19"/>
    </row>
    <row r="508" spans="2:6" x14ac:dyDescent="0.25">
      <c r="B508" s="19"/>
      <c r="C508" s="19"/>
      <c r="D508" s="19"/>
      <c r="E508" s="19"/>
      <c r="F508" s="19"/>
    </row>
    <row r="509" spans="2:6" x14ac:dyDescent="0.25">
      <c r="B509" s="19"/>
      <c r="C509" s="19"/>
      <c r="D509" s="19"/>
      <c r="E509" s="19"/>
      <c r="F509" s="19"/>
    </row>
    <row r="510" spans="2:6" x14ac:dyDescent="0.25">
      <c r="B510" s="19"/>
      <c r="C510" s="19"/>
      <c r="D510" s="19"/>
      <c r="E510" s="19"/>
      <c r="F510" s="19"/>
    </row>
    <row r="511" spans="2:6" x14ac:dyDescent="0.25">
      <c r="B511" s="19"/>
      <c r="C511" s="19"/>
      <c r="D511" s="19"/>
      <c r="E511" s="19"/>
      <c r="F511" s="19"/>
    </row>
    <row r="512" spans="2:6" x14ac:dyDescent="0.25">
      <c r="B512" s="19"/>
      <c r="C512" s="19"/>
      <c r="D512" s="19"/>
      <c r="E512" s="19"/>
      <c r="F512" s="19"/>
    </row>
    <row r="513" spans="2:6" x14ac:dyDescent="0.25">
      <c r="B513" s="19"/>
      <c r="C513" s="19"/>
      <c r="D513" s="19"/>
      <c r="E513" s="19"/>
      <c r="F513" s="19"/>
    </row>
    <row r="514" spans="2:6" x14ac:dyDescent="0.25">
      <c r="B514" s="19"/>
      <c r="C514" s="19"/>
      <c r="D514" s="19"/>
      <c r="E514" s="19"/>
      <c r="F514" s="19"/>
    </row>
    <row r="515" spans="2:6" x14ac:dyDescent="0.25">
      <c r="B515" s="19"/>
      <c r="C515" s="19"/>
      <c r="D515" s="19"/>
      <c r="E515" s="19"/>
      <c r="F515" s="19"/>
    </row>
    <row r="516" spans="2:6" x14ac:dyDescent="0.25">
      <c r="B516" s="19"/>
      <c r="C516" s="19"/>
      <c r="D516" s="19"/>
      <c r="E516" s="19"/>
      <c r="F516" s="19"/>
    </row>
    <row r="517" spans="2:6" x14ac:dyDescent="0.25">
      <c r="B517" s="19"/>
      <c r="C517" s="19"/>
      <c r="D517" s="19"/>
      <c r="E517" s="19"/>
      <c r="F517" s="19"/>
    </row>
    <row r="518" spans="2:6" x14ac:dyDescent="0.25">
      <c r="B518" s="19"/>
      <c r="C518" s="19"/>
      <c r="D518" s="19"/>
      <c r="E518" s="19"/>
      <c r="F518" s="19"/>
    </row>
    <row r="519" spans="2:6" x14ac:dyDescent="0.25">
      <c r="B519" s="19"/>
      <c r="C519" s="19"/>
      <c r="D519" s="19"/>
      <c r="E519" s="19"/>
      <c r="F519" s="19"/>
    </row>
    <row r="520" spans="2:6" x14ac:dyDescent="0.25">
      <c r="B520" s="19"/>
      <c r="C520" s="19"/>
      <c r="D520" s="19"/>
      <c r="E520" s="19"/>
      <c r="F520" s="19"/>
    </row>
    <row r="521" spans="2:6" x14ac:dyDescent="0.25">
      <c r="B521" s="19"/>
      <c r="C521" s="19"/>
      <c r="D521" s="19"/>
      <c r="E521" s="19"/>
      <c r="F521" s="19"/>
    </row>
    <row r="522" spans="2:6" x14ac:dyDescent="0.25">
      <c r="B522" s="19"/>
      <c r="C522" s="19"/>
      <c r="D522" s="19"/>
      <c r="E522" s="19"/>
      <c r="F522" s="19"/>
    </row>
    <row r="523" spans="2:6" x14ac:dyDescent="0.25">
      <c r="B523" s="19"/>
      <c r="C523" s="19"/>
      <c r="D523" s="19"/>
      <c r="E523" s="19"/>
      <c r="F523" s="19"/>
    </row>
    <row r="524" spans="2:6" x14ac:dyDescent="0.25">
      <c r="B524" s="19"/>
      <c r="C524" s="19"/>
      <c r="D524" s="19"/>
      <c r="E524" s="19"/>
      <c r="F524" s="19"/>
    </row>
    <row r="525" spans="2:6" x14ac:dyDescent="0.25">
      <c r="B525" s="19"/>
      <c r="C525" s="19"/>
      <c r="D525" s="19"/>
      <c r="E525" s="19"/>
      <c r="F525" s="19"/>
    </row>
    <row r="526" spans="2:6" x14ac:dyDescent="0.25">
      <c r="B526" s="19"/>
      <c r="C526" s="19"/>
      <c r="D526" s="19"/>
      <c r="E526" s="19"/>
      <c r="F526" s="19"/>
    </row>
    <row r="527" spans="2:6" x14ac:dyDescent="0.25">
      <c r="B527" s="19"/>
      <c r="C527" s="19"/>
      <c r="D527" s="19"/>
      <c r="E527" s="19"/>
      <c r="F527" s="19"/>
    </row>
    <row r="528" spans="2:6" x14ac:dyDescent="0.25">
      <c r="B528" s="19"/>
      <c r="C528" s="19"/>
      <c r="D528" s="19"/>
      <c r="E528" s="19"/>
      <c r="F528" s="19"/>
    </row>
    <row r="529" spans="2:6" x14ac:dyDescent="0.25">
      <c r="B529" s="19"/>
      <c r="C529" s="19"/>
      <c r="D529" s="19"/>
      <c r="E529" s="19"/>
      <c r="F529" s="19"/>
    </row>
    <row r="530" spans="2:6" x14ac:dyDescent="0.25">
      <c r="B530" s="19"/>
      <c r="C530" s="19"/>
      <c r="D530" s="19"/>
      <c r="E530" s="19"/>
      <c r="F530" s="19"/>
    </row>
    <row r="531" spans="2:6" x14ac:dyDescent="0.25">
      <c r="B531" s="19"/>
      <c r="C531" s="19"/>
      <c r="D531" s="19"/>
      <c r="E531" s="19"/>
      <c r="F531" s="19"/>
    </row>
    <row r="532" spans="2:6" x14ac:dyDescent="0.25">
      <c r="B532" s="19"/>
      <c r="C532" s="19"/>
      <c r="D532" s="19"/>
      <c r="E532" s="19"/>
      <c r="F532" s="19"/>
    </row>
    <row r="533" spans="2:6" x14ac:dyDescent="0.25">
      <c r="B533" s="19"/>
      <c r="C533" s="19"/>
      <c r="D533" s="19"/>
      <c r="E533" s="19"/>
      <c r="F533" s="19"/>
    </row>
    <row r="534" spans="2:6" x14ac:dyDescent="0.25">
      <c r="B534" s="19"/>
      <c r="C534" s="19"/>
      <c r="D534" s="19"/>
      <c r="E534" s="19"/>
      <c r="F534" s="19"/>
    </row>
    <row r="535" spans="2:6" x14ac:dyDescent="0.25">
      <c r="B535" s="19"/>
      <c r="C535" s="19"/>
      <c r="D535" s="19"/>
      <c r="E535" s="19"/>
      <c r="F535" s="19"/>
    </row>
    <row r="536" spans="2:6" x14ac:dyDescent="0.25">
      <c r="B536" s="19"/>
      <c r="C536" s="19"/>
      <c r="D536" s="19"/>
      <c r="E536" s="19"/>
      <c r="F536" s="19"/>
    </row>
    <row r="537" spans="2:6" x14ac:dyDescent="0.25">
      <c r="B537" s="19"/>
      <c r="C537" s="19"/>
      <c r="D537" s="19"/>
      <c r="E537" s="19"/>
      <c r="F537" s="19"/>
    </row>
    <row r="538" spans="2:6" x14ac:dyDescent="0.25">
      <c r="B538" s="19"/>
      <c r="C538" s="19"/>
      <c r="D538" s="19"/>
      <c r="E538" s="19"/>
      <c r="F538" s="19"/>
    </row>
    <row r="539" spans="2:6" x14ac:dyDescent="0.25">
      <c r="B539" s="19"/>
      <c r="C539" s="19"/>
      <c r="D539" s="19"/>
      <c r="E539" s="19"/>
      <c r="F539" s="19"/>
    </row>
    <row r="540" spans="2:6" x14ac:dyDescent="0.25">
      <c r="B540" s="19"/>
      <c r="C540" s="19"/>
      <c r="D540" s="19"/>
      <c r="E540" s="19"/>
      <c r="F540" s="19"/>
    </row>
    <row r="541" spans="2:6" x14ac:dyDescent="0.25">
      <c r="B541" s="19"/>
      <c r="C541" s="19"/>
      <c r="D541" s="19"/>
      <c r="E541" s="19"/>
      <c r="F541" s="19"/>
    </row>
    <row r="542" spans="2:6" x14ac:dyDescent="0.25">
      <c r="B542" s="19"/>
      <c r="C542" s="19"/>
      <c r="D542" s="19"/>
      <c r="E542" s="19"/>
      <c r="F542" s="19"/>
    </row>
    <row r="543" spans="2:6" x14ac:dyDescent="0.25">
      <c r="B543" s="19"/>
      <c r="C543" s="19"/>
      <c r="D543" s="19"/>
      <c r="E543" s="19"/>
      <c r="F543" s="19"/>
    </row>
    <row r="544" spans="2:6" x14ac:dyDescent="0.25">
      <c r="B544" s="19"/>
      <c r="C544" s="19"/>
      <c r="D544" s="19"/>
      <c r="E544" s="19"/>
      <c r="F544" s="19"/>
    </row>
    <row r="545" spans="2:6" x14ac:dyDescent="0.25">
      <c r="B545" s="19"/>
      <c r="C545" s="19"/>
      <c r="D545" s="19"/>
      <c r="E545" s="19"/>
      <c r="F545" s="19"/>
    </row>
    <row r="546" spans="2:6" x14ac:dyDescent="0.25">
      <c r="B546" s="19"/>
      <c r="C546" s="19"/>
      <c r="D546" s="19"/>
      <c r="E546" s="19"/>
      <c r="F546" s="19"/>
    </row>
    <row r="547" spans="2:6" x14ac:dyDescent="0.25">
      <c r="B547" s="19"/>
      <c r="C547" s="19"/>
      <c r="D547" s="19"/>
      <c r="E547" s="19"/>
      <c r="F547" s="19"/>
    </row>
    <row r="548" spans="2:6" x14ac:dyDescent="0.25">
      <c r="B548" s="19"/>
      <c r="C548" s="19"/>
      <c r="D548" s="19"/>
      <c r="E548" s="19"/>
      <c r="F548" s="19"/>
    </row>
    <row r="549" spans="2:6" x14ac:dyDescent="0.25">
      <c r="B549" s="19"/>
      <c r="C549" s="19"/>
      <c r="D549" s="19"/>
      <c r="E549" s="19"/>
      <c r="F549" s="19"/>
    </row>
    <row r="550" spans="2:6" x14ac:dyDescent="0.25">
      <c r="B550" s="19"/>
      <c r="C550" s="19"/>
      <c r="D550" s="19"/>
      <c r="E550" s="19"/>
      <c r="F550" s="19"/>
    </row>
    <row r="551" spans="2:6" x14ac:dyDescent="0.25">
      <c r="B551" s="19"/>
      <c r="C551" s="19"/>
      <c r="D551" s="19"/>
      <c r="E551" s="19"/>
      <c r="F551" s="19"/>
    </row>
    <row r="552" spans="2:6" x14ac:dyDescent="0.25">
      <c r="B552" s="19"/>
      <c r="C552" s="19"/>
      <c r="D552" s="19"/>
      <c r="E552" s="19"/>
      <c r="F552" s="19"/>
    </row>
    <row r="553" spans="2:6" x14ac:dyDescent="0.25">
      <c r="B553" s="19"/>
      <c r="C553" s="19"/>
      <c r="D553" s="19"/>
      <c r="E553" s="19"/>
      <c r="F553" s="19"/>
    </row>
    <row r="554" spans="2:6" x14ac:dyDescent="0.25">
      <c r="B554" s="19"/>
      <c r="C554" s="19"/>
      <c r="D554" s="19"/>
      <c r="E554" s="19"/>
      <c r="F554" s="19"/>
    </row>
    <row r="555" spans="2:6" x14ac:dyDescent="0.25">
      <c r="B555" s="19"/>
      <c r="C555" s="19"/>
      <c r="D555" s="19"/>
      <c r="E555" s="19"/>
      <c r="F555" s="19"/>
    </row>
    <row r="556" spans="2:6" x14ac:dyDescent="0.25">
      <c r="B556" s="19"/>
      <c r="C556" s="19"/>
      <c r="D556" s="19"/>
      <c r="E556" s="19"/>
      <c r="F556" s="19"/>
    </row>
    <row r="557" spans="2:6" x14ac:dyDescent="0.25">
      <c r="B557" s="19"/>
      <c r="C557" s="19"/>
      <c r="D557" s="19"/>
      <c r="E557" s="19"/>
      <c r="F557" s="19"/>
    </row>
    <row r="558" spans="2:6" x14ac:dyDescent="0.25">
      <c r="B558" s="19"/>
      <c r="C558" s="19"/>
      <c r="D558" s="19"/>
      <c r="E558" s="19"/>
      <c r="F558" s="19"/>
    </row>
    <row r="559" spans="2:6" x14ac:dyDescent="0.25">
      <c r="B559" s="19"/>
      <c r="C559" s="19"/>
      <c r="D559" s="19"/>
      <c r="E559" s="19"/>
      <c r="F559" s="19"/>
    </row>
    <row r="560" spans="2:6" x14ac:dyDescent="0.25">
      <c r="B560" s="19"/>
      <c r="C560" s="19"/>
      <c r="D560" s="19"/>
      <c r="E560" s="19"/>
      <c r="F560" s="19"/>
    </row>
    <row r="561" spans="2:6" x14ac:dyDescent="0.25">
      <c r="B561" s="19"/>
      <c r="C561" s="19"/>
      <c r="D561" s="19"/>
      <c r="E561" s="19"/>
      <c r="F561" s="19"/>
    </row>
    <row r="562" spans="2:6" x14ac:dyDescent="0.25">
      <c r="B562" s="19"/>
      <c r="C562" s="19"/>
      <c r="D562" s="19"/>
      <c r="E562" s="19"/>
      <c r="F562" s="19"/>
    </row>
    <row r="563" spans="2:6" x14ac:dyDescent="0.25">
      <c r="B563" s="19"/>
      <c r="C563" s="19"/>
      <c r="D563" s="19"/>
      <c r="E563" s="19"/>
      <c r="F563" s="19"/>
    </row>
    <row r="564" spans="2:6" x14ac:dyDescent="0.25">
      <c r="B564" s="19"/>
      <c r="C564" s="19"/>
      <c r="D564" s="19"/>
      <c r="E564" s="19"/>
      <c r="F564" s="19"/>
    </row>
    <row r="565" spans="2:6" x14ac:dyDescent="0.25">
      <c r="B565" s="19"/>
      <c r="C565" s="19"/>
      <c r="D565" s="19"/>
      <c r="E565" s="19"/>
      <c r="F565" s="19"/>
    </row>
    <row r="566" spans="2:6" x14ac:dyDescent="0.25">
      <c r="B566" s="19"/>
      <c r="C566" s="19"/>
      <c r="D566" s="19"/>
      <c r="E566" s="19"/>
      <c r="F566" s="19"/>
    </row>
    <row r="567" spans="2:6" x14ac:dyDescent="0.25">
      <c r="B567" s="19"/>
      <c r="C567" s="19"/>
      <c r="D567" s="19"/>
      <c r="E567" s="19"/>
      <c r="F567" s="19"/>
    </row>
    <row r="568" spans="2:6" x14ac:dyDescent="0.25">
      <c r="B568" s="19"/>
      <c r="C568" s="19"/>
      <c r="D568" s="19"/>
      <c r="E568" s="19"/>
      <c r="F568" s="19"/>
    </row>
    <row r="569" spans="2:6" x14ac:dyDescent="0.25">
      <c r="B569" s="19"/>
      <c r="C569" s="19"/>
      <c r="D569" s="19"/>
      <c r="E569" s="19"/>
      <c r="F569" s="19"/>
    </row>
    <row r="570" spans="2:6" x14ac:dyDescent="0.25">
      <c r="B570" s="19"/>
      <c r="C570" s="19"/>
      <c r="D570" s="19"/>
      <c r="E570" s="19"/>
      <c r="F570" s="19"/>
    </row>
    <row r="571" spans="2:6" x14ac:dyDescent="0.25">
      <c r="B571" s="19"/>
      <c r="C571" s="19"/>
      <c r="D571" s="19"/>
      <c r="E571" s="19"/>
      <c r="F571" s="19"/>
    </row>
    <row r="572" spans="2:6" x14ac:dyDescent="0.25">
      <c r="B572" s="19"/>
      <c r="C572" s="19"/>
      <c r="D572" s="19"/>
      <c r="E572" s="19"/>
      <c r="F572" s="19"/>
    </row>
    <row r="573" spans="2:6" x14ac:dyDescent="0.25">
      <c r="B573" s="19"/>
      <c r="C573" s="19"/>
      <c r="D573" s="19"/>
      <c r="E573" s="19"/>
      <c r="F573" s="19"/>
    </row>
    <row r="574" spans="2:6" x14ac:dyDescent="0.25">
      <c r="B574" s="19"/>
      <c r="C574" s="19"/>
      <c r="D574" s="19"/>
      <c r="E574" s="19"/>
      <c r="F574" s="19"/>
    </row>
    <row r="575" spans="2:6" x14ac:dyDescent="0.25">
      <c r="B575" s="19"/>
      <c r="C575" s="19"/>
      <c r="D575" s="19"/>
      <c r="E575" s="19"/>
      <c r="F575" s="19"/>
    </row>
    <row r="576" spans="2:6" x14ac:dyDescent="0.25">
      <c r="B576" s="19"/>
      <c r="C576" s="19"/>
      <c r="D576" s="19"/>
      <c r="E576" s="19"/>
      <c r="F576" s="19"/>
    </row>
    <row r="577" spans="2:6" x14ac:dyDescent="0.25">
      <c r="B577" s="19"/>
      <c r="C577" s="19"/>
      <c r="D577" s="19"/>
      <c r="E577" s="19"/>
      <c r="F577" s="19"/>
    </row>
    <row r="578" spans="2:6" x14ac:dyDescent="0.25">
      <c r="B578" s="19"/>
      <c r="C578" s="19"/>
      <c r="D578" s="19"/>
      <c r="E578" s="19"/>
      <c r="F578" s="19"/>
    </row>
    <row r="579" spans="2:6" x14ac:dyDescent="0.25">
      <c r="B579" s="19"/>
      <c r="C579" s="19"/>
      <c r="D579" s="19"/>
      <c r="E579" s="19"/>
      <c r="F579" s="19"/>
    </row>
    <row r="580" spans="2:6" x14ac:dyDescent="0.25">
      <c r="B580" s="19"/>
      <c r="C580" s="19"/>
      <c r="D580" s="19"/>
      <c r="E580" s="19"/>
      <c r="F580" s="19"/>
    </row>
    <row r="581" spans="2:6" x14ac:dyDescent="0.25">
      <c r="B581" s="19"/>
      <c r="C581" s="19"/>
      <c r="D581" s="19"/>
      <c r="E581" s="19"/>
      <c r="F581" s="19"/>
    </row>
    <row r="582" spans="2:6" x14ac:dyDescent="0.25">
      <c r="B582" s="19"/>
      <c r="C582" s="19"/>
      <c r="D582" s="19"/>
      <c r="E582" s="19"/>
      <c r="F582" s="19"/>
    </row>
    <row r="583" spans="2:6" x14ac:dyDescent="0.25">
      <c r="B583" s="19"/>
      <c r="C583" s="19"/>
      <c r="D583" s="19"/>
      <c r="E583" s="19"/>
      <c r="F583" s="19"/>
    </row>
    <row r="584" spans="2:6" x14ac:dyDescent="0.25">
      <c r="B584" s="19"/>
      <c r="C584" s="19"/>
      <c r="D584" s="19"/>
      <c r="E584" s="19"/>
      <c r="F584" s="19"/>
    </row>
    <row r="585" spans="2:6" x14ac:dyDescent="0.25">
      <c r="B585" s="19"/>
      <c r="C585" s="19"/>
      <c r="D585" s="19"/>
      <c r="E585" s="19"/>
      <c r="F585" s="19"/>
    </row>
    <row r="586" spans="2:6" x14ac:dyDescent="0.25">
      <c r="B586" s="19"/>
      <c r="C586" s="19"/>
      <c r="D586" s="19"/>
      <c r="E586" s="19"/>
      <c r="F586" s="19"/>
    </row>
    <row r="587" spans="2:6" x14ac:dyDescent="0.25">
      <c r="B587" s="19"/>
      <c r="C587" s="19"/>
      <c r="D587" s="19"/>
      <c r="E587" s="19"/>
      <c r="F587" s="19"/>
    </row>
    <row r="588" spans="2:6" x14ac:dyDescent="0.25">
      <c r="B588" s="19"/>
      <c r="C588" s="19"/>
      <c r="D588" s="19"/>
      <c r="E588" s="19"/>
      <c r="F588" s="19"/>
    </row>
    <row r="589" spans="2:6" x14ac:dyDescent="0.25">
      <c r="B589" s="19"/>
      <c r="C589" s="19"/>
      <c r="D589" s="19"/>
      <c r="E589" s="19"/>
      <c r="F589" s="19"/>
    </row>
    <row r="590" spans="2:6" x14ac:dyDescent="0.25">
      <c r="B590" s="19"/>
      <c r="C590" s="19"/>
      <c r="D590" s="19"/>
      <c r="E590" s="19"/>
      <c r="F590" s="19"/>
    </row>
    <row r="591" spans="2:6" x14ac:dyDescent="0.25">
      <c r="B591" s="19"/>
      <c r="C591" s="19"/>
      <c r="D591" s="19"/>
      <c r="E591" s="19"/>
      <c r="F591" s="19"/>
    </row>
    <row r="592" spans="2:6" x14ac:dyDescent="0.25">
      <c r="B592" s="19"/>
      <c r="C592" s="19"/>
      <c r="D592" s="19"/>
      <c r="E592" s="19"/>
      <c r="F592" s="19"/>
    </row>
    <row r="593" spans="2:6" x14ac:dyDescent="0.25">
      <c r="B593" s="19"/>
      <c r="C593" s="19"/>
      <c r="D593" s="19"/>
      <c r="E593" s="19"/>
      <c r="F593" s="19"/>
    </row>
    <row r="594" spans="2:6" x14ac:dyDescent="0.25">
      <c r="B594" s="19"/>
      <c r="C594" s="19"/>
      <c r="D594" s="19"/>
      <c r="E594" s="19"/>
      <c r="F594" s="19"/>
    </row>
    <row r="595" spans="2:6" x14ac:dyDescent="0.25">
      <c r="B595" s="19"/>
      <c r="C595" s="19"/>
      <c r="D595" s="19"/>
      <c r="E595" s="19"/>
      <c r="F595" s="19"/>
    </row>
    <row r="596" spans="2:6" x14ac:dyDescent="0.25">
      <c r="B596" s="19"/>
      <c r="C596" s="19"/>
      <c r="D596" s="19"/>
      <c r="E596" s="19"/>
      <c r="F596" s="19"/>
    </row>
    <row r="597" spans="2:6" x14ac:dyDescent="0.25">
      <c r="B597" s="19"/>
      <c r="C597" s="19"/>
      <c r="D597" s="19"/>
      <c r="E597" s="19"/>
      <c r="F597" s="19"/>
    </row>
    <row r="598" spans="2:6" x14ac:dyDescent="0.25">
      <c r="B598" s="19"/>
      <c r="C598" s="19"/>
      <c r="D598" s="19"/>
      <c r="E598" s="19"/>
      <c r="F598" s="19"/>
    </row>
    <row r="599" spans="2:6" x14ac:dyDescent="0.25">
      <c r="B599" s="19"/>
      <c r="C599" s="19"/>
      <c r="D599" s="19"/>
      <c r="E599" s="19"/>
      <c r="F599" s="19"/>
    </row>
    <row r="600" spans="2:6" x14ac:dyDescent="0.25">
      <c r="B600" s="19"/>
      <c r="C600" s="19"/>
      <c r="D600" s="19"/>
      <c r="E600" s="19"/>
      <c r="F600" s="19"/>
    </row>
    <row r="601" spans="2:6" x14ac:dyDescent="0.25">
      <c r="B601" s="19"/>
      <c r="C601" s="19"/>
      <c r="D601" s="19"/>
      <c r="E601" s="19"/>
      <c r="F601" s="19"/>
    </row>
    <row r="602" spans="2:6" x14ac:dyDescent="0.25">
      <c r="B602" s="19"/>
      <c r="C602" s="19"/>
      <c r="D602" s="19"/>
      <c r="E602" s="19"/>
      <c r="F602" s="19"/>
    </row>
    <row r="603" spans="2:6" x14ac:dyDescent="0.25">
      <c r="B603" s="19"/>
      <c r="C603" s="19"/>
      <c r="D603" s="19"/>
      <c r="E603" s="19"/>
      <c r="F603" s="19"/>
    </row>
    <row r="604" spans="2:6" x14ac:dyDescent="0.25">
      <c r="B604" s="19"/>
      <c r="C604" s="19"/>
      <c r="D604" s="19"/>
      <c r="E604" s="19"/>
      <c r="F604" s="19"/>
    </row>
    <row r="605" spans="2:6" x14ac:dyDescent="0.25">
      <c r="B605" s="19"/>
      <c r="C605" s="19"/>
      <c r="D605" s="19"/>
      <c r="E605" s="19"/>
      <c r="F605" s="19"/>
    </row>
    <row r="606" spans="2:6" x14ac:dyDescent="0.25">
      <c r="B606" s="19"/>
      <c r="C606" s="19"/>
      <c r="D606" s="19"/>
      <c r="E606" s="19"/>
      <c r="F606" s="19"/>
    </row>
    <row r="607" spans="2:6" x14ac:dyDescent="0.25">
      <c r="B607" s="19"/>
      <c r="C607" s="19"/>
      <c r="D607" s="19"/>
      <c r="E607" s="19"/>
      <c r="F607" s="19"/>
    </row>
    <row r="608" spans="2:6" x14ac:dyDescent="0.25">
      <c r="B608" s="19"/>
      <c r="C608" s="19"/>
      <c r="D608" s="19"/>
      <c r="E608" s="19"/>
      <c r="F608" s="19"/>
    </row>
    <row r="609" spans="2:6" x14ac:dyDescent="0.25">
      <c r="B609" s="19"/>
      <c r="C609" s="19"/>
      <c r="D609" s="19"/>
      <c r="E609" s="19"/>
      <c r="F609" s="19"/>
    </row>
    <row r="610" spans="2:6" x14ac:dyDescent="0.25">
      <c r="B610" s="19"/>
      <c r="C610" s="19"/>
      <c r="D610" s="19"/>
      <c r="E610" s="19"/>
      <c r="F610" s="19"/>
    </row>
    <row r="611" spans="2:6" x14ac:dyDescent="0.25">
      <c r="B611" s="19"/>
      <c r="C611" s="19"/>
      <c r="D611" s="19"/>
      <c r="E611" s="19"/>
      <c r="F611" s="19"/>
    </row>
    <row r="612" spans="2:6" x14ac:dyDescent="0.25">
      <c r="B612" s="19"/>
      <c r="C612" s="19"/>
      <c r="D612" s="19"/>
      <c r="E612" s="19"/>
      <c r="F612" s="19"/>
    </row>
    <row r="613" spans="2:6" x14ac:dyDescent="0.25">
      <c r="B613" s="19"/>
      <c r="C613" s="19"/>
      <c r="D613" s="19"/>
      <c r="E613" s="19"/>
      <c r="F613" s="19"/>
    </row>
    <row r="614" spans="2:6" x14ac:dyDescent="0.25">
      <c r="B614" s="19"/>
      <c r="C614" s="19"/>
      <c r="D614" s="19"/>
      <c r="E614" s="19"/>
      <c r="F614" s="19"/>
    </row>
    <row r="615" spans="2:6" x14ac:dyDescent="0.25">
      <c r="B615" s="19"/>
      <c r="C615" s="19"/>
      <c r="D615" s="19"/>
      <c r="E615" s="19"/>
      <c r="F615" s="19"/>
    </row>
    <row r="616" spans="2:6" x14ac:dyDescent="0.25">
      <c r="B616" s="19"/>
      <c r="C616" s="19"/>
      <c r="D616" s="19"/>
      <c r="E616" s="19"/>
      <c r="F616" s="19"/>
    </row>
    <row r="617" spans="2:6" x14ac:dyDescent="0.25">
      <c r="B617" s="19"/>
      <c r="C617" s="19"/>
      <c r="D617" s="19"/>
      <c r="E617" s="19"/>
      <c r="F617" s="19"/>
    </row>
    <row r="618" spans="2:6" x14ac:dyDescent="0.25">
      <c r="B618" s="19"/>
      <c r="C618" s="19"/>
      <c r="D618" s="19"/>
      <c r="E618" s="19"/>
      <c r="F618" s="19"/>
    </row>
    <row r="619" spans="2:6" x14ac:dyDescent="0.25">
      <c r="B619" s="19"/>
      <c r="C619" s="19"/>
      <c r="D619" s="19"/>
      <c r="E619" s="19"/>
      <c r="F619" s="19"/>
    </row>
    <row r="620" spans="2:6" x14ac:dyDescent="0.25">
      <c r="B620" s="19"/>
      <c r="C620" s="19"/>
      <c r="D620" s="19"/>
      <c r="E620" s="19"/>
      <c r="F620" s="19"/>
    </row>
    <row r="621" spans="2:6" x14ac:dyDescent="0.25">
      <c r="B621" s="19"/>
      <c r="C621" s="19"/>
      <c r="D621" s="19"/>
      <c r="E621" s="19"/>
      <c r="F621" s="19"/>
    </row>
    <row r="622" spans="2:6" x14ac:dyDescent="0.25">
      <c r="B622" s="19"/>
      <c r="C622" s="19"/>
      <c r="D622" s="19"/>
      <c r="E622" s="19"/>
      <c r="F622" s="19"/>
    </row>
    <row r="623" spans="2:6" x14ac:dyDescent="0.25">
      <c r="B623" s="19"/>
      <c r="C623" s="19"/>
      <c r="D623" s="19"/>
      <c r="E623" s="19"/>
      <c r="F623" s="19"/>
    </row>
    <row r="624" spans="2:6" x14ac:dyDescent="0.25">
      <c r="B624" s="19"/>
      <c r="C624" s="19"/>
      <c r="D624" s="19"/>
      <c r="E624" s="19"/>
      <c r="F624" s="19"/>
    </row>
    <row r="625" spans="2:6" x14ac:dyDescent="0.25">
      <c r="B625" s="19"/>
      <c r="C625" s="19"/>
      <c r="D625" s="19"/>
      <c r="E625" s="19"/>
      <c r="F625" s="19"/>
    </row>
    <row r="626" spans="2:6" x14ac:dyDescent="0.25">
      <c r="B626" s="19"/>
      <c r="C626" s="19"/>
      <c r="D626" s="19"/>
      <c r="E626" s="19"/>
      <c r="F626" s="19"/>
    </row>
    <row r="627" spans="2:6" x14ac:dyDescent="0.25">
      <c r="B627" s="19"/>
      <c r="C627" s="19"/>
      <c r="D627" s="19"/>
      <c r="E627" s="19"/>
      <c r="F627" s="19"/>
    </row>
    <row r="628" spans="2:6" x14ac:dyDescent="0.25">
      <c r="B628" s="19"/>
      <c r="C628" s="19"/>
      <c r="D628" s="19"/>
      <c r="E628" s="19"/>
      <c r="F628" s="19"/>
    </row>
    <row r="629" spans="2:6" x14ac:dyDescent="0.25">
      <c r="B629" s="19"/>
      <c r="C629" s="19"/>
      <c r="D629" s="19"/>
      <c r="E629" s="19"/>
      <c r="F629" s="19"/>
    </row>
    <row r="630" spans="2:6" x14ac:dyDescent="0.25">
      <c r="B630" s="19"/>
      <c r="C630" s="19"/>
      <c r="D630" s="19"/>
      <c r="E630" s="19"/>
      <c r="F630" s="19"/>
    </row>
    <row r="631" spans="2:6" x14ac:dyDescent="0.25">
      <c r="B631" s="19"/>
      <c r="C631" s="19"/>
      <c r="D631" s="19"/>
      <c r="E631" s="19"/>
      <c r="F631" s="19"/>
    </row>
    <row r="632" spans="2:6" x14ac:dyDescent="0.25">
      <c r="B632" s="19"/>
      <c r="C632" s="19"/>
      <c r="D632" s="19"/>
      <c r="E632" s="19"/>
      <c r="F632" s="19"/>
    </row>
    <row r="633" spans="2:6" x14ac:dyDescent="0.25">
      <c r="B633" s="19"/>
      <c r="C633" s="19"/>
      <c r="D633" s="19"/>
      <c r="E633" s="19"/>
      <c r="F633" s="19"/>
    </row>
    <row r="634" spans="2:6" x14ac:dyDescent="0.25">
      <c r="B634" s="19"/>
      <c r="C634" s="19"/>
      <c r="D634" s="19"/>
      <c r="E634" s="19"/>
      <c r="F634" s="19"/>
    </row>
    <row r="635" spans="2:6" x14ac:dyDescent="0.25">
      <c r="B635" s="19"/>
      <c r="C635" s="19"/>
      <c r="D635" s="19"/>
      <c r="E635" s="19"/>
      <c r="F635" s="19"/>
    </row>
    <row r="636" spans="2:6" x14ac:dyDescent="0.25">
      <c r="B636" s="19"/>
      <c r="C636" s="19"/>
      <c r="D636" s="19"/>
      <c r="E636" s="19"/>
      <c r="F636" s="19"/>
    </row>
    <row r="637" spans="2:6" x14ac:dyDescent="0.25">
      <c r="B637" s="19"/>
      <c r="C637" s="19"/>
      <c r="D637" s="19"/>
      <c r="E637" s="19"/>
      <c r="F637" s="19"/>
    </row>
    <row r="638" spans="2:6" x14ac:dyDescent="0.25">
      <c r="B638" s="19"/>
      <c r="C638" s="19"/>
      <c r="D638" s="19"/>
      <c r="E638" s="19"/>
      <c r="F638" s="19"/>
    </row>
    <row r="639" spans="2:6" x14ac:dyDescent="0.25">
      <c r="B639" s="19"/>
      <c r="C639" s="19"/>
      <c r="D639" s="19"/>
      <c r="E639" s="19"/>
      <c r="F639" s="19"/>
    </row>
    <row r="640" spans="2:6" x14ac:dyDescent="0.25">
      <c r="B640" s="19"/>
      <c r="C640" s="19"/>
      <c r="D640" s="19"/>
      <c r="E640" s="19"/>
      <c r="F640" s="19"/>
    </row>
    <row r="641" spans="2:6" x14ac:dyDescent="0.25">
      <c r="B641" s="19"/>
      <c r="C641" s="19"/>
      <c r="D641" s="19"/>
      <c r="E641" s="19"/>
      <c r="F641" s="19"/>
    </row>
    <row r="642" spans="2:6" x14ac:dyDescent="0.25">
      <c r="B642" s="19"/>
      <c r="C642" s="19"/>
      <c r="D642" s="19"/>
      <c r="E642" s="19"/>
      <c r="F642" s="19"/>
    </row>
    <row r="643" spans="2:6" x14ac:dyDescent="0.25">
      <c r="B643" s="19"/>
      <c r="C643" s="19"/>
      <c r="D643" s="19"/>
      <c r="E643" s="19"/>
      <c r="F643" s="19"/>
    </row>
    <row r="644" spans="2:6" x14ac:dyDescent="0.25">
      <c r="B644" s="19"/>
      <c r="C644" s="19"/>
      <c r="D644" s="19"/>
      <c r="E644" s="19"/>
      <c r="F644" s="19"/>
    </row>
    <row r="645" spans="2:6" x14ac:dyDescent="0.25">
      <c r="B645" s="19"/>
      <c r="C645" s="19"/>
      <c r="D645" s="19"/>
      <c r="E645" s="19"/>
      <c r="F645" s="19"/>
    </row>
    <row r="646" spans="2:6" x14ac:dyDescent="0.25">
      <c r="B646" s="19"/>
      <c r="C646" s="19"/>
      <c r="D646" s="19"/>
      <c r="E646" s="19"/>
      <c r="F646" s="19"/>
    </row>
    <row r="647" spans="2:6" x14ac:dyDescent="0.25">
      <c r="B647" s="19"/>
      <c r="C647" s="19"/>
      <c r="D647" s="19"/>
      <c r="E647" s="19"/>
      <c r="F647" s="19"/>
    </row>
    <row r="648" spans="2:6" x14ac:dyDescent="0.25">
      <c r="B648" s="19"/>
      <c r="C648" s="19"/>
      <c r="D648" s="19"/>
      <c r="E648" s="19"/>
      <c r="F648" s="19"/>
    </row>
    <row r="649" spans="2:6" x14ac:dyDescent="0.25">
      <c r="B649" s="19"/>
      <c r="C649" s="19"/>
      <c r="D649" s="19"/>
      <c r="E649" s="19"/>
      <c r="F649" s="19"/>
    </row>
    <row r="650" spans="2:6" x14ac:dyDescent="0.25">
      <c r="B650" s="19"/>
      <c r="C650" s="19"/>
      <c r="D650" s="19"/>
      <c r="E650" s="19"/>
      <c r="F650" s="19"/>
    </row>
    <row r="651" spans="2:6" x14ac:dyDescent="0.25">
      <c r="B651" s="19"/>
      <c r="C651" s="19"/>
      <c r="D651" s="19"/>
      <c r="E651" s="19"/>
      <c r="F651" s="19"/>
    </row>
    <row r="652" spans="2:6" x14ac:dyDescent="0.25">
      <c r="B652" s="19"/>
      <c r="C652" s="19"/>
      <c r="D652" s="19"/>
      <c r="E652" s="19"/>
      <c r="F652" s="19"/>
    </row>
    <row r="653" spans="2:6" x14ac:dyDescent="0.25">
      <c r="B653" s="19"/>
      <c r="C653" s="19"/>
      <c r="D653" s="19"/>
      <c r="E653" s="19"/>
      <c r="F653" s="19"/>
    </row>
    <row r="654" spans="2:6" x14ac:dyDescent="0.25">
      <c r="B654" s="19"/>
      <c r="C654" s="19"/>
      <c r="D654" s="19"/>
      <c r="E654" s="19"/>
      <c r="F654" s="19"/>
    </row>
    <row r="655" spans="2:6" x14ac:dyDescent="0.25">
      <c r="B655" s="19"/>
      <c r="C655" s="19"/>
      <c r="D655" s="19"/>
      <c r="E655" s="19"/>
      <c r="F655" s="19"/>
    </row>
    <row r="656" spans="2:6" x14ac:dyDescent="0.25">
      <c r="B656" s="19"/>
      <c r="C656" s="19"/>
      <c r="D656" s="19"/>
      <c r="E656" s="19"/>
      <c r="F656" s="19"/>
    </row>
    <row r="657" spans="2:6" x14ac:dyDescent="0.25">
      <c r="B657" s="19"/>
      <c r="C657" s="19"/>
      <c r="D657" s="19"/>
      <c r="E657" s="19"/>
      <c r="F657" s="19"/>
    </row>
    <row r="658" spans="2:6" x14ac:dyDescent="0.25">
      <c r="B658" s="19"/>
      <c r="C658" s="19"/>
      <c r="D658" s="19"/>
      <c r="E658" s="19"/>
      <c r="F658" s="19"/>
    </row>
    <row r="659" spans="2:6" x14ac:dyDescent="0.25">
      <c r="B659" s="19"/>
      <c r="C659" s="19"/>
      <c r="D659" s="19"/>
      <c r="E659" s="19"/>
      <c r="F659" s="19"/>
    </row>
    <row r="660" spans="2:6" x14ac:dyDescent="0.25">
      <c r="B660" s="19"/>
      <c r="C660" s="19"/>
      <c r="D660" s="19"/>
      <c r="E660" s="19"/>
      <c r="F660" s="19"/>
    </row>
    <row r="661" spans="2:6" x14ac:dyDescent="0.25">
      <c r="B661" s="19"/>
      <c r="C661" s="19"/>
      <c r="D661" s="19"/>
      <c r="E661" s="19"/>
      <c r="F661" s="19"/>
    </row>
    <row r="662" spans="2:6" x14ac:dyDescent="0.25">
      <c r="B662" s="19"/>
      <c r="C662" s="19"/>
      <c r="D662" s="19"/>
      <c r="E662" s="19"/>
      <c r="F662" s="19"/>
    </row>
    <row r="663" spans="2:6" x14ac:dyDescent="0.25">
      <c r="B663" s="19"/>
      <c r="C663" s="19"/>
      <c r="D663" s="19"/>
      <c r="E663" s="19"/>
      <c r="F663" s="19"/>
    </row>
    <row r="664" spans="2:6" x14ac:dyDescent="0.25">
      <c r="B664" s="19"/>
      <c r="C664" s="19"/>
      <c r="D664" s="19"/>
      <c r="E664" s="19"/>
      <c r="F664" s="19"/>
    </row>
    <row r="665" spans="2:6" x14ac:dyDescent="0.25">
      <c r="B665" s="19"/>
      <c r="C665" s="19"/>
      <c r="D665" s="19"/>
      <c r="E665" s="19"/>
      <c r="F665" s="19"/>
    </row>
    <row r="666" spans="2:6" x14ac:dyDescent="0.25">
      <c r="B666" s="19"/>
      <c r="C666" s="19"/>
      <c r="D666" s="19"/>
      <c r="E666" s="19"/>
      <c r="F666" s="19"/>
    </row>
    <row r="667" spans="2:6" x14ac:dyDescent="0.25">
      <c r="B667" s="19"/>
      <c r="C667" s="19"/>
      <c r="D667" s="19"/>
      <c r="E667" s="19"/>
      <c r="F667" s="19"/>
    </row>
    <row r="668" spans="2:6" x14ac:dyDescent="0.25">
      <c r="B668" s="19"/>
      <c r="C668" s="19"/>
      <c r="D668" s="19"/>
      <c r="E668" s="19"/>
      <c r="F668" s="19"/>
    </row>
    <row r="669" spans="2:6" x14ac:dyDescent="0.25">
      <c r="B669" s="19"/>
      <c r="C669" s="19"/>
      <c r="D669" s="19"/>
      <c r="E669" s="19"/>
      <c r="F669" s="19"/>
    </row>
    <row r="670" spans="2:6" x14ac:dyDescent="0.25">
      <c r="B670" s="19"/>
      <c r="C670" s="19"/>
      <c r="D670" s="19"/>
      <c r="E670" s="19"/>
      <c r="F670" s="19"/>
    </row>
    <row r="671" spans="2:6" x14ac:dyDescent="0.25">
      <c r="B671" s="19"/>
      <c r="C671" s="19"/>
      <c r="D671" s="19"/>
      <c r="E671" s="19"/>
      <c r="F671" s="19"/>
    </row>
    <row r="672" spans="2:6" x14ac:dyDescent="0.25">
      <c r="B672" s="19"/>
      <c r="C672" s="19"/>
      <c r="D672" s="19"/>
      <c r="E672" s="19"/>
      <c r="F672" s="19"/>
    </row>
    <row r="673" spans="2:6" x14ac:dyDescent="0.25">
      <c r="B673" s="19"/>
      <c r="C673" s="19"/>
      <c r="D673" s="19"/>
      <c r="E673" s="19"/>
      <c r="F673" s="19"/>
    </row>
    <row r="674" spans="2:6" x14ac:dyDescent="0.25">
      <c r="B674" s="19"/>
      <c r="C674" s="19"/>
      <c r="D674" s="19"/>
      <c r="E674" s="19"/>
      <c r="F674" s="19"/>
    </row>
    <row r="675" spans="2:6" x14ac:dyDescent="0.25">
      <c r="B675" s="19"/>
      <c r="C675" s="19"/>
      <c r="D675" s="19"/>
      <c r="E675" s="19"/>
      <c r="F675" s="19"/>
    </row>
    <row r="676" spans="2:6" x14ac:dyDescent="0.25">
      <c r="B676" s="19"/>
      <c r="C676" s="19"/>
      <c r="D676" s="19"/>
      <c r="E676" s="19"/>
      <c r="F676" s="19"/>
    </row>
    <row r="677" spans="2:6" x14ac:dyDescent="0.25">
      <c r="B677" s="19"/>
      <c r="C677" s="19"/>
      <c r="D677" s="19"/>
      <c r="E677" s="19"/>
      <c r="F677" s="19"/>
    </row>
    <row r="678" spans="2:6" x14ac:dyDescent="0.25">
      <c r="B678" s="19"/>
      <c r="C678" s="19"/>
      <c r="D678" s="19"/>
      <c r="E678" s="19"/>
      <c r="F678" s="19"/>
    </row>
    <row r="679" spans="2:6" x14ac:dyDescent="0.25">
      <c r="B679" s="19"/>
      <c r="C679" s="19"/>
      <c r="D679" s="19"/>
      <c r="E679" s="19"/>
      <c r="F679" s="19"/>
    </row>
    <row r="680" spans="2:6" x14ac:dyDescent="0.25">
      <c r="B680" s="19"/>
      <c r="C680" s="19"/>
      <c r="D680" s="19"/>
      <c r="E680" s="19"/>
      <c r="F680" s="19"/>
    </row>
    <row r="681" spans="2:6" x14ac:dyDescent="0.25">
      <c r="B681" s="19"/>
      <c r="C681" s="19"/>
      <c r="D681" s="19"/>
      <c r="E681" s="19"/>
      <c r="F681" s="19"/>
    </row>
    <row r="682" spans="2:6" x14ac:dyDescent="0.25">
      <c r="B682" s="19"/>
      <c r="C682" s="19"/>
      <c r="D682" s="19"/>
      <c r="E682" s="19"/>
      <c r="F682" s="19"/>
    </row>
    <row r="683" spans="2:6" x14ac:dyDescent="0.25">
      <c r="B683" s="19"/>
      <c r="C683" s="19"/>
      <c r="D683" s="19"/>
      <c r="E683" s="19"/>
      <c r="F683" s="19"/>
    </row>
    <row r="684" spans="2:6" x14ac:dyDescent="0.25">
      <c r="B684" s="19"/>
      <c r="C684" s="19"/>
      <c r="D684" s="19"/>
      <c r="E684" s="19"/>
      <c r="F684" s="19"/>
    </row>
    <row r="685" spans="2:6" x14ac:dyDescent="0.25">
      <c r="B685" s="19"/>
      <c r="C685" s="19"/>
      <c r="D685" s="19"/>
      <c r="E685" s="19"/>
      <c r="F685" s="19"/>
    </row>
    <row r="686" spans="2:6" x14ac:dyDescent="0.25">
      <c r="B686" s="19"/>
      <c r="C686" s="19"/>
      <c r="D686" s="19"/>
      <c r="E686" s="19"/>
      <c r="F686" s="19"/>
    </row>
    <row r="687" spans="2:6" x14ac:dyDescent="0.25">
      <c r="B687" s="19"/>
      <c r="C687" s="19"/>
      <c r="D687" s="19"/>
      <c r="E687" s="19"/>
      <c r="F687" s="19"/>
    </row>
    <row r="688" spans="2:6" x14ac:dyDescent="0.25">
      <c r="B688" s="19"/>
      <c r="C688" s="19"/>
      <c r="D688" s="19"/>
      <c r="E688" s="19"/>
      <c r="F688" s="19"/>
    </row>
    <row r="689" spans="2:6" x14ac:dyDescent="0.25">
      <c r="B689" s="19"/>
      <c r="C689" s="19"/>
      <c r="D689" s="19"/>
      <c r="E689" s="19"/>
      <c r="F689" s="19"/>
    </row>
    <row r="690" spans="2:6" x14ac:dyDescent="0.25">
      <c r="B690" s="19"/>
      <c r="C690" s="19"/>
      <c r="D690" s="19"/>
      <c r="E690" s="19"/>
      <c r="F690" s="19"/>
    </row>
    <row r="691" spans="2:6" x14ac:dyDescent="0.25">
      <c r="B691" s="19"/>
      <c r="C691" s="19"/>
      <c r="D691" s="19"/>
      <c r="E691" s="19"/>
      <c r="F691" s="19"/>
    </row>
    <row r="692" spans="2:6" x14ac:dyDescent="0.25">
      <c r="B692" s="19"/>
      <c r="C692" s="19"/>
      <c r="D692" s="19"/>
      <c r="E692" s="19"/>
      <c r="F692" s="19"/>
    </row>
    <row r="693" spans="2:6" x14ac:dyDescent="0.25">
      <c r="B693" s="19"/>
      <c r="C693" s="19"/>
      <c r="D693" s="19"/>
      <c r="E693" s="19"/>
      <c r="F693" s="19"/>
    </row>
    <row r="694" spans="2:6" x14ac:dyDescent="0.25">
      <c r="B694" s="19"/>
      <c r="C694" s="19"/>
      <c r="D694" s="19"/>
      <c r="E694" s="19"/>
      <c r="F694" s="19"/>
    </row>
    <row r="695" spans="2:6" x14ac:dyDescent="0.25">
      <c r="B695" s="19"/>
      <c r="C695" s="19"/>
      <c r="D695" s="19"/>
      <c r="E695" s="19"/>
      <c r="F695" s="19"/>
    </row>
    <row r="696" spans="2:6" x14ac:dyDescent="0.25">
      <c r="B696" s="19"/>
      <c r="C696" s="19"/>
      <c r="D696" s="19"/>
      <c r="E696" s="19"/>
      <c r="F696" s="19"/>
    </row>
    <row r="697" spans="2:6" x14ac:dyDescent="0.25">
      <c r="B697" s="19"/>
      <c r="C697" s="19"/>
      <c r="D697" s="19"/>
      <c r="E697" s="19"/>
      <c r="F697" s="19"/>
    </row>
    <row r="698" spans="2:6" x14ac:dyDescent="0.25">
      <c r="B698" s="19"/>
      <c r="C698" s="19"/>
      <c r="D698" s="19"/>
      <c r="E698" s="19"/>
      <c r="F698" s="19"/>
    </row>
    <row r="699" spans="2:6" x14ac:dyDescent="0.25">
      <c r="B699" s="19"/>
      <c r="C699" s="19"/>
      <c r="D699" s="19"/>
      <c r="E699" s="19"/>
      <c r="F699" s="19"/>
    </row>
    <row r="700" spans="2:6" x14ac:dyDescent="0.25">
      <c r="B700" s="19"/>
      <c r="C700" s="19"/>
      <c r="D700" s="19"/>
      <c r="E700" s="19"/>
      <c r="F700" s="19"/>
    </row>
    <row r="701" spans="2:6" x14ac:dyDescent="0.25">
      <c r="B701" s="19"/>
      <c r="C701" s="19"/>
      <c r="D701" s="19"/>
      <c r="E701" s="19"/>
      <c r="F701" s="19"/>
    </row>
    <row r="702" spans="2:6" x14ac:dyDescent="0.25">
      <c r="B702" s="19"/>
      <c r="C702" s="19"/>
      <c r="D702" s="19"/>
      <c r="E702" s="19"/>
      <c r="F702" s="19"/>
    </row>
    <row r="703" spans="2:6" x14ac:dyDescent="0.25">
      <c r="B703" s="19"/>
      <c r="C703" s="19"/>
      <c r="D703" s="19"/>
      <c r="E703" s="19"/>
      <c r="F703" s="19"/>
    </row>
    <row r="704" spans="2:6" x14ac:dyDescent="0.25">
      <c r="B704" s="19"/>
      <c r="C704" s="19"/>
      <c r="D704" s="19"/>
      <c r="E704" s="19"/>
      <c r="F704" s="19"/>
    </row>
    <row r="705" spans="2:6" x14ac:dyDescent="0.25">
      <c r="B705" s="19"/>
      <c r="C705" s="19"/>
      <c r="D705" s="19"/>
      <c r="E705" s="19"/>
      <c r="F705" s="19"/>
    </row>
    <row r="706" spans="2:6" x14ac:dyDescent="0.25">
      <c r="B706" s="19"/>
      <c r="C706" s="19"/>
      <c r="D706" s="19"/>
      <c r="E706" s="19"/>
      <c r="F706" s="19"/>
    </row>
    <row r="707" spans="2:6" x14ac:dyDescent="0.25">
      <c r="B707" s="19"/>
      <c r="C707" s="19"/>
      <c r="D707" s="19"/>
      <c r="E707" s="19"/>
      <c r="F707" s="19"/>
    </row>
    <row r="708" spans="2:6" x14ac:dyDescent="0.25">
      <c r="B708" s="19"/>
      <c r="C708" s="19"/>
      <c r="D708" s="19"/>
      <c r="E708" s="19"/>
      <c r="F708" s="19"/>
    </row>
    <row r="709" spans="2:6" x14ac:dyDescent="0.25">
      <c r="B709" s="19"/>
      <c r="C709" s="19"/>
      <c r="D709" s="19"/>
      <c r="E709" s="19"/>
      <c r="F709" s="19"/>
    </row>
    <row r="710" spans="2:6" x14ac:dyDescent="0.25">
      <c r="B710" s="19"/>
      <c r="C710" s="19"/>
      <c r="D710" s="19"/>
      <c r="E710" s="19"/>
      <c r="F710" s="19"/>
    </row>
    <row r="711" spans="2:6" x14ac:dyDescent="0.25">
      <c r="B711" s="19"/>
      <c r="C711" s="19"/>
      <c r="D711" s="19"/>
      <c r="E711" s="19"/>
      <c r="F711" s="19"/>
    </row>
    <row r="712" spans="2:6" x14ac:dyDescent="0.25">
      <c r="B712" s="19"/>
      <c r="C712" s="19"/>
      <c r="D712" s="19"/>
      <c r="E712" s="19"/>
      <c r="F712" s="19"/>
    </row>
    <row r="713" spans="2:6" x14ac:dyDescent="0.25">
      <c r="B713" s="19"/>
      <c r="C713" s="19"/>
      <c r="D713" s="19"/>
      <c r="E713" s="19"/>
      <c r="F713" s="19"/>
    </row>
    <row r="714" spans="2:6" x14ac:dyDescent="0.25">
      <c r="B714" s="19"/>
      <c r="C714" s="19"/>
      <c r="D714" s="19"/>
      <c r="E714" s="19"/>
      <c r="F714" s="19"/>
    </row>
    <row r="715" spans="2:6" x14ac:dyDescent="0.25">
      <c r="B715" s="19"/>
      <c r="C715" s="19"/>
      <c r="D715" s="19"/>
      <c r="E715" s="19"/>
      <c r="F715" s="19"/>
    </row>
    <row r="716" spans="2:6" x14ac:dyDescent="0.25">
      <c r="B716" s="19"/>
      <c r="C716" s="19"/>
      <c r="D716" s="19"/>
      <c r="E716" s="19"/>
      <c r="F716" s="19"/>
    </row>
    <row r="717" spans="2:6" x14ac:dyDescent="0.25">
      <c r="B717" s="19"/>
      <c r="C717" s="19"/>
      <c r="D717" s="19"/>
      <c r="E717" s="19"/>
      <c r="F717" s="19"/>
    </row>
    <row r="718" spans="2:6" x14ac:dyDescent="0.25">
      <c r="B718" s="19"/>
      <c r="C718" s="19"/>
      <c r="D718" s="19"/>
      <c r="E718" s="19"/>
      <c r="F718" s="19"/>
    </row>
    <row r="719" spans="2:6" x14ac:dyDescent="0.25">
      <c r="B719" s="19"/>
      <c r="C719" s="19"/>
      <c r="D719" s="19"/>
      <c r="E719" s="19"/>
      <c r="F719" s="19"/>
    </row>
    <row r="720" spans="2:6" x14ac:dyDescent="0.25">
      <c r="B720" s="19"/>
      <c r="C720" s="19"/>
      <c r="D720" s="19"/>
      <c r="E720" s="19"/>
      <c r="F720" s="19"/>
    </row>
    <row r="721" spans="2:6" x14ac:dyDescent="0.25">
      <c r="B721" s="19"/>
      <c r="C721" s="19"/>
      <c r="D721" s="19"/>
      <c r="E721" s="19"/>
      <c r="F721" s="19"/>
    </row>
    <row r="722" spans="2:6" x14ac:dyDescent="0.25">
      <c r="B722" s="19"/>
      <c r="C722" s="19"/>
      <c r="D722" s="19"/>
      <c r="E722" s="19"/>
      <c r="F722" s="19"/>
    </row>
    <row r="723" spans="2:6" x14ac:dyDescent="0.25">
      <c r="B723" s="19"/>
      <c r="C723" s="19"/>
      <c r="D723" s="19"/>
      <c r="E723" s="19"/>
      <c r="F723" s="19"/>
    </row>
    <row r="724" spans="2:6" x14ac:dyDescent="0.25">
      <c r="B724" s="19"/>
      <c r="C724" s="19"/>
      <c r="D724" s="19"/>
      <c r="E724" s="19"/>
      <c r="F724" s="19"/>
    </row>
    <row r="725" spans="2:6" x14ac:dyDescent="0.25">
      <c r="B725" s="19"/>
      <c r="C725" s="19"/>
      <c r="D725" s="19"/>
      <c r="E725" s="19"/>
      <c r="F725" s="19"/>
    </row>
    <row r="726" spans="2:6" x14ac:dyDescent="0.25">
      <c r="B726" s="19"/>
      <c r="C726" s="19"/>
      <c r="D726" s="19"/>
      <c r="E726" s="19"/>
      <c r="F726" s="19"/>
    </row>
    <row r="727" spans="2:6" x14ac:dyDescent="0.25">
      <c r="B727" s="19"/>
      <c r="C727" s="19"/>
      <c r="D727" s="19"/>
      <c r="E727" s="19"/>
      <c r="F727" s="19"/>
    </row>
    <row r="728" spans="2:6" x14ac:dyDescent="0.25">
      <c r="B728" s="19"/>
      <c r="C728" s="19"/>
      <c r="D728" s="19"/>
      <c r="E728" s="19"/>
      <c r="F728" s="19"/>
    </row>
    <row r="729" spans="2:6" x14ac:dyDescent="0.25">
      <c r="B729" s="19"/>
      <c r="C729" s="19"/>
      <c r="D729" s="19"/>
      <c r="E729" s="19"/>
      <c r="F729" s="19"/>
    </row>
    <row r="730" spans="2:6" x14ac:dyDescent="0.25">
      <c r="B730" s="19"/>
      <c r="C730" s="19"/>
      <c r="D730" s="19"/>
      <c r="E730" s="19"/>
      <c r="F730" s="19"/>
    </row>
    <row r="731" spans="2:6" x14ac:dyDescent="0.25">
      <c r="B731" s="19"/>
      <c r="C731" s="19"/>
      <c r="D731" s="19"/>
      <c r="E731" s="19"/>
      <c r="F731" s="19"/>
    </row>
    <row r="732" spans="2:6" x14ac:dyDescent="0.25">
      <c r="B732" s="19"/>
      <c r="C732" s="19"/>
      <c r="D732" s="19"/>
      <c r="E732" s="19"/>
      <c r="F732" s="19"/>
    </row>
    <row r="733" spans="2:6" x14ac:dyDescent="0.25">
      <c r="B733" s="19"/>
      <c r="C733" s="19"/>
      <c r="D733" s="19"/>
      <c r="E733" s="19"/>
      <c r="F733" s="19"/>
    </row>
    <row r="734" spans="2:6" x14ac:dyDescent="0.25">
      <c r="B734" s="19"/>
      <c r="C734" s="19"/>
      <c r="D734" s="19"/>
      <c r="E734" s="19"/>
      <c r="F734" s="19"/>
    </row>
    <row r="735" spans="2:6" x14ac:dyDescent="0.25">
      <c r="B735" s="19"/>
      <c r="C735" s="19"/>
      <c r="D735" s="19"/>
      <c r="E735" s="19"/>
      <c r="F735" s="19"/>
    </row>
    <row r="736" spans="2:6" x14ac:dyDescent="0.25">
      <c r="B736" s="19"/>
      <c r="C736" s="19"/>
      <c r="D736" s="19"/>
      <c r="E736" s="19"/>
      <c r="F736" s="19"/>
    </row>
    <row r="737" spans="2:6" x14ac:dyDescent="0.25">
      <c r="B737" s="19"/>
      <c r="C737" s="19"/>
      <c r="D737" s="19"/>
      <c r="E737" s="19"/>
      <c r="F737" s="19"/>
    </row>
    <row r="738" spans="2:6" x14ac:dyDescent="0.25">
      <c r="B738" s="19"/>
      <c r="C738" s="19"/>
      <c r="D738" s="19"/>
      <c r="E738" s="19"/>
      <c r="F738" s="19"/>
    </row>
    <row r="739" spans="2:6" x14ac:dyDescent="0.25">
      <c r="B739" s="19"/>
      <c r="C739" s="19"/>
      <c r="D739" s="19"/>
      <c r="E739" s="19"/>
      <c r="F739" s="19"/>
    </row>
    <row r="740" spans="2:6" x14ac:dyDescent="0.25">
      <c r="B740" s="19"/>
      <c r="C740" s="19"/>
      <c r="D740" s="19"/>
      <c r="E740" s="19"/>
      <c r="F740" s="19"/>
    </row>
    <row r="741" spans="2:6" x14ac:dyDescent="0.25">
      <c r="B741" s="19"/>
      <c r="C741" s="19"/>
      <c r="D741" s="19"/>
      <c r="E741" s="19"/>
      <c r="F741" s="19"/>
    </row>
    <row r="742" spans="2:6" x14ac:dyDescent="0.25">
      <c r="B742" s="19"/>
      <c r="C742" s="19"/>
      <c r="D742" s="19"/>
      <c r="E742" s="19"/>
      <c r="F742" s="19"/>
    </row>
    <row r="743" spans="2:6" x14ac:dyDescent="0.25">
      <c r="B743" s="19"/>
      <c r="C743" s="19"/>
      <c r="D743" s="19"/>
      <c r="E743" s="19"/>
      <c r="F743" s="19"/>
    </row>
    <row r="744" spans="2:6" x14ac:dyDescent="0.25">
      <c r="B744" s="19"/>
      <c r="C744" s="19"/>
      <c r="D744" s="19"/>
      <c r="E744" s="19"/>
      <c r="F744" s="19"/>
    </row>
    <row r="745" spans="2:6" x14ac:dyDescent="0.25">
      <c r="B745" s="19"/>
      <c r="C745" s="19"/>
      <c r="D745" s="19"/>
      <c r="E745" s="19"/>
      <c r="F745" s="19"/>
    </row>
    <row r="746" spans="2:6" x14ac:dyDescent="0.25">
      <c r="B746" s="19"/>
      <c r="C746" s="19"/>
      <c r="D746" s="19"/>
      <c r="E746" s="19"/>
      <c r="F746" s="19"/>
    </row>
    <row r="747" spans="2:6" x14ac:dyDescent="0.25">
      <c r="B747" s="19"/>
      <c r="C747" s="19"/>
      <c r="D747" s="19"/>
      <c r="E747" s="19"/>
      <c r="F747" s="19"/>
    </row>
    <row r="748" spans="2:6" x14ac:dyDescent="0.25">
      <c r="B748" s="19"/>
      <c r="C748" s="19"/>
      <c r="D748" s="19"/>
      <c r="E748" s="19"/>
      <c r="F748" s="19"/>
    </row>
    <row r="749" spans="2:6" x14ac:dyDescent="0.25">
      <c r="B749" s="19"/>
      <c r="C749" s="19"/>
      <c r="D749" s="19"/>
      <c r="E749" s="19"/>
      <c r="F749" s="19"/>
    </row>
    <row r="750" spans="2:6" x14ac:dyDescent="0.25">
      <c r="B750" s="19"/>
      <c r="C750" s="19"/>
      <c r="D750" s="19"/>
      <c r="E750" s="19"/>
      <c r="F750" s="19"/>
    </row>
    <row r="751" spans="2:6" x14ac:dyDescent="0.25">
      <c r="B751" s="19"/>
      <c r="C751" s="19"/>
      <c r="D751" s="19"/>
      <c r="E751" s="19"/>
      <c r="F751" s="19"/>
    </row>
    <row r="752" spans="2:6" x14ac:dyDescent="0.25">
      <c r="B752" s="19"/>
      <c r="C752" s="19"/>
      <c r="D752" s="19"/>
      <c r="E752" s="19"/>
      <c r="F752" s="19"/>
    </row>
    <row r="753" spans="2:6" x14ac:dyDescent="0.25">
      <c r="B753" s="19"/>
      <c r="C753" s="19"/>
      <c r="D753" s="19"/>
      <c r="E753" s="19"/>
      <c r="F753" s="19"/>
    </row>
    <row r="754" spans="2:6" x14ac:dyDescent="0.25">
      <c r="B754" s="19"/>
      <c r="C754" s="19"/>
      <c r="D754" s="19"/>
      <c r="E754" s="19"/>
      <c r="F754" s="19"/>
    </row>
    <row r="755" spans="2:6" x14ac:dyDescent="0.25">
      <c r="B755" s="19"/>
      <c r="C755" s="19"/>
      <c r="D755" s="19"/>
      <c r="E755" s="19"/>
      <c r="F755" s="19"/>
    </row>
    <row r="756" spans="2:6" x14ac:dyDescent="0.25">
      <c r="B756" s="19"/>
      <c r="C756" s="19"/>
      <c r="D756" s="19"/>
      <c r="E756" s="19"/>
      <c r="F756" s="19"/>
    </row>
    <row r="757" spans="2:6" x14ac:dyDescent="0.25">
      <c r="B757" s="19"/>
      <c r="C757" s="19"/>
      <c r="D757" s="19"/>
      <c r="E757" s="19"/>
      <c r="F757" s="19"/>
    </row>
    <row r="758" spans="2:6" x14ac:dyDescent="0.25">
      <c r="B758" s="19"/>
      <c r="C758" s="19"/>
      <c r="D758" s="19"/>
      <c r="E758" s="19"/>
      <c r="F758" s="19"/>
    </row>
    <row r="759" spans="2:6" x14ac:dyDescent="0.25">
      <c r="B759" s="19"/>
      <c r="C759" s="19"/>
      <c r="D759" s="19"/>
      <c r="E759" s="19"/>
      <c r="F759" s="19"/>
    </row>
    <row r="760" spans="2:6" x14ac:dyDescent="0.25">
      <c r="B760" s="19"/>
      <c r="C760" s="19"/>
      <c r="D760" s="19"/>
      <c r="E760" s="19"/>
      <c r="F760" s="19"/>
    </row>
    <row r="761" spans="2:6" x14ac:dyDescent="0.25">
      <c r="B761" s="19"/>
      <c r="C761" s="19"/>
      <c r="D761" s="19"/>
      <c r="E761" s="19"/>
      <c r="F761" s="19"/>
    </row>
    <row r="762" spans="2:6" x14ac:dyDescent="0.25">
      <c r="B762" s="19"/>
      <c r="C762" s="19"/>
      <c r="D762" s="19"/>
      <c r="E762" s="19"/>
      <c r="F762" s="19"/>
    </row>
    <row r="763" spans="2:6" x14ac:dyDescent="0.25">
      <c r="B763" s="19"/>
      <c r="C763" s="19"/>
      <c r="D763" s="19"/>
      <c r="E763" s="19"/>
      <c r="F763" s="19"/>
    </row>
    <row r="764" spans="2:6" x14ac:dyDescent="0.25">
      <c r="B764" s="19"/>
      <c r="C764" s="19"/>
      <c r="D764" s="19"/>
      <c r="E764" s="19"/>
      <c r="F764" s="19"/>
    </row>
    <row r="765" spans="2:6" x14ac:dyDescent="0.25">
      <c r="B765" s="19"/>
      <c r="C765" s="19"/>
      <c r="D765" s="19"/>
      <c r="E765" s="19"/>
      <c r="F765" s="19"/>
    </row>
    <row r="766" spans="2:6" x14ac:dyDescent="0.25">
      <c r="B766" s="19"/>
      <c r="C766" s="19"/>
      <c r="D766" s="19"/>
      <c r="E766" s="19"/>
      <c r="F766" s="19"/>
    </row>
    <row r="767" spans="2:6" x14ac:dyDescent="0.25">
      <c r="B767" s="19"/>
      <c r="C767" s="19"/>
      <c r="D767" s="19"/>
      <c r="E767" s="19"/>
      <c r="F767" s="19"/>
    </row>
    <row r="768" spans="2:6" x14ac:dyDescent="0.25">
      <c r="B768" s="19"/>
      <c r="C768" s="19"/>
      <c r="D768" s="19"/>
      <c r="E768" s="19"/>
      <c r="F768" s="19"/>
    </row>
    <row r="769" spans="2:6" x14ac:dyDescent="0.25">
      <c r="B769" s="19"/>
      <c r="C769" s="19"/>
      <c r="D769" s="19"/>
      <c r="E769" s="19"/>
      <c r="F769" s="19"/>
    </row>
    <row r="770" spans="2:6" x14ac:dyDescent="0.25">
      <c r="B770" s="19"/>
      <c r="C770" s="19"/>
      <c r="D770" s="19"/>
      <c r="E770" s="19"/>
      <c r="F770" s="19"/>
    </row>
    <row r="771" spans="2:6" x14ac:dyDescent="0.25">
      <c r="B771" s="19"/>
      <c r="C771" s="19"/>
      <c r="D771" s="19"/>
      <c r="E771" s="19"/>
      <c r="F771" s="19"/>
    </row>
    <row r="772" spans="2:6" x14ac:dyDescent="0.25">
      <c r="B772" s="19"/>
      <c r="C772" s="19"/>
      <c r="D772" s="19"/>
      <c r="E772" s="19"/>
      <c r="F772" s="19"/>
    </row>
    <row r="773" spans="2:6" x14ac:dyDescent="0.25">
      <c r="B773" s="19"/>
      <c r="C773" s="19"/>
      <c r="D773" s="19"/>
      <c r="E773" s="19"/>
      <c r="F773" s="19"/>
    </row>
    <row r="774" spans="2:6" x14ac:dyDescent="0.25">
      <c r="B774" s="19"/>
      <c r="C774" s="19"/>
      <c r="D774" s="19"/>
      <c r="E774" s="19"/>
      <c r="F774" s="19"/>
    </row>
    <row r="775" spans="2:6" x14ac:dyDescent="0.25">
      <c r="B775" s="19"/>
      <c r="C775" s="19"/>
      <c r="D775" s="19"/>
      <c r="E775" s="19"/>
      <c r="F775" s="19"/>
    </row>
    <row r="776" spans="2:6" x14ac:dyDescent="0.25">
      <c r="B776" s="19"/>
      <c r="C776" s="19"/>
      <c r="D776" s="19"/>
      <c r="E776" s="19"/>
      <c r="F776" s="19"/>
    </row>
    <row r="777" spans="2:6" x14ac:dyDescent="0.25">
      <c r="B777" s="19"/>
      <c r="C777" s="19"/>
      <c r="D777" s="19"/>
      <c r="E777" s="19"/>
      <c r="F777" s="19"/>
    </row>
    <row r="778" spans="2:6" x14ac:dyDescent="0.25">
      <c r="B778" s="19"/>
      <c r="C778" s="19"/>
      <c r="D778" s="19"/>
      <c r="E778" s="19"/>
      <c r="F778" s="19"/>
    </row>
    <row r="779" spans="2:6" x14ac:dyDescent="0.25">
      <c r="B779" s="19"/>
      <c r="C779" s="19"/>
      <c r="D779" s="19"/>
      <c r="E779" s="19"/>
      <c r="F779" s="19"/>
    </row>
    <row r="780" spans="2:6" x14ac:dyDescent="0.25">
      <c r="B780" s="19"/>
      <c r="C780" s="19"/>
      <c r="D780" s="19"/>
      <c r="E780" s="19"/>
      <c r="F780" s="19"/>
    </row>
    <row r="781" spans="2:6" x14ac:dyDescent="0.25">
      <c r="B781" s="19"/>
      <c r="C781" s="19"/>
      <c r="D781" s="19"/>
      <c r="E781" s="19"/>
      <c r="F781" s="19"/>
    </row>
    <row r="782" spans="2:6" x14ac:dyDescent="0.25">
      <c r="B782" s="19"/>
      <c r="C782" s="19"/>
      <c r="D782" s="19"/>
      <c r="E782" s="19"/>
      <c r="F782" s="19"/>
    </row>
    <row r="783" spans="2:6" x14ac:dyDescent="0.25">
      <c r="B783" s="19"/>
      <c r="C783" s="19"/>
      <c r="D783" s="19"/>
      <c r="E783" s="19"/>
      <c r="F783" s="19"/>
    </row>
    <row r="784" spans="2:6" x14ac:dyDescent="0.25">
      <c r="B784" s="19"/>
      <c r="C784" s="19"/>
      <c r="D784" s="19"/>
      <c r="E784" s="19"/>
      <c r="F784" s="19"/>
    </row>
    <row r="785" spans="2:6" x14ac:dyDescent="0.25">
      <c r="B785" s="19"/>
      <c r="C785" s="19"/>
      <c r="D785" s="19"/>
      <c r="E785" s="19"/>
      <c r="F785" s="19"/>
    </row>
    <row r="786" spans="2:6" x14ac:dyDescent="0.25">
      <c r="B786" s="19"/>
      <c r="C786" s="19"/>
      <c r="D786" s="19"/>
      <c r="E786" s="19"/>
      <c r="F786" s="19"/>
    </row>
    <row r="787" spans="2:6" x14ac:dyDescent="0.25">
      <c r="B787" s="19"/>
      <c r="C787" s="19"/>
      <c r="D787" s="19"/>
      <c r="E787" s="19"/>
      <c r="F787" s="19"/>
    </row>
    <row r="788" spans="2:6" x14ac:dyDescent="0.25">
      <c r="B788" s="19"/>
      <c r="C788" s="19"/>
      <c r="D788" s="19"/>
      <c r="E788" s="19"/>
      <c r="F788" s="19"/>
    </row>
    <row r="789" spans="2:6" x14ac:dyDescent="0.25">
      <c r="B789" s="19"/>
      <c r="C789" s="19"/>
      <c r="D789" s="19"/>
      <c r="E789" s="19"/>
      <c r="F789" s="19"/>
    </row>
    <row r="790" spans="2:6" x14ac:dyDescent="0.25">
      <c r="B790" s="19"/>
      <c r="C790" s="19"/>
      <c r="D790" s="19"/>
      <c r="E790" s="19"/>
      <c r="F790" s="19"/>
    </row>
    <row r="791" spans="2:6" x14ac:dyDescent="0.25">
      <c r="B791" s="19"/>
      <c r="C791" s="19"/>
      <c r="D791" s="19"/>
      <c r="E791" s="19"/>
      <c r="F791" s="19"/>
    </row>
    <row r="792" spans="2:6" x14ac:dyDescent="0.25">
      <c r="B792" s="19"/>
      <c r="C792" s="19"/>
      <c r="D792" s="19"/>
      <c r="E792" s="19"/>
      <c r="F792" s="19"/>
    </row>
    <row r="793" spans="2:6" x14ac:dyDescent="0.25">
      <c r="B793" s="19"/>
      <c r="C793" s="19"/>
      <c r="D793" s="19"/>
      <c r="E793" s="19"/>
      <c r="F793" s="19"/>
    </row>
    <row r="794" spans="2:6" x14ac:dyDescent="0.25">
      <c r="B794" s="19"/>
      <c r="C794" s="19"/>
      <c r="D794" s="19"/>
      <c r="E794" s="19"/>
      <c r="F794" s="19"/>
    </row>
    <row r="795" spans="2:6" x14ac:dyDescent="0.25">
      <c r="B795" s="19"/>
      <c r="C795" s="19"/>
      <c r="D795" s="19"/>
      <c r="E795" s="19"/>
      <c r="F795" s="19"/>
    </row>
    <row r="796" spans="2:6" x14ac:dyDescent="0.25">
      <c r="B796" s="19"/>
      <c r="C796" s="19"/>
      <c r="D796" s="19"/>
      <c r="E796" s="19"/>
      <c r="F796" s="19"/>
    </row>
    <row r="797" spans="2:6" x14ac:dyDescent="0.25">
      <c r="B797" s="19"/>
      <c r="C797" s="19"/>
      <c r="D797" s="19"/>
      <c r="E797" s="19"/>
      <c r="F797" s="19"/>
    </row>
    <row r="798" spans="2:6" x14ac:dyDescent="0.25">
      <c r="B798" s="19"/>
      <c r="C798" s="19"/>
      <c r="D798" s="19"/>
      <c r="E798" s="19"/>
      <c r="F798" s="19"/>
    </row>
    <row r="799" spans="2:6" x14ac:dyDescent="0.25">
      <c r="B799" s="19"/>
      <c r="C799" s="19"/>
      <c r="D799" s="19"/>
      <c r="E799" s="19"/>
      <c r="F799" s="19"/>
    </row>
    <row r="800" spans="2:6" x14ac:dyDescent="0.25">
      <c r="B800" s="19"/>
      <c r="C800" s="19"/>
      <c r="D800" s="19"/>
      <c r="E800" s="19"/>
      <c r="F800" s="19"/>
    </row>
    <row r="801" spans="2:6" x14ac:dyDescent="0.25">
      <c r="B801" s="19"/>
      <c r="C801" s="19"/>
      <c r="D801" s="19"/>
      <c r="E801" s="19"/>
      <c r="F801" s="19"/>
    </row>
    <row r="802" spans="2:6" x14ac:dyDescent="0.25">
      <c r="B802" s="19"/>
      <c r="C802" s="19"/>
      <c r="D802" s="19"/>
      <c r="E802" s="19"/>
      <c r="F802" s="19"/>
    </row>
    <row r="803" spans="2:6" x14ac:dyDescent="0.25">
      <c r="B803" s="19"/>
      <c r="C803" s="19"/>
      <c r="D803" s="19"/>
      <c r="E803" s="19"/>
      <c r="F803" s="19"/>
    </row>
    <row r="804" spans="2:6" x14ac:dyDescent="0.25">
      <c r="B804" s="19"/>
      <c r="C804" s="19"/>
      <c r="D804" s="19"/>
      <c r="E804" s="19"/>
      <c r="F804" s="19"/>
    </row>
    <row r="805" spans="2:6" x14ac:dyDescent="0.25">
      <c r="B805" s="19"/>
      <c r="C805" s="19"/>
      <c r="D805" s="19"/>
      <c r="E805" s="19"/>
      <c r="F805" s="19"/>
    </row>
    <row r="806" spans="2:6" x14ac:dyDescent="0.25">
      <c r="B806" s="19"/>
      <c r="C806" s="19"/>
      <c r="D806" s="19"/>
      <c r="E806" s="19"/>
      <c r="F806" s="19"/>
    </row>
    <row r="807" spans="2:6" x14ac:dyDescent="0.25">
      <c r="B807" s="19"/>
      <c r="C807" s="19"/>
      <c r="D807" s="19"/>
      <c r="E807" s="19"/>
      <c r="F807" s="19"/>
    </row>
    <row r="808" spans="2:6" x14ac:dyDescent="0.25">
      <c r="B808" s="19"/>
      <c r="C808" s="19"/>
      <c r="D808" s="19"/>
      <c r="E808" s="19"/>
      <c r="F808" s="19"/>
    </row>
    <row r="809" spans="2:6" x14ac:dyDescent="0.25">
      <c r="B809" s="19"/>
      <c r="C809" s="19"/>
      <c r="D809" s="19"/>
      <c r="E809" s="19"/>
      <c r="F809" s="19"/>
    </row>
    <row r="810" spans="2:6" x14ac:dyDescent="0.25">
      <c r="B810" s="19"/>
      <c r="C810" s="19"/>
      <c r="D810" s="19"/>
      <c r="E810" s="19"/>
      <c r="F810" s="19"/>
    </row>
    <row r="811" spans="2:6" x14ac:dyDescent="0.25">
      <c r="B811" s="19"/>
      <c r="C811" s="19"/>
      <c r="D811" s="19"/>
      <c r="E811" s="19"/>
      <c r="F811" s="19"/>
    </row>
    <row r="812" spans="2:6" x14ac:dyDescent="0.25">
      <c r="B812" s="19"/>
      <c r="C812" s="19"/>
      <c r="D812" s="19"/>
      <c r="E812" s="19"/>
      <c r="F812" s="19"/>
    </row>
    <row r="813" spans="2:6" x14ac:dyDescent="0.25">
      <c r="B813" s="19"/>
      <c r="C813" s="19"/>
      <c r="D813" s="19"/>
      <c r="E813" s="19"/>
      <c r="F813" s="19"/>
    </row>
    <row r="814" spans="2:6" x14ac:dyDescent="0.25">
      <c r="B814" s="19"/>
      <c r="C814" s="19"/>
      <c r="D814" s="19"/>
      <c r="E814" s="19"/>
      <c r="F814" s="19"/>
    </row>
    <row r="815" spans="2:6" x14ac:dyDescent="0.25">
      <c r="B815" s="19"/>
      <c r="C815" s="19"/>
      <c r="D815" s="19"/>
      <c r="E815" s="19"/>
      <c r="F815" s="19"/>
    </row>
    <row r="816" spans="2:6" x14ac:dyDescent="0.25">
      <c r="B816" s="19"/>
      <c r="C816" s="19"/>
      <c r="D816" s="19"/>
      <c r="E816" s="19"/>
      <c r="F816" s="19"/>
    </row>
    <row r="817" spans="2:6" x14ac:dyDescent="0.25">
      <c r="B817" s="19"/>
      <c r="C817" s="19"/>
      <c r="D817" s="19"/>
      <c r="E817" s="19"/>
      <c r="F817" s="19"/>
    </row>
    <row r="818" spans="2:6" x14ac:dyDescent="0.25">
      <c r="B818" s="19"/>
      <c r="C818" s="19"/>
      <c r="D818" s="19"/>
      <c r="E818" s="19"/>
      <c r="F818" s="19"/>
    </row>
    <row r="819" spans="2:6" x14ac:dyDescent="0.25">
      <c r="B819" s="19"/>
      <c r="C819" s="19"/>
      <c r="D819" s="19"/>
      <c r="E819" s="19"/>
      <c r="F819" s="19"/>
    </row>
    <row r="820" spans="2:6" x14ac:dyDescent="0.25">
      <c r="B820" s="19"/>
      <c r="C820" s="19"/>
      <c r="D820" s="19"/>
      <c r="E820" s="19"/>
      <c r="F820" s="19"/>
    </row>
    <row r="821" spans="2:6" x14ac:dyDescent="0.25">
      <c r="B821" s="19"/>
      <c r="C821" s="19"/>
      <c r="D821" s="19"/>
      <c r="E821" s="19"/>
      <c r="F821" s="19"/>
    </row>
    <row r="822" spans="2:6" x14ac:dyDescent="0.25">
      <c r="B822" s="19"/>
      <c r="C822" s="19"/>
      <c r="D822" s="19"/>
      <c r="E822" s="19"/>
      <c r="F822" s="19"/>
    </row>
    <row r="823" spans="2:6" x14ac:dyDescent="0.25">
      <c r="B823" s="19"/>
      <c r="C823" s="19"/>
      <c r="D823" s="19"/>
      <c r="E823" s="19"/>
      <c r="F823" s="19"/>
    </row>
    <row r="824" spans="2:6" x14ac:dyDescent="0.25">
      <c r="B824" s="19"/>
      <c r="C824" s="19"/>
      <c r="D824" s="19"/>
      <c r="E824" s="19"/>
      <c r="F824" s="19"/>
    </row>
    <row r="825" spans="2:6" x14ac:dyDescent="0.25">
      <c r="B825" s="19"/>
      <c r="C825" s="19"/>
      <c r="D825" s="19"/>
      <c r="E825" s="19"/>
      <c r="F825" s="19"/>
    </row>
    <row r="826" spans="2:6" x14ac:dyDescent="0.25">
      <c r="B826" s="19"/>
      <c r="C826" s="19"/>
      <c r="D826" s="19"/>
      <c r="E826" s="19"/>
      <c r="F826" s="19"/>
    </row>
    <row r="827" spans="2:6" x14ac:dyDescent="0.25">
      <c r="B827" s="19"/>
      <c r="C827" s="19"/>
      <c r="D827" s="19"/>
      <c r="E827" s="19"/>
      <c r="F827" s="19"/>
    </row>
    <row r="828" spans="2:6" x14ac:dyDescent="0.25">
      <c r="B828" s="19"/>
      <c r="C828" s="19"/>
      <c r="D828" s="19"/>
      <c r="E828" s="19"/>
      <c r="F828" s="19"/>
    </row>
    <row r="829" spans="2:6" x14ac:dyDescent="0.25">
      <c r="B829" s="19"/>
      <c r="C829" s="19"/>
      <c r="D829" s="19"/>
      <c r="E829" s="19"/>
      <c r="F829" s="19"/>
    </row>
    <row r="830" spans="2:6" x14ac:dyDescent="0.25">
      <c r="B830" s="19"/>
      <c r="C830" s="19"/>
      <c r="D830" s="19"/>
      <c r="E830" s="19"/>
      <c r="F830" s="19"/>
    </row>
    <row r="831" spans="2:6" x14ac:dyDescent="0.25">
      <c r="B831" s="19"/>
      <c r="C831" s="19"/>
      <c r="D831" s="19"/>
      <c r="E831" s="19"/>
      <c r="F831" s="19"/>
    </row>
    <row r="832" spans="2:6" x14ac:dyDescent="0.25">
      <c r="B832" s="19"/>
      <c r="C832" s="19"/>
      <c r="D832" s="19"/>
      <c r="E832" s="19"/>
      <c r="F832" s="19"/>
    </row>
    <row r="833" spans="2:6" x14ac:dyDescent="0.25">
      <c r="B833" s="19"/>
      <c r="C833" s="19"/>
      <c r="D833" s="19"/>
      <c r="E833" s="19"/>
      <c r="F833" s="19"/>
    </row>
    <row r="834" spans="2:6" x14ac:dyDescent="0.25">
      <c r="B834" s="19"/>
      <c r="C834" s="19"/>
      <c r="D834" s="19"/>
      <c r="E834" s="19"/>
      <c r="F834" s="19"/>
    </row>
    <row r="835" spans="2:6" x14ac:dyDescent="0.25">
      <c r="B835" s="19"/>
      <c r="C835" s="19"/>
      <c r="D835" s="19"/>
      <c r="E835" s="19"/>
      <c r="F835" s="19"/>
    </row>
    <row r="836" spans="2:6" x14ac:dyDescent="0.25">
      <c r="B836" s="19"/>
      <c r="C836" s="19"/>
      <c r="D836" s="19"/>
      <c r="E836" s="19"/>
      <c r="F836" s="19"/>
    </row>
    <row r="837" spans="2:6" x14ac:dyDescent="0.25">
      <c r="B837" s="19"/>
      <c r="C837" s="19"/>
      <c r="D837" s="19"/>
      <c r="E837" s="19"/>
      <c r="F837" s="19"/>
    </row>
    <row r="838" spans="2:6" x14ac:dyDescent="0.25">
      <c r="B838" s="19"/>
      <c r="C838" s="19"/>
      <c r="D838" s="19"/>
      <c r="E838" s="19"/>
      <c r="F838" s="19"/>
    </row>
    <row r="839" spans="2:6" x14ac:dyDescent="0.25">
      <c r="B839" s="19"/>
      <c r="C839" s="19"/>
      <c r="D839" s="19"/>
      <c r="E839" s="19"/>
      <c r="F839" s="19"/>
    </row>
    <row r="840" spans="2:6" x14ac:dyDescent="0.25">
      <c r="B840" s="19"/>
      <c r="C840" s="19"/>
      <c r="D840" s="19"/>
      <c r="E840" s="19"/>
      <c r="F840" s="19"/>
    </row>
    <row r="841" spans="2:6" x14ac:dyDescent="0.25">
      <c r="B841" s="19"/>
      <c r="C841" s="19"/>
      <c r="D841" s="19"/>
      <c r="E841" s="19"/>
      <c r="F841" s="19"/>
    </row>
    <row r="842" spans="2:6" x14ac:dyDescent="0.25">
      <c r="B842" s="19"/>
      <c r="C842" s="19"/>
      <c r="D842" s="19"/>
      <c r="E842" s="19"/>
      <c r="F842" s="19"/>
    </row>
    <row r="843" spans="2:6" x14ac:dyDescent="0.25">
      <c r="B843" s="19"/>
      <c r="C843" s="19"/>
      <c r="D843" s="19"/>
      <c r="E843" s="19"/>
      <c r="F843" s="19"/>
    </row>
    <row r="844" spans="2:6" x14ac:dyDescent="0.25">
      <c r="B844" s="19"/>
      <c r="C844" s="19"/>
      <c r="D844" s="19"/>
      <c r="E844" s="19"/>
      <c r="F844" s="19"/>
    </row>
    <row r="845" spans="2:6" x14ac:dyDescent="0.25">
      <c r="B845" s="19"/>
      <c r="C845" s="19"/>
      <c r="D845" s="19"/>
      <c r="E845" s="19"/>
      <c r="F845" s="19"/>
    </row>
    <row r="846" spans="2:6" x14ac:dyDescent="0.25">
      <c r="B846" s="19"/>
      <c r="C846" s="19"/>
      <c r="D846" s="19"/>
      <c r="E846" s="19"/>
      <c r="F846" s="19"/>
    </row>
    <row r="847" spans="2:6" x14ac:dyDescent="0.25">
      <c r="B847" s="19"/>
      <c r="C847" s="19"/>
      <c r="D847" s="19"/>
      <c r="E847" s="19"/>
      <c r="F847" s="19"/>
    </row>
    <row r="848" spans="2:6" x14ac:dyDescent="0.25">
      <c r="B848" s="19"/>
      <c r="C848" s="19"/>
      <c r="D848" s="19"/>
      <c r="E848" s="19"/>
      <c r="F848" s="19"/>
    </row>
    <row r="849" spans="2:6" x14ac:dyDescent="0.25">
      <c r="B849" s="19"/>
      <c r="C849" s="19"/>
      <c r="D849" s="19"/>
      <c r="E849" s="19"/>
      <c r="F849" s="19"/>
    </row>
    <row r="850" spans="2:6" x14ac:dyDescent="0.25">
      <c r="B850" s="19"/>
      <c r="C850" s="19"/>
      <c r="D850" s="19"/>
      <c r="E850" s="19"/>
      <c r="F850" s="19"/>
    </row>
    <row r="851" spans="2:6" x14ac:dyDescent="0.25">
      <c r="B851" s="19"/>
      <c r="C851" s="19"/>
      <c r="D851" s="19"/>
      <c r="E851" s="19"/>
      <c r="F851" s="19"/>
    </row>
    <row r="852" spans="2:6" x14ac:dyDescent="0.25">
      <c r="B852" s="19"/>
      <c r="C852" s="19"/>
      <c r="D852" s="19"/>
      <c r="E852" s="19"/>
      <c r="F852" s="19"/>
    </row>
    <row r="853" spans="2:6" x14ac:dyDescent="0.25">
      <c r="B853" s="19"/>
      <c r="C853" s="19"/>
      <c r="D853" s="19"/>
      <c r="E853" s="19"/>
      <c r="F853" s="19"/>
    </row>
    <row r="854" spans="2:6" x14ac:dyDescent="0.25">
      <c r="B854" s="19"/>
      <c r="C854" s="19"/>
      <c r="D854" s="19"/>
      <c r="E854" s="19"/>
      <c r="F854" s="19"/>
    </row>
    <row r="855" spans="2:6" x14ac:dyDescent="0.25">
      <c r="B855" s="19"/>
      <c r="C855" s="19"/>
      <c r="D855" s="19"/>
      <c r="E855" s="19"/>
      <c r="F855" s="19"/>
    </row>
    <row r="856" spans="2:6" x14ac:dyDescent="0.25">
      <c r="B856" s="19"/>
      <c r="C856" s="19"/>
      <c r="D856" s="19"/>
      <c r="E856" s="19"/>
      <c r="F856" s="19"/>
    </row>
    <row r="857" spans="2:6" x14ac:dyDescent="0.25">
      <c r="B857" s="19"/>
      <c r="C857" s="19"/>
      <c r="D857" s="19"/>
      <c r="E857" s="19"/>
      <c r="F857" s="19"/>
    </row>
    <row r="858" spans="2:6" x14ac:dyDescent="0.25">
      <c r="B858" s="19"/>
      <c r="C858" s="19"/>
      <c r="D858" s="19"/>
      <c r="E858" s="19"/>
      <c r="F858" s="19"/>
    </row>
    <row r="859" spans="2:6" x14ac:dyDescent="0.25">
      <c r="B859" s="19"/>
      <c r="C859" s="19"/>
      <c r="D859" s="19"/>
      <c r="E859" s="19"/>
      <c r="F859" s="19"/>
    </row>
    <row r="860" spans="2:6" x14ac:dyDescent="0.25">
      <c r="B860" s="19"/>
      <c r="C860" s="19"/>
      <c r="D860" s="19"/>
      <c r="E860" s="19"/>
      <c r="F860" s="19"/>
    </row>
    <row r="861" spans="2:6" x14ac:dyDescent="0.25">
      <c r="B861" s="19"/>
      <c r="C861" s="19"/>
      <c r="D861" s="19"/>
      <c r="E861" s="19"/>
      <c r="F861" s="19"/>
    </row>
    <row r="862" spans="2:6" x14ac:dyDescent="0.25">
      <c r="B862" s="19"/>
      <c r="C862" s="19"/>
      <c r="D862" s="19"/>
      <c r="E862" s="19"/>
      <c r="F862" s="19"/>
    </row>
    <row r="863" spans="2:6" x14ac:dyDescent="0.25">
      <c r="B863" s="19"/>
      <c r="C863" s="19"/>
      <c r="D863" s="19"/>
      <c r="E863" s="19"/>
      <c r="F863" s="19"/>
    </row>
    <row r="864" spans="2:6" x14ac:dyDescent="0.25">
      <c r="B864" s="19"/>
      <c r="C864" s="19"/>
      <c r="D864" s="19"/>
      <c r="E864" s="19"/>
      <c r="F864" s="19"/>
    </row>
    <row r="865" spans="2:6" x14ac:dyDescent="0.25">
      <c r="B865" s="19"/>
      <c r="C865" s="19"/>
      <c r="D865" s="19"/>
      <c r="E865" s="19"/>
      <c r="F865" s="19"/>
    </row>
    <row r="866" spans="2:6" x14ac:dyDescent="0.25">
      <c r="B866" s="19"/>
      <c r="C866" s="19"/>
      <c r="D866" s="19"/>
      <c r="E866" s="19"/>
      <c r="F866" s="19"/>
    </row>
    <row r="867" spans="2:6" x14ac:dyDescent="0.25">
      <c r="B867" s="19"/>
      <c r="C867" s="19"/>
      <c r="D867" s="19"/>
      <c r="E867" s="19"/>
      <c r="F867" s="19"/>
    </row>
    <row r="868" spans="2:6" x14ac:dyDescent="0.25">
      <c r="B868" s="19"/>
      <c r="C868" s="19"/>
      <c r="D868" s="19"/>
      <c r="E868" s="19"/>
      <c r="F868" s="19"/>
    </row>
    <row r="869" spans="2:6" x14ac:dyDescent="0.25">
      <c r="B869" s="19"/>
      <c r="C869" s="19"/>
      <c r="D869" s="19"/>
      <c r="E869" s="19"/>
      <c r="F869" s="19"/>
    </row>
    <row r="870" spans="2:6" x14ac:dyDescent="0.25">
      <c r="B870" s="19"/>
      <c r="C870" s="19"/>
      <c r="D870" s="19"/>
      <c r="E870" s="19"/>
      <c r="F870" s="19"/>
    </row>
    <row r="871" spans="2:6" x14ac:dyDescent="0.25">
      <c r="B871" s="19"/>
      <c r="C871" s="19"/>
      <c r="D871" s="19"/>
      <c r="E871" s="19"/>
      <c r="F871" s="19"/>
    </row>
    <row r="872" spans="2:6" x14ac:dyDescent="0.25">
      <c r="B872" s="19"/>
      <c r="C872" s="19"/>
      <c r="D872" s="19"/>
      <c r="E872" s="19"/>
      <c r="F872" s="19"/>
    </row>
    <row r="873" spans="2:6" x14ac:dyDescent="0.25">
      <c r="B873" s="19"/>
      <c r="C873" s="19"/>
      <c r="D873" s="19"/>
      <c r="E873" s="19"/>
      <c r="F873" s="19"/>
    </row>
    <row r="874" spans="2:6" x14ac:dyDescent="0.25">
      <c r="B874" s="19"/>
      <c r="C874" s="19"/>
      <c r="D874" s="19"/>
      <c r="E874" s="19"/>
      <c r="F874" s="19"/>
    </row>
    <row r="875" spans="2:6" x14ac:dyDescent="0.25">
      <c r="B875" s="19"/>
      <c r="C875" s="19"/>
      <c r="D875" s="19"/>
      <c r="E875" s="19"/>
      <c r="F875" s="19"/>
    </row>
    <row r="876" spans="2:6" x14ac:dyDescent="0.25">
      <c r="B876" s="19"/>
      <c r="C876" s="19"/>
      <c r="D876" s="19"/>
      <c r="E876" s="19"/>
      <c r="F876" s="19"/>
    </row>
    <row r="877" spans="2:6" x14ac:dyDescent="0.25">
      <c r="B877" s="19"/>
      <c r="C877" s="19"/>
      <c r="D877" s="19"/>
      <c r="E877" s="19"/>
      <c r="F877" s="19"/>
    </row>
    <row r="878" spans="2:6" x14ac:dyDescent="0.25">
      <c r="B878" s="19"/>
      <c r="C878" s="19"/>
      <c r="D878" s="19"/>
      <c r="E878" s="19"/>
      <c r="F878" s="19"/>
    </row>
    <row r="879" spans="2:6" x14ac:dyDescent="0.25">
      <c r="B879" s="19"/>
      <c r="C879" s="19"/>
      <c r="D879" s="19"/>
      <c r="E879" s="19"/>
      <c r="F879" s="19"/>
    </row>
    <row r="880" spans="2:6" x14ac:dyDescent="0.25">
      <c r="B880" s="19"/>
      <c r="C880" s="19"/>
      <c r="D880" s="19"/>
      <c r="E880" s="19"/>
      <c r="F880" s="19"/>
    </row>
    <row r="881" spans="2:6" x14ac:dyDescent="0.25">
      <c r="B881" s="19"/>
      <c r="C881" s="19"/>
      <c r="D881" s="19"/>
      <c r="E881" s="19"/>
      <c r="F881" s="19"/>
    </row>
    <row r="882" spans="2:6" x14ac:dyDescent="0.25">
      <c r="B882" s="19"/>
      <c r="C882" s="19"/>
      <c r="D882" s="19"/>
      <c r="E882" s="19"/>
      <c r="F882" s="19"/>
    </row>
    <row r="883" spans="2:6" x14ac:dyDescent="0.25">
      <c r="B883" s="19"/>
      <c r="C883" s="19"/>
      <c r="D883" s="19"/>
      <c r="E883" s="19"/>
      <c r="F883" s="19"/>
    </row>
    <row r="884" spans="2:6" x14ac:dyDescent="0.25">
      <c r="B884" s="19"/>
      <c r="C884" s="19"/>
      <c r="D884" s="19"/>
      <c r="E884" s="19"/>
      <c r="F884" s="19"/>
    </row>
    <row r="885" spans="2:6" x14ac:dyDescent="0.25">
      <c r="B885" s="19"/>
      <c r="C885" s="19"/>
      <c r="D885" s="19"/>
      <c r="E885" s="19"/>
      <c r="F885" s="19"/>
    </row>
    <row r="886" spans="2:6" x14ac:dyDescent="0.25">
      <c r="B886" s="19"/>
      <c r="C886" s="19"/>
      <c r="D886" s="19"/>
      <c r="E886" s="19"/>
      <c r="F886" s="19"/>
    </row>
    <row r="887" spans="2:6" x14ac:dyDescent="0.25">
      <c r="B887" s="19"/>
      <c r="C887" s="19"/>
      <c r="D887" s="19"/>
      <c r="E887" s="19"/>
      <c r="F887" s="19"/>
    </row>
    <row r="888" spans="2:6" x14ac:dyDescent="0.25">
      <c r="B888" s="19"/>
      <c r="C888" s="19"/>
      <c r="D888" s="19"/>
      <c r="E888" s="19"/>
      <c r="F888" s="19"/>
    </row>
    <row r="889" spans="2:6" x14ac:dyDescent="0.25">
      <c r="B889" s="19"/>
      <c r="C889" s="19"/>
      <c r="D889" s="19"/>
      <c r="E889" s="19"/>
      <c r="F889" s="19"/>
    </row>
    <row r="890" spans="2:6" x14ac:dyDescent="0.25">
      <c r="B890" s="19"/>
      <c r="C890" s="19"/>
      <c r="D890" s="19"/>
      <c r="E890" s="19"/>
      <c r="F890" s="19"/>
    </row>
    <row r="891" spans="2:6" x14ac:dyDescent="0.25">
      <c r="B891" s="19"/>
      <c r="C891" s="19"/>
      <c r="D891" s="19"/>
      <c r="E891" s="19"/>
      <c r="F891" s="19"/>
    </row>
    <row r="892" spans="2:6" x14ac:dyDescent="0.25">
      <c r="B892" s="19"/>
      <c r="C892" s="19"/>
      <c r="D892" s="19"/>
      <c r="E892" s="19"/>
      <c r="F892" s="19"/>
    </row>
    <row r="893" spans="2:6" x14ac:dyDescent="0.25">
      <c r="B893" s="19"/>
      <c r="C893" s="19"/>
      <c r="D893" s="19"/>
      <c r="E893" s="19"/>
      <c r="F893" s="19"/>
    </row>
    <row r="894" spans="2:6" x14ac:dyDescent="0.25">
      <c r="B894" s="19"/>
      <c r="C894" s="19"/>
      <c r="D894" s="19"/>
      <c r="E894" s="19"/>
      <c r="F894" s="19"/>
    </row>
    <row r="895" spans="2:6" x14ac:dyDescent="0.25">
      <c r="B895" s="19"/>
      <c r="C895" s="19"/>
      <c r="D895" s="19"/>
      <c r="E895" s="19"/>
      <c r="F895" s="19"/>
    </row>
    <row r="896" spans="2:6" x14ac:dyDescent="0.25">
      <c r="B896" s="19"/>
      <c r="C896" s="19"/>
      <c r="D896" s="19"/>
      <c r="E896" s="19"/>
      <c r="F896" s="19"/>
    </row>
    <row r="897" spans="2:6" x14ac:dyDescent="0.25">
      <c r="B897" s="19"/>
      <c r="C897" s="19"/>
      <c r="D897" s="19"/>
      <c r="E897" s="19"/>
      <c r="F897" s="19"/>
    </row>
    <row r="898" spans="2:6" x14ac:dyDescent="0.25">
      <c r="B898" s="19"/>
      <c r="C898" s="19"/>
      <c r="D898" s="19"/>
      <c r="E898" s="19"/>
      <c r="F898" s="19"/>
    </row>
    <row r="899" spans="2:6" x14ac:dyDescent="0.25">
      <c r="B899" s="19"/>
      <c r="C899" s="19"/>
      <c r="D899" s="19"/>
      <c r="E899" s="19"/>
      <c r="F899" s="19"/>
    </row>
    <row r="900" spans="2:6" x14ac:dyDescent="0.25">
      <c r="B900" s="19"/>
      <c r="C900" s="19"/>
      <c r="D900" s="19"/>
      <c r="E900" s="19"/>
      <c r="F900" s="19"/>
    </row>
    <row r="901" spans="2:6" x14ac:dyDescent="0.25">
      <c r="B901" s="19"/>
      <c r="C901" s="19"/>
      <c r="D901" s="19"/>
      <c r="E901" s="19"/>
      <c r="F901" s="19"/>
    </row>
    <row r="902" spans="2:6" x14ac:dyDescent="0.25">
      <c r="B902" s="19"/>
      <c r="C902" s="19"/>
      <c r="D902" s="19"/>
      <c r="E902" s="19"/>
      <c r="F902" s="19"/>
    </row>
    <row r="903" spans="2:6" x14ac:dyDescent="0.25">
      <c r="B903" s="19"/>
      <c r="C903" s="19"/>
      <c r="D903" s="19"/>
      <c r="E903" s="19"/>
      <c r="F903" s="19"/>
    </row>
    <row r="904" spans="2:6" x14ac:dyDescent="0.25">
      <c r="B904" s="19"/>
      <c r="C904" s="19"/>
      <c r="D904" s="19"/>
      <c r="E904" s="19"/>
      <c r="F904" s="19"/>
    </row>
    <row r="905" spans="2:6" x14ac:dyDescent="0.25">
      <c r="B905" s="19"/>
      <c r="C905" s="19"/>
      <c r="D905" s="19"/>
      <c r="E905" s="19"/>
      <c r="F905" s="19"/>
    </row>
    <row r="906" spans="2:6" x14ac:dyDescent="0.25">
      <c r="B906" s="19"/>
      <c r="C906" s="19"/>
      <c r="D906" s="19"/>
      <c r="E906" s="19"/>
      <c r="F906" s="19"/>
    </row>
    <row r="907" spans="2:6" x14ac:dyDescent="0.25">
      <c r="B907" s="19"/>
      <c r="C907" s="19"/>
      <c r="D907" s="19"/>
      <c r="E907" s="19"/>
      <c r="F907" s="19"/>
    </row>
    <row r="908" spans="2:6" x14ac:dyDescent="0.25">
      <c r="B908" s="19"/>
      <c r="C908" s="19"/>
      <c r="D908" s="19"/>
      <c r="E908" s="19"/>
      <c r="F908" s="19"/>
    </row>
    <row r="909" spans="2:6" x14ac:dyDescent="0.25">
      <c r="B909" s="19"/>
      <c r="C909" s="19"/>
      <c r="D909" s="19"/>
      <c r="E909" s="19"/>
      <c r="F909" s="19"/>
    </row>
    <row r="910" spans="2:6" x14ac:dyDescent="0.25">
      <c r="B910" s="19"/>
      <c r="C910" s="19"/>
      <c r="D910" s="19"/>
      <c r="E910" s="19"/>
      <c r="F910" s="19"/>
    </row>
    <row r="911" spans="2:6" x14ac:dyDescent="0.25">
      <c r="B911" s="19"/>
      <c r="C911" s="19"/>
      <c r="D911" s="19"/>
      <c r="E911" s="19"/>
      <c r="F911" s="19"/>
    </row>
    <row r="912" spans="2:6" x14ac:dyDescent="0.25">
      <c r="B912" s="19"/>
      <c r="C912" s="19"/>
      <c r="D912" s="19"/>
      <c r="E912" s="19"/>
      <c r="F912" s="19"/>
    </row>
    <row r="913" spans="2:6" x14ac:dyDescent="0.25">
      <c r="B913" s="19"/>
      <c r="C913" s="19"/>
      <c r="D913" s="19"/>
      <c r="E913" s="19"/>
      <c r="F913" s="19"/>
    </row>
    <row r="914" spans="2:6" x14ac:dyDescent="0.25">
      <c r="B914" s="19"/>
      <c r="C914" s="19"/>
      <c r="D914" s="19"/>
      <c r="E914" s="19"/>
      <c r="F914" s="19"/>
    </row>
    <row r="915" spans="2:6" x14ac:dyDescent="0.25">
      <c r="B915" s="19"/>
      <c r="C915" s="19"/>
      <c r="D915" s="19"/>
      <c r="E915" s="19"/>
      <c r="F915" s="19"/>
    </row>
    <row r="916" spans="2:6" x14ac:dyDescent="0.25">
      <c r="B916" s="19"/>
      <c r="C916" s="19"/>
      <c r="D916" s="19"/>
      <c r="E916" s="19"/>
      <c r="F916" s="19"/>
    </row>
    <row r="917" spans="2:6" x14ac:dyDescent="0.25">
      <c r="B917" s="19"/>
      <c r="C917" s="19"/>
      <c r="D917" s="19"/>
      <c r="E917" s="19"/>
      <c r="F917" s="19"/>
    </row>
    <row r="918" spans="2:6" x14ac:dyDescent="0.25">
      <c r="B918" s="19"/>
      <c r="C918" s="19"/>
      <c r="D918" s="19"/>
      <c r="E918" s="19"/>
      <c r="F918" s="19"/>
    </row>
    <row r="919" spans="2:6" x14ac:dyDescent="0.25">
      <c r="B919" s="19"/>
      <c r="C919" s="19"/>
      <c r="D919" s="19"/>
      <c r="E919" s="19"/>
      <c r="F919" s="19"/>
    </row>
    <row r="920" spans="2:6" x14ac:dyDescent="0.25">
      <c r="B920" s="19"/>
      <c r="C920" s="19"/>
      <c r="D920" s="19"/>
      <c r="E920" s="19"/>
      <c r="F920" s="19"/>
    </row>
    <row r="921" spans="2:6" x14ac:dyDescent="0.25">
      <c r="B921" s="19"/>
      <c r="C921" s="19"/>
      <c r="D921" s="19"/>
      <c r="E921" s="19"/>
      <c r="F921" s="19"/>
    </row>
    <row r="922" spans="2:6" x14ac:dyDescent="0.25">
      <c r="B922" s="19"/>
      <c r="C922" s="19"/>
      <c r="D922" s="19"/>
      <c r="E922" s="19"/>
      <c r="F922" s="19"/>
    </row>
    <row r="923" spans="2:6" x14ac:dyDescent="0.25">
      <c r="B923" s="19"/>
      <c r="C923" s="19"/>
      <c r="D923" s="19"/>
      <c r="E923" s="19"/>
      <c r="F923" s="19"/>
    </row>
    <row r="924" spans="2:6" x14ac:dyDescent="0.25">
      <c r="B924" s="19"/>
      <c r="C924" s="19"/>
      <c r="D924" s="19"/>
      <c r="E924" s="19"/>
      <c r="F924" s="19"/>
    </row>
    <row r="925" spans="2:6" x14ac:dyDescent="0.25">
      <c r="B925" s="19"/>
      <c r="C925" s="19"/>
      <c r="D925" s="19"/>
      <c r="E925" s="19"/>
      <c r="F925" s="19"/>
    </row>
    <row r="926" spans="2:6" x14ac:dyDescent="0.25">
      <c r="B926" s="19"/>
      <c r="C926" s="19"/>
      <c r="D926" s="19"/>
      <c r="E926" s="19"/>
      <c r="F926" s="19"/>
    </row>
    <row r="927" spans="2:6" x14ac:dyDescent="0.25">
      <c r="B927" s="19"/>
      <c r="C927" s="19"/>
      <c r="D927" s="19"/>
      <c r="E927" s="19"/>
      <c r="F927" s="19"/>
    </row>
    <row r="928" spans="2:6" x14ac:dyDescent="0.25">
      <c r="B928" s="19"/>
      <c r="C928" s="19"/>
      <c r="D928" s="19"/>
      <c r="E928" s="19"/>
      <c r="F928" s="19"/>
    </row>
    <row r="929" spans="2:6" x14ac:dyDescent="0.25">
      <c r="B929" s="19"/>
      <c r="C929" s="19"/>
      <c r="D929" s="19"/>
      <c r="E929" s="19"/>
      <c r="F929" s="19"/>
    </row>
    <row r="930" spans="2:6" x14ac:dyDescent="0.25">
      <c r="B930" s="19"/>
      <c r="C930" s="19"/>
      <c r="D930" s="19"/>
      <c r="E930" s="19"/>
      <c r="F930" s="19"/>
    </row>
    <row r="931" spans="2:6" x14ac:dyDescent="0.25">
      <c r="B931" s="19"/>
      <c r="C931" s="19"/>
      <c r="D931" s="19"/>
      <c r="E931" s="19"/>
      <c r="F931" s="19"/>
    </row>
    <row r="932" spans="2:6" x14ac:dyDescent="0.25">
      <c r="B932" s="19"/>
      <c r="C932" s="19"/>
      <c r="D932" s="19"/>
      <c r="E932" s="19"/>
      <c r="F932" s="19"/>
    </row>
    <row r="933" spans="2:6" x14ac:dyDescent="0.25">
      <c r="B933" s="19"/>
      <c r="C933" s="19"/>
      <c r="D933" s="19"/>
      <c r="E933" s="19"/>
      <c r="F933" s="19"/>
    </row>
    <row r="934" spans="2:6" x14ac:dyDescent="0.25">
      <c r="B934" s="19"/>
      <c r="C934" s="19"/>
      <c r="D934" s="19"/>
      <c r="E934" s="19"/>
      <c r="F934" s="19"/>
    </row>
    <row r="935" spans="2:6" x14ac:dyDescent="0.25">
      <c r="B935" s="19"/>
      <c r="C935" s="19"/>
      <c r="D935" s="19"/>
      <c r="E935" s="19"/>
      <c r="F935" s="19"/>
    </row>
    <row r="936" spans="2:6" x14ac:dyDescent="0.25">
      <c r="B936" s="19"/>
      <c r="C936" s="19"/>
      <c r="D936" s="19"/>
      <c r="E936" s="19"/>
      <c r="F936" s="19"/>
    </row>
    <row r="937" spans="2:6" x14ac:dyDescent="0.25">
      <c r="B937" s="19"/>
      <c r="C937" s="19"/>
      <c r="D937" s="19"/>
      <c r="E937" s="19"/>
      <c r="F937" s="19"/>
    </row>
    <row r="938" spans="2:6" x14ac:dyDescent="0.25">
      <c r="B938" s="19"/>
      <c r="C938" s="19"/>
      <c r="D938" s="19"/>
      <c r="E938" s="19"/>
      <c r="F938" s="19"/>
    </row>
    <row r="939" spans="2:6" x14ac:dyDescent="0.25">
      <c r="B939" s="19"/>
      <c r="C939" s="19"/>
      <c r="D939" s="19"/>
      <c r="E939" s="19"/>
      <c r="F939" s="19"/>
    </row>
    <row r="940" spans="2:6" x14ac:dyDescent="0.25">
      <c r="B940" s="19"/>
      <c r="C940" s="19"/>
      <c r="D940" s="19"/>
      <c r="E940" s="19"/>
      <c r="F940" s="19"/>
    </row>
    <row r="941" spans="2:6" x14ac:dyDescent="0.25">
      <c r="B941" s="19"/>
      <c r="C941" s="19"/>
      <c r="D941" s="19"/>
      <c r="E941" s="19"/>
      <c r="F941" s="19"/>
    </row>
    <row r="942" spans="2:6" x14ac:dyDescent="0.25">
      <c r="B942" s="19"/>
      <c r="C942" s="19"/>
      <c r="D942" s="19"/>
      <c r="E942" s="19"/>
      <c r="F942" s="19"/>
    </row>
    <row r="943" spans="2:6" x14ac:dyDescent="0.25">
      <c r="B943" s="19"/>
      <c r="C943" s="19"/>
      <c r="D943" s="19"/>
      <c r="E943" s="19"/>
      <c r="F943" s="19"/>
    </row>
    <row r="944" spans="2:6" x14ac:dyDescent="0.25">
      <c r="B944" s="19"/>
      <c r="C944" s="19"/>
      <c r="D944" s="19"/>
      <c r="E944" s="19"/>
      <c r="F944" s="19"/>
    </row>
    <row r="945" spans="2:6" x14ac:dyDescent="0.25">
      <c r="B945" s="19"/>
      <c r="C945" s="19"/>
      <c r="D945" s="19"/>
      <c r="E945" s="19"/>
      <c r="F945" s="19"/>
    </row>
    <row r="946" spans="2:6" x14ac:dyDescent="0.25">
      <c r="B946" s="19"/>
      <c r="C946" s="19"/>
      <c r="D946" s="19"/>
      <c r="E946" s="19"/>
      <c r="F946" s="19"/>
    </row>
    <row r="947" spans="2:6" x14ac:dyDescent="0.25">
      <c r="B947" s="19"/>
      <c r="C947" s="19"/>
      <c r="D947" s="19"/>
      <c r="E947" s="19"/>
      <c r="F947" s="19"/>
    </row>
    <row r="948" spans="2:6" x14ac:dyDescent="0.25">
      <c r="B948" s="19"/>
      <c r="C948" s="19"/>
      <c r="D948" s="19"/>
      <c r="E948" s="19"/>
      <c r="F948" s="19"/>
    </row>
    <row r="949" spans="2:6" x14ac:dyDescent="0.25">
      <c r="B949" s="19"/>
      <c r="C949" s="19"/>
      <c r="D949" s="19"/>
      <c r="E949" s="19"/>
      <c r="F949" s="19"/>
    </row>
    <row r="950" spans="2:6" x14ac:dyDescent="0.25">
      <c r="B950" s="19"/>
      <c r="C950" s="19"/>
      <c r="D950" s="19"/>
      <c r="E950" s="19"/>
      <c r="F950" s="19"/>
    </row>
    <row r="951" spans="2:6" x14ac:dyDescent="0.25">
      <c r="B951" s="19"/>
      <c r="C951" s="19"/>
      <c r="D951" s="19"/>
      <c r="E951" s="19"/>
      <c r="F951" s="19"/>
    </row>
    <row r="952" spans="2:6" x14ac:dyDescent="0.25">
      <c r="B952" s="19"/>
      <c r="C952" s="19"/>
      <c r="D952" s="19"/>
      <c r="E952" s="19"/>
      <c r="F952" s="19"/>
    </row>
    <row r="953" spans="2:6" x14ac:dyDescent="0.25">
      <c r="B953" s="19"/>
      <c r="C953" s="19"/>
      <c r="D953" s="19"/>
      <c r="E953" s="19"/>
      <c r="F953" s="19"/>
    </row>
    <row r="954" spans="2:6" x14ac:dyDescent="0.25">
      <c r="B954" s="19"/>
      <c r="C954" s="19"/>
      <c r="D954" s="19"/>
      <c r="E954" s="19"/>
      <c r="F954" s="19"/>
    </row>
    <row r="955" spans="2:6" x14ac:dyDescent="0.25">
      <c r="B955" s="19"/>
      <c r="C955" s="19"/>
      <c r="D955" s="19"/>
      <c r="E955" s="19"/>
      <c r="F955" s="19"/>
    </row>
    <row r="956" spans="2:6" x14ac:dyDescent="0.25">
      <c r="B956" s="19"/>
      <c r="C956" s="19"/>
      <c r="D956" s="19"/>
      <c r="E956" s="19"/>
      <c r="F956" s="19"/>
    </row>
    <row r="957" spans="2:6" x14ac:dyDescent="0.25">
      <c r="B957" s="19"/>
      <c r="C957" s="19"/>
      <c r="D957" s="19"/>
      <c r="E957" s="19"/>
      <c r="F957" s="19"/>
    </row>
    <row r="958" spans="2:6" x14ac:dyDescent="0.25">
      <c r="B958" s="19"/>
      <c r="C958" s="19"/>
      <c r="D958" s="19"/>
      <c r="E958" s="19"/>
      <c r="F958" s="19"/>
    </row>
    <row r="959" spans="2:6" x14ac:dyDescent="0.25">
      <c r="B959" s="19"/>
      <c r="C959" s="19"/>
      <c r="D959" s="19"/>
      <c r="E959" s="19"/>
      <c r="F959" s="19"/>
    </row>
    <row r="960" spans="2:6" x14ac:dyDescent="0.25">
      <c r="B960" s="19"/>
      <c r="C960" s="19"/>
      <c r="D960" s="19"/>
      <c r="E960" s="19"/>
      <c r="F960" s="19"/>
    </row>
    <row r="961" spans="2:6" x14ac:dyDescent="0.25">
      <c r="B961" s="19"/>
      <c r="C961" s="19"/>
      <c r="D961" s="19"/>
      <c r="E961" s="19"/>
      <c r="F961" s="19"/>
    </row>
    <row r="962" spans="2:6" x14ac:dyDescent="0.25">
      <c r="B962" s="19"/>
      <c r="C962" s="19"/>
      <c r="D962" s="19"/>
      <c r="E962" s="19"/>
      <c r="F962" s="19"/>
    </row>
    <row r="963" spans="2:6" x14ac:dyDescent="0.25">
      <c r="B963" s="19"/>
      <c r="C963" s="19"/>
      <c r="D963" s="19"/>
      <c r="E963" s="19"/>
      <c r="F963" s="19"/>
    </row>
    <row r="964" spans="2:6" x14ac:dyDescent="0.25">
      <c r="B964" s="19"/>
      <c r="C964" s="19"/>
      <c r="D964" s="19"/>
      <c r="E964" s="19"/>
      <c r="F964" s="19"/>
    </row>
    <row r="965" spans="2:6" x14ac:dyDescent="0.25">
      <c r="B965" s="19"/>
      <c r="C965" s="19"/>
      <c r="D965" s="19"/>
      <c r="E965" s="19"/>
      <c r="F965" s="19"/>
    </row>
    <row r="966" spans="2:6" x14ac:dyDescent="0.25">
      <c r="B966" s="19"/>
      <c r="C966" s="19"/>
      <c r="D966" s="19"/>
      <c r="E966" s="19"/>
      <c r="F966" s="19"/>
    </row>
    <row r="967" spans="2:6" x14ac:dyDescent="0.25">
      <c r="B967" s="19"/>
      <c r="C967" s="19"/>
      <c r="D967" s="19"/>
      <c r="E967" s="19"/>
      <c r="F967" s="19"/>
    </row>
    <row r="968" spans="2:6" x14ac:dyDescent="0.25">
      <c r="B968" s="19"/>
      <c r="C968" s="19"/>
      <c r="D968" s="19"/>
      <c r="E968" s="19"/>
      <c r="F968" s="19"/>
    </row>
    <row r="969" spans="2:6" x14ac:dyDescent="0.25">
      <c r="B969" s="19"/>
      <c r="C969" s="19"/>
      <c r="D969" s="19"/>
      <c r="E969" s="19"/>
      <c r="F969" s="19"/>
    </row>
    <row r="970" spans="2:6" x14ac:dyDescent="0.25">
      <c r="B970" s="19"/>
      <c r="C970" s="19"/>
      <c r="D970" s="19"/>
      <c r="E970" s="19"/>
      <c r="F970" s="19"/>
    </row>
    <row r="971" spans="2:6" x14ac:dyDescent="0.25">
      <c r="B971" s="19"/>
      <c r="C971" s="19"/>
      <c r="D971" s="19"/>
      <c r="E971" s="19"/>
      <c r="F971" s="19"/>
    </row>
    <row r="972" spans="2:6" x14ac:dyDescent="0.25">
      <c r="B972" s="19"/>
      <c r="C972" s="19"/>
      <c r="D972" s="19"/>
      <c r="E972" s="19"/>
      <c r="F972" s="19"/>
    </row>
    <row r="973" spans="2:6" x14ac:dyDescent="0.25">
      <c r="B973" s="19"/>
      <c r="C973" s="19"/>
      <c r="D973" s="19"/>
      <c r="E973" s="19"/>
      <c r="F973" s="19"/>
    </row>
    <row r="974" spans="2:6" x14ac:dyDescent="0.25">
      <c r="B974" s="19"/>
      <c r="C974" s="19"/>
      <c r="D974" s="19"/>
      <c r="E974" s="19"/>
      <c r="F974" s="19"/>
    </row>
    <row r="975" spans="2:6" x14ac:dyDescent="0.25">
      <c r="B975" s="19"/>
      <c r="C975" s="19"/>
      <c r="D975" s="19"/>
      <c r="E975" s="19"/>
      <c r="F975" s="19"/>
    </row>
    <row r="976" spans="2:6" x14ac:dyDescent="0.25">
      <c r="B976" s="19"/>
      <c r="C976" s="19"/>
      <c r="D976" s="19"/>
      <c r="E976" s="19"/>
      <c r="F976" s="19"/>
    </row>
    <row r="977" spans="2:6" x14ac:dyDescent="0.25">
      <c r="B977" s="19"/>
      <c r="C977" s="19"/>
      <c r="D977" s="19"/>
      <c r="E977" s="19"/>
      <c r="F977" s="19"/>
    </row>
    <row r="978" spans="2:6" x14ac:dyDescent="0.25">
      <c r="B978" s="19"/>
      <c r="C978" s="19"/>
      <c r="D978" s="19"/>
      <c r="E978" s="19"/>
      <c r="F978" s="19"/>
    </row>
    <row r="979" spans="2:6" x14ac:dyDescent="0.25">
      <c r="B979" s="19"/>
      <c r="C979" s="19"/>
      <c r="D979" s="19"/>
      <c r="E979" s="19"/>
      <c r="F979" s="19"/>
    </row>
    <row r="980" spans="2:6" x14ac:dyDescent="0.25">
      <c r="B980" s="19"/>
      <c r="C980" s="19"/>
      <c r="D980" s="19"/>
      <c r="E980" s="19"/>
      <c r="F980" s="19"/>
    </row>
    <row r="981" spans="2:6" x14ac:dyDescent="0.25">
      <c r="B981" s="19"/>
      <c r="C981" s="19"/>
      <c r="D981" s="19"/>
      <c r="E981" s="19"/>
      <c r="F981" s="19"/>
    </row>
    <row r="982" spans="2:6" x14ac:dyDescent="0.25">
      <c r="B982" s="19"/>
      <c r="C982" s="19"/>
      <c r="D982" s="19"/>
      <c r="E982" s="19"/>
      <c r="F982" s="19"/>
    </row>
    <row r="983" spans="2:6" x14ac:dyDescent="0.25">
      <c r="B983" s="19"/>
      <c r="C983" s="19"/>
      <c r="D983" s="19"/>
      <c r="E983" s="19"/>
      <c r="F983" s="19"/>
    </row>
    <row r="984" spans="2:6" x14ac:dyDescent="0.25">
      <c r="B984" s="19"/>
      <c r="C984" s="19"/>
      <c r="D984" s="19"/>
      <c r="E984" s="19"/>
      <c r="F984" s="19"/>
    </row>
    <row r="985" spans="2:6" x14ac:dyDescent="0.25">
      <c r="B985" s="19"/>
      <c r="C985" s="19"/>
      <c r="D985" s="19"/>
      <c r="E985" s="19"/>
      <c r="F985" s="19"/>
    </row>
    <row r="986" spans="2:6" x14ac:dyDescent="0.25">
      <c r="B986" s="19"/>
      <c r="C986" s="19"/>
      <c r="D986" s="19"/>
      <c r="E986" s="19"/>
      <c r="F986" s="19"/>
    </row>
    <row r="987" spans="2:6" x14ac:dyDescent="0.25">
      <c r="B987" s="19"/>
      <c r="C987" s="19"/>
      <c r="D987" s="19"/>
      <c r="E987" s="19"/>
      <c r="F987" s="19"/>
    </row>
    <row r="988" spans="2:6" x14ac:dyDescent="0.25">
      <c r="B988" s="19"/>
      <c r="C988" s="19"/>
      <c r="D988" s="19"/>
      <c r="E988" s="19"/>
      <c r="F988" s="19"/>
    </row>
    <row r="989" spans="2:6" x14ac:dyDescent="0.25">
      <c r="B989" s="19"/>
      <c r="C989" s="19"/>
      <c r="D989" s="19"/>
      <c r="E989" s="19"/>
      <c r="F989" s="19"/>
    </row>
    <row r="990" spans="2:6" x14ac:dyDescent="0.25">
      <c r="B990" s="19"/>
      <c r="C990" s="19"/>
      <c r="D990" s="19"/>
      <c r="E990" s="19"/>
      <c r="F990" s="19"/>
    </row>
    <row r="991" spans="2:6" x14ac:dyDescent="0.25">
      <c r="B991" s="19"/>
      <c r="C991" s="19"/>
      <c r="D991" s="19"/>
      <c r="E991" s="19"/>
      <c r="F991" s="19"/>
    </row>
    <row r="992" spans="2:6" x14ac:dyDescent="0.25">
      <c r="B992" s="19"/>
      <c r="C992" s="19"/>
      <c r="D992" s="19"/>
      <c r="E992" s="19"/>
      <c r="F992" s="19"/>
    </row>
    <row r="993" spans="2:6" x14ac:dyDescent="0.25">
      <c r="B993" s="19"/>
      <c r="C993" s="19"/>
      <c r="D993" s="19"/>
      <c r="E993" s="19"/>
      <c r="F993" s="19"/>
    </row>
    <row r="994" spans="2:6" x14ac:dyDescent="0.25">
      <c r="B994" s="19"/>
      <c r="C994" s="19"/>
      <c r="D994" s="19"/>
      <c r="E994" s="19"/>
      <c r="F994" s="19"/>
    </row>
    <row r="995" spans="2:6" x14ac:dyDescent="0.25">
      <c r="B995" s="19"/>
      <c r="C995" s="19"/>
      <c r="D995" s="19"/>
      <c r="E995" s="19"/>
      <c r="F995" s="19"/>
    </row>
    <row r="996" spans="2:6" x14ac:dyDescent="0.25">
      <c r="B996" s="19"/>
      <c r="C996" s="19"/>
      <c r="D996" s="19"/>
      <c r="E996" s="19"/>
      <c r="F996" s="19"/>
    </row>
    <row r="997" spans="2:6" x14ac:dyDescent="0.25">
      <c r="B997" s="19"/>
      <c r="C997" s="19"/>
      <c r="D997" s="19"/>
      <c r="E997" s="19"/>
      <c r="F997" s="19"/>
    </row>
    <row r="998" spans="2:6" x14ac:dyDescent="0.25">
      <c r="B998" s="19"/>
      <c r="C998" s="19"/>
      <c r="D998" s="19"/>
      <c r="E998" s="19"/>
      <c r="F998" s="19"/>
    </row>
    <row r="999" spans="2:6" x14ac:dyDescent="0.25">
      <c r="B999" s="19"/>
      <c r="C999" s="19"/>
      <c r="D999" s="19"/>
      <c r="E999" s="19"/>
      <c r="F999" s="19"/>
    </row>
    <row r="1000" spans="2:6" x14ac:dyDescent="0.25">
      <c r="B1000" s="19"/>
      <c r="C1000" s="19"/>
      <c r="D1000" s="19"/>
      <c r="E1000" s="19"/>
      <c r="F1000" s="19"/>
    </row>
  </sheetData>
  <mergeCells count="4">
    <mergeCell ref="B45:F45"/>
    <mergeCell ref="B3:F3"/>
    <mergeCell ref="B22:E22"/>
    <mergeCell ref="B40:F42"/>
  </mergeCells>
  <printOptions horizontalCentered="1"/>
  <pageMargins left="0.4" right="0.4" top="0.6" bottom="0.6" header="0.3" footer="0.3"/>
  <pageSetup paperSize="9" scale="84" fitToHeight="0" orientation="portrait" horizontalDpi="0" verticalDpi="0" r:id="rId1"/>
  <headerFooter>
    <oddHeader>&amp;C&amp;G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4.CreateInvoice">
                <anchor moveWithCells="1" sizeWithCells="1">
                  <from>
                    <xdr:col>9</xdr:col>
                    <xdr:colOff>28575</xdr:colOff>
                    <xdr:row>2</xdr:row>
                    <xdr:rowOff>28575</xdr:rowOff>
                  </from>
                  <to>
                    <xdr:col>11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ProjectHome</vt:lpstr>
      <vt:lpstr>Parameter</vt:lpstr>
      <vt:lpstr>StructuralColumnSchedule</vt:lpstr>
      <vt:lpstr>StructuralFramingSchedule</vt:lpstr>
      <vt:lpstr>StructuralBracingSchedule</vt:lpstr>
      <vt:lpstr>StructuralConnectionSchedule</vt:lpstr>
      <vt:lpstr>MiscellaneousDetails</vt:lpstr>
      <vt:lpstr>BasePlateSchedule</vt:lpstr>
      <vt:lpstr>StructuralPlateSchedule</vt:lpstr>
      <vt:lpstr>Summary</vt:lpstr>
      <vt:lpstr>Proposal</vt:lpstr>
      <vt:lpstr>ProjectHome!Print_Area</vt:lpstr>
      <vt:lpstr>Proposal!Print_Area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2026-04-13T20:36:50Z</cp:lastPrinted>
  <dcterms:created xsi:type="dcterms:W3CDTF">2025-05-08T14:31:36Z</dcterms:created>
  <dcterms:modified xsi:type="dcterms:W3CDTF">2026-04-13T20:37:18Z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35b193f5-571c-4815-8a7f-a5e6f82bb512</vt:lpwstr>
  </property>
  <property fmtid="{D5CDD505-2E9C-101B-9397-08002B2CF9AE}" pid="14" name="BimCT.ModelTree.DockPosition">
    <vt:lpwstr>0</vt:lpwstr>
  </property>
  <property fmtid="{D5CDD505-2E9C-101B-9397-08002B2CF9AE}" pid="15" name="BimCT.&#10;">
    <vt:lpwstr>false</vt:lpwstr>
  </property>
  <property fmtid="{D5CDD505-2E9C-101B-9397-08002B2CF9AE}" pid="16" name="BimCT.Renderer.OrthogonalMode">
    <vt:lpwstr>false</vt:lpwstr>
  </property>
</Properties>
</file>